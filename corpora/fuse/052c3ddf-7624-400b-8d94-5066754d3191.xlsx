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docProps/app.xml" ContentType="application/vnd.openxmlformats-officedocument.extended-propertie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840" firstSheet="1" activeTab="1"/>
  </bookViews>
  <sheets>
    <sheet name="Sheet1" sheetId="1" state="hidden" r:id="rId1"/>
    <sheet name="Table" sheetId="3" r:id="rId2"/>
    <sheet name="Sheet2" sheetId="2" state="hidden" r:id="rId3"/>
    <sheet name="AWARDS GRAPH" sheetId="4" r:id="rId4"/>
    <sheet name="GENDER % GRAPH" sheetId="5" r:id="rId5"/>
    <sheet name="ETHNICITY % GRAPH" sheetId="7" r:id="rId6"/>
    <sheet name="AGE % GRAPH" sheetId="8" r:id="rId7"/>
  </sheets>
  <externalReferences>
    <externalReference r:id="rId8"/>
    <externalReference r:id="rId9"/>
    <externalReference r:id="rId10"/>
  </externalReferences>
  <calcPr calcId="145621"/>
  <pivotCaches>
    <pivotCache cacheId="0" r:id="rId11"/>
    <pivotCache cacheId="1" r:id="rId12"/>
    <pivotCache cacheId="2" r:id="rId13"/>
    <pivotCache cacheId="3" r:id="rId14"/>
  </pivotCaches>
</workbook>
</file>

<file path=xl/calcChain.xml><?xml version="1.0" encoding="utf-8"?>
<calcChain xmlns="http://schemas.openxmlformats.org/spreadsheetml/2006/main">
  <c r="G24" i="3" l="1"/>
  <c r="G12" i="3"/>
  <c r="H23" i="1" l="1"/>
  <c r="H11" i="1"/>
  <c r="G14" i="3" l="1"/>
  <c r="F4" i="3"/>
  <c r="F15" i="3" s="1"/>
  <c r="H15" i="3" s="1"/>
  <c r="E4" i="3"/>
  <c r="E15" i="3" s="1"/>
  <c r="D4" i="3"/>
  <c r="D15" i="3" s="1"/>
  <c r="C4" i="3"/>
  <c r="C15" i="3" s="1"/>
  <c r="B4" i="3"/>
  <c r="B15" i="3" s="1"/>
  <c r="B8" i="3" l="1"/>
  <c r="C8" i="3"/>
  <c r="D8" i="3"/>
  <c r="E8" i="3"/>
  <c r="F8" i="3"/>
  <c r="H8" i="3" s="1"/>
  <c r="B13" i="3"/>
  <c r="C13" i="3"/>
  <c r="D13" i="3"/>
  <c r="E13" i="3"/>
  <c r="F13" i="3"/>
  <c r="H13" i="3" s="1"/>
  <c r="B33" i="3"/>
  <c r="B31" i="3"/>
  <c r="B29" i="3"/>
  <c r="B27" i="3"/>
  <c r="B25" i="3"/>
  <c r="B19" i="3"/>
  <c r="B17" i="3"/>
  <c r="B32" i="3"/>
  <c r="B30" i="3"/>
  <c r="B28" i="3"/>
  <c r="B26" i="3"/>
  <c r="B20" i="3"/>
  <c r="B18" i="3"/>
  <c r="C33" i="3"/>
  <c r="C31" i="3"/>
  <c r="C29" i="3"/>
  <c r="C27" i="3"/>
  <c r="C25" i="3"/>
  <c r="C19" i="3"/>
  <c r="C17" i="3"/>
  <c r="C32" i="3"/>
  <c r="C30" i="3"/>
  <c r="C28" i="3"/>
  <c r="C26" i="3"/>
  <c r="C20" i="3"/>
  <c r="C18" i="3"/>
  <c r="D33" i="3"/>
  <c r="D31" i="3"/>
  <c r="D29" i="3"/>
  <c r="D27" i="3"/>
  <c r="D25" i="3"/>
  <c r="D19" i="3"/>
  <c r="D17" i="3"/>
  <c r="D32" i="3"/>
  <c r="D30" i="3"/>
  <c r="D28" i="3"/>
  <c r="D26" i="3"/>
  <c r="D20" i="3"/>
  <c r="D18" i="3"/>
  <c r="E33" i="3"/>
  <c r="E31" i="3"/>
  <c r="E29" i="3"/>
  <c r="E27" i="3"/>
  <c r="E25" i="3"/>
  <c r="E20" i="3"/>
  <c r="E19" i="3"/>
  <c r="E17" i="3"/>
  <c r="E32" i="3"/>
  <c r="E30" i="3"/>
  <c r="E28" i="3"/>
  <c r="E26" i="3"/>
  <c r="E18" i="3"/>
  <c r="F33" i="3"/>
  <c r="H33" i="3" s="1"/>
  <c r="F31" i="3"/>
  <c r="H31" i="3" s="1"/>
  <c r="F29" i="3"/>
  <c r="H29" i="3" s="1"/>
  <c r="F27" i="3"/>
  <c r="H27" i="3" s="1"/>
  <c r="F25" i="3"/>
  <c r="H25" i="3" s="1"/>
  <c r="F20" i="3"/>
  <c r="H20" i="3" s="1"/>
  <c r="F19" i="3"/>
  <c r="H19" i="3" s="1"/>
  <c r="F17" i="3"/>
  <c r="H17" i="3" s="1"/>
  <c r="F32" i="3"/>
  <c r="H32" i="3" s="1"/>
  <c r="F30" i="3"/>
  <c r="H30" i="3" s="1"/>
  <c r="F28" i="3"/>
  <c r="H28" i="3" s="1"/>
  <c r="F26" i="3"/>
  <c r="H26" i="3" s="1"/>
  <c r="F18" i="3"/>
  <c r="H18" i="3" s="1"/>
  <c r="B7" i="3"/>
  <c r="C7" i="3"/>
  <c r="D7" i="3"/>
  <c r="E7" i="3"/>
  <c r="F7" i="3"/>
  <c r="H7" i="3" s="1"/>
  <c r="B9" i="3"/>
  <c r="C9" i="3"/>
  <c r="D9" i="3"/>
  <c r="E9" i="3"/>
  <c r="F9" i="3"/>
  <c r="H9" i="3" s="1"/>
  <c r="B14" i="3"/>
  <c r="C14" i="3"/>
  <c r="D14" i="3"/>
  <c r="E14" i="3"/>
  <c r="F14" i="3"/>
  <c r="H14" i="3" s="1"/>
  <c r="B16" i="3"/>
  <c r="C16" i="3"/>
  <c r="D16" i="3"/>
  <c r="E16" i="3"/>
  <c r="F16" i="3"/>
  <c r="H16" i="3" s="1"/>
  <c r="G26" i="1"/>
  <c r="G27" i="1"/>
  <c r="G28" i="1"/>
  <c r="G29" i="1"/>
  <c r="G30" i="1"/>
  <c r="G31" i="1"/>
  <c r="G32" i="1"/>
  <c r="G33" i="1"/>
  <c r="G25" i="1"/>
  <c r="G8" i="1"/>
  <c r="G9" i="1"/>
  <c r="G7" i="1"/>
  <c r="G14" i="1"/>
  <c r="G15" i="1"/>
  <c r="G16" i="1"/>
  <c r="G17" i="1"/>
  <c r="G18" i="1"/>
  <c r="G19" i="1"/>
  <c r="G20" i="1"/>
  <c r="G21" i="1"/>
  <c r="G13" i="1"/>
  <c r="F21" i="3" l="1"/>
  <c r="H21" i="3" s="1"/>
  <c r="D21" i="3"/>
  <c r="B21" i="3"/>
  <c r="E21" i="3"/>
  <c r="C21" i="3"/>
  <c r="F4" i="1"/>
  <c r="F7" i="1" s="1"/>
  <c r="H7" i="1" s="1"/>
  <c r="F31" i="1" l="1"/>
  <c r="H31" i="1" s="1"/>
  <c r="F27" i="1"/>
  <c r="H27" i="1" s="1"/>
  <c r="F19" i="1"/>
  <c r="H19" i="1" s="1"/>
  <c r="F15" i="1"/>
  <c r="H15" i="1" s="1"/>
  <c r="F33" i="1"/>
  <c r="H33" i="1" s="1"/>
  <c r="F29" i="1"/>
  <c r="H29" i="1" s="1"/>
  <c r="F25" i="1"/>
  <c r="H25" i="1" s="1"/>
  <c r="F17" i="1"/>
  <c r="H17" i="1" s="1"/>
  <c r="F13" i="1"/>
  <c r="H13" i="1" s="1"/>
  <c r="F32" i="1"/>
  <c r="H32" i="1" s="1"/>
  <c r="F30" i="1"/>
  <c r="H30" i="1" s="1"/>
  <c r="F28" i="1"/>
  <c r="H28" i="1" s="1"/>
  <c r="F26" i="1"/>
  <c r="H26" i="1" s="1"/>
  <c r="F20" i="1"/>
  <c r="H20" i="1" s="1"/>
  <c r="F18" i="1"/>
  <c r="H18" i="1" s="1"/>
  <c r="F16" i="1"/>
  <c r="H16" i="1" s="1"/>
  <c r="F14" i="1"/>
  <c r="H14" i="1" s="1"/>
  <c r="F9" i="1"/>
  <c r="H9" i="1" s="1"/>
  <c r="F8" i="1"/>
  <c r="H8" i="1" s="1"/>
  <c r="C4" i="1"/>
  <c r="D4" i="1"/>
  <c r="E4" i="1"/>
  <c r="B4" i="1"/>
  <c r="F21" i="1" l="1"/>
  <c r="H21" i="1" s="1"/>
  <c r="E25" i="1"/>
  <c r="E26" i="1"/>
  <c r="E27" i="1"/>
  <c r="E28" i="1"/>
  <c r="E29" i="1"/>
  <c r="E30" i="1"/>
  <c r="E31" i="1"/>
  <c r="E32" i="1"/>
  <c r="E33" i="1"/>
  <c r="E20" i="1"/>
  <c r="E7" i="1"/>
  <c r="E8" i="1"/>
  <c r="E9" i="1"/>
  <c r="E13" i="1"/>
  <c r="E14" i="1"/>
  <c r="E15" i="1"/>
  <c r="E16" i="1"/>
  <c r="E17" i="1"/>
  <c r="E18" i="1"/>
  <c r="E19" i="1"/>
  <c r="C25" i="1"/>
  <c r="C26" i="1"/>
  <c r="C27" i="1"/>
  <c r="C28" i="1"/>
  <c r="C29" i="1"/>
  <c r="C30" i="1"/>
  <c r="C31" i="1"/>
  <c r="C32" i="1"/>
  <c r="C33" i="1"/>
  <c r="C7" i="1"/>
  <c r="C8" i="1"/>
  <c r="C9" i="1"/>
  <c r="C13" i="1"/>
  <c r="C14" i="1"/>
  <c r="C15" i="1"/>
  <c r="C16" i="1"/>
  <c r="C17" i="1"/>
  <c r="C18" i="1"/>
  <c r="C19" i="1"/>
  <c r="C20" i="1"/>
  <c r="B25" i="1"/>
  <c r="B26" i="1"/>
  <c r="B27" i="1"/>
  <c r="B28" i="1"/>
  <c r="B29" i="1"/>
  <c r="B30" i="1"/>
  <c r="B31" i="1"/>
  <c r="B32" i="1"/>
  <c r="B33" i="1"/>
  <c r="B20" i="1"/>
  <c r="B15" i="1"/>
  <c r="B17" i="1"/>
  <c r="B19" i="1"/>
  <c r="B14" i="1"/>
  <c r="B16" i="1"/>
  <c r="B18" i="1"/>
  <c r="B13" i="1"/>
  <c r="D25" i="1"/>
  <c r="D26" i="1"/>
  <c r="D27" i="1"/>
  <c r="D28" i="1"/>
  <c r="D29" i="1"/>
  <c r="D30" i="1"/>
  <c r="D31" i="1"/>
  <c r="D32" i="1"/>
  <c r="D33" i="1"/>
  <c r="D7" i="1"/>
  <c r="D8" i="1"/>
  <c r="D9" i="1"/>
  <c r="D13" i="1"/>
  <c r="D14" i="1"/>
  <c r="D15" i="1"/>
  <c r="D16" i="1"/>
  <c r="D17" i="1"/>
  <c r="D18" i="1"/>
  <c r="D19" i="1"/>
  <c r="D20" i="1"/>
  <c r="B7" i="1"/>
  <c r="B9" i="1"/>
  <c r="B8" i="1"/>
  <c r="B21" i="1" l="1"/>
  <c r="C21" i="1"/>
  <c r="D21" i="1"/>
  <c r="E21" i="1"/>
</calcChain>
</file>

<file path=xl/sharedStrings.xml><?xml version="1.0" encoding="utf-8"?>
<sst xmlns="http://schemas.openxmlformats.org/spreadsheetml/2006/main" count="226" uniqueCount="69">
  <si>
    <t>#4  Awards</t>
  </si>
  <si>
    <t>MSJC</t>
  </si>
  <si>
    <t>Gender</t>
  </si>
  <si>
    <t>AA/AS</t>
  </si>
  <si>
    <t>Total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</si>
  <si>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</si>
  <si>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</si>
  <si>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</si>
  <si>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</si>
  <si>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</si>
  <si>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</si>
  <si>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</si>
  <si>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</si>
  <si>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</si>
  <si>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</si>
  <si>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</si>
  <si>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</si>
  <si>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</si>
  <si>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</si>
  <si>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</si>
  <si>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</si>
  <si>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30 to 34</t>
  </si>
  <si>
    <t>35 to 39</t>
  </si>
  <si>
    <t>40 to 49</t>
  </si>
  <si>
    <t>50 +</t>
  </si>
  <si>
    <t>DSPS</t>
  </si>
  <si>
    <t>Grand Total</t>
  </si>
  <si>
    <t>AY 07-08</t>
  </si>
  <si>
    <t>AY 08-09</t>
  </si>
  <si>
    <t>AY 09-10</t>
  </si>
  <si>
    <t>AY 10-11</t>
  </si>
  <si>
    <t>AY 11-12</t>
  </si>
  <si>
    <t>F</t>
  </si>
  <si>
    <t>M</t>
  </si>
  <si>
    <t>(blank)</t>
  </si>
  <si>
    <t>W</t>
  </si>
  <si>
    <t>B</t>
  </si>
  <si>
    <t>A</t>
  </si>
  <si>
    <t>N</t>
  </si>
  <si>
    <t>P</t>
  </si>
  <si>
    <t>Hispanics</t>
  </si>
  <si>
    <t>25 to 29</t>
  </si>
  <si>
    <t>AY 11-12 Enrollment %</t>
  </si>
  <si>
    <t>Age</t>
  </si>
  <si>
    <t xml:space="preserve">maybe a better comparison for awards would be to look at the % of students with </t>
  </si>
  <si>
    <t xml:space="preserve">4 or more terms of enrollment as a comparison to awards. </t>
  </si>
  <si>
    <t>This would accont for students who have not had time to earn an award yet.</t>
  </si>
  <si>
    <t>example would be gap analysis = awards % - students with 4 or more terms %</t>
  </si>
  <si>
    <t>this would remove nearly all the 18 to 20 year olds from the comparison</t>
  </si>
  <si>
    <t>so the gap we see on the 18 &amp; 19 year olds would go away. We see nearly 0%</t>
  </si>
  <si>
    <t>of 18 &amp; 19 year olds with awards, if we remove students with less than 4</t>
  </si>
  <si>
    <t>terms of enrollment from the comparison, we would see nearly 0%</t>
  </si>
  <si>
    <t>for 18 &amp; 19 year olds. See sheet 3 for example</t>
  </si>
  <si>
    <t>AA/AS Gap</t>
  </si>
  <si>
    <t>gap analysis = AY Award % - AY Enroll %</t>
  </si>
  <si>
    <t>MSJC AWARDS</t>
  </si>
  <si>
    <t>AY11-12  + 3 terms</t>
  </si>
  <si>
    <t>click here for graph</t>
  </si>
  <si>
    <t>BACK TO TABLE</t>
  </si>
  <si>
    <t>Column Labels</t>
  </si>
  <si>
    <t>Values</t>
  </si>
  <si>
    <t xml:space="preserve"> AY 07-08</t>
  </si>
  <si>
    <t xml:space="preserve"> AY 08-09</t>
  </si>
  <si>
    <t xml:space="preserve"> AY 09-10</t>
  </si>
  <si>
    <t xml:space="preserve"> AY 10-11</t>
  </si>
  <si>
    <t xml:space="preserve"> AY 11-12</t>
  </si>
  <si>
    <t>Awards</t>
  </si>
  <si>
    <t>AA &amp; AS</t>
  </si>
  <si>
    <t>Comparison (Enrolled AY 11-12 + 3 Terms)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</si>
</sst>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/>
    <xf numFmtId="0" fontId="1" fillId="0" borderId="0" xfId="0" applyFont="1"/>
    <xf numFmtId="0" fontId="22" fillId="0" borderId="14" xfId="3" applyFont="1" applyBorder="1" applyAlignment="1">
      <alignment horizontal="center" vertical="center" wrapText="1"/>
    </xf>
    <xf numFmtId="0" fontId="16" fillId="0" borderId="0" xfId="3" applyFont="1" applyBorder="1" applyAlignment="1">
      <alignment horizontal="right"/>
    </xf>
    <xf numFmtId="0" fontId="22" fillId="0" borderId="11" xfId="3" applyFont="1" applyBorder="1" applyAlignment="1">
      <alignment horizontal="center"/>
    </xf>
    <xf numFmtId="0" fontId="23" fillId="0" borderId="0" xfId="3" applyFont="1" applyBorder="1" applyAlignment="1">
      <alignment horizontal="center"/>
    </xf>
    <xf numFmtId="0" fontId="25" fillId="0" borderId="16" xfId="3" applyFont="1" applyBorder="1" applyAlignment="1">
      <alignment horizontal="center" vertical="center"/>
    </xf>
    <xf numFmtId="0" fontId="23" fillId="0" borderId="0" xfId="3" applyFont="1" applyBorder="1" applyAlignment="1">
      <alignment horizontal="center" vertical="center"/>
    </xf>
    <xf numFmtId="0" fontId="25" fillId="0" borderId="19" xfId="3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3" fillId="0" borderId="26" xfId="3" applyFont="1" applyBorder="1" applyAlignment="1">
      <alignment horizontal="center"/>
    </xf>
    <xf numFmtId="0" fontId="23" fillId="0" borderId="22" xfId="3" applyFont="1" applyBorder="1" applyAlignment="1">
      <alignment horizontal="center"/>
    </xf>
    <xf numFmtId="0" fontId="16" fillId="0" borderId="21" xfId="3" applyFont="1" applyBorder="1"/>
    <xf numFmtId="0" fontId="16" fillId="0" borderId="23" xfId="3" applyFont="1" applyBorder="1"/>
    <xf numFmtId="0" fontId="21" fillId="0" borderId="28" xfId="50" applyFont="1" applyBorder="1" applyAlignment="1" applyProtection="1"/>
    <xf numFmtId="0" fontId="21" fillId="0" borderId="23" xfId="50" applyFont="1" applyBorder="1" applyAlignment="1" applyProtection="1"/>
    <xf numFmtId="0" fontId="21" fillId="0" borderId="24" xfId="50" applyFont="1" applyBorder="1" applyAlignment="1" applyProtection="1"/>
    <xf numFmtId="0" fontId="25" fillId="0" borderId="31" xfId="3" applyFont="1" applyBorder="1" applyAlignment="1">
      <alignment horizontal="center" vertical="center"/>
    </xf>
    <xf numFmtId="0" fontId="16" fillId="0" borderId="0" xfId="3" applyFont="1" applyBorder="1"/>
    <xf numFmtId="0" fontId="16" fillId="0" borderId="24" xfId="3" applyFont="1" applyBorder="1"/>
    <xf numFmtId="0" fontId="16" fillId="0" borderId="27" xfId="3" applyFont="1" applyBorder="1" applyAlignment="1">
      <alignment horizontal="right"/>
    </xf>
    <xf numFmtId="0" fontId="22" fillId="0" borderId="11" xfId="3" applyFont="1" applyFill="1" applyBorder="1" applyAlignment="1">
      <alignment horizontal="center" vertical="center"/>
    </xf>
    <xf numFmtId="0" fontId="16" fillId="33" borderId="32" xfId="0" applyFont="1" applyFill="1" applyBorder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/>
    <xf numFmtId="0" fontId="16" fillId="0" borderId="33" xfId="0" applyFont="1" applyBorder="1" applyAlignment="1">
      <alignment horizontal="left"/>
    </xf>
    <xf numFmtId="9" fontId="23" fillId="0" borderId="25" xfId="1" applyFont="1" applyBorder="1" applyAlignment="1">
      <alignment horizontal="center" vertical="center"/>
    </xf>
    <xf numFmtId="0" fontId="14" fillId="0" borderId="0" xfId="0" applyFont="1"/>
    <xf numFmtId="0" fontId="22" fillId="0" borderId="31" xfId="3" applyFont="1" applyFill="1" applyBorder="1" applyAlignment="1">
      <alignment horizontal="center" vertical="center" wrapText="1"/>
    </xf>
    <xf numFmtId="9" fontId="23" fillId="0" borderId="10" xfId="1" applyNumberFormat="1" applyFont="1" applyBorder="1" applyAlignment="1">
      <alignment horizontal="center" vertical="center"/>
    </xf>
    <xf numFmtId="9" fontId="23" fillId="0" borderId="0" xfId="1" applyFont="1" applyBorder="1" applyAlignment="1">
      <alignment horizontal="center" vertical="center"/>
    </xf>
    <xf numFmtId="0" fontId="1" fillId="0" borderId="0" xfId="48"/>
    <xf numFmtId="0" fontId="27" fillId="0" borderId="10" xfId="48" applyFont="1" applyBorder="1"/>
    <xf numFmtId="0" fontId="27" fillId="0" borderId="0" xfId="48" applyFont="1"/>
    <xf numFmtId="0" fontId="27" fillId="0" borderId="0" xfId="0" applyFont="1"/>
    <xf numFmtId="0" fontId="21" fillId="0" borderId="0" xfId="50" applyFont="1" applyBorder="1" applyAlignment="1" applyProtection="1"/>
    <xf numFmtId="0" fontId="27" fillId="0" borderId="18" xfId="48" applyFont="1" applyBorder="1" applyAlignment="1">
      <alignment horizontal="center"/>
    </xf>
    <xf numFmtId="0" fontId="0" fillId="0" borderId="34" xfId="0" applyBorder="1" applyAlignment="1">
      <alignment horizontal="left"/>
    </xf>
    <xf numFmtId="0" fontId="21" fillId="0" borderId="35" xfId="50" applyFont="1" applyBorder="1" applyAlignment="1" applyProtection="1"/>
    <xf numFmtId="9" fontId="23" fillId="0" borderId="36" xfId="1" applyNumberFormat="1" applyFont="1" applyBorder="1" applyAlignment="1">
      <alignment horizontal="center" vertical="center"/>
    </xf>
    <xf numFmtId="0" fontId="28" fillId="0" borderId="37" xfId="3" applyFont="1" applyBorder="1" applyAlignment="1">
      <alignment horizontal="center" vertical="center"/>
    </xf>
    <xf numFmtId="0" fontId="27" fillId="0" borderId="38" xfId="48" applyFont="1" applyBorder="1" applyAlignment="1">
      <alignment horizontal="center"/>
    </xf>
    <xf numFmtId="0" fontId="28" fillId="0" borderId="30" xfId="3" applyFont="1" applyBorder="1" applyAlignment="1">
      <alignment horizontal="center" vertical="center"/>
    </xf>
    <xf numFmtId="9" fontId="27" fillId="0" borderId="10" xfId="48" applyNumberFormat="1" applyFont="1" applyBorder="1" applyAlignment="1">
      <alignment horizontal="center"/>
    </xf>
    <xf numFmtId="9" fontId="27" fillId="0" borderId="10" xfId="0" applyNumberFormat="1" applyFont="1" applyBorder="1" applyAlignment="1">
      <alignment horizontal="center"/>
    </xf>
    <xf numFmtId="0" fontId="27" fillId="0" borderId="29" xfId="48" applyFont="1" applyBorder="1" applyAlignment="1">
      <alignment horizontal="center"/>
    </xf>
    <xf numFmtId="0" fontId="27" fillId="0" borderId="17" xfId="0" applyFont="1" applyBorder="1" applyAlignment="1">
      <alignment horizontal="center" vertical="center"/>
    </xf>
    <xf numFmtId="0" fontId="25" fillId="0" borderId="24" xfId="3" applyFont="1" applyBorder="1" applyAlignment="1"/>
    <xf numFmtId="0" fontId="27" fillId="0" borderId="17" xfId="0" applyFont="1" applyBorder="1" applyAlignment="1">
      <alignment vertical="center"/>
    </xf>
    <xf numFmtId="9" fontId="27" fillId="0" borderId="10" xfId="1" applyFont="1" applyBorder="1" applyAlignment="1">
      <alignment horizontal="center"/>
    </xf>
    <xf numFmtId="0" fontId="22" fillId="0" borderId="39" xfId="3" applyFont="1" applyBorder="1" applyAlignment="1">
      <alignment horizontal="center" vertical="center" wrapText="1"/>
    </xf>
    <xf numFmtId="9" fontId="23" fillId="0" borderId="10" xfId="1" applyFont="1" applyBorder="1" applyAlignment="1">
      <alignment horizontal="center" vertical="center"/>
    </xf>
    <xf numFmtId="0" fontId="16" fillId="0" borderId="12" xfId="3" applyFont="1" applyBorder="1"/>
    <xf numFmtId="9" fontId="23" fillId="0" borderId="13" xfId="1" applyFont="1" applyBorder="1" applyAlignment="1">
      <alignment horizontal="center" vertical="center"/>
    </xf>
    <xf numFmtId="9" fontId="27" fillId="0" borderId="13" xfId="1" applyFont="1" applyBorder="1" applyAlignment="1">
      <alignment horizontal="center"/>
    </xf>
    <xf numFmtId="9" fontId="27" fillId="0" borderId="40" xfId="48" applyNumberFormat="1" applyFont="1" applyBorder="1" applyAlignment="1">
      <alignment horizontal="center"/>
    </xf>
    <xf numFmtId="0" fontId="16" fillId="0" borderId="34" xfId="3" applyFont="1" applyBorder="1"/>
    <xf numFmtId="9" fontId="27" fillId="0" borderId="41" xfId="48" applyNumberFormat="1" applyFont="1" applyBorder="1" applyAlignment="1">
      <alignment horizontal="center"/>
    </xf>
    <xf numFmtId="0" fontId="16" fillId="0" borderId="35" xfId="3" applyFont="1" applyBorder="1"/>
    <xf numFmtId="9" fontId="23" fillId="0" borderId="36" xfId="1" applyFont="1" applyBorder="1" applyAlignment="1">
      <alignment horizontal="center" vertical="center"/>
    </xf>
    <xf numFmtId="9" fontId="27" fillId="0" borderId="36" xfId="1" applyFont="1" applyBorder="1" applyAlignment="1">
      <alignment horizontal="center"/>
    </xf>
    <xf numFmtId="9" fontId="27" fillId="0" borderId="42" xfId="48" applyNumberFormat="1" applyFont="1" applyBorder="1" applyAlignment="1">
      <alignment horizontal="center"/>
    </xf>
    <xf numFmtId="0" fontId="27" fillId="0" borderId="44" xfId="48" applyFont="1" applyBorder="1"/>
    <xf numFmtId="0" fontId="21" fillId="0" borderId="12" xfId="50" applyFont="1" applyBorder="1" applyAlignment="1" applyProtection="1"/>
    <xf numFmtId="9" fontId="27" fillId="0" borderId="13" xfId="48" applyNumberFormat="1" applyFont="1" applyBorder="1" applyAlignment="1">
      <alignment horizontal="center"/>
    </xf>
    <xf numFmtId="0" fontId="21" fillId="0" borderId="34" xfId="50" applyFont="1" applyBorder="1" applyAlignment="1" applyProtection="1"/>
    <xf numFmtId="9" fontId="27" fillId="0" borderId="36" xfId="48" applyNumberFormat="1" applyFont="1" applyBorder="1" applyAlignment="1">
      <alignment horizontal="center"/>
    </xf>
    <xf numFmtId="0" fontId="29" fillId="0" borderId="43" xfId="48" applyFont="1" applyBorder="1" applyAlignment="1">
      <alignment horizontal="center" vertical="center"/>
    </xf>
    <xf numFmtId="0" fontId="25" fillId="0" borderId="11" xfId="3" applyFont="1" applyBorder="1" applyAlignment="1">
      <alignment horizontal="center" vertical="center"/>
    </xf>
    <xf numFmtId="0" fontId="23" fillId="0" borderId="45" xfId="3" applyFont="1" applyBorder="1" applyAlignment="1">
      <alignment horizontal="center"/>
    </xf>
    <xf numFmtId="9" fontId="27" fillId="0" borderId="41" xfId="1" applyFont="1" applyBorder="1" applyAlignment="1">
      <alignment horizontal="center"/>
    </xf>
    <xf numFmtId="9" fontId="27" fillId="0" borderId="42" xfId="1" applyFont="1" applyBorder="1" applyAlignment="1">
      <alignment horizontal="center"/>
    </xf>
    <xf numFmtId="0" fontId="0" fillId="0" borderId="46" xfId="0" applyBorder="1" applyAlignment="1">
      <alignment horizontal="left"/>
    </xf>
    <xf numFmtId="9" fontId="23" fillId="0" borderId="47" xfId="1" applyNumberFormat="1" applyFont="1" applyBorder="1" applyAlignment="1">
      <alignment horizontal="center" vertical="center"/>
    </xf>
    <xf numFmtId="9" fontId="27" fillId="0" borderId="47" xfId="1" applyFont="1" applyBorder="1" applyAlignment="1">
      <alignment horizontal="center"/>
    </xf>
    <xf numFmtId="9" fontId="27" fillId="0" borderId="48" xfId="1" applyFont="1" applyBorder="1" applyAlignment="1">
      <alignment horizontal="center"/>
    </xf>
    <xf numFmtId="0" fontId="22" fillId="0" borderId="16" xfId="3" applyFont="1" applyFill="1" applyBorder="1" applyAlignment="1">
      <alignment horizontal="center" vertical="center" wrapText="1"/>
    </xf>
    <xf numFmtId="9" fontId="27" fillId="34" borderId="41" xfId="48" applyNumberFormat="1" applyFont="1" applyFill="1" applyBorder="1" applyAlignment="1">
      <alignment horizontal="center"/>
    </xf>
    <xf numFmtId="0" fontId="21" fillId="34" borderId="34" xfId="50" applyFont="1" applyFill="1" applyBorder="1" applyAlignment="1" applyProtection="1"/>
    <xf numFmtId="0" fontId="26" fillId="0" borderId="15" xfId="3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19" fillId="0" borderId="14" xfId="50" applyBorder="1" applyAlignment="1" applyProtection="1">
      <alignment horizontal="center" vertical="center" wrapText="1"/>
    </xf>
    <xf numFmtId="0" fontId="19" fillId="0" borderId="0" xfId="50" applyAlignment="1" applyProtection="1"/>
    <xf numFmtId="9" fontId="0" fillId="0" borderId="0" xfId="0" applyNumberFormat="1"/>
    <xf numFmtId="0" fontId="0" fillId="0" borderId="0" xfId="0" applyAlignment="1">
      <alignment horizontal="center"/>
    </xf>
    <xf numFmtId="0" fontId="26" fillId="0" borderId="15" xfId="3" applyFont="1" applyBorder="1" applyAlignment="1">
      <alignment horizontal="center" vertical="center" wrapText="1"/>
    </xf>
    <xf numFmtId="0" fontId="26" fillId="0" borderId="20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/>
    </xf>
    <xf numFmtId="0" fontId="24" fillId="0" borderId="13" xfId="3" applyFont="1" applyBorder="1" applyAlignment="1">
      <alignment horizontal="center"/>
    </xf>
    <xf numFmtId="0" fontId="26" fillId="0" borderId="12" xfId="3" applyFont="1" applyBorder="1" applyAlignment="1">
      <alignment horizontal="center"/>
    </xf>
    <xf numFmtId="0" fontId="26" fillId="0" borderId="13" xfId="3" applyFont="1" applyBorder="1" applyAlignment="1">
      <alignment horizontal="center"/>
    </xf>
  </cellXfs>
  <cellStyles count="118">
    <cellStyle name="20% - Accent1 2" xfId="79"/>
    <cellStyle name="20% - Accent1 3" xfId="24"/>
    <cellStyle name="20% - Accent2 2" xfId="83"/>
    <cellStyle name="20% - Accent2 3" xfId="28"/>
    <cellStyle name="20% - Accent3 2" xfId="87"/>
    <cellStyle name="20% - Accent3 3" xfId="32"/>
    <cellStyle name="20% - Accent4 2" xfId="91"/>
    <cellStyle name="20% - Accent4 3" xfId="36"/>
    <cellStyle name="20% - Accent5 2" xfId="95"/>
    <cellStyle name="20% - Accent5 3" xfId="40"/>
    <cellStyle name="20% - Accent6 2" xfId="99"/>
    <cellStyle name="20% - Accent6 3" xfId="44"/>
    <cellStyle name="40% - Accent1 2" xfId="80"/>
    <cellStyle name="40% - Accent1 3" xfId="25"/>
    <cellStyle name="40% - Accent2 2" xfId="84"/>
    <cellStyle name="40% - Accent2 3" xfId="29"/>
    <cellStyle name="40% - Accent3 2" xfId="88"/>
    <cellStyle name="40% - Accent3 3" xfId="33"/>
    <cellStyle name="40% - Accent4 2" xfId="92"/>
    <cellStyle name="40% - Accent4 3" xfId="37"/>
    <cellStyle name="40% - Accent5 2" xfId="96"/>
    <cellStyle name="40% - Accent5 3" xfId="41"/>
    <cellStyle name="40% - Accent6 2" xfId="100"/>
    <cellStyle name="40% - Accent6 3" xfId="45"/>
    <cellStyle name="60% - Accent1 2" xfId="81"/>
    <cellStyle name="60% - Accent1 3" xfId="26"/>
    <cellStyle name="60% - Accent2 2" xfId="85"/>
    <cellStyle name="60% - Accent2 3" xfId="30"/>
    <cellStyle name="60% - Accent3 2" xfId="89"/>
    <cellStyle name="60% - Accent3 3" xfId="34"/>
    <cellStyle name="60% - Accent4 2" xfId="93"/>
    <cellStyle name="60% - Accent4 3" xfId="38"/>
    <cellStyle name="60% - Accent5 2" xfId="97"/>
    <cellStyle name="60% - Accent5 3" xfId="42"/>
    <cellStyle name="60% - Accent6 2" xfId="101"/>
    <cellStyle name="60% - Accent6 3" xfId="46"/>
    <cellStyle name="Accent1 2" xfId="78"/>
    <cellStyle name="Accent1 3" xfId="23"/>
    <cellStyle name="Accent2 2" xfId="82"/>
    <cellStyle name="Accent2 3" xfId="27"/>
    <cellStyle name="Accent3 2" xfId="86"/>
    <cellStyle name="Accent3 3" xfId="31"/>
    <cellStyle name="Accent4 2" xfId="90"/>
    <cellStyle name="Accent4 3" xfId="35"/>
    <cellStyle name="Accent5 2" xfId="94"/>
    <cellStyle name="Accent5 3" xfId="39"/>
    <cellStyle name="Accent6 2" xfId="98"/>
    <cellStyle name="Accent6 3" xfId="43"/>
    <cellStyle name="Bad 2" xfId="67"/>
    <cellStyle name="Bad 3" xfId="12"/>
    <cellStyle name="Calculation 2" xfId="71"/>
    <cellStyle name="Calculation 3" xfId="16"/>
    <cellStyle name="Check Cell 2" xfId="73"/>
    <cellStyle name="Check Cell 3" xfId="18"/>
    <cellStyle name="Comma 2" xfId="53"/>
    <cellStyle name="Comma 2 2" xfId="56"/>
    <cellStyle name="Comma 3" xfId="102"/>
    <cellStyle name="Comma 4" xfId="5"/>
    <cellStyle name="Explanatory Text 2" xfId="76"/>
    <cellStyle name="Explanatory Text 3" xfId="21"/>
    <cellStyle name="Good 2" xfId="66"/>
    <cellStyle name="Good 3" xfId="11"/>
    <cellStyle name="Heading 1 2" xfId="62"/>
    <cellStyle name="Heading 1 3" xfId="7"/>
    <cellStyle name="Heading 2 2" xfId="63"/>
    <cellStyle name="Heading 2 3" xfId="8"/>
    <cellStyle name="Heading 3 2" xfId="64"/>
    <cellStyle name="Heading 3 3" xfId="9"/>
    <cellStyle name="Heading 4 2" xfId="65"/>
    <cellStyle name="Heading 4 3" xfId="10"/>
    <cellStyle name="Hyperlink" xfId="50" builtinId="8"/>
    <cellStyle name="Hyperlink 2" xfId="54"/>
    <cellStyle name="Input 2" xfId="69"/>
    <cellStyle name="Input 3" xfId="14"/>
    <cellStyle name="Linked Cell 2" xfId="72"/>
    <cellStyle name="Linked Cell 3" xfId="17"/>
    <cellStyle name="Neutral 2" xfId="57"/>
    <cellStyle name="Neutral 3" xfId="68"/>
    <cellStyle name="Neutral 4" xfId="13"/>
    <cellStyle name="Normal" xfId="0" builtinId="0"/>
    <cellStyle name="Normal 10" xfId="4"/>
    <cellStyle name="Normal 11" xfId="3"/>
    <cellStyle name="Normal 2" xfId="48"/>
    <cellStyle name="Normal 2 2" xfId="52"/>
    <cellStyle name="Normal 2 2 2" xfId="55"/>
    <cellStyle name="Normal 3" xfId="47"/>
    <cellStyle name="Normal 3 2" xfId="58"/>
    <cellStyle name="Normal 3 2 2" xfId="108"/>
    <cellStyle name="Normal 3 3" xfId="110"/>
    <cellStyle name="Normal 3 4" xfId="116"/>
    <cellStyle name="Normal 3 5" xfId="112"/>
    <cellStyle name="Normal 3 6" xfId="103"/>
    <cellStyle name="Normal 4" xfId="61"/>
    <cellStyle name="Normal 5" xfId="106"/>
    <cellStyle name="Normal 6" xfId="107"/>
    <cellStyle name="Normal 7" xfId="113"/>
    <cellStyle name="Normal 8" xfId="115"/>
    <cellStyle name="Normal 9" xfId="60"/>
    <cellStyle name="Note 2" xfId="49"/>
    <cellStyle name="Note 3" xfId="75"/>
    <cellStyle name="Note 4" xfId="20"/>
    <cellStyle name="Output 2" xfId="70"/>
    <cellStyle name="Output 3" xfId="15"/>
    <cellStyle name="Percent" xfId="1" builtinId="5"/>
    <cellStyle name="Percent 2" xfId="51"/>
    <cellStyle name="Percent 2 2" xfId="59"/>
    <cellStyle name="Percent 2 2 2" xfId="109"/>
    <cellStyle name="Percent 2 3" xfId="111"/>
    <cellStyle name="Percent 2 4" xfId="117"/>
    <cellStyle name="Percent 2 5" xfId="114"/>
    <cellStyle name="Percent 2 6" xfId="104"/>
    <cellStyle name="Percent 3" xfId="105"/>
    <cellStyle name="Percent 4" xfId="6"/>
    <cellStyle name="Title" xfId="2" builtinId="15" customBuiltin="1"/>
    <cellStyle name="Total 2" xfId="77"/>
    <cellStyle name="Total 3" xfId="22"/>
    <cellStyle name="Warning Text 2" xfId="74"/>
    <cellStyle name="Warning Text 3" xfId="19"/>
  </cellStyles>
  <dxfs count="4"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pivotCacheDefinition" Target="pivotCache/pivotCacheDefinition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[4. Individual Receiving Awards Percentages.xlsx]AWARDS GRAPH!PivotTable1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STUDENTS</a:t>
            </a:r>
            <a:r>
              <a:rPr lang="en-US" baseline="0"/>
              <a:t> AWARDED </a:t>
            </a:r>
            <a:r>
              <a:rPr lang="en-US"/>
              <a:t>AA &amp; AS BY ACADEMIC YEAR</a:t>
            </a:r>
          </a:p>
        </c:rich>
      </c:tx>
      <c:layout/>
      <c:overlay val="1"/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'AWARDS GRAPH'!$AB$2:$AB$3</c:f>
              <c:strCache>
                <c:ptCount val="1"/>
                <c:pt idx="0">
                  <c:v>AA &amp; AS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'AWARDS GRAPH'!$AA$4:$AA$8</c:f>
              <c:strCache>
                <c:ptCount val="5"/>
                <c:pt idx="0">
                  <c:v> AY 07-08</c:v>
                </c:pt>
                <c:pt idx="1">
                  <c:v> AY 08-09</c:v>
                </c:pt>
                <c:pt idx="2">
                  <c:v> AY 09-10</c:v>
                </c:pt>
                <c:pt idx="3">
                  <c:v> AY 10-11</c:v>
                </c:pt>
                <c:pt idx="4">
                  <c:v> AY 11-12</c:v>
                </c:pt>
              </c:strCache>
            </c:strRef>
          </c:cat>
          <c:val>
            <c:numRef>
              <c:f>'AWARDS GRAPH'!$AB$4:$AB$8</c:f>
              <c:numCache>
                <c:formatCode>General</c:formatCode>
                <c:ptCount val="5"/>
                <c:pt idx="0">
                  <c:v>912</c:v>
                </c:pt>
                <c:pt idx="1">
                  <c:v>988</c:v>
                </c:pt>
                <c:pt idx="2">
                  <c:v>1017</c:v>
                </c:pt>
                <c:pt idx="3">
                  <c:v>1096</c:v>
                </c:pt>
                <c:pt idx="4">
                  <c:v>1086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110400"/>
        <c:axId val="129113472"/>
      </c:barChart>
      <c:catAx>
        <c:axId val="12911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>
            <c:manualLayout>
              <c:xMode val="edge"/>
              <c:yMode val="edge"/>
              <c:x val="0.43679749781643673"/>
              <c:y val="0.95691049535280825"/>
            </c:manualLayout>
          </c:layout>
          <c:overlay val="0"/>
        </c:title>
        <c:majorTickMark val="out"/>
        <c:minorTickMark val="none"/>
        <c:tickLblPos val="nextTo"/>
        <c:crossAx val="129113472"/>
        <c:crosses val="autoZero"/>
        <c:auto val="1"/>
        <c:lblAlgn val="ctr"/>
        <c:lblOffset val="100"/>
        <c:noMultiLvlLbl val="0"/>
      </c:catAx>
      <c:valAx>
        <c:axId val="12911347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AA &amp; AS</a:t>
                </a:r>
              </a:p>
              <a:p>
                <a:pPr>
                  <a:defRPr/>
                </a:pPr>
                <a:r>
                  <a:rPr lang="en-US"/>
                  <a:t>AWARDS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9110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[4. Individual Receiving Awards Percentages.xlsx]GENDER %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% of MSJC AA &amp; AS AWARDED STUDENTS</a:t>
            </a:r>
          </a:p>
        </c:rich>
      </c:tx>
      <c:layout>
        <c:manualLayout>
          <c:xMode val="edge"/>
          <c:yMode val="edge"/>
          <c:x val="0.33754324245089412"/>
          <c:y val="3.4349983133541213E-2"/>
        </c:manualLayout>
      </c:layout>
      <c:overlay val="0"/>
    </c:title>
    <c:autoTitleDeleted val="0"/>
    <c:pivotFmts>
      <c:pivotFmt>
        <c:idx val="0"/>
      </c:pivotFmt>
      <c:pivotFmt>
        <c:idx val="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% GRAPH'!$AE$2:$AE$3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% GRAPH'!$AD$4:$AD$9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'GENDER % GRAPH'!$AE$4:$AE$9</c:f>
              <c:numCache>
                <c:formatCode>0%</c:formatCode>
                <c:ptCount val="6"/>
                <c:pt idx="0">
                  <c:v>0.67763157894736847</c:v>
                </c:pt>
                <c:pt idx="1">
                  <c:v>0.68117408906882593</c:v>
                </c:pt>
                <c:pt idx="2">
                  <c:v>0.65978367748279254</c:v>
                </c:pt>
                <c:pt idx="3">
                  <c:v>0.6441605839416058</c:v>
                </c:pt>
                <c:pt idx="4">
                  <c:v>0.62338858195211788</c:v>
                </c:pt>
                <c:pt idx="5">
                  <c:v>0.59751318764129613</c:v>
                </c:pt>
              </c:numCache>
            </c:numRef>
          </c:val>
        </c:ser>
        <c:ser>
          <c:idx val="1"/>
          <c:order val="1"/>
          <c:tx>
            <c:strRef>
              <c:f>'GENDER % GRAPH'!$AF$2:$AF$3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% GRAPH'!$AD$4:$AD$9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'GENDER % GRAPH'!$AF$4:$AF$9</c:f>
              <c:numCache>
                <c:formatCode>0%</c:formatCode>
                <c:ptCount val="6"/>
                <c:pt idx="0">
                  <c:v>0.32127192982456143</c:v>
                </c:pt>
                <c:pt idx="1">
                  <c:v>0.31376518218623484</c:v>
                </c:pt>
                <c:pt idx="2">
                  <c:v>0.32841691248770893</c:v>
                </c:pt>
                <c:pt idx="3">
                  <c:v>0.34215328467153283</c:v>
                </c:pt>
                <c:pt idx="4">
                  <c:v>0.36556169429097607</c:v>
                </c:pt>
                <c:pt idx="5">
                  <c:v>0.39344385832705353</c:v>
                </c:pt>
              </c:numCache>
            </c:numRef>
          </c:val>
        </c:ser>
        <c:ser>
          <c:idx val="2"/>
          <c:order val="2"/>
          <c:tx>
            <c:strRef>
              <c:f>'GENDER % GRAPH'!$AG$2:$AG$3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% GRAPH'!$AD$4:$AD$9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'GENDER % GRAPH'!$AG$4:$AG$9</c:f>
              <c:numCache>
                <c:formatCode>0%</c:formatCode>
                <c:ptCount val="6"/>
                <c:pt idx="0">
                  <c:v>1.0964912280701754E-3</c:v>
                </c:pt>
                <c:pt idx="1">
                  <c:v>5.0607287449392713E-3</c:v>
                </c:pt>
                <c:pt idx="2">
                  <c:v>1.1799410029498525E-2</c:v>
                </c:pt>
                <c:pt idx="3">
                  <c:v>1.3686131386861315E-2</c:v>
                </c:pt>
                <c:pt idx="4">
                  <c:v>1.1049723756906077E-2</c:v>
                </c:pt>
                <c:pt idx="5">
                  <c:v>9.0429540316503392E-3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225088"/>
        <c:axId val="129227008"/>
      </c:barChart>
      <c:catAx>
        <c:axId val="12922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129227008"/>
        <c:crosses val="autoZero"/>
        <c:auto val="1"/>
        <c:lblAlgn val="ctr"/>
        <c:lblOffset val="100"/>
        <c:noMultiLvlLbl val="0"/>
      </c:catAx>
      <c:valAx>
        <c:axId val="129227008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GENDER %</a:t>
                </a:r>
              </a:p>
            </c:rich>
          </c:tx>
          <c:layout/>
          <c:overlay val="0"/>
        </c:title>
        <c:numFmt formatCode="0.00%" sourceLinked="0"/>
        <c:majorTickMark val="out"/>
        <c:minorTickMark val="none"/>
        <c:tickLblPos val="nextTo"/>
        <c:crossAx val="129225088"/>
        <c:crosses val="autoZero"/>
        <c:crossBetween val="between"/>
        <c:majorUnit val="0.2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[4. Individual Receiving Awards Percentages.xlsx]ETHNICITY % GRAPH!PivotTable6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ETHNICITY % of MSJC AA &amp; AS AWARDED STUDENTS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5301392953791338"/>
          <c:y val="2.2172240191345203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'ETHNICITY % GRAPH'!$AE$1:$AE$2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GRAPH'!$AE$3:$AE$8</c:f>
              <c:numCache>
                <c:formatCode>0%</c:formatCode>
                <c:ptCount val="6"/>
                <c:pt idx="0">
                  <c:v>0.48967551622418881</c:v>
                </c:pt>
                <c:pt idx="1">
                  <c:v>0.52226720647773284</c:v>
                </c:pt>
                <c:pt idx="2">
                  <c:v>0.52083333333333337</c:v>
                </c:pt>
                <c:pt idx="3">
                  <c:v>0.49361313868613138</c:v>
                </c:pt>
                <c:pt idx="4">
                  <c:v>0.48987108655616945</c:v>
                </c:pt>
                <c:pt idx="5">
                  <c:v>0.41</c:v>
                </c:pt>
              </c:numCache>
            </c:numRef>
          </c:val>
        </c:ser>
        <c:ser>
          <c:idx val="1"/>
          <c:order val="1"/>
          <c:tx>
            <c:strRef>
              <c:f>'ETHNICITY % GRAPH'!$AF$1:$AF$2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GRAPH'!$AF$3:$AF$8</c:f>
              <c:numCache>
                <c:formatCode>0%</c:formatCode>
                <c:ptCount val="6"/>
                <c:pt idx="0">
                  <c:v>0.34906588003933137</c:v>
                </c:pt>
                <c:pt idx="1">
                  <c:v>0.32793522267206476</c:v>
                </c:pt>
                <c:pt idx="2">
                  <c:v>0.30701754385964913</c:v>
                </c:pt>
                <c:pt idx="3">
                  <c:v>0.3448905109489051</c:v>
                </c:pt>
                <c:pt idx="4">
                  <c:v>0.35359116022099446</c:v>
                </c:pt>
                <c:pt idx="5">
                  <c:v>0.35561416729464956</c:v>
                </c:pt>
              </c:numCache>
            </c:numRef>
          </c:val>
        </c:ser>
        <c:ser>
          <c:idx val="2"/>
          <c:order val="2"/>
          <c:tx>
            <c:strRef>
              <c:f>'ETHNICITY % GRAPH'!$AG$1:$AG$2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GRAPH'!$AG$3:$AG$8</c:f>
              <c:numCache>
                <c:formatCode>0%</c:formatCode>
                <c:ptCount val="6"/>
                <c:pt idx="0">
                  <c:v>6.0963618485742381E-2</c:v>
                </c:pt>
                <c:pt idx="1">
                  <c:v>4.9595141700404861E-2</c:v>
                </c:pt>
                <c:pt idx="2">
                  <c:v>6.4692982456140358E-2</c:v>
                </c:pt>
                <c:pt idx="3">
                  <c:v>4.9270072992700732E-2</c:v>
                </c:pt>
                <c:pt idx="4">
                  <c:v>5.0644567219152857E-2</c:v>
                </c:pt>
                <c:pt idx="5">
                  <c:v>7.0000000000000007E-2</c:v>
                </c:pt>
              </c:numCache>
            </c:numRef>
          </c:val>
        </c:ser>
        <c:ser>
          <c:idx val="3"/>
          <c:order val="3"/>
          <c:tx>
            <c:strRef>
              <c:f>'ETHNICITY % GRAPH'!$AH$1:$AH$2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GRAPH'!$AH$3:$AH$8</c:f>
              <c:numCache>
                <c:formatCode>0%</c:formatCode>
                <c:ptCount val="6"/>
                <c:pt idx="0">
                  <c:v>3.9331366764995081E-2</c:v>
                </c:pt>
                <c:pt idx="1">
                  <c:v>4.5546558704453441E-2</c:v>
                </c:pt>
                <c:pt idx="2">
                  <c:v>4.4956140350877194E-2</c:v>
                </c:pt>
                <c:pt idx="3">
                  <c:v>3.3759124087591241E-2</c:v>
                </c:pt>
                <c:pt idx="4">
                  <c:v>4.9723756906077346E-2</c:v>
                </c:pt>
                <c:pt idx="5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'ETHNICITY % GRAPH'!$AI$1:$AI$2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GRAPH'!$AI$3:$AI$8</c:f>
              <c:numCache>
                <c:formatCode>0%</c:formatCode>
                <c:ptCount val="6"/>
                <c:pt idx="0">
                  <c:v>3.1465093411996069E-2</c:v>
                </c:pt>
                <c:pt idx="1">
                  <c:v>1.7206477732793522E-2</c:v>
                </c:pt>
                <c:pt idx="2">
                  <c:v>2.5219298245614034E-2</c:v>
                </c:pt>
                <c:pt idx="3">
                  <c:v>3.6496350364963501E-2</c:v>
                </c:pt>
                <c:pt idx="4">
                  <c:v>2.85451197053407E-2</c:v>
                </c:pt>
                <c:pt idx="5">
                  <c:v>0.03</c:v>
                </c:pt>
              </c:numCache>
            </c:numRef>
          </c:val>
        </c:ser>
        <c:ser>
          <c:idx val="5"/>
          <c:order val="5"/>
          <c:tx>
            <c:strRef>
              <c:f>'ETHNICITY % GRAPH'!$AJ$1:$AJ$2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GRAPH'!$AJ$3:$AJ$8</c:f>
              <c:numCache>
                <c:formatCode>0%</c:formatCode>
                <c:ptCount val="6"/>
                <c:pt idx="0">
                  <c:v>1.2782694198623401E-2</c:v>
                </c:pt>
                <c:pt idx="1">
                  <c:v>1.7206477732793522E-2</c:v>
                </c:pt>
                <c:pt idx="2">
                  <c:v>1.8640350877192981E-2</c:v>
                </c:pt>
                <c:pt idx="3">
                  <c:v>1.916058394160584E-2</c:v>
                </c:pt>
                <c:pt idx="4">
                  <c:v>1.3812154696132596E-2</c:v>
                </c:pt>
                <c:pt idx="5">
                  <c:v>0.08</c:v>
                </c:pt>
              </c:numCache>
            </c:numRef>
          </c:val>
        </c:ser>
        <c:ser>
          <c:idx val="6"/>
          <c:order val="6"/>
          <c:tx>
            <c:strRef>
              <c:f>'ETHNICITY % GRAPH'!$AK$1:$AK$2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GRAPH'!$AK$3:$AK$8</c:f>
              <c:numCache>
                <c:formatCode>0%</c:formatCode>
                <c:ptCount val="6"/>
                <c:pt idx="0">
                  <c:v>7.8662733529990172E-3</c:v>
                </c:pt>
                <c:pt idx="1">
                  <c:v>1.2145748987854251E-2</c:v>
                </c:pt>
                <c:pt idx="2">
                  <c:v>1.3157894736842105E-2</c:v>
                </c:pt>
                <c:pt idx="3">
                  <c:v>1.2773722627737226E-2</c:v>
                </c:pt>
                <c:pt idx="4">
                  <c:v>6.4456721915285451E-3</c:v>
                </c:pt>
                <c:pt idx="5">
                  <c:v>0.01</c:v>
                </c:pt>
              </c:numCache>
            </c:numRef>
          </c:val>
        </c:ser>
        <c:ser>
          <c:idx val="7"/>
          <c:order val="7"/>
          <c:tx>
            <c:strRef>
              <c:f>'ETHNICITY % GRAPH'!$AL$1:$AL$2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GRAPH'!$AL$3:$AL$8</c:f>
              <c:numCache>
                <c:formatCode>0%</c:formatCode>
                <c:ptCount val="6"/>
                <c:pt idx="0">
                  <c:v>7.8662733529990172E-3</c:v>
                </c:pt>
                <c:pt idx="1">
                  <c:v>7.0850202429149798E-3</c:v>
                </c:pt>
                <c:pt idx="2">
                  <c:v>4.3859649122807015E-3</c:v>
                </c:pt>
                <c:pt idx="3">
                  <c:v>9.1240875912408752E-3</c:v>
                </c:pt>
                <c:pt idx="4">
                  <c:v>3.6832412523020259E-3</c:v>
                </c:pt>
                <c:pt idx="5">
                  <c:v>0.01</c:v>
                </c:pt>
              </c:numCache>
            </c:numRef>
          </c:val>
        </c:ser>
        <c:ser>
          <c:idx val="8"/>
          <c:order val="8"/>
          <c:tx>
            <c:strRef>
              <c:f>'ETHNICITY % GRAPH'!$AM$1:$AM$2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GRAPH'!$AM$3:$AM$8</c:f>
              <c:numCache>
                <c:formatCode>0%</c:formatCode>
                <c:ptCount val="6"/>
                <c:pt idx="0">
                  <c:v>9.8328416912474292E-4</c:v>
                </c:pt>
                <c:pt idx="1">
                  <c:v>1.0121457489877805E-3</c:v>
                </c:pt>
                <c:pt idx="2">
                  <c:v>1.0964912280699846E-3</c:v>
                </c:pt>
                <c:pt idx="3">
                  <c:v>9.1240875912435015E-4</c:v>
                </c:pt>
                <c:pt idx="4">
                  <c:v>3.6832412523019054E-3</c:v>
                </c:pt>
                <c:pt idx="5">
                  <c:v>0.05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598592"/>
        <c:axId val="129600128"/>
      </c:barChart>
      <c:catAx>
        <c:axId val="129598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29600128"/>
        <c:crosses val="autoZero"/>
        <c:auto val="1"/>
        <c:lblAlgn val="ctr"/>
        <c:lblOffset val="100"/>
        <c:noMultiLvlLbl val="0"/>
      </c:catAx>
      <c:valAx>
        <c:axId val="129600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29598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[4. Individual Receiving Awards Percentages.xlsx]AGE % GRAPH!PivotTable7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AGE % of MSJC AA &amp; AS AWARDED STUDENTS</a:t>
            </a:r>
          </a:p>
        </c:rich>
      </c:tx>
      <c:layout>
        <c:manualLayout>
          <c:xMode val="edge"/>
          <c:yMode val="edge"/>
          <c:x val="0.35309882137129717"/>
          <c:y val="3.9428877133717351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'AGE % GRAPH'!$AL$1:$AL$2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GRAPH'!$AL$3:$AL$8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1.8248175182481751E-3</c:v>
                </c:pt>
                <c:pt idx="4">
                  <c:v>0</c:v>
                </c:pt>
                <c:pt idx="5">
                  <c:v>9.1183119819140922E-3</c:v>
                </c:pt>
              </c:numCache>
            </c:numRef>
          </c:val>
        </c:ser>
        <c:ser>
          <c:idx val="1"/>
          <c:order val="1"/>
          <c:tx>
            <c:strRef>
              <c:f>'AGE % GRAPH'!$AM$1:$AM$2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GRAPH'!$AM$3:$AM$8</c:f>
              <c:numCache>
                <c:formatCode>0%</c:formatCode>
                <c:ptCount val="6"/>
                <c:pt idx="0">
                  <c:v>9.8684210526315784E-3</c:v>
                </c:pt>
                <c:pt idx="1">
                  <c:v>1.5182186234817813E-2</c:v>
                </c:pt>
                <c:pt idx="2">
                  <c:v>7.8662733529990172E-3</c:v>
                </c:pt>
                <c:pt idx="3">
                  <c:v>7.2992700729927005E-3</c:v>
                </c:pt>
                <c:pt idx="4">
                  <c:v>8.2872928176795577E-3</c:v>
                </c:pt>
                <c:pt idx="5">
                  <c:v>0.13406179351921627</c:v>
                </c:pt>
              </c:numCache>
            </c:numRef>
          </c:val>
        </c:ser>
        <c:ser>
          <c:idx val="2"/>
          <c:order val="2"/>
          <c:tx>
            <c:strRef>
              <c:f>'AGE % GRAPH'!$AN$1:$AN$2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GRAPH'!$AN$3:$AN$8</c:f>
              <c:numCache>
                <c:formatCode>0%</c:formatCode>
                <c:ptCount val="6"/>
                <c:pt idx="0">
                  <c:v>0.42543859649122806</c:v>
                </c:pt>
                <c:pt idx="1">
                  <c:v>0.44635627530364375</c:v>
                </c:pt>
                <c:pt idx="2">
                  <c:v>0.44051130776794495</c:v>
                </c:pt>
                <c:pt idx="3">
                  <c:v>0.45529197080291972</c:v>
                </c:pt>
                <c:pt idx="4">
                  <c:v>0.48066298342541436</c:v>
                </c:pt>
                <c:pt idx="5">
                  <c:v>0.42471740768651095</c:v>
                </c:pt>
              </c:numCache>
            </c:numRef>
          </c:val>
        </c:ser>
        <c:ser>
          <c:idx val="3"/>
          <c:order val="3"/>
          <c:tx>
            <c:strRef>
              <c:f>'AGE % GRAPH'!$AO$1:$AO$2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GRAPH'!$AO$3:$AO$8</c:f>
              <c:numCache>
                <c:formatCode>0%</c:formatCode>
                <c:ptCount val="6"/>
                <c:pt idx="0">
                  <c:v>0.19188596491228072</c:v>
                </c:pt>
                <c:pt idx="1">
                  <c:v>0.17206477732793521</c:v>
                </c:pt>
                <c:pt idx="2">
                  <c:v>0.19665683382497542</c:v>
                </c:pt>
                <c:pt idx="3">
                  <c:v>0.17518248175182483</c:v>
                </c:pt>
                <c:pt idx="4">
                  <c:v>0.18324125230202579</c:v>
                </c:pt>
                <c:pt idx="5">
                  <c:v>0.1455162019593067</c:v>
                </c:pt>
              </c:numCache>
            </c:numRef>
          </c:val>
        </c:ser>
        <c:ser>
          <c:idx val="4"/>
          <c:order val="4"/>
          <c:tx>
            <c:strRef>
              <c:f>'AGE % GRAPH'!$AP$1:$AP$2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GRAPH'!$AP$3:$AP$8</c:f>
              <c:numCache>
                <c:formatCode>0%</c:formatCode>
                <c:ptCount val="6"/>
                <c:pt idx="0">
                  <c:v>0.11403508771929824</c:v>
                </c:pt>
                <c:pt idx="1">
                  <c:v>0.11538461538461539</c:v>
                </c:pt>
                <c:pt idx="2">
                  <c:v>0.10226155358898721</c:v>
                </c:pt>
                <c:pt idx="3">
                  <c:v>0.10218978102189781</c:v>
                </c:pt>
                <c:pt idx="4">
                  <c:v>0.10220994475138122</c:v>
                </c:pt>
                <c:pt idx="5">
                  <c:v>8.3270535041446866E-2</c:v>
                </c:pt>
              </c:numCache>
            </c:numRef>
          </c:val>
        </c:ser>
        <c:ser>
          <c:idx val="5"/>
          <c:order val="5"/>
          <c:tx>
            <c:strRef>
              <c:f>'AGE % GRAPH'!$AQ$1:$AQ$2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GRAPH'!$AQ$3:$AQ$8</c:f>
              <c:numCache>
                <c:formatCode>0%</c:formatCode>
                <c:ptCount val="6"/>
                <c:pt idx="0">
                  <c:v>7.6754385964912283E-2</c:v>
                </c:pt>
                <c:pt idx="1">
                  <c:v>8.2995951417004055E-2</c:v>
                </c:pt>
                <c:pt idx="2">
                  <c:v>7.1779744346116031E-2</c:v>
                </c:pt>
                <c:pt idx="3">
                  <c:v>7.3905109489051102E-2</c:v>
                </c:pt>
                <c:pt idx="4">
                  <c:v>7.4585635359116026E-2</c:v>
                </c:pt>
                <c:pt idx="5">
                  <c:v>6.1115297663903542E-2</c:v>
                </c:pt>
              </c:numCache>
            </c:numRef>
          </c:val>
        </c:ser>
        <c:ser>
          <c:idx val="6"/>
          <c:order val="6"/>
          <c:tx>
            <c:strRef>
              <c:f>'AGE % GRAPH'!$AR$1:$AR$2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GRAPH'!$AR$3:$AR$8</c:f>
              <c:numCache>
                <c:formatCode>0%</c:formatCode>
                <c:ptCount val="6"/>
                <c:pt idx="0">
                  <c:v>0.13048245614035087</c:v>
                </c:pt>
                <c:pt idx="1">
                  <c:v>0.11336032388663968</c:v>
                </c:pt>
                <c:pt idx="2">
                  <c:v>0.13274336283185842</c:v>
                </c:pt>
                <c:pt idx="3">
                  <c:v>0.12864963503649635</c:v>
                </c:pt>
                <c:pt idx="4">
                  <c:v>9.8526703499079188E-2</c:v>
                </c:pt>
                <c:pt idx="5">
                  <c:v>9.0052750565184622E-2</c:v>
                </c:pt>
              </c:numCache>
            </c:numRef>
          </c:val>
        </c:ser>
        <c:ser>
          <c:idx val="7"/>
          <c:order val="7"/>
          <c:tx>
            <c:strRef>
              <c:f>'AGE % GRAPH'!$AS$1:$AS$2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GRAPH'!$AS$3:$AS$8</c:f>
              <c:numCache>
                <c:formatCode>0%</c:formatCode>
                <c:ptCount val="6"/>
                <c:pt idx="0">
                  <c:v>5.1535087719298246E-2</c:v>
                </c:pt>
                <c:pt idx="1">
                  <c:v>5.4655870445344132E-2</c:v>
                </c:pt>
                <c:pt idx="2">
                  <c:v>4.8180924287118974E-2</c:v>
                </c:pt>
                <c:pt idx="3">
                  <c:v>5.5656934306569344E-2</c:v>
                </c:pt>
                <c:pt idx="4">
                  <c:v>5.2486187845303865E-2</c:v>
                </c:pt>
                <c:pt idx="5">
                  <c:v>5.1996985681989447E-2</c:v>
                </c:pt>
              </c:numCache>
            </c:numRef>
          </c:val>
        </c:ser>
        <c:ser>
          <c:idx val="8"/>
          <c:order val="8"/>
          <c:tx>
            <c:strRef>
              <c:f>'AGE % GRAPH'!$AT$1:$AT$2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GRAPH'!$AT$3:$AT$8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9406464"/>
        <c:axId val="129408384"/>
      </c:barChart>
      <c:catAx>
        <c:axId val="12940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29408384"/>
        <c:crosses val="autoZero"/>
        <c:auto val="1"/>
        <c:lblAlgn val="ctr"/>
        <c:lblOffset val="100"/>
        <c:noMultiLvlLbl val="0"/>
      </c:catAx>
      <c:valAx>
        <c:axId val="1294083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  <a:p>
                <a:pPr>
                  <a:defRPr/>
                </a:pPr>
                <a:r>
                  <a:rPr lang="en-US"/>
                  <a:t>Group %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29406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962024</xdr:colOff>
      <xdr:row>1</xdr:row>
      <xdr:rowOff>14286</xdr:rowOff>
    </xdr:from>
    <xdr:to>
      <xdr:col>19</xdr:col>
      <xdr:colOff>581025</xdr:colOff>
      <xdr:row>38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1</xdr:row>
      <xdr:rowOff>61910</xdr:rowOff>
    </xdr:from>
    <xdr:to>
      <xdr:col>18</xdr:col>
      <xdr:colOff>1457324</xdr:colOff>
      <xdr:row>35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0</xdr:row>
      <xdr:rowOff>109536</xdr:rowOff>
    </xdr:from>
    <xdr:to>
      <xdr:col>16</xdr:col>
      <xdr:colOff>133350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1</xdr:row>
      <xdr:rowOff>61911</xdr:rowOff>
    </xdr:from>
    <xdr:to>
      <xdr:col>23</xdr:col>
      <xdr:colOff>66675</xdr:colOff>
      <xdr:row>38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duates.AA&amp;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1.%20Access/Equity%20Acce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nroll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 groupings"/>
      <sheetName val="type of award"/>
      <sheetName val="AA&amp;AS GENDER"/>
      <sheetName val="AA&amp;AS AGE"/>
      <sheetName val="AA&amp;AS Hispanics"/>
      <sheetName val="AA&amp;AS races"/>
      <sheetName val="AA&amp;AS multi race"/>
    </sheetNames>
    <sheetDataSet>
      <sheetData sheetId="0"/>
      <sheetData sheetId="1"/>
      <sheetData sheetId="2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F</v>
          </cell>
          <cell r="B5">
            <v>618</v>
          </cell>
          <cell r="C5">
            <v>673</v>
          </cell>
          <cell r="D5">
            <v>671</v>
          </cell>
          <cell r="E5">
            <v>706</v>
          </cell>
          <cell r="F5">
            <v>677</v>
          </cell>
        </row>
        <row r="6">
          <cell r="A6" t="str">
            <v>M</v>
          </cell>
          <cell r="B6">
            <v>293</v>
          </cell>
          <cell r="C6">
            <v>310</v>
          </cell>
          <cell r="D6">
            <v>334</v>
          </cell>
          <cell r="E6">
            <v>375</v>
          </cell>
          <cell r="F6">
            <v>397</v>
          </cell>
        </row>
        <row r="7">
          <cell r="A7" t="str">
            <v>(blank)</v>
          </cell>
          <cell r="B7">
            <v>1</v>
          </cell>
          <cell r="C7">
            <v>5</v>
          </cell>
          <cell r="D7">
            <v>12</v>
          </cell>
          <cell r="E7">
            <v>15</v>
          </cell>
          <cell r="F7">
            <v>12</v>
          </cell>
        </row>
        <row r="8">
          <cell r="A8" t="str">
            <v>Grand Total</v>
          </cell>
          <cell r="B8">
            <v>912</v>
          </cell>
          <cell r="C8">
            <v>988</v>
          </cell>
          <cell r="D8">
            <v>1017</v>
          </cell>
          <cell r="E8">
            <v>1096</v>
          </cell>
          <cell r="F8">
            <v>1086</v>
          </cell>
        </row>
      </sheetData>
      <sheetData sheetId="3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&lt;18</v>
          </cell>
          <cell r="B5"/>
          <cell r="C5"/>
          <cell r="D5"/>
          <cell r="E5">
            <v>2</v>
          </cell>
          <cell r="F5"/>
        </row>
        <row r="6">
          <cell r="A6" t="str">
            <v>18 &amp; 19</v>
          </cell>
          <cell r="B6">
            <v>9</v>
          </cell>
          <cell r="C6">
            <v>15</v>
          </cell>
          <cell r="D6">
            <v>8</v>
          </cell>
          <cell r="E6">
            <v>8</v>
          </cell>
          <cell r="F6">
            <v>9</v>
          </cell>
        </row>
        <row r="7">
          <cell r="A7" t="str">
            <v>20 to 24</v>
          </cell>
          <cell r="B7">
            <v>388</v>
          </cell>
          <cell r="C7">
            <v>441</v>
          </cell>
          <cell r="D7">
            <v>448</v>
          </cell>
          <cell r="E7">
            <v>499</v>
          </cell>
          <cell r="F7">
            <v>522</v>
          </cell>
        </row>
        <row r="8">
          <cell r="A8" t="str">
            <v>25 to 29</v>
          </cell>
          <cell r="B8">
            <v>175</v>
          </cell>
          <cell r="C8">
            <v>170</v>
          </cell>
          <cell r="D8">
            <v>200</v>
          </cell>
          <cell r="E8">
            <v>192</v>
          </cell>
          <cell r="F8">
            <v>199</v>
          </cell>
        </row>
        <row r="9">
          <cell r="A9" t="str">
            <v>30 to 34</v>
          </cell>
          <cell r="B9">
            <v>104</v>
          </cell>
          <cell r="C9">
            <v>114</v>
          </cell>
          <cell r="D9">
            <v>104</v>
          </cell>
          <cell r="E9">
            <v>112</v>
          </cell>
          <cell r="F9">
            <v>111</v>
          </cell>
        </row>
        <row r="10">
          <cell r="A10" t="str">
            <v>35 to 39</v>
          </cell>
          <cell r="B10">
            <v>70</v>
          </cell>
          <cell r="C10">
            <v>82</v>
          </cell>
          <cell r="D10">
            <v>73</v>
          </cell>
          <cell r="E10">
            <v>81</v>
          </cell>
          <cell r="F10">
            <v>81</v>
          </cell>
        </row>
        <row r="11">
          <cell r="A11" t="str">
            <v>40 to 49</v>
          </cell>
          <cell r="B11">
            <v>119</v>
          </cell>
          <cell r="C11">
            <v>112</v>
          </cell>
          <cell r="D11">
            <v>135</v>
          </cell>
          <cell r="E11">
            <v>141</v>
          </cell>
          <cell r="F11">
            <v>107</v>
          </cell>
        </row>
        <row r="12">
          <cell r="A12" t="str">
            <v>50 +</v>
          </cell>
          <cell r="B12">
            <v>47</v>
          </cell>
          <cell r="C12">
            <v>54</v>
          </cell>
          <cell r="D12">
            <v>49</v>
          </cell>
          <cell r="E12">
            <v>61</v>
          </cell>
          <cell r="F12">
            <v>57</v>
          </cell>
        </row>
        <row r="13">
          <cell r="A13" t="str">
            <v>Grand Total</v>
          </cell>
          <cell r="B13">
            <v>912</v>
          </cell>
          <cell r="C13">
            <v>988</v>
          </cell>
          <cell r="D13">
            <v>1017</v>
          </cell>
          <cell r="E13">
            <v>1096</v>
          </cell>
          <cell r="F13">
            <v>1086</v>
          </cell>
        </row>
      </sheetData>
      <sheetData sheetId="4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Hispanics</v>
          </cell>
          <cell r="B5">
            <v>280</v>
          </cell>
          <cell r="C5">
            <v>324</v>
          </cell>
          <cell r="D5">
            <v>355</v>
          </cell>
          <cell r="E5">
            <v>378</v>
          </cell>
          <cell r="F5">
            <v>384</v>
          </cell>
        </row>
        <row r="6">
          <cell r="A6" t="str">
            <v>Grand Total</v>
          </cell>
          <cell r="B6">
            <v>280</v>
          </cell>
          <cell r="C6">
            <v>324</v>
          </cell>
          <cell r="D6">
            <v>355</v>
          </cell>
          <cell r="E6">
            <v>378</v>
          </cell>
          <cell r="F6">
            <v>384</v>
          </cell>
        </row>
      </sheetData>
      <sheetData sheetId="5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W</v>
          </cell>
          <cell r="B5">
            <v>475</v>
          </cell>
          <cell r="C5">
            <v>516</v>
          </cell>
          <cell r="D5">
            <v>498</v>
          </cell>
          <cell r="E5">
            <v>541</v>
          </cell>
          <cell r="F5">
            <v>532</v>
          </cell>
        </row>
        <row r="6">
          <cell r="A6" t="str">
            <v>B</v>
          </cell>
          <cell r="B6">
            <v>59</v>
          </cell>
          <cell r="C6">
            <v>49</v>
          </cell>
          <cell r="D6">
            <v>62</v>
          </cell>
          <cell r="E6">
            <v>54</v>
          </cell>
          <cell r="F6">
            <v>55</v>
          </cell>
        </row>
        <row r="7">
          <cell r="A7" t="str">
            <v>F</v>
          </cell>
          <cell r="B7">
            <v>41</v>
          </cell>
          <cell r="C7">
            <v>45</v>
          </cell>
          <cell r="D7">
            <v>40</v>
          </cell>
          <cell r="E7">
            <v>37</v>
          </cell>
          <cell r="F7">
            <v>54</v>
          </cell>
        </row>
        <row r="8">
          <cell r="A8" t="str">
            <v>A</v>
          </cell>
          <cell r="B8">
            <v>23</v>
          </cell>
          <cell r="C8">
            <v>17</v>
          </cell>
          <cell r="D8">
            <v>32</v>
          </cell>
          <cell r="E8">
            <v>40</v>
          </cell>
          <cell r="F8">
            <v>31</v>
          </cell>
        </row>
        <row r="9">
          <cell r="A9" t="str">
            <v>N</v>
          </cell>
          <cell r="B9">
            <v>12</v>
          </cell>
          <cell r="C9">
            <v>12</v>
          </cell>
          <cell r="D9">
            <v>8</v>
          </cell>
          <cell r="E9">
            <v>14</v>
          </cell>
          <cell r="F9">
            <v>7</v>
          </cell>
        </row>
        <row r="10">
          <cell r="A10" t="str">
            <v>P</v>
          </cell>
          <cell r="B10">
            <v>4</v>
          </cell>
          <cell r="C10">
            <v>7</v>
          </cell>
          <cell r="D10">
            <v>8</v>
          </cell>
          <cell r="E10">
            <v>10</v>
          </cell>
          <cell r="F10">
            <v>4</v>
          </cell>
        </row>
        <row r="11">
          <cell r="A11"/>
          <cell r="B11">
            <v>1</v>
          </cell>
          <cell r="C11">
            <v>1</v>
          </cell>
          <cell r="D11"/>
          <cell r="E11">
            <v>1</v>
          </cell>
          <cell r="F11">
            <v>3</v>
          </cell>
        </row>
        <row r="12">
          <cell r="A12" t="str">
            <v>Grand Total</v>
          </cell>
          <cell r="B12">
            <v>615</v>
          </cell>
          <cell r="C12">
            <v>647</v>
          </cell>
          <cell r="D12">
            <v>648</v>
          </cell>
          <cell r="E12">
            <v>697</v>
          </cell>
          <cell r="F12">
            <v>686</v>
          </cell>
        </row>
      </sheetData>
      <sheetData sheetId="6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Multi-Race</v>
          </cell>
          <cell r="B5">
            <v>17</v>
          </cell>
          <cell r="C5">
            <v>17</v>
          </cell>
          <cell r="D5">
            <v>13</v>
          </cell>
          <cell r="E5">
            <v>21</v>
          </cell>
          <cell r="F5">
            <v>15</v>
          </cell>
        </row>
        <row r="6">
          <cell r="A6" t="str">
            <v>Grand Total</v>
          </cell>
          <cell r="B6">
            <v>17</v>
          </cell>
          <cell r="C6">
            <v>17</v>
          </cell>
          <cell r="D6">
            <v>13</v>
          </cell>
          <cell r="E6">
            <v>21</v>
          </cell>
          <cell r="F6">
            <v>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Sheet2"/>
    </sheetNames>
    <sheetDataSet>
      <sheetData sheetId="0">
        <row r="4">
          <cell r="K4">
            <v>0.56593631616668372</v>
          </cell>
        </row>
        <row r="5">
          <cell r="K5">
            <v>0.42484898126343812</v>
          </cell>
        </row>
        <row r="6">
          <cell r="K6">
            <v>9.214702569878162E-3</v>
          </cell>
        </row>
        <row r="12">
          <cell r="K12">
            <v>0.3996109347803829</v>
          </cell>
        </row>
        <row r="13">
          <cell r="K13">
            <v>0.37345141804033993</v>
          </cell>
        </row>
        <row r="14">
          <cell r="K14">
            <v>7.7147537626702165E-2</v>
          </cell>
        </row>
        <row r="15">
          <cell r="K15">
            <v>2.4470154602232005E-2</v>
          </cell>
        </row>
        <row r="16">
          <cell r="K16">
            <v>7.2181836797378931E-3</v>
          </cell>
        </row>
        <row r="17">
          <cell r="K17">
            <v>3.0664482440872325E-2</v>
          </cell>
        </row>
        <row r="18">
          <cell r="K18">
            <v>4.607351284939081E-3</v>
          </cell>
        </row>
        <row r="19">
          <cell r="K19">
            <v>4.6483055185829833E-2</v>
          </cell>
        </row>
        <row r="20">
          <cell r="K20">
            <v>3.6346882358963856E-2</v>
          </cell>
        </row>
        <row r="25">
          <cell r="K25">
            <v>1.003378724275622E-2</v>
          </cell>
        </row>
        <row r="26">
          <cell r="K26">
            <v>0.20768915736664278</v>
          </cell>
        </row>
        <row r="27">
          <cell r="K27">
            <v>0.38517456742090711</v>
          </cell>
        </row>
        <row r="28">
          <cell r="K28">
            <v>0.1343810791440565</v>
          </cell>
        </row>
        <row r="29">
          <cell r="K29">
            <v>7.8632128596293635E-2</v>
          </cell>
        </row>
        <row r="30">
          <cell r="K30">
            <v>5.4981058666939697E-2</v>
          </cell>
        </row>
        <row r="31">
          <cell r="K31">
            <v>8.0526261902324148E-2</v>
          </cell>
        </row>
        <row r="32">
          <cell r="K32">
            <v>4.8479574075970103E-2</v>
          </cell>
        </row>
        <row r="33">
          <cell r="K33">
            <v>1.0238558410975735E-4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der"/>
      <sheetName val="age"/>
      <sheetName val="hispanic"/>
      <sheetName val="Sheet4"/>
      <sheetName val="Sheet5"/>
    </sheetNames>
    <sheetDataSet>
      <sheetData sheetId="0"/>
      <sheetData sheetId="1"/>
      <sheetData sheetId="2">
        <row r="9">
          <cell r="E9">
            <v>0.35561416729464956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37.450693865743" createdVersion="4" refreshedVersion="4" minRefreshableVersion="3" recordCount="2">
  <cacheSource type="worksheet">
    <worksheetSource ref="A2:F4" sheet="Table"/>
  </cacheSource>
  <cacheFields count="6">
    <cacheField name="Awards" numFmtId="0">
      <sharedItems count="2">
        <s v="click here for graph"/>
        <s v="Total"/>
      </sharedItems>
    </cacheField>
    <cacheField name="AY 07-08" numFmtId="0">
      <sharedItems containsMixedTypes="1" containsNumber="1" containsInteger="1" minValue="912" maxValue="912"/>
    </cacheField>
    <cacheField name="AY 08-09" numFmtId="0">
      <sharedItems containsMixedTypes="1" containsNumber="1" containsInteger="1" minValue="988" maxValue="988"/>
    </cacheField>
    <cacheField name="AY 09-10" numFmtId="0">
      <sharedItems containsMixedTypes="1" containsNumber="1" containsInteger="1" minValue="1017" maxValue="1017"/>
    </cacheField>
    <cacheField name="AY 10-11" numFmtId="0">
      <sharedItems containsMixedTypes="1" containsNumber="1" containsInteger="1" minValue="1096" maxValue="1096"/>
    </cacheField>
    <cacheField name="AY 11-12" numFmtId="0">
      <sharedItems containsMixedTypes="1" containsNumber="1" containsInteger="1" minValue="1086" maxValue="10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37.450693981482" createdVersion="4" refreshedVersion="4" minRefreshableVersion="3" recordCount="9">
  <cacheSource type="worksheet">
    <worksheetSource ref="A12:H21" sheet="Table"/>
  </cacheSource>
  <cacheFields count="8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A/AS" numFmtId="9">
      <sharedItems containsSemiMixedTypes="0" containsString="0" containsNumber="1" minValue="1.0964912280699846E-3" maxValue="0.52083333333333337"/>
    </cacheField>
    <cacheField name="AA/AS2" numFmtId="9">
      <sharedItems containsSemiMixedTypes="0" containsString="0" containsNumber="1" minValue="1.0121457489877805E-3" maxValue="0.52226720647773284"/>
    </cacheField>
    <cacheField name="AA/AS3" numFmtId="9">
      <sharedItems containsSemiMixedTypes="0" containsString="0" containsNumber="1" minValue="9.8328416912474292E-4" maxValue="0.48967551622418881"/>
    </cacheField>
    <cacheField name="AA/AS4" numFmtId="9">
      <sharedItems containsSemiMixedTypes="0" containsString="0" containsNumber="1" minValue="9.1240875912435015E-4" maxValue="0.49361313868613138"/>
    </cacheField>
    <cacheField name="AA/AS5" numFmtId="9">
      <sharedItems containsSemiMixedTypes="0" containsString="0" containsNumber="1" minValue="3.6832412523019054E-3" maxValue="0.48987108655616945"/>
    </cacheField>
    <cacheField name="AY11-12  + 3 terms" numFmtId="9">
      <sharedItems containsSemiMixedTypes="0" containsString="0" containsNumber="1" minValue="0.01" maxValue="0.41"/>
    </cacheField>
    <cacheField name="AA/AS Gap" numFmtId="9">
      <sharedItems containsSemiMixedTypes="0" containsString="0" containsNumber="1" minValue="-6.6187845303867399E-2" maxValue="7.987108655616947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37.450694212966" createdVersion="4" refreshedVersion="4" minRefreshableVersion="3" recordCount="3">
  <cacheSource type="worksheet">
    <worksheetSource ref="A6:H9" sheet="Table"/>
  </cacheSource>
  <cacheFields count="8">
    <cacheField name="Gender" numFmtId="0">
      <sharedItems count="3">
        <s v="Female"/>
        <s v="Male"/>
        <s v="Unknown"/>
      </sharedItems>
    </cacheField>
    <cacheField name="AA/AS" numFmtId="9">
      <sharedItems containsSemiMixedTypes="0" containsString="0" containsNumber="1" minValue="1.0964912280701754E-3" maxValue="0.67763157894736847"/>
    </cacheField>
    <cacheField name="AA/AS2" numFmtId="9">
      <sharedItems containsSemiMixedTypes="0" containsString="0" containsNumber="1" minValue="5.0607287449392713E-3" maxValue="0.68117408906882593"/>
    </cacheField>
    <cacheField name="AA/AS3" numFmtId="9">
      <sharedItems containsSemiMixedTypes="0" containsString="0" containsNumber="1" minValue="1.1799410029498525E-2" maxValue="0.65978367748279254"/>
    </cacheField>
    <cacheField name="AA/AS4" numFmtId="9">
      <sharedItems containsSemiMixedTypes="0" containsString="0" containsNumber="1" minValue="1.3686131386861315E-2" maxValue="0.6441605839416058"/>
    </cacheField>
    <cacheField name="AA/AS5" numFmtId="9">
      <sharedItems containsSemiMixedTypes="0" containsString="0" containsNumber="1" minValue="1.1049723756906077E-2" maxValue="0.62338858195211788"/>
    </cacheField>
    <cacheField name="AY11-12  + 3 terms" numFmtId="9">
      <sharedItems containsSemiMixedTypes="0" containsString="0" containsNumber="1" minValue="9.0429540316503392E-3" maxValue="0.59751318764129613"/>
    </cacheField>
    <cacheField name="AA/AS Gap" numFmtId="9">
      <sharedItems containsSemiMixedTypes="0" containsString="0" containsNumber="1" minValue="-2.7882164036077461E-2" maxValue="2.587539431082175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mesaris" refreshedDate="41137.450694328705" createdVersion="4" refreshedVersion="4" minRefreshableVersion="3" recordCount="9">
  <cacheSource type="worksheet">
    <worksheetSource ref="A24:H33" sheet="Table"/>
  </cacheSource>
  <cacheFields count="8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A/AS" numFmtId="9">
      <sharedItems containsSemiMixedTypes="0" containsString="0" containsNumber="1" minValue="0" maxValue="0.42543859649122806"/>
    </cacheField>
    <cacheField name="AA/AS2" numFmtId="9">
      <sharedItems containsSemiMixedTypes="0" containsString="0" containsNumber="1" minValue="0" maxValue="0.44635627530364375"/>
    </cacheField>
    <cacheField name="AA/AS3" numFmtId="9">
      <sharedItems containsSemiMixedTypes="0" containsString="0" containsNumber="1" minValue="0" maxValue="0.44051130776794495"/>
    </cacheField>
    <cacheField name="AA/AS4" numFmtId="9">
      <sharedItems containsSemiMixedTypes="0" containsString="0" containsNumber="1" minValue="0" maxValue="0.45529197080291972"/>
    </cacheField>
    <cacheField name="AA/AS5" numFmtId="9">
      <sharedItems containsSemiMixedTypes="0" containsString="0" containsNumber="1" minValue="0" maxValue="0.48066298342541436"/>
    </cacheField>
    <cacheField name="AY11-12  + 3 terms" numFmtId="9">
      <sharedItems containsSemiMixedTypes="0" containsString="0" containsNumber="1" minValue="0" maxValue="0.42471740768651095"/>
    </cacheField>
    <cacheField name="AA/AS Gap" numFmtId="9">
      <sharedItems containsSemiMixedTypes="0" containsString="0" containsNumber="1" minValue="-0.1257745007015367" maxValue="5.594557573890340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s v="AA/AS"/>
    <s v="AA/AS"/>
    <s v="AA/AS"/>
    <s v="AA/AS"/>
    <s v="AA/AS"/>
  </r>
  <r>
    <x v="1"/>
    <n v="912"/>
    <n v="988"/>
    <n v="1017"/>
    <n v="1096"/>
    <n v="10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0.52083333333333337"/>
    <n v="0.52226720647773284"/>
    <n v="0.48967551622418881"/>
    <n v="0.49361313868613138"/>
    <n v="0.48987108655616945"/>
    <n v="0.41"/>
    <n v="7.9871086556169479E-2"/>
  </r>
  <r>
    <x v="1"/>
    <n v="0.30701754385964913"/>
    <n v="0.32793522267206476"/>
    <n v="0.34906588003933137"/>
    <n v="0.3448905109489051"/>
    <n v="0.35359116022099446"/>
    <n v="0.35561416729464956"/>
    <n v="-2.0230070736551031E-3"/>
  </r>
  <r>
    <x v="2"/>
    <n v="6.4692982456140358E-2"/>
    <n v="4.9595141700404861E-2"/>
    <n v="6.0963618485742381E-2"/>
    <n v="4.9270072992700732E-2"/>
    <n v="5.0644567219152857E-2"/>
    <n v="7.0000000000000007E-2"/>
    <n v="-1.935543278084715E-2"/>
  </r>
  <r>
    <x v="3"/>
    <n v="2.5219298245614034E-2"/>
    <n v="1.7206477732793522E-2"/>
    <n v="3.1465093411996069E-2"/>
    <n v="3.6496350364963501E-2"/>
    <n v="2.85451197053407E-2"/>
    <n v="0.03"/>
    <n v="-1.4548802946592991E-3"/>
  </r>
  <r>
    <x v="4"/>
    <n v="1.3157894736842105E-2"/>
    <n v="1.2145748987854251E-2"/>
    <n v="7.8662733529990172E-3"/>
    <n v="1.2773722627737226E-2"/>
    <n v="6.4456721915285451E-3"/>
    <n v="0.01"/>
    <n v="-3.5543278084714551E-3"/>
  </r>
  <r>
    <x v="5"/>
    <n v="4.4956140350877194E-2"/>
    <n v="4.5546558704453441E-2"/>
    <n v="3.9331366764995081E-2"/>
    <n v="3.3759124087591241E-2"/>
    <n v="4.9723756906077346E-2"/>
    <n v="0.03"/>
    <n v="1.9723756906077347E-2"/>
  </r>
  <r>
    <x v="6"/>
    <n v="4.3859649122807015E-3"/>
    <n v="7.0850202429149798E-3"/>
    <n v="7.8662733529990172E-3"/>
    <n v="9.1240875912408752E-3"/>
    <n v="3.6832412523020259E-3"/>
    <n v="0.01"/>
    <n v="-6.3167587476979743E-3"/>
  </r>
  <r>
    <x v="7"/>
    <n v="1.8640350877192981E-2"/>
    <n v="1.7206477732793522E-2"/>
    <n v="1.2782694198623401E-2"/>
    <n v="1.916058394160584E-2"/>
    <n v="1.3812154696132596E-2"/>
    <n v="0.08"/>
    <n v="-6.6187845303867399E-2"/>
  </r>
  <r>
    <x v="8"/>
    <n v="1.0964912280699846E-3"/>
    <n v="1.0121457489877805E-3"/>
    <n v="9.8328416912474292E-4"/>
    <n v="9.1240875912435015E-4"/>
    <n v="3.6832412523019054E-3"/>
    <n v="0.05"/>
    <n v="-4.6316758747698097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0.67763157894736847"/>
    <n v="0.68117408906882593"/>
    <n v="0.65978367748279254"/>
    <n v="0.6441605839416058"/>
    <n v="0.62338858195211788"/>
    <n v="0.59751318764129613"/>
    <n v="2.5875394310821753E-2"/>
  </r>
  <r>
    <x v="1"/>
    <n v="0.32127192982456143"/>
    <n v="0.31376518218623484"/>
    <n v="0.32841691248770893"/>
    <n v="0.34215328467153283"/>
    <n v="0.36556169429097607"/>
    <n v="0.39344385832705353"/>
    <n v="-2.7882164036077461E-2"/>
  </r>
  <r>
    <x v="2"/>
    <n v="1.0964912280701754E-3"/>
    <n v="5.0607287449392713E-3"/>
    <n v="1.1799410029498525E-2"/>
    <n v="1.3686131386861315E-2"/>
    <n v="1.1049723756906077E-2"/>
    <n v="9.0429540316503392E-3"/>
    <n v="2.0067697252557377E-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">
  <r>
    <x v="0"/>
    <n v="0"/>
    <n v="0"/>
    <n v="0"/>
    <n v="1.8248175182481751E-3"/>
    <n v="0"/>
    <n v="9.1183119819140922E-3"/>
    <n v="-9.1183119819140922E-3"/>
  </r>
  <r>
    <x v="1"/>
    <n v="9.8684210526315784E-3"/>
    <n v="1.5182186234817813E-2"/>
    <n v="7.8662733529990172E-3"/>
    <n v="7.2992700729927005E-3"/>
    <n v="8.2872928176795577E-3"/>
    <n v="0.13406179351921627"/>
    <n v="-0.1257745007015367"/>
  </r>
  <r>
    <x v="2"/>
    <n v="0.42543859649122806"/>
    <n v="0.44635627530364375"/>
    <n v="0.44051130776794495"/>
    <n v="0.45529197080291972"/>
    <n v="0.48066298342541436"/>
    <n v="0.42471740768651095"/>
    <n v="5.5945575738903408E-2"/>
  </r>
  <r>
    <x v="3"/>
    <n v="0.19188596491228072"/>
    <n v="0.17206477732793521"/>
    <n v="0.19665683382497542"/>
    <n v="0.17518248175182483"/>
    <n v="0.18324125230202579"/>
    <n v="0.1455162019593067"/>
    <n v="3.7725050342719085E-2"/>
  </r>
  <r>
    <x v="4"/>
    <n v="0.11403508771929824"/>
    <n v="0.11538461538461539"/>
    <n v="0.10226155358898721"/>
    <n v="0.10218978102189781"/>
    <n v="0.10220994475138122"/>
    <n v="8.3270535041446866E-2"/>
    <n v="1.8939409709934352E-2"/>
  </r>
  <r>
    <x v="5"/>
    <n v="7.6754385964912283E-2"/>
    <n v="8.2995951417004055E-2"/>
    <n v="7.1779744346116031E-2"/>
    <n v="7.3905109489051102E-2"/>
    <n v="7.4585635359116026E-2"/>
    <n v="6.1115297663903542E-2"/>
    <n v="1.3470337695212484E-2"/>
  </r>
  <r>
    <x v="6"/>
    <n v="0.13048245614035087"/>
    <n v="0.11336032388663968"/>
    <n v="0.13274336283185842"/>
    <n v="0.12864963503649635"/>
    <n v="9.8526703499079188E-2"/>
    <n v="9.0052750565184622E-2"/>
    <n v="8.4739529338945657E-3"/>
  </r>
  <r>
    <x v="7"/>
    <n v="5.1535087719298246E-2"/>
    <n v="5.4655870445344132E-2"/>
    <n v="4.8180924287118974E-2"/>
    <n v="5.5656934306569344E-2"/>
    <n v="5.2486187845303865E-2"/>
    <n v="5.1996985681989447E-2"/>
    <n v="4.8920216331441863E-4"/>
  </r>
  <r>
    <x v="8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A2:AC8" firstHeaderRow="1" firstDataRow="2" firstDataCol="1"/>
  <pivotFields count="6">
    <pivotField axis="axisCol" showAll="0" defaultSubtotal="0">
      <items count="2">
        <item h="1" x="0"/>
        <item n="AA &amp; AS" x="1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2">
    <i>
      <x v="1"/>
    </i>
    <i t="grand">
      <x/>
    </i>
  </colItems>
  <dataFields count="5">
    <dataField name=" AY 07-08" fld="1" baseField="0" baseItem="1"/>
    <dataField name=" AY 08-09" fld="2" baseField="0" baseItem="1"/>
    <dataField name=" AY 09-10" fld="3" baseField="0" baseItem="1"/>
    <dataField name=" AY 10-11" fld="4" baseField="0" baseItem="1"/>
    <dataField name=" AY 11-12" fld="5" baseField="0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D2:AH9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4">
    <i>
      <x/>
    </i>
    <i>
      <x v="1"/>
    </i>
    <i>
      <x v="2"/>
    </i>
    <i t="grand">
      <x/>
    </i>
  </colItems>
  <dataFields count="6">
    <dataField name="AY 07-08" fld="1" baseField="0" baseItem="0"/>
    <dataField name="AY 08-09" fld="2" baseField="0" baseItem="0"/>
    <dataField name="AY 09-10" fld="3" baseField="0" baseItem="0"/>
    <dataField name="AY 10-11" fld="4" baseField="0" baseItem="0"/>
    <dataField name="AY 11-12" fld="5" baseField="0" baseItem="0"/>
    <dataField name="Comparison (Enrolled AY 11-12 + 3 Terms)" fld="6" baseField="0" baseItem="0"/>
  </dataFields>
  <formats count="2">
    <format dxfId="3">
      <pivotArea outline="0" collapsedLevelsAreSubtotals="1" fieldPosition="0">
        <references count="1">
          <reference field="0" count="0" selected="0"/>
        </references>
      </pivotArea>
    </format>
    <format dxfId="2">
      <pivotArea grandCol="1" outline="0" collapsedLevelsAreSubtotals="1" fieldPosition="0"/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D1:AN8" firstHeaderRow="1" firstDataRow="2" firstDataCol="1"/>
  <pivotFields count="8">
    <pivotField axis="axisCol" showAll="0" sortType="descending">
      <items count="10">
        <item x="0"/>
        <item x="8"/>
        <item x="6"/>
        <item x="4"/>
        <item x="7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10">
    <i>
      <x/>
    </i>
    <i>
      <x v="5"/>
    </i>
    <i>
      <x v="8"/>
    </i>
    <i>
      <x v="6"/>
    </i>
    <i>
      <x v="7"/>
    </i>
    <i>
      <x v="4"/>
    </i>
    <i>
      <x v="3"/>
    </i>
    <i>
      <x v="2"/>
    </i>
    <i>
      <x v="1"/>
    </i>
    <i t="grand">
      <x/>
    </i>
  </colItems>
  <dataFields count="6">
    <dataField name="AY 09-10" fld="3" baseField="0" baseItem="0"/>
    <dataField name="AY 08-09" fld="2" baseField="0" baseItem="0"/>
    <dataField name="AY 07-08" fld="1" baseField="0" baseItem="0"/>
    <dataField name="AY 10-11" fld="4" baseField="0" baseItem="0"/>
    <dataField name="AY 11-12" fld="5" baseField="0" baseItem="0"/>
    <dataField name="Comparison (Enrolled AY 11-12 + 3 Terms)" fld="6" baseField="0" baseItem="0"/>
  </dataFields>
  <formats count="1">
    <format dxfId="1">
      <pivotArea outline="0" collapsedLevelsAreSubtotals="1" fieldPosition="0"/>
    </format>
  </formats>
  <chartFormats count="29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3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K1:AU8" firstHeaderRow="1" firstDataRow="2" firstDataCol="1"/>
  <pivotFields count="8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6">
    <dataField name="AY 07-08" fld="1" baseField="0" baseItem="0"/>
    <dataField name="AY 08-09" fld="2" baseField="0" baseItem="0"/>
    <dataField name="AY 09-10" fld="3" baseField="0" baseItem="0"/>
    <dataField name="AY 10-11" fld="4" baseField="0" baseItem="0"/>
    <dataField name="AY 11-12" fld="5" baseField="0" baseItem="0"/>
    <dataField name="Comparison (Enrolled AY 11-12 + 3 Terms)" fld="6" baseField="0" baseItem="0"/>
  </dataFields>
  <formats count="1">
    <format dxfId="0">
      <pivotArea outline="0" collapsedLevelsAreSubtotals="1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H36" sqref="H36"/>
    </sheetView>
  </sheetViews>
  <sheetFormatPr defaultRowHeight="15" x14ac:dyDescent="0.25"/>
  <cols>
    <col min="1" max="1" width="16.28515625" bestFit="1" customWidth="1"/>
    <col min="2" max="6" width="8.140625" bestFit="1" customWidth="1"/>
    <col min="7" max="7" width="21" style="33" bestFit="1" customWidth="1"/>
    <col min="8" max="8" width="36.140625" bestFit="1" customWidth="1"/>
  </cols>
  <sheetData>
    <row r="1" spans="1:13" x14ac:dyDescent="0.25">
      <c r="A1" s="88" t="s">
        <v>0</v>
      </c>
      <c r="B1" s="90" t="s">
        <v>1</v>
      </c>
      <c r="C1" s="91"/>
      <c r="D1" s="91"/>
      <c r="E1" s="91"/>
      <c r="F1" s="91"/>
    </row>
    <row r="2" spans="1:13" ht="15.75" thickBot="1" x14ac:dyDescent="0.3">
      <c r="A2" s="89"/>
      <c r="B2" s="49" t="s">
        <v>27</v>
      </c>
      <c r="C2" s="49" t="s">
        <v>28</v>
      </c>
      <c r="D2" s="49" t="s">
        <v>29</v>
      </c>
      <c r="E2" s="49" t="s">
        <v>30</v>
      </c>
      <c r="F2" s="49" t="s">
        <v>31</v>
      </c>
    </row>
    <row r="3" spans="1:13" ht="15.75" thickBot="1" x14ac:dyDescent="0.3">
      <c r="A3" s="3"/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</row>
    <row r="4" spans="1:13" ht="15.75" thickBot="1" x14ac:dyDescent="0.3">
      <c r="A4" s="22" t="s">
        <v>4</v>
      </c>
      <c r="B4" s="10">
        <f>VLOOKUP(Sheet2!$A1,'[1]AA&amp;AS GENDER'!$A:$F,HLOOKUP(Sheet1!B$2,'[1]AA&amp;AS GENDER'!$1:$2,2,FALSE),FALSE)</f>
        <v>912</v>
      </c>
      <c r="C4" s="10">
        <f>VLOOKUP(Sheet2!$A1,'[1]AA&amp;AS GENDER'!$A:$F,HLOOKUP(Sheet1!C$2,'[1]AA&amp;AS GENDER'!$1:$2,2,FALSE),FALSE)</f>
        <v>988</v>
      </c>
      <c r="D4" s="10">
        <f>VLOOKUP(Sheet2!$A1,'[1]AA&amp;AS GENDER'!$A:$F,HLOOKUP(Sheet1!D$2,'[1]AA&amp;AS GENDER'!$1:$2,2,FALSE),FALSE)</f>
        <v>1017</v>
      </c>
      <c r="E4" s="10">
        <f>VLOOKUP(Sheet2!$A1,'[1]AA&amp;AS GENDER'!$A:$F,HLOOKUP(Sheet1!E$2,'[1]AA&amp;AS GENDER'!$1:$2,2,FALSE),FALSE)</f>
        <v>1096</v>
      </c>
      <c r="F4" s="10">
        <f>VLOOKUP(Sheet2!$A1,'[1]AA&amp;AS GENDER'!$A:$F,HLOOKUP(Sheet1!F$2,'[1]AA&amp;AS GENDER'!$1:$2,2,FALSE),FALSE)</f>
        <v>1086</v>
      </c>
    </row>
    <row r="5" spans="1:13" ht="15.75" thickBot="1" x14ac:dyDescent="0.3">
      <c r="A5" s="4"/>
      <c r="B5" s="6"/>
      <c r="C5" s="6"/>
      <c r="D5" s="6"/>
      <c r="E5" s="6"/>
      <c r="F5" s="6"/>
      <c r="G5" s="34" t="s">
        <v>42</v>
      </c>
      <c r="H5" s="50" t="s">
        <v>54</v>
      </c>
      <c r="J5" s="29"/>
      <c r="K5" s="29"/>
      <c r="L5" s="29"/>
      <c r="M5" s="29"/>
    </row>
    <row r="6" spans="1:13" s="1" customFormat="1" ht="15.75" thickBot="1" x14ac:dyDescent="0.3">
      <c r="A6" s="3" t="s">
        <v>2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43" t="s">
        <v>2</v>
      </c>
      <c r="H6" s="44" t="s">
        <v>3</v>
      </c>
      <c r="J6" s="29"/>
      <c r="K6" s="29"/>
      <c r="L6" s="29"/>
      <c r="M6" s="29"/>
    </row>
    <row r="7" spans="1:13" ht="15.75" thickBot="1" x14ac:dyDescent="0.3">
      <c r="A7" s="14" t="s">
        <v>5</v>
      </c>
      <c r="B7" s="28">
        <f>(VLOOKUP(Sheet2!$A7,'[1]AA&amp;AS GENDER'!$A:$F,HLOOKUP(Sheet1!B$2,'[1]AA&amp;AS GENDER'!$1:$2,2,FALSE),FALSE))/(B$4)</f>
        <v>0.67763157894736847</v>
      </c>
      <c r="C7" s="28">
        <f>(VLOOKUP(Sheet2!$A7,'[1]AA&amp;AS GENDER'!$A:$F,HLOOKUP(Sheet1!C$2,'[1]AA&amp;AS GENDER'!$1:$2,2,FALSE),FALSE))/(C$4)</f>
        <v>0.68117408906882593</v>
      </c>
      <c r="D7" s="28">
        <f>(VLOOKUP(Sheet2!$A7,'[1]AA&amp;AS GENDER'!$A:$F,HLOOKUP(Sheet1!D$2,'[1]AA&amp;AS GENDER'!$1:$2,2,FALSE),FALSE))/(D$4)</f>
        <v>0.65978367748279254</v>
      </c>
      <c r="E7" s="28">
        <f>(VLOOKUP(Sheet2!$A7,'[1]AA&amp;AS GENDER'!$A:$F,HLOOKUP(Sheet1!E$2,'[1]AA&amp;AS GENDER'!$1:$2,2,FALSE),FALSE))/(E$4)</f>
        <v>0.6441605839416058</v>
      </c>
      <c r="F7" s="28">
        <f>(VLOOKUP(Sheet2!$A7,'[1]AA&amp;AS GENDER'!$A:$F,HLOOKUP(Sheet1!F$2,'[1]AA&amp;AS GENDER'!$1:$2,2,FALSE),FALSE))/(F$4)</f>
        <v>0.62338858195211788</v>
      </c>
      <c r="G7" s="45">
        <f>[2]Sheet1!$K4</f>
        <v>0.56593631616668372</v>
      </c>
      <c r="H7" s="46">
        <f>F7-G7</f>
        <v>5.7452265785434165E-2</v>
      </c>
      <c r="I7" s="26"/>
      <c r="J7" s="29"/>
      <c r="K7" s="29"/>
      <c r="L7" s="29"/>
      <c r="M7" s="29"/>
    </row>
    <row r="8" spans="1:13" ht="15.75" thickBot="1" x14ac:dyDescent="0.3">
      <c r="A8" s="15" t="s">
        <v>6</v>
      </c>
      <c r="B8" s="28">
        <f>(VLOOKUP(Sheet2!$A8,'[1]AA&amp;AS GENDER'!$A:$F,HLOOKUP(Sheet1!B$2,'[1]AA&amp;AS GENDER'!$1:$2,2,FALSE),FALSE))/(B$4)</f>
        <v>0.32127192982456143</v>
      </c>
      <c r="C8" s="28">
        <f>(VLOOKUP(Sheet2!$A8,'[1]AA&amp;AS GENDER'!$A:$F,HLOOKUP(Sheet1!C$2,'[1]AA&amp;AS GENDER'!$1:$2,2,FALSE),FALSE))/(C$4)</f>
        <v>0.31376518218623484</v>
      </c>
      <c r="D8" s="28">
        <f>(VLOOKUP(Sheet2!$A8,'[1]AA&amp;AS GENDER'!$A:$F,HLOOKUP(Sheet1!D$2,'[1]AA&amp;AS GENDER'!$1:$2,2,FALSE),FALSE))/(D$4)</f>
        <v>0.32841691248770893</v>
      </c>
      <c r="E8" s="28">
        <f>(VLOOKUP(Sheet2!$A8,'[1]AA&amp;AS GENDER'!$A:$F,HLOOKUP(Sheet1!E$2,'[1]AA&amp;AS GENDER'!$1:$2,2,FALSE),FALSE))/(E$4)</f>
        <v>0.34215328467153283</v>
      </c>
      <c r="F8" s="28">
        <f>(VLOOKUP(Sheet2!$A8,'[1]AA&amp;AS GENDER'!$A:$F,HLOOKUP(Sheet1!F$2,'[1]AA&amp;AS GENDER'!$1:$2,2,FALSE),FALSE))/(F$4)</f>
        <v>0.36556169429097607</v>
      </c>
      <c r="G8" s="45">
        <f>[2]Sheet1!$K5</f>
        <v>0.42484898126343812</v>
      </c>
      <c r="H8" s="46">
        <f>F8-G8</f>
        <v>-5.928728697246205E-2</v>
      </c>
      <c r="J8" s="29"/>
    </row>
    <row r="9" spans="1:13" ht="15.75" thickBot="1" x14ac:dyDescent="0.3">
      <c r="A9" s="21" t="s">
        <v>7</v>
      </c>
      <c r="B9" s="28">
        <f>(VLOOKUP(Sheet2!$A9,'[1]AA&amp;AS GENDER'!$A:$F,HLOOKUP(Sheet1!B$2,'[1]AA&amp;AS GENDER'!$1:$2,2,FALSE),FALSE))/(B$4)</f>
        <v>1.0964912280701754E-3</v>
      </c>
      <c r="C9" s="28">
        <f>(VLOOKUP(Sheet2!$A9,'[1]AA&amp;AS GENDER'!$A:$F,HLOOKUP(Sheet1!C$2,'[1]AA&amp;AS GENDER'!$1:$2,2,FALSE),FALSE))/(C$4)</f>
        <v>5.0607287449392713E-3</v>
      </c>
      <c r="D9" s="28">
        <f>(VLOOKUP(Sheet2!$A9,'[1]AA&amp;AS GENDER'!$A:$F,HLOOKUP(Sheet1!D$2,'[1]AA&amp;AS GENDER'!$1:$2,2,FALSE),FALSE))/(D$4)</f>
        <v>1.1799410029498525E-2</v>
      </c>
      <c r="E9" s="28">
        <f>(VLOOKUP(Sheet2!$A9,'[1]AA&amp;AS GENDER'!$A:$F,HLOOKUP(Sheet1!E$2,'[1]AA&amp;AS GENDER'!$1:$2,2,FALSE),FALSE))/(E$4)</f>
        <v>1.3686131386861315E-2</v>
      </c>
      <c r="F9" s="28">
        <f>(VLOOKUP(Sheet2!$A9,'[1]AA&amp;AS GENDER'!$A:$F,HLOOKUP(Sheet1!F$2,'[1]AA&amp;AS GENDER'!$1:$2,2,FALSE),FALSE))/(F$4)</f>
        <v>1.1049723756906077E-2</v>
      </c>
      <c r="G9" s="45">
        <f>[2]Sheet1!$K6</f>
        <v>9.214702569878162E-3</v>
      </c>
      <c r="H9" s="46">
        <f>F9-G9</f>
        <v>1.8350211870279149E-3</v>
      </c>
      <c r="J9" s="29"/>
    </row>
    <row r="10" spans="1:13" s="1" customFormat="1" x14ac:dyDescent="0.25">
      <c r="A10" s="20"/>
      <c r="B10" s="32"/>
      <c r="C10" s="32"/>
      <c r="D10" s="32"/>
      <c r="E10" s="32"/>
      <c r="F10" s="32"/>
      <c r="G10" s="35"/>
      <c r="H10" s="36"/>
      <c r="J10" s="29"/>
    </row>
    <row r="11" spans="1:13" ht="15.75" thickBot="1" x14ac:dyDescent="0.3">
      <c r="A11" s="20"/>
      <c r="B11" s="8"/>
      <c r="C11" s="8"/>
      <c r="D11" s="8"/>
      <c r="E11" s="8"/>
      <c r="F11" s="8"/>
      <c r="G11" s="34" t="s">
        <v>42</v>
      </c>
      <c r="H11" s="48" t="str">
        <f>H5</f>
        <v>gap analysis = AY Award % - AY Enroll %</v>
      </c>
    </row>
    <row r="12" spans="1:13" ht="15.75" thickBot="1" x14ac:dyDescent="0.3">
      <c r="A12" s="5" t="s">
        <v>8</v>
      </c>
      <c r="B12" s="7" t="s">
        <v>3</v>
      </c>
      <c r="C12" s="7" t="s">
        <v>3</v>
      </c>
      <c r="D12" s="7" t="s">
        <v>3</v>
      </c>
      <c r="E12" s="7" t="s">
        <v>3</v>
      </c>
      <c r="F12" s="7" t="s">
        <v>3</v>
      </c>
      <c r="G12" s="47" t="s">
        <v>8</v>
      </c>
      <c r="H12" s="44" t="s">
        <v>3</v>
      </c>
    </row>
    <row r="13" spans="1:13" ht="15.75" thickBot="1" x14ac:dyDescent="0.3">
      <c r="A13" s="16" t="s">
        <v>9</v>
      </c>
      <c r="B13" s="28">
        <f>(VLOOKUP(Sheet2!$A12,'[1]AA&amp;AS races'!$A:$F,HLOOKUP(Sheet1!B$2,'[1]AA&amp;AS races'!$1:$2,2,FALSE),FALSE))/(B$4)</f>
        <v>0.52083333333333337</v>
      </c>
      <c r="C13" s="28">
        <f>(VLOOKUP(Sheet2!$A12,'[1]AA&amp;AS races'!$A:$F,HLOOKUP(Sheet1!C$2,'[1]AA&amp;AS races'!$1:$2,2,FALSE),FALSE))/(C$4)</f>
        <v>0.52226720647773284</v>
      </c>
      <c r="D13" s="28">
        <f>(VLOOKUP(Sheet2!$A12,'[1]AA&amp;AS races'!$A:$F,HLOOKUP(Sheet1!D$2,'[1]AA&amp;AS races'!$1:$2,2,FALSE),FALSE))/(D$4)</f>
        <v>0.48967551622418881</v>
      </c>
      <c r="E13" s="28">
        <f>(VLOOKUP(Sheet2!$A12,'[1]AA&amp;AS races'!$A:$F,HLOOKUP(Sheet1!E$2,'[1]AA&amp;AS races'!$1:$2,2,FALSE),FALSE))/(E$4)</f>
        <v>0.49361313868613138</v>
      </c>
      <c r="F13" s="28">
        <f>(VLOOKUP(Sheet2!$A12,'[1]AA&amp;AS races'!$A:$F,HLOOKUP(Sheet1!F$2,'[1]AA&amp;AS races'!$1:$2,2,FALSE),FALSE))/(F$4)</f>
        <v>0.48987108655616945</v>
      </c>
      <c r="G13" s="45">
        <f>[2]Sheet1!$K12</f>
        <v>0.3996109347803829</v>
      </c>
      <c r="H13" s="46">
        <f t="shared" ref="H13:H21" si="0">F13-G13</f>
        <v>9.0260151775786557E-2</v>
      </c>
    </row>
    <row r="14" spans="1:13" ht="15.75" thickBot="1" x14ac:dyDescent="0.3">
      <c r="A14" s="17" t="s">
        <v>10</v>
      </c>
      <c r="B14" s="28">
        <f>(VLOOKUP(Sheet2!$A13,'[1]AA&amp;AS Hispanics'!$A:$F,HLOOKUP(Sheet1!B$2,'[1]AA&amp;AS Hispanics'!$1:$2,2,FALSE),FALSE))/(B$4)</f>
        <v>0.30701754385964913</v>
      </c>
      <c r="C14" s="28">
        <f>(VLOOKUP(Sheet2!$A13,'[1]AA&amp;AS Hispanics'!$A:$F,HLOOKUP(Sheet1!C$2,'[1]AA&amp;AS Hispanics'!$1:$2,2,FALSE),FALSE))/(C$4)</f>
        <v>0.32793522267206476</v>
      </c>
      <c r="D14" s="28">
        <f>(VLOOKUP(Sheet2!$A13,'[1]AA&amp;AS Hispanics'!$A:$F,HLOOKUP(Sheet1!D$2,'[1]AA&amp;AS Hispanics'!$1:$2,2,FALSE),FALSE))/(D$4)</f>
        <v>0.34906588003933137</v>
      </c>
      <c r="E14" s="28">
        <f>(VLOOKUP(Sheet2!$A13,'[1]AA&amp;AS Hispanics'!$A:$F,HLOOKUP(Sheet1!E$2,'[1]AA&amp;AS Hispanics'!$1:$2,2,FALSE),FALSE))/(E$4)</f>
        <v>0.3448905109489051</v>
      </c>
      <c r="F14" s="28">
        <f>(VLOOKUP(Sheet2!$A13,'[1]AA&amp;AS Hispanics'!$A:$F,HLOOKUP(Sheet1!F$2,'[1]AA&amp;AS Hispanics'!$1:$2,2,FALSE),FALSE))/(F$4)</f>
        <v>0.35359116022099446</v>
      </c>
      <c r="G14" s="45">
        <f>[2]Sheet1!$K13</f>
        <v>0.37345141804033993</v>
      </c>
      <c r="H14" s="46">
        <f t="shared" si="0"/>
        <v>-1.9860257819345473E-2</v>
      </c>
    </row>
    <row r="15" spans="1:13" ht="15.75" thickBot="1" x14ac:dyDescent="0.3">
      <c r="A15" s="17" t="s">
        <v>11</v>
      </c>
      <c r="B15" s="28">
        <f>(VLOOKUP(Sheet2!$A14,'[1]AA&amp;AS races'!$A:$F,HLOOKUP(Sheet1!B$2,'[1]AA&amp;AS races'!$1:$2,2,FALSE),FALSE))/(B$4)</f>
        <v>6.4692982456140358E-2</v>
      </c>
      <c r="C15" s="28">
        <f>(VLOOKUP(Sheet2!$A14,'[1]AA&amp;AS races'!$A:$F,HLOOKUP(Sheet1!C$2,'[1]AA&amp;AS races'!$1:$2,2,FALSE),FALSE))/(C$4)</f>
        <v>4.9595141700404861E-2</v>
      </c>
      <c r="D15" s="28">
        <f>(VLOOKUP(Sheet2!$A14,'[1]AA&amp;AS races'!$A:$F,HLOOKUP(Sheet1!D$2,'[1]AA&amp;AS races'!$1:$2,2,FALSE),FALSE))/(D$4)</f>
        <v>6.0963618485742381E-2</v>
      </c>
      <c r="E15" s="28">
        <f>(VLOOKUP(Sheet2!$A14,'[1]AA&amp;AS races'!$A:$F,HLOOKUP(Sheet1!E$2,'[1]AA&amp;AS races'!$1:$2,2,FALSE),FALSE))/(E$4)</f>
        <v>4.9270072992700732E-2</v>
      </c>
      <c r="F15" s="28">
        <f>(VLOOKUP(Sheet2!$A14,'[1]AA&amp;AS races'!$A:$F,HLOOKUP(Sheet1!F$2,'[1]AA&amp;AS races'!$1:$2,2,FALSE),FALSE))/(F$4)</f>
        <v>5.0644567219152857E-2</v>
      </c>
      <c r="G15" s="45">
        <f>[2]Sheet1!$K14</f>
        <v>7.7147537626702165E-2</v>
      </c>
      <c r="H15" s="46">
        <f t="shared" si="0"/>
        <v>-2.6502970407549307E-2</v>
      </c>
    </row>
    <row r="16" spans="1:13" ht="15.75" thickBot="1" x14ac:dyDescent="0.3">
      <c r="A16" s="17" t="s">
        <v>12</v>
      </c>
      <c r="B16" s="28">
        <f>(VLOOKUP(Sheet2!$A15,'[1]AA&amp;AS races'!$A:$F,HLOOKUP(Sheet1!B$2,'[1]AA&amp;AS races'!$1:$2,2,FALSE),FALSE))/(B$4)</f>
        <v>2.5219298245614034E-2</v>
      </c>
      <c r="C16" s="28">
        <f>(VLOOKUP(Sheet2!$A15,'[1]AA&amp;AS races'!$A:$F,HLOOKUP(Sheet1!C$2,'[1]AA&amp;AS races'!$1:$2,2,FALSE),FALSE))/(C$4)</f>
        <v>1.7206477732793522E-2</v>
      </c>
      <c r="D16" s="28">
        <f>(VLOOKUP(Sheet2!$A15,'[1]AA&amp;AS races'!$A:$F,HLOOKUP(Sheet1!D$2,'[1]AA&amp;AS races'!$1:$2,2,FALSE),FALSE))/(D$4)</f>
        <v>3.1465093411996069E-2</v>
      </c>
      <c r="E16" s="28">
        <f>(VLOOKUP(Sheet2!$A15,'[1]AA&amp;AS races'!$A:$F,HLOOKUP(Sheet1!E$2,'[1]AA&amp;AS races'!$1:$2,2,FALSE),FALSE))/(E$4)</f>
        <v>3.6496350364963501E-2</v>
      </c>
      <c r="F16" s="28">
        <f>(VLOOKUP(Sheet2!$A15,'[1]AA&amp;AS races'!$A:$F,HLOOKUP(Sheet1!F$2,'[1]AA&amp;AS races'!$1:$2,2,FALSE),FALSE))/(F$4)</f>
        <v>2.85451197053407E-2</v>
      </c>
      <c r="G16" s="45">
        <f>[2]Sheet1!$K15</f>
        <v>2.4470154602232005E-2</v>
      </c>
      <c r="H16" s="46">
        <f t="shared" si="0"/>
        <v>4.074965103108695E-3</v>
      </c>
    </row>
    <row r="17" spans="1:10" ht="15.75" thickBot="1" x14ac:dyDescent="0.3">
      <c r="A17" s="17" t="s">
        <v>13</v>
      </c>
      <c r="B17" s="28">
        <f>(VLOOKUP(Sheet2!$A16,'[1]AA&amp;AS races'!$A:$F,HLOOKUP(Sheet1!B$2,'[1]AA&amp;AS races'!$1:$2,2,FALSE),FALSE))/(B$4)</f>
        <v>1.3157894736842105E-2</v>
      </c>
      <c r="C17" s="28">
        <f>(VLOOKUP(Sheet2!$A16,'[1]AA&amp;AS races'!$A:$F,HLOOKUP(Sheet1!C$2,'[1]AA&amp;AS races'!$1:$2,2,FALSE),FALSE))/(C$4)</f>
        <v>1.2145748987854251E-2</v>
      </c>
      <c r="D17" s="28">
        <f>(VLOOKUP(Sheet2!$A16,'[1]AA&amp;AS races'!$A:$F,HLOOKUP(Sheet1!D$2,'[1]AA&amp;AS races'!$1:$2,2,FALSE),FALSE))/(D$4)</f>
        <v>7.8662733529990172E-3</v>
      </c>
      <c r="E17" s="28">
        <f>(VLOOKUP(Sheet2!$A16,'[1]AA&amp;AS races'!$A:$F,HLOOKUP(Sheet1!E$2,'[1]AA&amp;AS races'!$1:$2,2,FALSE),FALSE))/(E$4)</f>
        <v>1.2773722627737226E-2</v>
      </c>
      <c r="F17" s="28">
        <f>(VLOOKUP(Sheet2!$A16,'[1]AA&amp;AS races'!$A:$F,HLOOKUP(Sheet1!F$2,'[1]AA&amp;AS races'!$1:$2,2,FALSE),FALSE))/(F$4)</f>
        <v>6.4456721915285451E-3</v>
      </c>
      <c r="G17" s="45">
        <f>[2]Sheet1!$K16</f>
        <v>7.2181836797378931E-3</v>
      </c>
      <c r="H17" s="46">
        <f t="shared" si="0"/>
        <v>-7.7251148820934798E-4</v>
      </c>
    </row>
    <row r="18" spans="1:10" ht="15.75" thickBot="1" x14ac:dyDescent="0.3">
      <c r="A18" s="17" t="s">
        <v>14</v>
      </c>
      <c r="B18" s="28">
        <f>(VLOOKUP(Sheet2!$A17,'[1]AA&amp;AS races'!$A:$F,HLOOKUP(Sheet1!B$2,'[1]AA&amp;AS races'!$1:$2,2,FALSE),FALSE))/(B$4)</f>
        <v>4.4956140350877194E-2</v>
      </c>
      <c r="C18" s="28">
        <f>(VLOOKUP(Sheet2!$A17,'[1]AA&amp;AS races'!$A:$F,HLOOKUP(Sheet1!C$2,'[1]AA&amp;AS races'!$1:$2,2,FALSE),FALSE))/(C$4)</f>
        <v>4.5546558704453441E-2</v>
      </c>
      <c r="D18" s="28">
        <f>(VLOOKUP(Sheet2!$A17,'[1]AA&amp;AS races'!$A:$F,HLOOKUP(Sheet1!D$2,'[1]AA&amp;AS races'!$1:$2,2,FALSE),FALSE))/(D$4)</f>
        <v>3.9331366764995081E-2</v>
      </c>
      <c r="E18" s="28">
        <f>(VLOOKUP(Sheet2!$A17,'[1]AA&amp;AS races'!$A:$F,HLOOKUP(Sheet1!E$2,'[1]AA&amp;AS races'!$1:$2,2,FALSE),FALSE))/(E$4)</f>
        <v>3.3759124087591241E-2</v>
      </c>
      <c r="F18" s="28">
        <f>(VLOOKUP(Sheet2!$A17,'[1]AA&amp;AS races'!$A:$F,HLOOKUP(Sheet1!F$2,'[1]AA&amp;AS races'!$1:$2,2,FALSE),FALSE))/(F$4)</f>
        <v>4.9723756906077346E-2</v>
      </c>
      <c r="G18" s="45">
        <f>[2]Sheet1!$K17</f>
        <v>3.0664482440872325E-2</v>
      </c>
      <c r="H18" s="46">
        <f t="shared" si="0"/>
        <v>1.9059274465205021E-2</v>
      </c>
    </row>
    <row r="19" spans="1:10" ht="15.75" thickBot="1" x14ac:dyDescent="0.3">
      <c r="A19" s="17" t="s">
        <v>15</v>
      </c>
      <c r="B19" s="28">
        <f>(VLOOKUP(Sheet2!$A18,'[1]AA&amp;AS races'!$A:$F,HLOOKUP(Sheet1!B$2,'[1]AA&amp;AS races'!$1:$2,2,FALSE),FALSE))/(B$4)</f>
        <v>4.3859649122807015E-3</v>
      </c>
      <c r="C19" s="28">
        <f>(VLOOKUP(Sheet2!$A18,'[1]AA&amp;AS races'!$A:$F,HLOOKUP(Sheet1!C$2,'[1]AA&amp;AS races'!$1:$2,2,FALSE),FALSE))/(C$4)</f>
        <v>7.0850202429149798E-3</v>
      </c>
      <c r="D19" s="28">
        <f>(VLOOKUP(Sheet2!$A18,'[1]AA&amp;AS races'!$A:$F,HLOOKUP(Sheet1!D$2,'[1]AA&amp;AS races'!$1:$2,2,FALSE),FALSE))/(D$4)</f>
        <v>7.8662733529990172E-3</v>
      </c>
      <c r="E19" s="28">
        <f>(VLOOKUP(Sheet2!$A18,'[1]AA&amp;AS races'!$A:$F,HLOOKUP(Sheet1!E$2,'[1]AA&amp;AS races'!$1:$2,2,FALSE),FALSE))/(E$4)</f>
        <v>9.1240875912408752E-3</v>
      </c>
      <c r="F19" s="28">
        <f>(VLOOKUP(Sheet2!$A18,'[1]AA&amp;AS races'!$A:$F,HLOOKUP(Sheet1!F$2,'[1]AA&amp;AS races'!$1:$2,2,FALSE),FALSE))/(F$4)</f>
        <v>3.6832412523020259E-3</v>
      </c>
      <c r="G19" s="45">
        <f>[2]Sheet1!$K18</f>
        <v>4.607351284939081E-3</v>
      </c>
      <c r="H19" s="46">
        <f t="shared" si="0"/>
        <v>-9.2411003263705507E-4</v>
      </c>
    </row>
    <row r="20" spans="1:10" ht="15.75" thickBot="1" x14ac:dyDescent="0.3">
      <c r="A20" s="17" t="s">
        <v>16</v>
      </c>
      <c r="B20" s="28">
        <f>(VLOOKUP(Sheet2!$A19,'[1]AA&amp;AS multi race'!$A:$F,HLOOKUP(Sheet1!B$2,'[1]AA&amp;AS multi race'!$1:$2,2,FALSE),FALSE))/(B$4)</f>
        <v>1.8640350877192981E-2</v>
      </c>
      <c r="C20" s="28">
        <f>(VLOOKUP(Sheet2!$A19,'[1]AA&amp;AS multi race'!$A:$F,HLOOKUP(Sheet1!C$2,'[1]AA&amp;AS multi race'!$1:$2,2,FALSE),FALSE))/(C$4)</f>
        <v>1.7206477732793522E-2</v>
      </c>
      <c r="D20" s="28">
        <f>(VLOOKUP(Sheet2!$A19,'[1]AA&amp;AS multi race'!$A:$F,HLOOKUP(Sheet1!D$2,'[1]AA&amp;AS multi race'!$1:$2,2,FALSE),FALSE))/(D$4)</f>
        <v>1.2782694198623401E-2</v>
      </c>
      <c r="E20" s="28">
        <f>(VLOOKUP(Sheet2!$A19,'[1]AA&amp;AS multi race'!$A:$F,HLOOKUP(Sheet1!E$2,'[1]AA&amp;AS multi race'!$1:$2,2,FALSE),FALSE))/(E$4)</f>
        <v>1.916058394160584E-2</v>
      </c>
      <c r="F20" s="28">
        <f>(VLOOKUP(Sheet2!$A19,'[1]AA&amp;AS multi race'!$A:$F,HLOOKUP(Sheet1!F$2,'[1]AA&amp;AS multi race'!$1:$2,2,FALSE),FALSE))/(F$4)</f>
        <v>1.3812154696132596E-2</v>
      </c>
      <c r="G20" s="45">
        <f>[2]Sheet1!$K19</f>
        <v>4.6483055185829833E-2</v>
      </c>
      <c r="H20" s="46">
        <f t="shared" si="0"/>
        <v>-3.2670900489697237E-2</v>
      </c>
    </row>
    <row r="21" spans="1:10" ht="15.75" thickBot="1" x14ac:dyDescent="0.3">
      <c r="A21" s="18" t="s">
        <v>7</v>
      </c>
      <c r="B21" s="28">
        <f>100%-SUM(B13:B20)</f>
        <v>1.0964912280699846E-3</v>
      </c>
      <c r="C21" s="28">
        <f t="shared" ref="C21:E21" si="1">100%-SUM(C13:C20)</f>
        <v>1.0121457489877805E-3</v>
      </c>
      <c r="D21" s="28">
        <f t="shared" si="1"/>
        <v>9.8328416912474292E-4</v>
      </c>
      <c r="E21" s="28">
        <f t="shared" si="1"/>
        <v>9.1240875912435015E-4</v>
      </c>
      <c r="F21" s="28">
        <f t="shared" ref="F21" si="2">100%-SUM(F13:F20)</f>
        <v>3.6832412523019054E-3</v>
      </c>
      <c r="G21" s="45">
        <f>[2]Sheet1!$K20</f>
        <v>3.6346882358963856E-2</v>
      </c>
      <c r="H21" s="46">
        <f t="shared" si="0"/>
        <v>-3.266364110666195E-2</v>
      </c>
    </row>
    <row r="22" spans="1:10" s="1" customFormat="1" x14ac:dyDescent="0.25">
      <c r="A22" s="37"/>
      <c r="B22" s="32"/>
      <c r="C22" s="32"/>
      <c r="D22" s="32"/>
      <c r="E22" s="32"/>
      <c r="F22" s="32"/>
      <c r="G22" s="35"/>
      <c r="H22" s="36"/>
    </row>
    <row r="23" spans="1:10" ht="15.75" thickBot="1" x14ac:dyDescent="0.3">
      <c r="A23" s="2"/>
      <c r="B23" s="11"/>
      <c r="C23" s="11"/>
      <c r="D23" s="11"/>
      <c r="E23" s="11"/>
      <c r="F23" s="11"/>
      <c r="G23" s="34" t="s">
        <v>42</v>
      </c>
      <c r="H23" s="48" t="str">
        <f>H5</f>
        <v>gap analysis = AY Award % - AY Enroll %</v>
      </c>
      <c r="J23" s="29" t="s">
        <v>44</v>
      </c>
    </row>
    <row r="24" spans="1:10" x14ac:dyDescent="0.25">
      <c r="A24" s="30" t="s">
        <v>17</v>
      </c>
      <c r="B24" s="19" t="s">
        <v>3</v>
      </c>
      <c r="C24" s="19" t="s">
        <v>3</v>
      </c>
      <c r="D24" s="19" t="s">
        <v>3</v>
      </c>
      <c r="E24" s="19" t="s">
        <v>3</v>
      </c>
      <c r="F24" s="19" t="s">
        <v>3</v>
      </c>
      <c r="G24" s="38" t="s">
        <v>43</v>
      </c>
      <c r="H24" s="42" t="s">
        <v>3</v>
      </c>
      <c r="J24" s="29" t="s">
        <v>45</v>
      </c>
    </row>
    <row r="25" spans="1:10" x14ac:dyDescent="0.25">
      <c r="A25" s="39" t="s">
        <v>18</v>
      </c>
      <c r="B25" s="31">
        <f>(IFERROR(VLOOKUP($A25,'[1]AA&amp;AS AGE'!$A:$F,HLOOKUP(Sheet1!B$2,'[1]AA&amp;AS AGE'!$1:$2,2,FALSE),FALSE),0))/(B$4)</f>
        <v>0</v>
      </c>
      <c r="C25" s="31">
        <f>(IFERROR(VLOOKUP($A25,'[1]AA&amp;AS AGE'!$A:$F,HLOOKUP(Sheet1!C$2,'[1]AA&amp;AS AGE'!$1:$2,2,FALSE),FALSE),0))/(C$4)</f>
        <v>0</v>
      </c>
      <c r="D25" s="31">
        <f>(IFERROR(VLOOKUP($A25,'[1]AA&amp;AS AGE'!$A:$F,HLOOKUP(Sheet1!D$2,'[1]AA&amp;AS AGE'!$1:$2,2,FALSE),FALSE),0))/(D$4)</f>
        <v>0</v>
      </c>
      <c r="E25" s="31">
        <f>(IFERROR(VLOOKUP($A25,'[1]AA&amp;AS AGE'!$A:$F,HLOOKUP(Sheet1!E$2,'[1]AA&amp;AS AGE'!$1:$2,2,FALSE),FALSE),0))/(E$4)</f>
        <v>1.8248175182481751E-3</v>
      </c>
      <c r="F25" s="31">
        <f>(IFERROR(VLOOKUP($A25,'[1]AA&amp;AS AGE'!$A:$F,HLOOKUP(Sheet1!F$2,'[1]AA&amp;AS AGE'!$1:$2,2,FALSE),FALSE),0))/(F$4)</f>
        <v>0</v>
      </c>
      <c r="G25" s="45">
        <f>[2]Sheet1!$K25</f>
        <v>1.003378724275622E-2</v>
      </c>
      <c r="H25" s="46">
        <f t="shared" ref="H25:H33" si="3">F25-G25</f>
        <v>-1.003378724275622E-2</v>
      </c>
      <c r="J25" s="29" t="s">
        <v>46</v>
      </c>
    </row>
    <row r="26" spans="1:10" x14ac:dyDescent="0.25">
      <c r="A26" s="39" t="s">
        <v>19</v>
      </c>
      <c r="B26" s="31">
        <f>(IFERROR(VLOOKUP($A26,'[1]AA&amp;AS AGE'!$A:$F,HLOOKUP(Sheet1!B$2,'[1]AA&amp;AS AGE'!$1:$2,2,FALSE),FALSE),0))/(B$4)</f>
        <v>9.8684210526315784E-3</v>
      </c>
      <c r="C26" s="31">
        <f>(IFERROR(VLOOKUP($A26,'[1]AA&amp;AS AGE'!$A:$F,HLOOKUP(Sheet1!C$2,'[1]AA&amp;AS AGE'!$1:$2,2,FALSE),FALSE),0))/(C$4)</f>
        <v>1.5182186234817813E-2</v>
      </c>
      <c r="D26" s="31">
        <f>(IFERROR(VLOOKUP($A26,'[1]AA&amp;AS AGE'!$A:$F,HLOOKUP(Sheet1!D$2,'[1]AA&amp;AS AGE'!$1:$2,2,FALSE),FALSE),0))/(D$4)</f>
        <v>7.8662733529990172E-3</v>
      </c>
      <c r="E26" s="31">
        <f>(IFERROR(VLOOKUP($A26,'[1]AA&amp;AS AGE'!$A:$F,HLOOKUP(Sheet1!E$2,'[1]AA&amp;AS AGE'!$1:$2,2,FALSE),FALSE),0))/(E$4)</f>
        <v>7.2992700729927005E-3</v>
      </c>
      <c r="F26" s="31">
        <f>(IFERROR(VLOOKUP($A26,'[1]AA&amp;AS AGE'!$A:$F,HLOOKUP(Sheet1!F$2,'[1]AA&amp;AS AGE'!$1:$2,2,FALSE),FALSE),0))/(F$4)</f>
        <v>8.2872928176795577E-3</v>
      </c>
      <c r="G26" s="45">
        <f>[2]Sheet1!$K26</f>
        <v>0.20768915736664278</v>
      </c>
      <c r="H26" s="46">
        <f t="shared" si="3"/>
        <v>-0.19940186454896322</v>
      </c>
      <c r="J26" s="29" t="s">
        <v>47</v>
      </c>
    </row>
    <row r="27" spans="1:10" x14ac:dyDescent="0.25">
      <c r="A27" s="39" t="s">
        <v>20</v>
      </c>
      <c r="B27" s="31">
        <f>(IFERROR(VLOOKUP($A27,'[1]AA&amp;AS AGE'!$A:$F,HLOOKUP(Sheet1!B$2,'[1]AA&amp;AS AGE'!$1:$2,2,FALSE),FALSE),0))/(B$4)</f>
        <v>0.42543859649122806</v>
      </c>
      <c r="C27" s="31">
        <f>(IFERROR(VLOOKUP($A27,'[1]AA&amp;AS AGE'!$A:$F,HLOOKUP(Sheet1!C$2,'[1]AA&amp;AS AGE'!$1:$2,2,FALSE),FALSE),0))/(C$4)</f>
        <v>0.44635627530364375</v>
      </c>
      <c r="D27" s="31">
        <f>(IFERROR(VLOOKUP($A27,'[1]AA&amp;AS AGE'!$A:$F,HLOOKUP(Sheet1!D$2,'[1]AA&amp;AS AGE'!$1:$2,2,FALSE),FALSE),0))/(D$4)</f>
        <v>0.44051130776794495</v>
      </c>
      <c r="E27" s="31">
        <f>(IFERROR(VLOOKUP($A27,'[1]AA&amp;AS AGE'!$A:$F,HLOOKUP(Sheet1!E$2,'[1]AA&amp;AS AGE'!$1:$2,2,FALSE),FALSE),0))/(E$4)</f>
        <v>0.45529197080291972</v>
      </c>
      <c r="F27" s="31">
        <f>(IFERROR(VLOOKUP($A27,'[1]AA&amp;AS AGE'!$A:$F,HLOOKUP(Sheet1!F$2,'[1]AA&amp;AS AGE'!$1:$2,2,FALSE),FALSE),0))/(F$4)</f>
        <v>0.48066298342541436</v>
      </c>
      <c r="G27" s="45">
        <f>[2]Sheet1!$K27</f>
        <v>0.38517456742090711</v>
      </c>
      <c r="H27" s="46">
        <f t="shared" si="3"/>
        <v>9.5488416004507248E-2</v>
      </c>
      <c r="J27" s="29" t="s">
        <v>48</v>
      </c>
    </row>
    <row r="28" spans="1:10" x14ac:dyDescent="0.25">
      <c r="A28" s="39" t="s">
        <v>41</v>
      </c>
      <c r="B28" s="31">
        <f>(IFERROR(VLOOKUP($A28,'[1]AA&amp;AS AGE'!$A:$F,HLOOKUP(Sheet1!B$2,'[1]AA&amp;AS AGE'!$1:$2,2,FALSE),FALSE),0))/(B$4)</f>
        <v>0.19188596491228072</v>
      </c>
      <c r="C28" s="31">
        <f>(IFERROR(VLOOKUP($A28,'[1]AA&amp;AS AGE'!$A:$F,HLOOKUP(Sheet1!C$2,'[1]AA&amp;AS AGE'!$1:$2,2,FALSE),FALSE),0))/(C$4)</f>
        <v>0.17206477732793521</v>
      </c>
      <c r="D28" s="31">
        <f>(IFERROR(VLOOKUP($A28,'[1]AA&amp;AS AGE'!$A:$F,HLOOKUP(Sheet1!D$2,'[1]AA&amp;AS AGE'!$1:$2,2,FALSE),FALSE),0))/(D$4)</f>
        <v>0.19665683382497542</v>
      </c>
      <c r="E28" s="31">
        <f>(IFERROR(VLOOKUP($A28,'[1]AA&amp;AS AGE'!$A:$F,HLOOKUP(Sheet1!E$2,'[1]AA&amp;AS AGE'!$1:$2,2,FALSE),FALSE),0))/(E$4)</f>
        <v>0.17518248175182483</v>
      </c>
      <c r="F28" s="31">
        <f>(IFERROR(VLOOKUP($A28,'[1]AA&amp;AS AGE'!$A:$F,HLOOKUP(Sheet1!F$2,'[1]AA&amp;AS AGE'!$1:$2,2,FALSE),FALSE),0))/(F$4)</f>
        <v>0.18324125230202579</v>
      </c>
      <c r="G28" s="45">
        <f>[2]Sheet1!$K28</f>
        <v>0.1343810791440565</v>
      </c>
      <c r="H28" s="46">
        <f t="shared" si="3"/>
        <v>4.8860173157969283E-2</v>
      </c>
      <c r="J28" s="29" t="s">
        <v>49</v>
      </c>
    </row>
    <row r="29" spans="1:10" x14ac:dyDescent="0.25">
      <c r="A29" s="39" t="s">
        <v>21</v>
      </c>
      <c r="B29" s="31">
        <f>(IFERROR(VLOOKUP($A29,'[1]AA&amp;AS AGE'!$A:$F,HLOOKUP(Sheet1!B$2,'[1]AA&amp;AS AGE'!$1:$2,2,FALSE),FALSE),0))/(B$4)</f>
        <v>0.11403508771929824</v>
      </c>
      <c r="C29" s="31">
        <f>(IFERROR(VLOOKUP($A29,'[1]AA&amp;AS AGE'!$A:$F,HLOOKUP(Sheet1!C$2,'[1]AA&amp;AS AGE'!$1:$2,2,FALSE),FALSE),0))/(C$4)</f>
        <v>0.11538461538461539</v>
      </c>
      <c r="D29" s="31">
        <f>(IFERROR(VLOOKUP($A29,'[1]AA&amp;AS AGE'!$A:$F,HLOOKUP(Sheet1!D$2,'[1]AA&amp;AS AGE'!$1:$2,2,FALSE),FALSE),0))/(D$4)</f>
        <v>0.10226155358898721</v>
      </c>
      <c r="E29" s="31">
        <f>(IFERROR(VLOOKUP($A29,'[1]AA&amp;AS AGE'!$A:$F,HLOOKUP(Sheet1!E$2,'[1]AA&amp;AS AGE'!$1:$2,2,FALSE),FALSE),0))/(E$4)</f>
        <v>0.10218978102189781</v>
      </c>
      <c r="F29" s="31">
        <f>(IFERROR(VLOOKUP($A29,'[1]AA&amp;AS AGE'!$A:$F,HLOOKUP(Sheet1!F$2,'[1]AA&amp;AS AGE'!$1:$2,2,FALSE),FALSE),0))/(F$4)</f>
        <v>0.10220994475138122</v>
      </c>
      <c r="G29" s="45">
        <f>[2]Sheet1!$K29</f>
        <v>7.8632128596293635E-2</v>
      </c>
      <c r="H29" s="46">
        <f t="shared" si="3"/>
        <v>2.3577816155087583E-2</v>
      </c>
      <c r="J29" s="29" t="s">
        <v>50</v>
      </c>
    </row>
    <row r="30" spans="1:10" x14ac:dyDescent="0.25">
      <c r="A30" s="39" t="s">
        <v>22</v>
      </c>
      <c r="B30" s="31">
        <f>(IFERROR(VLOOKUP($A30,'[1]AA&amp;AS AGE'!$A:$F,HLOOKUP(Sheet1!B$2,'[1]AA&amp;AS AGE'!$1:$2,2,FALSE),FALSE),0))/(B$4)</f>
        <v>7.6754385964912283E-2</v>
      </c>
      <c r="C30" s="31">
        <f>(IFERROR(VLOOKUP($A30,'[1]AA&amp;AS AGE'!$A:$F,HLOOKUP(Sheet1!C$2,'[1]AA&amp;AS AGE'!$1:$2,2,FALSE),FALSE),0))/(C$4)</f>
        <v>8.2995951417004055E-2</v>
      </c>
      <c r="D30" s="31">
        <f>(IFERROR(VLOOKUP($A30,'[1]AA&amp;AS AGE'!$A:$F,HLOOKUP(Sheet1!D$2,'[1]AA&amp;AS AGE'!$1:$2,2,FALSE),FALSE),0))/(D$4)</f>
        <v>7.1779744346116031E-2</v>
      </c>
      <c r="E30" s="31">
        <f>(IFERROR(VLOOKUP($A30,'[1]AA&amp;AS AGE'!$A:$F,HLOOKUP(Sheet1!E$2,'[1]AA&amp;AS AGE'!$1:$2,2,FALSE),FALSE),0))/(E$4)</f>
        <v>7.3905109489051102E-2</v>
      </c>
      <c r="F30" s="31">
        <f>(IFERROR(VLOOKUP($A30,'[1]AA&amp;AS AGE'!$A:$F,HLOOKUP(Sheet1!F$2,'[1]AA&amp;AS AGE'!$1:$2,2,FALSE),FALSE),0))/(F$4)</f>
        <v>7.4585635359116026E-2</v>
      </c>
      <c r="G30" s="45">
        <f>[2]Sheet1!$K30</f>
        <v>5.4981058666939697E-2</v>
      </c>
      <c r="H30" s="46">
        <f t="shared" si="3"/>
        <v>1.9604576692176329E-2</v>
      </c>
      <c r="J30" s="29" t="s">
        <v>51</v>
      </c>
    </row>
    <row r="31" spans="1:10" x14ac:dyDescent="0.25">
      <c r="A31" s="39" t="s">
        <v>23</v>
      </c>
      <c r="B31" s="31">
        <f>(IFERROR(VLOOKUP($A31,'[1]AA&amp;AS AGE'!$A:$F,HLOOKUP(Sheet1!B$2,'[1]AA&amp;AS AGE'!$1:$2,2,FALSE),FALSE),0))/(B$4)</f>
        <v>0.13048245614035087</v>
      </c>
      <c r="C31" s="31">
        <f>(IFERROR(VLOOKUP($A31,'[1]AA&amp;AS AGE'!$A:$F,HLOOKUP(Sheet1!C$2,'[1]AA&amp;AS AGE'!$1:$2,2,FALSE),FALSE),0))/(C$4)</f>
        <v>0.11336032388663968</v>
      </c>
      <c r="D31" s="31">
        <f>(IFERROR(VLOOKUP($A31,'[1]AA&amp;AS AGE'!$A:$F,HLOOKUP(Sheet1!D$2,'[1]AA&amp;AS AGE'!$1:$2,2,FALSE),FALSE),0))/(D$4)</f>
        <v>0.13274336283185842</v>
      </c>
      <c r="E31" s="31">
        <f>(IFERROR(VLOOKUP($A31,'[1]AA&amp;AS AGE'!$A:$F,HLOOKUP(Sheet1!E$2,'[1]AA&amp;AS AGE'!$1:$2,2,FALSE),FALSE),0))/(E$4)</f>
        <v>0.12864963503649635</v>
      </c>
      <c r="F31" s="31">
        <f>(IFERROR(VLOOKUP($A31,'[1]AA&amp;AS AGE'!$A:$F,HLOOKUP(Sheet1!F$2,'[1]AA&amp;AS AGE'!$1:$2,2,FALSE),FALSE),0))/(F$4)</f>
        <v>9.8526703499079188E-2</v>
      </c>
      <c r="G31" s="45">
        <f>[2]Sheet1!$K31</f>
        <v>8.0526261902324148E-2</v>
      </c>
      <c r="H31" s="46">
        <f t="shared" si="3"/>
        <v>1.800044159675504E-2</v>
      </c>
      <c r="J31" s="29" t="s">
        <v>52</v>
      </c>
    </row>
    <row r="32" spans="1:10" x14ac:dyDescent="0.25">
      <c r="A32" s="39" t="s">
        <v>24</v>
      </c>
      <c r="B32" s="31">
        <f>(IFERROR(VLOOKUP($A32,'[1]AA&amp;AS AGE'!$A:$F,HLOOKUP(Sheet1!B$2,'[1]AA&amp;AS AGE'!$1:$2,2,FALSE),FALSE),0))/(B$4)</f>
        <v>5.1535087719298246E-2</v>
      </c>
      <c r="C32" s="31">
        <f>(IFERROR(VLOOKUP($A32,'[1]AA&amp;AS AGE'!$A:$F,HLOOKUP(Sheet1!C$2,'[1]AA&amp;AS AGE'!$1:$2,2,FALSE),FALSE),0))/(C$4)</f>
        <v>5.4655870445344132E-2</v>
      </c>
      <c r="D32" s="31">
        <f>(IFERROR(VLOOKUP($A32,'[1]AA&amp;AS AGE'!$A:$F,HLOOKUP(Sheet1!D$2,'[1]AA&amp;AS AGE'!$1:$2,2,FALSE),FALSE),0))/(D$4)</f>
        <v>4.8180924287118974E-2</v>
      </c>
      <c r="E32" s="31">
        <f>(IFERROR(VLOOKUP($A32,'[1]AA&amp;AS AGE'!$A:$F,HLOOKUP(Sheet1!E$2,'[1]AA&amp;AS AGE'!$1:$2,2,FALSE),FALSE),0))/(E$4)</f>
        <v>5.5656934306569344E-2</v>
      </c>
      <c r="F32" s="31">
        <f>(IFERROR(VLOOKUP($A32,'[1]AA&amp;AS AGE'!$A:$F,HLOOKUP(Sheet1!F$2,'[1]AA&amp;AS AGE'!$1:$2,2,FALSE),FALSE),0))/(F$4)</f>
        <v>5.2486187845303865E-2</v>
      </c>
      <c r="G32" s="45">
        <f>[2]Sheet1!$K32</f>
        <v>4.8479574075970103E-2</v>
      </c>
      <c r="H32" s="46">
        <f t="shared" si="3"/>
        <v>4.0066137693337625E-3</v>
      </c>
    </row>
    <row r="33" spans="1:10" ht="15.75" thickBot="1" x14ac:dyDescent="0.3">
      <c r="A33" s="40" t="s">
        <v>7</v>
      </c>
      <c r="B33" s="41">
        <f>(IFERROR(VLOOKUP($A33,'[1]AA&amp;AS AGE'!$A:$F,HLOOKUP(Sheet1!B$2,'[1]AA&amp;AS AGE'!$1:$2,2,FALSE),FALSE),0))/(B$4)</f>
        <v>0</v>
      </c>
      <c r="C33" s="41">
        <f>(IFERROR(VLOOKUP($A33,'[1]AA&amp;AS AGE'!$A:$F,HLOOKUP(Sheet1!C$2,'[1]AA&amp;AS AGE'!$1:$2,2,FALSE),FALSE),0))/(C$4)</f>
        <v>0</v>
      </c>
      <c r="D33" s="41">
        <f>(IFERROR(VLOOKUP($A33,'[1]AA&amp;AS AGE'!$A:$F,HLOOKUP(Sheet1!D$2,'[1]AA&amp;AS AGE'!$1:$2,2,FALSE),FALSE),0))/(D$4)</f>
        <v>0</v>
      </c>
      <c r="E33" s="41">
        <f>(IFERROR(VLOOKUP($A33,'[1]AA&amp;AS AGE'!$A:$F,HLOOKUP(Sheet1!E$2,'[1]AA&amp;AS AGE'!$1:$2,2,FALSE),FALSE),0))/(E$4)</f>
        <v>0</v>
      </c>
      <c r="F33" s="41">
        <f>(IFERROR(VLOOKUP($A33,'[1]AA&amp;AS AGE'!$A:$F,HLOOKUP(Sheet1!F$2,'[1]AA&amp;AS AGE'!$1:$2,2,FALSE),FALSE),0))/(F$4)</f>
        <v>0</v>
      </c>
      <c r="G33" s="45">
        <f>[2]Sheet1!$K33</f>
        <v>1.0238558410975735E-4</v>
      </c>
      <c r="H33" s="46">
        <f t="shared" si="3"/>
        <v>-1.0238558410975735E-4</v>
      </c>
      <c r="J33" s="29"/>
    </row>
    <row r="34" spans="1:10" s="1" customFormat="1" ht="15.75" thickBot="1" x14ac:dyDescent="0.3">
      <c r="A34" s="2"/>
      <c r="B34" s="11"/>
      <c r="C34" s="8"/>
      <c r="D34" s="8"/>
      <c r="E34" s="8"/>
      <c r="F34" s="8"/>
      <c r="G34" s="35"/>
      <c r="H34" s="36"/>
    </row>
    <row r="35" spans="1:10" ht="15.75" thickBot="1" x14ac:dyDescent="0.3">
      <c r="A35" s="23"/>
      <c r="B35" s="9" t="s">
        <v>3</v>
      </c>
      <c r="C35" s="7" t="s">
        <v>3</v>
      </c>
      <c r="D35" s="7" t="s">
        <v>3</v>
      </c>
      <c r="E35" s="7" t="s">
        <v>3</v>
      </c>
      <c r="F35" s="7" t="s">
        <v>3</v>
      </c>
      <c r="G35" s="35"/>
      <c r="H35" s="36"/>
    </row>
    <row r="36" spans="1:10" ht="15.75" thickBot="1" x14ac:dyDescent="0.3">
      <c r="A36" s="23" t="s">
        <v>25</v>
      </c>
      <c r="B36" s="12"/>
      <c r="C36" s="13"/>
      <c r="D36" s="13"/>
      <c r="E36" s="13"/>
      <c r="F36" s="13"/>
      <c r="G36" s="35"/>
      <c r="H36" s="36"/>
    </row>
  </sheetData>
  <mergeCells count="2">
    <mergeCell ref="A1:A2"/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K16" sqref="K16"/>
    </sheetView>
  </sheetViews>
  <sheetFormatPr defaultRowHeight="15" x14ac:dyDescent="0.25"/>
  <cols>
    <col min="1" max="1" width="19.140625" style="1" customWidth="1"/>
    <col min="2" max="6" width="8.140625" style="1" bestFit="1" customWidth="1"/>
    <col min="7" max="7" width="20.140625" style="33" bestFit="1" customWidth="1"/>
    <col min="8" max="8" width="10.5703125" style="1" bestFit="1" customWidth="1"/>
    <col min="9" max="16384" width="9.140625" style="1"/>
  </cols>
  <sheetData>
    <row r="1" spans="1:13" ht="15.75" x14ac:dyDescent="0.25">
      <c r="A1" s="81" t="s">
        <v>0</v>
      </c>
      <c r="B1" s="92" t="s">
        <v>55</v>
      </c>
      <c r="C1" s="93"/>
      <c r="D1" s="93"/>
      <c r="E1" s="93"/>
      <c r="F1" s="93"/>
    </row>
    <row r="2" spans="1:13" ht="15.75" customHeight="1" thickBot="1" x14ac:dyDescent="0.3">
      <c r="A2" s="87" t="s">
        <v>66</v>
      </c>
      <c r="B2" s="49" t="s">
        <v>27</v>
      </c>
      <c r="C2" s="49" t="s">
        <v>28</v>
      </c>
      <c r="D2" s="49" t="s">
        <v>29</v>
      </c>
      <c r="E2" s="49" t="s">
        <v>30</v>
      </c>
      <c r="F2" s="49" t="s">
        <v>31</v>
      </c>
    </row>
    <row r="3" spans="1:13" ht="15.75" thickBot="1" x14ac:dyDescent="0.3">
      <c r="A3" s="84" t="s">
        <v>57</v>
      </c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</row>
    <row r="4" spans="1:13" ht="15.75" thickBot="1" x14ac:dyDescent="0.3">
      <c r="A4" s="22" t="s">
        <v>4</v>
      </c>
      <c r="B4" s="10">
        <f>VLOOKUP(Sheet2!$A1,'[1]AA&amp;AS GENDER'!$A:$F,HLOOKUP(Sheet1!B$2,'[1]AA&amp;AS GENDER'!$1:$2,2,FALSE),FALSE)</f>
        <v>912</v>
      </c>
      <c r="C4" s="10">
        <f>VLOOKUP(Sheet2!$A1,'[1]AA&amp;AS GENDER'!$A:$F,HLOOKUP(Sheet1!C$2,'[1]AA&amp;AS GENDER'!$1:$2,2,FALSE),FALSE)</f>
        <v>988</v>
      </c>
      <c r="D4" s="10">
        <f>VLOOKUP(Sheet2!$A1,'[1]AA&amp;AS GENDER'!$A:$F,HLOOKUP(Sheet1!D$2,'[1]AA&amp;AS GENDER'!$1:$2,2,FALSE),FALSE)</f>
        <v>1017</v>
      </c>
      <c r="E4" s="10">
        <f>VLOOKUP(Sheet2!$A1,'[1]AA&amp;AS GENDER'!$A:$F,HLOOKUP(Sheet1!E$2,'[1]AA&amp;AS GENDER'!$1:$2,2,FALSE),FALSE)</f>
        <v>1096</v>
      </c>
      <c r="F4" s="10">
        <f>VLOOKUP(Sheet2!$A1,'[1]AA&amp;AS GENDER'!$A:$F,HLOOKUP(Sheet1!F$2,'[1]AA&amp;AS GENDER'!$1:$2,2,FALSE),FALSE)</f>
        <v>1086</v>
      </c>
    </row>
    <row r="5" spans="1:13" ht="15.75" thickBot="1" x14ac:dyDescent="0.3">
      <c r="A5" s="4"/>
      <c r="B5" s="6"/>
      <c r="C5" s="6"/>
      <c r="D5" s="6"/>
      <c r="E5" s="6"/>
      <c r="F5" s="6"/>
    </row>
    <row r="6" spans="1:13" ht="15.75" thickBot="1" x14ac:dyDescent="0.3">
      <c r="A6" s="52" t="s">
        <v>2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69" t="s">
        <v>56</v>
      </c>
      <c r="H6" s="64" t="s">
        <v>53</v>
      </c>
    </row>
    <row r="7" spans="1:13" x14ac:dyDescent="0.25">
      <c r="A7" s="54" t="s">
        <v>5</v>
      </c>
      <c r="B7" s="55">
        <f>(VLOOKUP(Sheet2!$A7,'[1]AA&amp;AS GENDER'!$A:$F,HLOOKUP(Sheet1!B$2,'[1]AA&amp;AS GENDER'!$1:$2,2,FALSE),FALSE))/(B$4)</f>
        <v>0.67763157894736847</v>
      </c>
      <c r="C7" s="55">
        <f>(VLOOKUP(Sheet2!$A7,'[1]AA&amp;AS GENDER'!$A:$F,HLOOKUP(Sheet1!C$2,'[1]AA&amp;AS GENDER'!$1:$2,2,FALSE),FALSE))/(C$4)</f>
        <v>0.68117408906882593</v>
      </c>
      <c r="D7" s="55">
        <f>(VLOOKUP(Sheet2!$A7,'[1]AA&amp;AS GENDER'!$A:$F,HLOOKUP(Sheet1!D$2,'[1]AA&amp;AS GENDER'!$1:$2,2,FALSE),FALSE))/(D$4)</f>
        <v>0.65978367748279254</v>
      </c>
      <c r="E7" s="55">
        <f>(VLOOKUP(Sheet2!$A7,'[1]AA&amp;AS GENDER'!$A:$F,HLOOKUP(Sheet1!E$2,'[1]AA&amp;AS GENDER'!$1:$2,2,FALSE),FALSE))/(E$4)</f>
        <v>0.6441605839416058</v>
      </c>
      <c r="F7" s="55">
        <f>(VLOOKUP(Sheet2!$A7,'[1]AA&amp;AS GENDER'!$A:$F,HLOOKUP(Sheet1!F$2,'[1]AA&amp;AS GENDER'!$1:$2,2,FALSE),FALSE))/(F$4)</f>
        <v>0.62338858195211788</v>
      </c>
      <c r="G7" s="56">
        <v>0.59751318764129613</v>
      </c>
      <c r="H7" s="57">
        <f>F7-G7</f>
        <v>2.5875394310821753E-2</v>
      </c>
    </row>
    <row r="8" spans="1:13" x14ac:dyDescent="0.25">
      <c r="A8" s="58" t="s">
        <v>6</v>
      </c>
      <c r="B8" s="53">
        <f>(VLOOKUP(Sheet2!$A8,'[1]AA&amp;AS GENDER'!$A:$F,HLOOKUP(Sheet1!B$2,'[1]AA&amp;AS GENDER'!$1:$2,2,FALSE),FALSE))/(B$4)</f>
        <v>0.32127192982456143</v>
      </c>
      <c r="C8" s="53">
        <f>(VLOOKUP(Sheet2!$A8,'[1]AA&amp;AS GENDER'!$A:$F,HLOOKUP(Sheet1!C$2,'[1]AA&amp;AS GENDER'!$1:$2,2,FALSE),FALSE))/(C$4)</f>
        <v>0.31376518218623484</v>
      </c>
      <c r="D8" s="53">
        <f>(VLOOKUP(Sheet2!$A8,'[1]AA&amp;AS GENDER'!$A:$F,HLOOKUP(Sheet1!D$2,'[1]AA&amp;AS GENDER'!$1:$2,2,FALSE),FALSE))/(D$4)</f>
        <v>0.32841691248770893</v>
      </c>
      <c r="E8" s="53">
        <f>(VLOOKUP(Sheet2!$A8,'[1]AA&amp;AS GENDER'!$A:$F,HLOOKUP(Sheet1!E$2,'[1]AA&amp;AS GENDER'!$1:$2,2,FALSE),FALSE))/(E$4)</f>
        <v>0.34215328467153283</v>
      </c>
      <c r="F8" s="53">
        <f>(VLOOKUP(Sheet2!$A8,'[1]AA&amp;AS GENDER'!$A:$F,HLOOKUP(Sheet1!F$2,'[1]AA&amp;AS GENDER'!$1:$2,2,FALSE),FALSE))/(F$4)</f>
        <v>0.36556169429097607</v>
      </c>
      <c r="G8" s="51">
        <v>0.39344385832705353</v>
      </c>
      <c r="H8" s="59">
        <f>F8-G8</f>
        <v>-2.7882164036077461E-2</v>
      </c>
    </row>
    <row r="9" spans="1:13" ht="15.75" thickBot="1" x14ac:dyDescent="0.3">
      <c r="A9" s="60" t="s">
        <v>7</v>
      </c>
      <c r="B9" s="61">
        <f>(VLOOKUP(Sheet2!$A9,'[1]AA&amp;AS GENDER'!$A:$F,HLOOKUP(Sheet1!B$2,'[1]AA&amp;AS GENDER'!$1:$2,2,FALSE),FALSE))/(B$4)</f>
        <v>1.0964912280701754E-3</v>
      </c>
      <c r="C9" s="61">
        <f>(VLOOKUP(Sheet2!$A9,'[1]AA&amp;AS GENDER'!$A:$F,HLOOKUP(Sheet1!C$2,'[1]AA&amp;AS GENDER'!$1:$2,2,FALSE),FALSE))/(C$4)</f>
        <v>5.0607287449392713E-3</v>
      </c>
      <c r="D9" s="61">
        <f>(VLOOKUP(Sheet2!$A9,'[1]AA&amp;AS GENDER'!$A:$F,HLOOKUP(Sheet1!D$2,'[1]AA&amp;AS GENDER'!$1:$2,2,FALSE),FALSE))/(D$4)</f>
        <v>1.1799410029498525E-2</v>
      </c>
      <c r="E9" s="61">
        <f>(VLOOKUP(Sheet2!$A9,'[1]AA&amp;AS GENDER'!$A:$F,HLOOKUP(Sheet1!E$2,'[1]AA&amp;AS GENDER'!$1:$2,2,FALSE),FALSE))/(E$4)</f>
        <v>1.3686131386861315E-2</v>
      </c>
      <c r="F9" s="61">
        <f>(VLOOKUP(Sheet2!$A9,'[1]AA&amp;AS GENDER'!$A:$F,HLOOKUP(Sheet1!F$2,'[1]AA&amp;AS GENDER'!$1:$2,2,FALSE),FALSE))/(F$4)</f>
        <v>1.1049723756906077E-2</v>
      </c>
      <c r="G9" s="62">
        <v>9.0429540316503392E-3</v>
      </c>
      <c r="H9" s="63">
        <f>F9-G9</f>
        <v>2.0067697252557377E-3</v>
      </c>
    </row>
    <row r="10" spans="1:13" ht="15.75" thickBot="1" x14ac:dyDescent="0.3">
      <c r="A10" s="84" t="s">
        <v>57</v>
      </c>
      <c r="B10" s="32"/>
      <c r="C10" s="32"/>
      <c r="D10" s="32"/>
      <c r="E10" s="32"/>
      <c r="F10" s="32"/>
      <c r="G10" s="35"/>
    </row>
    <row r="11" spans="1:13" ht="15.75" thickBot="1" x14ac:dyDescent="0.3">
      <c r="A11" s="20"/>
      <c r="B11" s="8"/>
      <c r="C11" s="8"/>
      <c r="D11" s="8"/>
      <c r="E11" s="8"/>
      <c r="F11" s="8"/>
    </row>
    <row r="12" spans="1:13" ht="15.75" thickBot="1" x14ac:dyDescent="0.3">
      <c r="A12" s="5" t="s">
        <v>8</v>
      </c>
      <c r="B12" s="7" t="s">
        <v>3</v>
      </c>
      <c r="C12" s="7" t="s">
        <v>3</v>
      </c>
      <c r="D12" s="7" t="s">
        <v>3</v>
      </c>
      <c r="E12" s="7" t="s">
        <v>3</v>
      </c>
      <c r="F12" s="7" t="s">
        <v>3</v>
      </c>
      <c r="G12" s="69" t="str">
        <f>G6</f>
        <v>AY11-12  + 3 terms</v>
      </c>
      <c r="H12" s="64" t="s">
        <v>53</v>
      </c>
    </row>
    <row r="13" spans="1:13" x14ac:dyDescent="0.25">
      <c r="A13" s="65" t="s">
        <v>9</v>
      </c>
      <c r="B13" s="55">
        <f>(VLOOKUP(Sheet2!$A12,'[1]AA&amp;AS races'!$A:$F,HLOOKUP(Sheet1!B$2,'[1]AA&amp;AS races'!$1:$2,2,FALSE),FALSE))/(B$4)</f>
        <v>0.52083333333333337</v>
      </c>
      <c r="C13" s="55">
        <f>(VLOOKUP(Sheet2!$A12,'[1]AA&amp;AS races'!$A:$F,HLOOKUP(Sheet1!C$2,'[1]AA&amp;AS races'!$1:$2,2,FALSE),FALSE))/(C$4)</f>
        <v>0.52226720647773284</v>
      </c>
      <c r="D13" s="55">
        <f>(VLOOKUP(Sheet2!$A12,'[1]AA&amp;AS races'!$A:$F,HLOOKUP(Sheet1!D$2,'[1]AA&amp;AS races'!$1:$2,2,FALSE),FALSE))/(D$4)</f>
        <v>0.48967551622418881</v>
      </c>
      <c r="E13" s="55">
        <f>(VLOOKUP(Sheet2!$A12,'[1]AA&amp;AS races'!$A:$F,HLOOKUP(Sheet1!E$2,'[1]AA&amp;AS races'!$1:$2,2,FALSE),FALSE))/(E$4)</f>
        <v>0.49361313868613138</v>
      </c>
      <c r="F13" s="55">
        <f>(VLOOKUP(Sheet2!$A12,'[1]AA&amp;AS races'!$A:$F,HLOOKUP(Sheet1!F$2,'[1]AA&amp;AS races'!$1:$2,2,FALSE),FALSE))/(F$4)</f>
        <v>0.48987108655616945</v>
      </c>
      <c r="G13" s="66">
        <v>0.41</v>
      </c>
      <c r="H13" s="57">
        <f t="shared" ref="H13:H21" si="0">F13-G13</f>
        <v>7.9871086556169479E-2</v>
      </c>
      <c r="M13" s="26"/>
    </row>
    <row r="14" spans="1:13" x14ac:dyDescent="0.25">
      <c r="A14" s="67" t="s">
        <v>10</v>
      </c>
      <c r="B14" s="53">
        <f>(VLOOKUP(Sheet2!$A13,'[1]AA&amp;AS Hispanics'!$A:$F,HLOOKUP(Sheet1!B$2,'[1]AA&amp;AS Hispanics'!$1:$2,2,FALSE),FALSE))/(B$4)</f>
        <v>0.30701754385964913</v>
      </c>
      <c r="C14" s="53">
        <f>(VLOOKUP(Sheet2!$A13,'[1]AA&amp;AS Hispanics'!$A:$F,HLOOKUP(Sheet1!C$2,'[1]AA&amp;AS Hispanics'!$1:$2,2,FALSE),FALSE))/(C$4)</f>
        <v>0.32793522267206476</v>
      </c>
      <c r="D14" s="53">
        <f>(VLOOKUP(Sheet2!$A13,'[1]AA&amp;AS Hispanics'!$A:$F,HLOOKUP(Sheet1!D$2,'[1]AA&amp;AS Hispanics'!$1:$2,2,FALSE),FALSE))/(D$4)</f>
        <v>0.34906588003933137</v>
      </c>
      <c r="E14" s="53">
        <f>(VLOOKUP(Sheet2!$A13,'[1]AA&amp;AS Hispanics'!$A:$F,HLOOKUP(Sheet1!E$2,'[1]AA&amp;AS Hispanics'!$1:$2,2,FALSE),FALSE))/(E$4)</f>
        <v>0.3448905109489051</v>
      </c>
      <c r="F14" s="53">
        <f>(VLOOKUP(Sheet2!$A13,'[1]AA&amp;AS Hispanics'!$A:$F,HLOOKUP(Sheet1!F$2,'[1]AA&amp;AS Hispanics'!$1:$2,2,FALSE),FALSE))/(F$4)</f>
        <v>0.35359116022099446</v>
      </c>
      <c r="G14" s="45">
        <f>[3]hispanic!$E$9</f>
        <v>0.35561416729464956</v>
      </c>
      <c r="H14" s="59">
        <f t="shared" si="0"/>
        <v>-2.0230070736551031E-3</v>
      </c>
      <c r="M14" s="26"/>
    </row>
    <row r="15" spans="1:13" x14ac:dyDescent="0.25">
      <c r="A15" s="67" t="s">
        <v>11</v>
      </c>
      <c r="B15" s="53">
        <f>(VLOOKUP(Sheet2!$A14,'[1]AA&amp;AS races'!$A:$F,HLOOKUP(Sheet1!B$2,'[1]AA&amp;AS races'!$1:$2,2,FALSE),FALSE))/(B$4)</f>
        <v>6.4692982456140358E-2</v>
      </c>
      <c r="C15" s="53">
        <f>(VLOOKUP(Sheet2!$A14,'[1]AA&amp;AS races'!$A:$F,HLOOKUP(Sheet1!C$2,'[1]AA&amp;AS races'!$1:$2,2,FALSE),FALSE))/(C$4)</f>
        <v>4.9595141700404861E-2</v>
      </c>
      <c r="D15" s="53">
        <f>(VLOOKUP(Sheet2!$A14,'[1]AA&amp;AS races'!$A:$F,HLOOKUP(Sheet1!D$2,'[1]AA&amp;AS races'!$1:$2,2,FALSE),FALSE))/(D$4)</f>
        <v>6.0963618485742381E-2</v>
      </c>
      <c r="E15" s="53">
        <f>(VLOOKUP(Sheet2!$A14,'[1]AA&amp;AS races'!$A:$F,HLOOKUP(Sheet1!E$2,'[1]AA&amp;AS races'!$1:$2,2,FALSE),FALSE))/(E$4)</f>
        <v>4.9270072992700732E-2</v>
      </c>
      <c r="F15" s="53">
        <f>(VLOOKUP(Sheet2!$A14,'[1]AA&amp;AS races'!$A:$F,HLOOKUP(Sheet1!F$2,'[1]AA&amp;AS races'!$1:$2,2,FALSE),FALSE))/(F$4)</f>
        <v>5.0644567219152857E-2</v>
      </c>
      <c r="G15" s="45">
        <v>7.0000000000000007E-2</v>
      </c>
      <c r="H15" s="59">
        <f t="shared" si="0"/>
        <v>-1.935543278084715E-2</v>
      </c>
      <c r="M15" s="26"/>
    </row>
    <row r="16" spans="1:13" x14ac:dyDescent="0.25">
      <c r="A16" s="67" t="s">
        <v>12</v>
      </c>
      <c r="B16" s="53">
        <f>(VLOOKUP(Sheet2!$A15,'[1]AA&amp;AS races'!$A:$F,HLOOKUP(Sheet1!B$2,'[1]AA&amp;AS races'!$1:$2,2,FALSE),FALSE))/(B$4)</f>
        <v>2.5219298245614034E-2</v>
      </c>
      <c r="C16" s="53">
        <f>(VLOOKUP(Sheet2!$A15,'[1]AA&amp;AS races'!$A:$F,HLOOKUP(Sheet1!C$2,'[1]AA&amp;AS races'!$1:$2,2,FALSE),FALSE))/(C$4)</f>
        <v>1.7206477732793522E-2</v>
      </c>
      <c r="D16" s="53">
        <f>(VLOOKUP(Sheet2!$A15,'[1]AA&amp;AS races'!$A:$F,HLOOKUP(Sheet1!D$2,'[1]AA&amp;AS races'!$1:$2,2,FALSE),FALSE))/(D$4)</f>
        <v>3.1465093411996069E-2</v>
      </c>
      <c r="E16" s="53">
        <f>(VLOOKUP(Sheet2!$A15,'[1]AA&amp;AS races'!$A:$F,HLOOKUP(Sheet1!E$2,'[1]AA&amp;AS races'!$1:$2,2,FALSE),FALSE))/(E$4)</f>
        <v>3.6496350364963501E-2</v>
      </c>
      <c r="F16" s="53">
        <f>(VLOOKUP(Sheet2!$A15,'[1]AA&amp;AS races'!$A:$F,HLOOKUP(Sheet1!F$2,'[1]AA&amp;AS races'!$1:$2,2,FALSE),FALSE))/(F$4)</f>
        <v>2.85451197053407E-2</v>
      </c>
      <c r="G16" s="45">
        <v>0.03</v>
      </c>
      <c r="H16" s="59">
        <f t="shared" si="0"/>
        <v>-1.4548802946592991E-3</v>
      </c>
      <c r="M16" s="26"/>
    </row>
    <row r="17" spans="1:13" x14ac:dyDescent="0.25">
      <c r="A17" s="67" t="s">
        <v>13</v>
      </c>
      <c r="B17" s="53">
        <f>(VLOOKUP(Sheet2!$A16,'[1]AA&amp;AS races'!$A:$F,HLOOKUP(Sheet1!B$2,'[1]AA&amp;AS races'!$1:$2,2,FALSE),FALSE))/(B$4)</f>
        <v>1.3157894736842105E-2</v>
      </c>
      <c r="C17" s="53">
        <f>(VLOOKUP(Sheet2!$A16,'[1]AA&amp;AS races'!$A:$F,HLOOKUP(Sheet1!C$2,'[1]AA&amp;AS races'!$1:$2,2,FALSE),FALSE))/(C$4)</f>
        <v>1.2145748987854251E-2</v>
      </c>
      <c r="D17" s="53">
        <f>(VLOOKUP(Sheet2!$A16,'[1]AA&amp;AS races'!$A:$F,HLOOKUP(Sheet1!D$2,'[1]AA&amp;AS races'!$1:$2,2,FALSE),FALSE))/(D$4)</f>
        <v>7.8662733529990172E-3</v>
      </c>
      <c r="E17" s="53">
        <f>(VLOOKUP(Sheet2!$A16,'[1]AA&amp;AS races'!$A:$F,HLOOKUP(Sheet1!E$2,'[1]AA&amp;AS races'!$1:$2,2,FALSE),FALSE))/(E$4)</f>
        <v>1.2773722627737226E-2</v>
      </c>
      <c r="F17" s="53">
        <f>(VLOOKUP(Sheet2!$A16,'[1]AA&amp;AS races'!$A:$F,HLOOKUP(Sheet1!F$2,'[1]AA&amp;AS races'!$1:$2,2,FALSE),FALSE))/(F$4)</f>
        <v>6.4456721915285451E-3</v>
      </c>
      <c r="G17" s="45">
        <v>0.01</v>
      </c>
      <c r="H17" s="59">
        <f t="shared" si="0"/>
        <v>-3.5543278084714551E-3</v>
      </c>
      <c r="M17" s="26"/>
    </row>
    <row r="18" spans="1:13" x14ac:dyDescent="0.25">
      <c r="A18" s="67" t="s">
        <v>14</v>
      </c>
      <c r="B18" s="53">
        <f>(VLOOKUP(Sheet2!$A17,'[1]AA&amp;AS races'!$A:$F,HLOOKUP(Sheet1!B$2,'[1]AA&amp;AS races'!$1:$2,2,FALSE),FALSE))/(B$4)</f>
        <v>4.4956140350877194E-2</v>
      </c>
      <c r="C18" s="53">
        <f>(VLOOKUP(Sheet2!$A17,'[1]AA&amp;AS races'!$A:$F,HLOOKUP(Sheet1!C$2,'[1]AA&amp;AS races'!$1:$2,2,FALSE),FALSE))/(C$4)</f>
        <v>4.5546558704453441E-2</v>
      </c>
      <c r="D18" s="53">
        <f>(VLOOKUP(Sheet2!$A17,'[1]AA&amp;AS races'!$A:$F,HLOOKUP(Sheet1!D$2,'[1]AA&amp;AS races'!$1:$2,2,FALSE),FALSE))/(D$4)</f>
        <v>3.9331366764995081E-2</v>
      </c>
      <c r="E18" s="53">
        <f>(VLOOKUP(Sheet2!$A17,'[1]AA&amp;AS races'!$A:$F,HLOOKUP(Sheet1!E$2,'[1]AA&amp;AS races'!$1:$2,2,FALSE),FALSE))/(E$4)</f>
        <v>3.3759124087591241E-2</v>
      </c>
      <c r="F18" s="53">
        <f>(VLOOKUP(Sheet2!$A17,'[1]AA&amp;AS races'!$A:$F,HLOOKUP(Sheet1!F$2,'[1]AA&amp;AS races'!$1:$2,2,FALSE),FALSE))/(F$4)</f>
        <v>4.9723756906077346E-2</v>
      </c>
      <c r="G18" s="45">
        <v>0.03</v>
      </c>
      <c r="H18" s="59">
        <f t="shared" si="0"/>
        <v>1.9723756906077347E-2</v>
      </c>
      <c r="M18" s="26"/>
    </row>
    <row r="19" spans="1:13" x14ac:dyDescent="0.25">
      <c r="A19" s="67" t="s">
        <v>15</v>
      </c>
      <c r="B19" s="53">
        <f>(VLOOKUP(Sheet2!$A18,'[1]AA&amp;AS races'!$A:$F,HLOOKUP(Sheet1!B$2,'[1]AA&amp;AS races'!$1:$2,2,FALSE),FALSE))/(B$4)</f>
        <v>4.3859649122807015E-3</v>
      </c>
      <c r="C19" s="53">
        <f>(VLOOKUP(Sheet2!$A18,'[1]AA&amp;AS races'!$A:$F,HLOOKUP(Sheet1!C$2,'[1]AA&amp;AS races'!$1:$2,2,FALSE),FALSE))/(C$4)</f>
        <v>7.0850202429149798E-3</v>
      </c>
      <c r="D19" s="53">
        <f>(VLOOKUP(Sheet2!$A18,'[1]AA&amp;AS races'!$A:$F,HLOOKUP(Sheet1!D$2,'[1]AA&amp;AS races'!$1:$2,2,FALSE),FALSE))/(D$4)</f>
        <v>7.8662733529990172E-3</v>
      </c>
      <c r="E19" s="53">
        <f>(VLOOKUP(Sheet2!$A18,'[1]AA&amp;AS races'!$A:$F,HLOOKUP(Sheet1!E$2,'[1]AA&amp;AS races'!$1:$2,2,FALSE),FALSE))/(E$4)</f>
        <v>9.1240875912408752E-3</v>
      </c>
      <c r="F19" s="53">
        <f>(VLOOKUP(Sheet2!$A18,'[1]AA&amp;AS races'!$A:$F,HLOOKUP(Sheet1!F$2,'[1]AA&amp;AS races'!$1:$2,2,FALSE),FALSE))/(F$4)</f>
        <v>3.6832412523020259E-3</v>
      </c>
      <c r="G19" s="45">
        <v>0.01</v>
      </c>
      <c r="H19" s="59">
        <f t="shared" si="0"/>
        <v>-6.3167587476979743E-3</v>
      </c>
      <c r="M19" s="26"/>
    </row>
    <row r="20" spans="1:13" x14ac:dyDescent="0.25">
      <c r="A20" s="80" t="s">
        <v>16</v>
      </c>
      <c r="B20" s="53">
        <f>(VLOOKUP(Sheet2!$A19,'[1]AA&amp;AS multi race'!$A:$F,HLOOKUP(Sheet1!B$2,'[1]AA&amp;AS multi race'!$1:$2,2,FALSE),FALSE))/(B$4)</f>
        <v>1.8640350877192981E-2</v>
      </c>
      <c r="C20" s="53">
        <f>(VLOOKUP(Sheet2!$A19,'[1]AA&amp;AS multi race'!$A:$F,HLOOKUP(Sheet1!C$2,'[1]AA&amp;AS multi race'!$1:$2,2,FALSE),FALSE))/(C$4)</f>
        <v>1.7206477732793522E-2</v>
      </c>
      <c r="D20" s="53">
        <f>(VLOOKUP(Sheet2!$A19,'[1]AA&amp;AS multi race'!$A:$F,HLOOKUP(Sheet1!D$2,'[1]AA&amp;AS multi race'!$1:$2,2,FALSE),FALSE))/(D$4)</f>
        <v>1.2782694198623401E-2</v>
      </c>
      <c r="E20" s="53">
        <f>(VLOOKUP(Sheet2!$A19,'[1]AA&amp;AS multi race'!$A:$F,HLOOKUP(Sheet1!E$2,'[1]AA&amp;AS multi race'!$1:$2,2,FALSE),FALSE))/(E$4)</f>
        <v>1.916058394160584E-2</v>
      </c>
      <c r="F20" s="53">
        <f>(VLOOKUP(Sheet2!$A19,'[1]AA&amp;AS multi race'!$A:$F,HLOOKUP(Sheet1!F$2,'[1]AA&amp;AS multi race'!$1:$2,2,FALSE),FALSE))/(F$4)</f>
        <v>1.3812154696132596E-2</v>
      </c>
      <c r="G20" s="45">
        <v>0.08</v>
      </c>
      <c r="H20" s="79">
        <f t="shared" si="0"/>
        <v>-6.6187845303867399E-2</v>
      </c>
    </row>
    <row r="21" spans="1:13" ht="15.75" thickBot="1" x14ac:dyDescent="0.3">
      <c r="A21" s="40" t="s">
        <v>7</v>
      </c>
      <c r="B21" s="61">
        <f>100%-SUM(B13:B20)</f>
        <v>1.0964912280699846E-3</v>
      </c>
      <c r="C21" s="61">
        <f t="shared" ref="C21:E21" si="1">100%-SUM(C13:C20)</f>
        <v>1.0121457489877805E-3</v>
      </c>
      <c r="D21" s="61">
        <f t="shared" si="1"/>
        <v>9.8328416912474292E-4</v>
      </c>
      <c r="E21" s="61">
        <f t="shared" si="1"/>
        <v>9.1240875912435015E-4</v>
      </c>
      <c r="F21" s="61">
        <f t="shared" ref="F21" si="2">100%-SUM(F13:F20)</f>
        <v>3.6832412523019054E-3</v>
      </c>
      <c r="G21" s="68">
        <v>0.05</v>
      </c>
      <c r="H21" s="63">
        <f t="shared" si="0"/>
        <v>-4.6316758747698097E-2</v>
      </c>
    </row>
    <row r="22" spans="1:13" ht="15.75" thickBot="1" x14ac:dyDescent="0.3">
      <c r="A22" s="84" t="s">
        <v>57</v>
      </c>
      <c r="B22" s="32"/>
      <c r="C22" s="32"/>
      <c r="D22" s="32"/>
      <c r="E22" s="32"/>
      <c r="F22" s="32"/>
      <c r="G22" s="35"/>
    </row>
    <row r="23" spans="1:13" ht="15.75" thickBot="1" x14ac:dyDescent="0.3">
      <c r="A23" s="2"/>
      <c r="B23" s="11"/>
      <c r="C23" s="11"/>
      <c r="D23" s="11"/>
      <c r="E23" s="11"/>
      <c r="F23" s="11"/>
    </row>
    <row r="24" spans="1:13" ht="15.75" thickBot="1" x14ac:dyDescent="0.3">
      <c r="A24" s="78" t="s">
        <v>17</v>
      </c>
      <c r="B24" s="7" t="s">
        <v>3</v>
      </c>
      <c r="C24" s="7" t="s">
        <v>3</v>
      </c>
      <c r="D24" s="7" t="s">
        <v>3</v>
      </c>
      <c r="E24" s="7" t="s">
        <v>3</v>
      </c>
      <c r="F24" s="7" t="s">
        <v>3</v>
      </c>
      <c r="G24" s="69" t="str">
        <f>G12</f>
        <v>AY11-12  + 3 terms</v>
      </c>
      <c r="H24" s="64" t="s">
        <v>53</v>
      </c>
    </row>
    <row r="25" spans="1:13" x14ac:dyDescent="0.25">
      <c r="A25" s="74" t="s">
        <v>18</v>
      </c>
      <c r="B25" s="75">
        <f>(IFERROR(VLOOKUP($A25,'[1]AA&amp;AS AGE'!$A:$F,HLOOKUP(Sheet1!B$2,'[1]AA&amp;AS AGE'!$1:$2,2,FALSE),FALSE),0))/(B$4)</f>
        <v>0</v>
      </c>
      <c r="C25" s="75">
        <f>(IFERROR(VLOOKUP($A25,'[1]AA&amp;AS AGE'!$A:$F,HLOOKUP(Sheet1!C$2,'[1]AA&amp;AS AGE'!$1:$2,2,FALSE),FALSE),0))/(C$4)</f>
        <v>0</v>
      </c>
      <c r="D25" s="75">
        <f>(IFERROR(VLOOKUP($A25,'[1]AA&amp;AS AGE'!$A:$F,HLOOKUP(Sheet1!D$2,'[1]AA&amp;AS AGE'!$1:$2,2,FALSE),FALSE),0))/(D$4)</f>
        <v>0</v>
      </c>
      <c r="E25" s="75">
        <f>(IFERROR(VLOOKUP($A25,'[1]AA&amp;AS AGE'!$A:$F,HLOOKUP(Sheet1!E$2,'[1]AA&amp;AS AGE'!$1:$2,2,FALSE),FALSE),0))/(E$4)</f>
        <v>1.8248175182481751E-3</v>
      </c>
      <c r="F25" s="75">
        <f>(IFERROR(VLOOKUP($A25,'[1]AA&amp;AS AGE'!$A:$F,HLOOKUP(Sheet1!F$2,'[1]AA&amp;AS AGE'!$1:$2,2,FALSE),FALSE),0))/(F$4)</f>
        <v>0</v>
      </c>
      <c r="G25" s="76">
        <v>9.1183119819140922E-3</v>
      </c>
      <c r="H25" s="77">
        <f t="shared" ref="H25:H33" si="3">F25-G25</f>
        <v>-9.1183119819140922E-3</v>
      </c>
    </row>
    <row r="26" spans="1:13" x14ac:dyDescent="0.25">
      <c r="A26" s="39" t="s">
        <v>19</v>
      </c>
      <c r="B26" s="31">
        <f>(IFERROR(VLOOKUP($A26,'[1]AA&amp;AS AGE'!$A:$F,HLOOKUP(Sheet1!B$2,'[1]AA&amp;AS AGE'!$1:$2,2,FALSE),FALSE),0))/(B$4)</f>
        <v>9.8684210526315784E-3</v>
      </c>
      <c r="C26" s="31">
        <f>(IFERROR(VLOOKUP($A26,'[1]AA&amp;AS AGE'!$A:$F,HLOOKUP(Sheet1!C$2,'[1]AA&amp;AS AGE'!$1:$2,2,FALSE),FALSE),0))/(C$4)</f>
        <v>1.5182186234817813E-2</v>
      </c>
      <c r="D26" s="31">
        <f>(IFERROR(VLOOKUP($A26,'[1]AA&amp;AS AGE'!$A:$F,HLOOKUP(Sheet1!D$2,'[1]AA&amp;AS AGE'!$1:$2,2,FALSE),FALSE),0))/(D$4)</f>
        <v>7.8662733529990172E-3</v>
      </c>
      <c r="E26" s="31">
        <f>(IFERROR(VLOOKUP($A26,'[1]AA&amp;AS AGE'!$A:$F,HLOOKUP(Sheet1!E$2,'[1]AA&amp;AS AGE'!$1:$2,2,FALSE),FALSE),0))/(E$4)</f>
        <v>7.2992700729927005E-3</v>
      </c>
      <c r="F26" s="31">
        <f>(IFERROR(VLOOKUP($A26,'[1]AA&amp;AS AGE'!$A:$F,HLOOKUP(Sheet1!F$2,'[1]AA&amp;AS AGE'!$1:$2,2,FALSE),FALSE),0))/(F$4)</f>
        <v>8.2872928176795577E-3</v>
      </c>
      <c r="G26" s="51">
        <v>0.13406179351921627</v>
      </c>
      <c r="H26" s="72">
        <f t="shared" si="3"/>
        <v>-0.1257745007015367</v>
      </c>
    </row>
    <row r="27" spans="1:13" x14ac:dyDescent="0.25">
      <c r="A27" s="39" t="s">
        <v>20</v>
      </c>
      <c r="B27" s="31">
        <f>(IFERROR(VLOOKUP($A27,'[1]AA&amp;AS AGE'!$A:$F,HLOOKUP(Sheet1!B$2,'[1]AA&amp;AS AGE'!$1:$2,2,FALSE),FALSE),0))/(B$4)</f>
        <v>0.42543859649122806</v>
      </c>
      <c r="C27" s="31">
        <f>(IFERROR(VLOOKUP($A27,'[1]AA&amp;AS AGE'!$A:$F,HLOOKUP(Sheet1!C$2,'[1]AA&amp;AS AGE'!$1:$2,2,FALSE),FALSE),0))/(C$4)</f>
        <v>0.44635627530364375</v>
      </c>
      <c r="D27" s="31">
        <f>(IFERROR(VLOOKUP($A27,'[1]AA&amp;AS AGE'!$A:$F,HLOOKUP(Sheet1!D$2,'[1]AA&amp;AS AGE'!$1:$2,2,FALSE),FALSE),0))/(D$4)</f>
        <v>0.44051130776794495</v>
      </c>
      <c r="E27" s="31">
        <f>(IFERROR(VLOOKUP($A27,'[1]AA&amp;AS AGE'!$A:$F,HLOOKUP(Sheet1!E$2,'[1]AA&amp;AS AGE'!$1:$2,2,FALSE),FALSE),0))/(E$4)</f>
        <v>0.45529197080291972</v>
      </c>
      <c r="F27" s="31">
        <f>(IFERROR(VLOOKUP($A27,'[1]AA&amp;AS AGE'!$A:$F,HLOOKUP(Sheet1!F$2,'[1]AA&amp;AS AGE'!$1:$2,2,FALSE),FALSE),0))/(F$4)</f>
        <v>0.48066298342541436</v>
      </c>
      <c r="G27" s="51">
        <v>0.42471740768651095</v>
      </c>
      <c r="H27" s="72">
        <f t="shared" si="3"/>
        <v>5.5945575738903408E-2</v>
      </c>
    </row>
    <row r="28" spans="1:13" x14ac:dyDescent="0.25">
      <c r="A28" s="39" t="s">
        <v>41</v>
      </c>
      <c r="B28" s="31">
        <f>(IFERROR(VLOOKUP($A28,'[1]AA&amp;AS AGE'!$A:$F,HLOOKUP(Sheet1!B$2,'[1]AA&amp;AS AGE'!$1:$2,2,FALSE),FALSE),0))/(B$4)</f>
        <v>0.19188596491228072</v>
      </c>
      <c r="C28" s="31">
        <f>(IFERROR(VLOOKUP($A28,'[1]AA&amp;AS AGE'!$A:$F,HLOOKUP(Sheet1!C$2,'[1]AA&amp;AS AGE'!$1:$2,2,FALSE),FALSE),0))/(C$4)</f>
        <v>0.17206477732793521</v>
      </c>
      <c r="D28" s="31">
        <f>(IFERROR(VLOOKUP($A28,'[1]AA&amp;AS AGE'!$A:$F,HLOOKUP(Sheet1!D$2,'[1]AA&amp;AS AGE'!$1:$2,2,FALSE),FALSE),0))/(D$4)</f>
        <v>0.19665683382497542</v>
      </c>
      <c r="E28" s="31">
        <f>(IFERROR(VLOOKUP($A28,'[1]AA&amp;AS AGE'!$A:$F,HLOOKUP(Sheet1!E$2,'[1]AA&amp;AS AGE'!$1:$2,2,FALSE),FALSE),0))/(E$4)</f>
        <v>0.17518248175182483</v>
      </c>
      <c r="F28" s="31">
        <f>(IFERROR(VLOOKUP($A28,'[1]AA&amp;AS AGE'!$A:$F,HLOOKUP(Sheet1!F$2,'[1]AA&amp;AS AGE'!$1:$2,2,FALSE),FALSE),0))/(F$4)</f>
        <v>0.18324125230202579</v>
      </c>
      <c r="G28" s="51">
        <v>0.1455162019593067</v>
      </c>
      <c r="H28" s="72">
        <f t="shared" si="3"/>
        <v>3.7725050342719085E-2</v>
      </c>
    </row>
    <row r="29" spans="1:13" x14ac:dyDescent="0.25">
      <c r="A29" s="39" t="s">
        <v>21</v>
      </c>
      <c r="B29" s="31">
        <f>(IFERROR(VLOOKUP($A29,'[1]AA&amp;AS AGE'!$A:$F,HLOOKUP(Sheet1!B$2,'[1]AA&amp;AS AGE'!$1:$2,2,FALSE),FALSE),0))/(B$4)</f>
        <v>0.11403508771929824</v>
      </c>
      <c r="C29" s="31">
        <f>(IFERROR(VLOOKUP($A29,'[1]AA&amp;AS AGE'!$A:$F,HLOOKUP(Sheet1!C$2,'[1]AA&amp;AS AGE'!$1:$2,2,FALSE),FALSE),0))/(C$4)</f>
        <v>0.11538461538461539</v>
      </c>
      <c r="D29" s="31">
        <f>(IFERROR(VLOOKUP($A29,'[1]AA&amp;AS AGE'!$A:$F,HLOOKUP(Sheet1!D$2,'[1]AA&amp;AS AGE'!$1:$2,2,FALSE),FALSE),0))/(D$4)</f>
        <v>0.10226155358898721</v>
      </c>
      <c r="E29" s="31">
        <f>(IFERROR(VLOOKUP($A29,'[1]AA&amp;AS AGE'!$A:$F,HLOOKUP(Sheet1!E$2,'[1]AA&amp;AS AGE'!$1:$2,2,FALSE),FALSE),0))/(E$4)</f>
        <v>0.10218978102189781</v>
      </c>
      <c r="F29" s="31">
        <f>(IFERROR(VLOOKUP($A29,'[1]AA&amp;AS AGE'!$A:$F,HLOOKUP(Sheet1!F$2,'[1]AA&amp;AS AGE'!$1:$2,2,FALSE),FALSE),0))/(F$4)</f>
        <v>0.10220994475138122</v>
      </c>
      <c r="G29" s="51">
        <v>8.3270535041446866E-2</v>
      </c>
      <c r="H29" s="72">
        <f t="shared" si="3"/>
        <v>1.8939409709934352E-2</v>
      </c>
    </row>
    <row r="30" spans="1:13" x14ac:dyDescent="0.25">
      <c r="A30" s="39" t="s">
        <v>22</v>
      </c>
      <c r="B30" s="31">
        <f>(IFERROR(VLOOKUP($A30,'[1]AA&amp;AS AGE'!$A:$F,HLOOKUP(Sheet1!B$2,'[1]AA&amp;AS AGE'!$1:$2,2,FALSE),FALSE),0))/(B$4)</f>
        <v>7.6754385964912283E-2</v>
      </c>
      <c r="C30" s="31">
        <f>(IFERROR(VLOOKUP($A30,'[1]AA&amp;AS AGE'!$A:$F,HLOOKUP(Sheet1!C$2,'[1]AA&amp;AS AGE'!$1:$2,2,FALSE),FALSE),0))/(C$4)</f>
        <v>8.2995951417004055E-2</v>
      </c>
      <c r="D30" s="31">
        <f>(IFERROR(VLOOKUP($A30,'[1]AA&amp;AS AGE'!$A:$F,HLOOKUP(Sheet1!D$2,'[1]AA&amp;AS AGE'!$1:$2,2,FALSE),FALSE),0))/(D$4)</f>
        <v>7.1779744346116031E-2</v>
      </c>
      <c r="E30" s="31">
        <f>(IFERROR(VLOOKUP($A30,'[1]AA&amp;AS AGE'!$A:$F,HLOOKUP(Sheet1!E$2,'[1]AA&amp;AS AGE'!$1:$2,2,FALSE),FALSE),0))/(E$4)</f>
        <v>7.3905109489051102E-2</v>
      </c>
      <c r="F30" s="31">
        <f>(IFERROR(VLOOKUP($A30,'[1]AA&amp;AS AGE'!$A:$F,HLOOKUP(Sheet1!F$2,'[1]AA&amp;AS AGE'!$1:$2,2,FALSE),FALSE),0))/(F$4)</f>
        <v>7.4585635359116026E-2</v>
      </c>
      <c r="G30" s="51">
        <v>6.1115297663903542E-2</v>
      </c>
      <c r="H30" s="72">
        <f t="shared" si="3"/>
        <v>1.3470337695212484E-2</v>
      </c>
    </row>
    <row r="31" spans="1:13" x14ac:dyDescent="0.25">
      <c r="A31" s="39" t="s">
        <v>23</v>
      </c>
      <c r="B31" s="31">
        <f>(IFERROR(VLOOKUP($A31,'[1]AA&amp;AS AGE'!$A:$F,HLOOKUP(Sheet1!B$2,'[1]AA&amp;AS AGE'!$1:$2,2,FALSE),FALSE),0))/(B$4)</f>
        <v>0.13048245614035087</v>
      </c>
      <c r="C31" s="31">
        <f>(IFERROR(VLOOKUP($A31,'[1]AA&amp;AS AGE'!$A:$F,HLOOKUP(Sheet1!C$2,'[1]AA&amp;AS AGE'!$1:$2,2,FALSE),FALSE),0))/(C$4)</f>
        <v>0.11336032388663968</v>
      </c>
      <c r="D31" s="31">
        <f>(IFERROR(VLOOKUP($A31,'[1]AA&amp;AS AGE'!$A:$F,HLOOKUP(Sheet1!D$2,'[1]AA&amp;AS AGE'!$1:$2,2,FALSE),FALSE),0))/(D$4)</f>
        <v>0.13274336283185842</v>
      </c>
      <c r="E31" s="31">
        <f>(IFERROR(VLOOKUP($A31,'[1]AA&amp;AS AGE'!$A:$F,HLOOKUP(Sheet1!E$2,'[1]AA&amp;AS AGE'!$1:$2,2,FALSE),FALSE),0))/(E$4)</f>
        <v>0.12864963503649635</v>
      </c>
      <c r="F31" s="31">
        <f>(IFERROR(VLOOKUP($A31,'[1]AA&amp;AS AGE'!$A:$F,HLOOKUP(Sheet1!F$2,'[1]AA&amp;AS AGE'!$1:$2,2,FALSE),FALSE),0))/(F$4)</f>
        <v>9.8526703499079188E-2</v>
      </c>
      <c r="G31" s="51">
        <v>9.0052750565184622E-2</v>
      </c>
      <c r="H31" s="72">
        <f t="shared" si="3"/>
        <v>8.4739529338945657E-3</v>
      </c>
    </row>
    <row r="32" spans="1:13" x14ac:dyDescent="0.25">
      <c r="A32" s="39" t="s">
        <v>24</v>
      </c>
      <c r="B32" s="31">
        <f>(IFERROR(VLOOKUP($A32,'[1]AA&amp;AS AGE'!$A:$F,HLOOKUP(Sheet1!B$2,'[1]AA&amp;AS AGE'!$1:$2,2,FALSE),FALSE),0))/(B$4)</f>
        <v>5.1535087719298246E-2</v>
      </c>
      <c r="C32" s="31">
        <f>(IFERROR(VLOOKUP($A32,'[1]AA&amp;AS AGE'!$A:$F,HLOOKUP(Sheet1!C$2,'[1]AA&amp;AS AGE'!$1:$2,2,FALSE),FALSE),0))/(C$4)</f>
        <v>5.4655870445344132E-2</v>
      </c>
      <c r="D32" s="31">
        <f>(IFERROR(VLOOKUP($A32,'[1]AA&amp;AS AGE'!$A:$F,HLOOKUP(Sheet1!D$2,'[1]AA&amp;AS AGE'!$1:$2,2,FALSE),FALSE),0))/(D$4)</f>
        <v>4.8180924287118974E-2</v>
      </c>
      <c r="E32" s="31">
        <f>(IFERROR(VLOOKUP($A32,'[1]AA&amp;AS AGE'!$A:$F,HLOOKUP(Sheet1!E$2,'[1]AA&amp;AS AGE'!$1:$2,2,FALSE),FALSE),0))/(E$4)</f>
        <v>5.5656934306569344E-2</v>
      </c>
      <c r="F32" s="31">
        <f>(IFERROR(VLOOKUP($A32,'[1]AA&amp;AS AGE'!$A:$F,HLOOKUP(Sheet1!F$2,'[1]AA&amp;AS AGE'!$1:$2,2,FALSE),FALSE),0))/(F$4)</f>
        <v>5.2486187845303865E-2</v>
      </c>
      <c r="G32" s="51">
        <v>5.1996985681989447E-2</v>
      </c>
      <c r="H32" s="72">
        <f t="shared" si="3"/>
        <v>4.8920216331441863E-4</v>
      </c>
    </row>
    <row r="33" spans="1:8" ht="15.75" thickBot="1" x14ac:dyDescent="0.3">
      <c r="A33" s="40" t="s">
        <v>7</v>
      </c>
      <c r="B33" s="41">
        <f>(IFERROR(VLOOKUP($A33,'[1]AA&amp;AS AGE'!$A:$F,HLOOKUP(Sheet1!B$2,'[1]AA&amp;AS AGE'!$1:$2,2,FALSE),FALSE),0))/(B$4)</f>
        <v>0</v>
      </c>
      <c r="C33" s="41">
        <f>(IFERROR(VLOOKUP($A33,'[1]AA&amp;AS AGE'!$A:$F,HLOOKUP(Sheet1!C$2,'[1]AA&amp;AS AGE'!$1:$2,2,FALSE),FALSE),0))/(C$4)</f>
        <v>0</v>
      </c>
      <c r="D33" s="41">
        <f>(IFERROR(VLOOKUP($A33,'[1]AA&amp;AS AGE'!$A:$F,HLOOKUP(Sheet1!D$2,'[1]AA&amp;AS AGE'!$1:$2,2,FALSE),FALSE),0))/(D$4)</f>
        <v>0</v>
      </c>
      <c r="E33" s="41">
        <f>(IFERROR(VLOOKUP($A33,'[1]AA&amp;AS AGE'!$A:$F,HLOOKUP(Sheet1!E$2,'[1]AA&amp;AS AGE'!$1:$2,2,FALSE),FALSE),0))/(E$4)</f>
        <v>0</v>
      </c>
      <c r="F33" s="41">
        <f>(IFERROR(VLOOKUP($A33,'[1]AA&amp;AS AGE'!$A:$F,HLOOKUP(Sheet1!F$2,'[1]AA&amp;AS AGE'!$1:$2,2,FALSE),FALSE),0))/(F$4)</f>
        <v>0</v>
      </c>
      <c r="G33" s="62">
        <v>0</v>
      </c>
      <c r="H33" s="73">
        <f t="shared" si="3"/>
        <v>0</v>
      </c>
    </row>
    <row r="34" spans="1:8" ht="15.75" thickBot="1" x14ac:dyDescent="0.3">
      <c r="A34" s="84" t="s">
        <v>57</v>
      </c>
      <c r="B34" s="11"/>
      <c r="C34" s="8"/>
      <c r="D34" s="8"/>
      <c r="E34" s="8"/>
      <c r="F34" s="8"/>
      <c r="G34" s="35"/>
    </row>
    <row r="35" spans="1:8" ht="15.75" thickBot="1" x14ac:dyDescent="0.3">
      <c r="A35" s="84"/>
      <c r="B35" s="11"/>
      <c r="C35" s="8"/>
      <c r="D35" s="8"/>
      <c r="E35" s="8"/>
      <c r="F35" s="8"/>
      <c r="G35" s="35"/>
    </row>
    <row r="36" spans="1:8" ht="15.75" thickBot="1" x14ac:dyDescent="0.3">
      <c r="A36" s="23"/>
      <c r="B36" s="9" t="s">
        <v>3</v>
      </c>
      <c r="C36" s="7" t="s">
        <v>3</v>
      </c>
      <c r="D36" s="7" t="s">
        <v>3</v>
      </c>
      <c r="E36" s="7" t="s">
        <v>3</v>
      </c>
      <c r="F36" s="70" t="s">
        <v>3</v>
      </c>
      <c r="G36" s="35"/>
    </row>
    <row r="37" spans="1:8" ht="15.75" thickBot="1" x14ac:dyDescent="0.3">
      <c r="A37" s="23" t="s">
        <v>25</v>
      </c>
      <c r="B37" s="12"/>
      <c r="C37" s="13"/>
      <c r="D37" s="13"/>
      <c r="E37" s="13"/>
      <c r="F37" s="71"/>
      <c r="G37" s="35"/>
    </row>
  </sheetData>
  <mergeCells count="1">
    <mergeCell ref="B1:F1"/>
  </mergeCells>
  <hyperlinks>
    <hyperlink ref="A3" location="'AWARDS GRAPH'!A1" display="click here for graph"/>
    <hyperlink ref="A10" location="'GENDER % GRAPH'!A1" display="click here for graph"/>
    <hyperlink ref="A22" location="'ETHNICITY % GRAPH'!A1" display="click here for graph"/>
    <hyperlink ref="A34" location="'AGE % GRAPH'!A1" display="click here for graph"/>
  </hyperlink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3" sqref="A23"/>
    </sheetView>
  </sheetViews>
  <sheetFormatPr defaultRowHeight="15" x14ac:dyDescent="0.25"/>
  <cols>
    <col min="1" max="1" width="16.28515625" bestFit="1" customWidth="1"/>
  </cols>
  <sheetData>
    <row r="1" spans="1:2" x14ac:dyDescent="0.25">
      <c r="A1" s="24" t="s">
        <v>26</v>
      </c>
    </row>
    <row r="7" spans="1:2" x14ac:dyDescent="0.25">
      <c r="A7" s="25" t="s">
        <v>32</v>
      </c>
    </row>
    <row r="8" spans="1:2" x14ac:dyDescent="0.25">
      <c r="A8" s="25" t="s">
        <v>33</v>
      </c>
    </row>
    <row r="9" spans="1:2" x14ac:dyDescent="0.25">
      <c r="A9" s="25" t="s">
        <v>34</v>
      </c>
    </row>
    <row r="12" spans="1:2" x14ac:dyDescent="0.25">
      <c r="A12" s="25" t="s">
        <v>35</v>
      </c>
      <c r="B12" s="16" t="s">
        <v>9</v>
      </c>
    </row>
    <row r="13" spans="1:2" x14ac:dyDescent="0.25">
      <c r="A13" s="25" t="s">
        <v>40</v>
      </c>
      <c r="B13" s="17" t="s">
        <v>10</v>
      </c>
    </row>
    <row r="14" spans="1:2" x14ac:dyDescent="0.25">
      <c r="A14" s="25" t="s">
        <v>36</v>
      </c>
      <c r="B14" s="17" t="s">
        <v>11</v>
      </c>
    </row>
    <row r="15" spans="1:2" x14ac:dyDescent="0.25">
      <c r="A15" s="25" t="s">
        <v>37</v>
      </c>
      <c r="B15" s="17" t="s">
        <v>12</v>
      </c>
    </row>
    <row r="16" spans="1:2" x14ac:dyDescent="0.25">
      <c r="A16" s="25" t="s">
        <v>38</v>
      </c>
      <c r="B16" s="17" t="s">
        <v>13</v>
      </c>
    </row>
    <row r="17" spans="1:6" x14ac:dyDescent="0.25">
      <c r="A17" s="25" t="s">
        <v>32</v>
      </c>
      <c r="B17" s="17" t="s">
        <v>14</v>
      </c>
    </row>
    <row r="18" spans="1:6" x14ac:dyDescent="0.25">
      <c r="A18" s="25" t="s">
        <v>39</v>
      </c>
      <c r="B18" s="17" t="s">
        <v>15</v>
      </c>
    </row>
    <row r="19" spans="1:6" x14ac:dyDescent="0.25">
      <c r="A19" s="27" t="s">
        <v>16</v>
      </c>
      <c r="B19" s="17" t="s">
        <v>16</v>
      </c>
      <c r="F19" s="25"/>
    </row>
    <row r="20" spans="1:6" ht="15.75" thickBot="1" x14ac:dyDescent="0.3">
      <c r="B20" s="1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workbookViewId="0"/>
  </sheetViews>
  <sheetFormatPr defaultRowHeight="15" x14ac:dyDescent="0.25"/>
  <cols>
    <col min="1" max="1" width="14.42578125" bestFit="1" customWidth="1"/>
    <col min="2" max="4" width="15.28515625" customWidth="1"/>
    <col min="5" max="6" width="15.28515625" bestFit="1" customWidth="1"/>
    <col min="27" max="27" width="8.85546875" customWidth="1"/>
    <col min="28" max="28" width="16.28515625" customWidth="1"/>
    <col min="29" max="29" width="11.28515625" customWidth="1"/>
    <col min="30" max="31" width="16.28515625" customWidth="1"/>
    <col min="32" max="32" width="14" customWidth="1"/>
    <col min="33" max="36" width="14" bestFit="1" customWidth="1"/>
  </cols>
  <sheetData>
    <row r="1" spans="1:29" x14ac:dyDescent="0.25">
      <c r="A1" s="85" t="s">
        <v>58</v>
      </c>
    </row>
    <row r="2" spans="1:29" x14ac:dyDescent="0.25">
      <c r="AB2" s="82" t="s">
        <v>59</v>
      </c>
    </row>
    <row r="3" spans="1:29" x14ac:dyDescent="0.25">
      <c r="AA3" s="82" t="s">
        <v>60</v>
      </c>
      <c r="AB3" s="1" t="s">
        <v>67</v>
      </c>
      <c r="AC3" s="1" t="s">
        <v>26</v>
      </c>
    </row>
    <row r="4" spans="1:29" x14ac:dyDescent="0.25">
      <c r="AA4" s="25" t="s">
        <v>61</v>
      </c>
      <c r="AB4" s="83">
        <v>912</v>
      </c>
      <c r="AC4" s="83">
        <v>912</v>
      </c>
    </row>
    <row r="5" spans="1:29" x14ac:dyDescent="0.25">
      <c r="AA5" s="25" t="s">
        <v>62</v>
      </c>
      <c r="AB5" s="83">
        <v>988</v>
      </c>
      <c r="AC5" s="83">
        <v>988</v>
      </c>
    </row>
    <row r="6" spans="1:29" x14ac:dyDescent="0.25">
      <c r="AA6" s="25" t="s">
        <v>63</v>
      </c>
      <c r="AB6" s="83">
        <v>1017</v>
      </c>
      <c r="AC6" s="83">
        <v>1017</v>
      </c>
    </row>
    <row r="7" spans="1:29" x14ac:dyDescent="0.25">
      <c r="AA7" s="25" t="s">
        <v>64</v>
      </c>
      <c r="AB7" s="83">
        <v>1096</v>
      </c>
      <c r="AC7" s="83">
        <v>1096</v>
      </c>
    </row>
    <row r="8" spans="1:29" x14ac:dyDescent="0.25">
      <c r="AA8" s="25" t="s">
        <v>65</v>
      </c>
      <c r="AB8" s="83">
        <v>1086</v>
      </c>
      <c r="AC8" s="83">
        <v>1086</v>
      </c>
    </row>
  </sheetData>
  <hyperlinks>
    <hyperlink ref="A1" location="Table!A1" display="BACK TO TABLE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Views>
    <sheetView workbookViewId="0"/>
  </sheetViews>
  <sheetFormatPr defaultRowHeight="15" x14ac:dyDescent="0.25"/>
  <cols>
    <col min="2" max="2" width="14.42578125" customWidth="1"/>
    <col min="3" max="3" width="16.28515625" customWidth="1"/>
    <col min="4" max="4" width="12" customWidth="1"/>
    <col min="5" max="5" width="12" bestFit="1" customWidth="1"/>
    <col min="6" max="6" width="11.28515625" bestFit="1" customWidth="1"/>
    <col min="19" max="19" width="30.28515625" bestFit="1" customWidth="1"/>
    <col min="20" max="20" width="16.28515625" customWidth="1"/>
    <col min="21" max="22" width="12" customWidth="1"/>
    <col min="23" max="23" width="11.28515625" customWidth="1"/>
    <col min="30" max="30" width="38.42578125" bestFit="1" customWidth="1"/>
    <col min="31" max="31" width="16.28515625" bestFit="1" customWidth="1"/>
    <col min="32" max="32" width="5.5703125" customWidth="1"/>
    <col min="33" max="33" width="9.5703125" bestFit="1" customWidth="1"/>
    <col min="34" max="34" width="11.28515625" bestFit="1" customWidth="1"/>
  </cols>
  <sheetData>
    <row r="1" spans="1:34" x14ac:dyDescent="0.25">
      <c r="A1" s="85" t="s">
        <v>58</v>
      </c>
    </row>
    <row r="2" spans="1:34" x14ac:dyDescent="0.25">
      <c r="AE2" s="82" t="s">
        <v>59</v>
      </c>
    </row>
    <row r="3" spans="1:34" x14ac:dyDescent="0.25">
      <c r="AD3" s="82" t="s">
        <v>60</v>
      </c>
      <c r="AE3" s="1" t="s">
        <v>5</v>
      </c>
      <c r="AF3" s="1" t="s">
        <v>6</v>
      </c>
      <c r="AG3" s="1" t="s">
        <v>7</v>
      </c>
      <c r="AH3" s="1" t="s">
        <v>26</v>
      </c>
    </row>
    <row r="4" spans="1:34" x14ac:dyDescent="0.25">
      <c r="AD4" s="25" t="s">
        <v>27</v>
      </c>
      <c r="AE4" s="86">
        <v>0.67763157894736847</v>
      </c>
      <c r="AF4" s="86">
        <v>0.32127192982456143</v>
      </c>
      <c r="AG4" s="86">
        <v>1.0964912280701754E-3</v>
      </c>
      <c r="AH4" s="86">
        <v>1</v>
      </c>
    </row>
    <row r="5" spans="1:34" x14ac:dyDescent="0.25">
      <c r="AD5" s="25" t="s">
        <v>28</v>
      </c>
      <c r="AE5" s="86">
        <v>0.68117408906882593</v>
      </c>
      <c r="AF5" s="86">
        <v>0.31376518218623484</v>
      </c>
      <c r="AG5" s="86">
        <v>5.0607287449392713E-3</v>
      </c>
      <c r="AH5" s="86">
        <v>1</v>
      </c>
    </row>
    <row r="6" spans="1:34" x14ac:dyDescent="0.25">
      <c r="AD6" s="25" t="s">
        <v>29</v>
      </c>
      <c r="AE6" s="86">
        <v>0.65978367748279254</v>
      </c>
      <c r="AF6" s="86">
        <v>0.32841691248770893</v>
      </c>
      <c r="AG6" s="86">
        <v>1.1799410029498525E-2</v>
      </c>
      <c r="AH6" s="86">
        <v>1</v>
      </c>
    </row>
    <row r="7" spans="1:34" x14ac:dyDescent="0.25">
      <c r="AD7" s="25" t="s">
        <v>30</v>
      </c>
      <c r="AE7" s="86">
        <v>0.6441605839416058</v>
      </c>
      <c r="AF7" s="86">
        <v>0.34215328467153283</v>
      </c>
      <c r="AG7" s="86">
        <v>1.3686131386861315E-2</v>
      </c>
      <c r="AH7" s="86">
        <v>1</v>
      </c>
    </row>
    <row r="8" spans="1:34" x14ac:dyDescent="0.25">
      <c r="AD8" s="25" t="s">
        <v>31</v>
      </c>
      <c r="AE8" s="86">
        <v>0.62338858195211788</v>
      </c>
      <c r="AF8" s="86">
        <v>0.36556169429097607</v>
      </c>
      <c r="AG8" s="86">
        <v>1.1049723756906077E-2</v>
      </c>
      <c r="AH8" s="86">
        <v>1</v>
      </c>
    </row>
    <row r="9" spans="1:34" x14ac:dyDescent="0.25">
      <c r="AD9" s="25" t="s">
        <v>68</v>
      </c>
      <c r="AE9" s="86">
        <v>0.59751318764129613</v>
      </c>
      <c r="AF9" s="86">
        <v>0.39344385832705353</v>
      </c>
      <c r="AG9" s="86">
        <v>9.0429540316503392E-3</v>
      </c>
      <c r="AH9" s="86">
        <v>1</v>
      </c>
    </row>
  </sheetData>
  <hyperlinks>
    <hyperlink ref="A1" location="Table!A1" display="BACK TO TABLE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Views>
    <sheetView workbookViewId="0">
      <selection activeCell="R6" sqref="R6"/>
    </sheetView>
  </sheetViews>
  <sheetFormatPr defaultRowHeight="15" x14ac:dyDescent="0.25"/>
  <cols>
    <col min="1" max="1" width="12.42578125" style="1" bestFit="1" customWidth="1"/>
    <col min="2" max="2" width="14.42578125" style="1" customWidth="1"/>
    <col min="3" max="3" width="16.28515625" style="1" customWidth="1"/>
    <col min="4" max="4" width="12" style="1" customWidth="1"/>
    <col min="5" max="5" width="12" style="1" bestFit="1" customWidth="1"/>
    <col min="6" max="6" width="11.28515625" style="1" bestFit="1" customWidth="1"/>
    <col min="7" max="10" width="9.140625" style="1"/>
    <col min="11" max="11" width="23.85546875" style="1" customWidth="1"/>
    <col min="12" max="12" width="16.28515625" style="1" bestFit="1" customWidth="1"/>
    <col min="13" max="13" width="12" style="1" bestFit="1" customWidth="1"/>
    <col min="14" max="14" width="16.28515625" style="1" customWidth="1"/>
    <col min="15" max="15" width="12" style="1" customWidth="1"/>
    <col min="16" max="16" width="12" style="1" bestFit="1" customWidth="1"/>
    <col min="17" max="17" width="12" style="1" customWidth="1"/>
    <col min="18" max="18" width="14.42578125" style="1" customWidth="1"/>
    <col min="19" max="19" width="15.85546875" style="1" customWidth="1"/>
    <col min="20" max="21" width="12" style="1" customWidth="1"/>
    <col min="22" max="22" width="16.28515625" style="1" customWidth="1"/>
    <col min="23" max="25" width="12" style="1" customWidth="1"/>
    <col min="26" max="26" width="15.85546875" style="1" customWidth="1"/>
    <col min="27" max="27" width="14.42578125" style="1" customWidth="1"/>
    <col min="28" max="28" width="12" style="1" customWidth="1"/>
    <col min="29" max="29" width="11.28515625" style="1" customWidth="1"/>
    <col min="30" max="30" width="38.42578125" style="1" bestFit="1" customWidth="1"/>
    <col min="31" max="31" width="16.28515625" style="1" bestFit="1" customWidth="1"/>
    <col min="32" max="32" width="8.42578125" style="1" customWidth="1"/>
    <col min="33" max="33" width="16.28515625" style="1" bestFit="1" customWidth="1"/>
    <col min="34" max="34" width="7.7109375" style="1" customWidth="1"/>
    <col min="35" max="35" width="5.85546875" style="1" customWidth="1"/>
    <col min="36" max="36" width="10.7109375" style="1" customWidth="1"/>
    <col min="37" max="37" width="15.85546875" style="1" bestFit="1" customWidth="1"/>
    <col min="38" max="38" width="14.42578125" style="1" customWidth="1"/>
    <col min="39" max="39" width="9.5703125" style="1" bestFit="1" customWidth="1"/>
    <col min="40" max="40" width="11.28515625" style="1" bestFit="1" customWidth="1"/>
    <col min="41" max="16384" width="9.140625" style="1"/>
  </cols>
  <sheetData>
    <row r="1" spans="1:40" x14ac:dyDescent="0.25">
      <c r="A1" s="85" t="s">
        <v>58</v>
      </c>
      <c r="AD1"/>
      <c r="AE1" s="82" t="s">
        <v>59</v>
      </c>
      <c r="AF1"/>
      <c r="AG1"/>
      <c r="AH1"/>
      <c r="AI1"/>
      <c r="AJ1"/>
      <c r="AK1"/>
      <c r="AL1"/>
      <c r="AM1"/>
      <c r="AN1"/>
    </row>
    <row r="2" spans="1:40" x14ac:dyDescent="0.25">
      <c r="V2"/>
      <c r="W2"/>
      <c r="AD2" s="82" t="s">
        <v>60</v>
      </c>
      <c r="AE2" s="1" t="s">
        <v>9</v>
      </c>
      <c r="AF2" s="1" t="s">
        <v>10</v>
      </c>
      <c r="AG2" s="1" t="s">
        <v>11</v>
      </c>
      <c r="AH2" s="1" t="s">
        <v>14</v>
      </c>
      <c r="AI2" s="1" t="s">
        <v>12</v>
      </c>
      <c r="AJ2" s="1" t="s">
        <v>16</v>
      </c>
      <c r="AK2" s="1" t="s">
        <v>13</v>
      </c>
      <c r="AL2" s="1" t="s">
        <v>15</v>
      </c>
      <c r="AM2" s="1" t="s">
        <v>7</v>
      </c>
      <c r="AN2" s="1" t="s">
        <v>26</v>
      </c>
    </row>
    <row r="3" spans="1:40" x14ac:dyDescent="0.25">
      <c r="V3"/>
      <c r="W3"/>
      <c r="AD3" s="25" t="s">
        <v>29</v>
      </c>
      <c r="AE3" s="86">
        <v>0.48967551622418881</v>
      </c>
      <c r="AF3" s="86">
        <v>0.34906588003933137</v>
      </c>
      <c r="AG3" s="86">
        <v>6.0963618485742381E-2</v>
      </c>
      <c r="AH3" s="86">
        <v>3.9331366764995081E-2</v>
      </c>
      <c r="AI3" s="86">
        <v>3.1465093411996069E-2</v>
      </c>
      <c r="AJ3" s="86">
        <v>1.2782694198623401E-2</v>
      </c>
      <c r="AK3" s="86">
        <v>7.8662733529990172E-3</v>
      </c>
      <c r="AL3" s="86">
        <v>7.8662733529990172E-3</v>
      </c>
      <c r="AM3" s="86">
        <v>9.8328416912474292E-4</v>
      </c>
      <c r="AN3" s="86">
        <v>0.99999999999999989</v>
      </c>
    </row>
    <row r="4" spans="1:40" x14ac:dyDescent="0.25">
      <c r="AD4" s="25" t="s">
        <v>28</v>
      </c>
      <c r="AE4" s="86">
        <v>0.52226720647773284</v>
      </c>
      <c r="AF4" s="86">
        <v>0.32793522267206476</v>
      </c>
      <c r="AG4" s="86">
        <v>4.9595141700404861E-2</v>
      </c>
      <c r="AH4" s="86">
        <v>4.5546558704453441E-2</v>
      </c>
      <c r="AI4" s="86">
        <v>1.7206477732793522E-2</v>
      </c>
      <c r="AJ4" s="86">
        <v>1.7206477732793522E-2</v>
      </c>
      <c r="AK4" s="86">
        <v>1.2145748987854251E-2</v>
      </c>
      <c r="AL4" s="86">
        <v>7.0850202429149798E-3</v>
      </c>
      <c r="AM4" s="86">
        <v>1.0121457489877805E-3</v>
      </c>
      <c r="AN4" s="86">
        <v>1</v>
      </c>
    </row>
    <row r="5" spans="1:40" x14ac:dyDescent="0.25">
      <c r="AD5" s="25" t="s">
        <v>27</v>
      </c>
      <c r="AE5" s="86">
        <v>0.52083333333333337</v>
      </c>
      <c r="AF5" s="86">
        <v>0.30701754385964913</v>
      </c>
      <c r="AG5" s="86">
        <v>6.4692982456140358E-2</v>
      </c>
      <c r="AH5" s="86">
        <v>4.4956140350877194E-2</v>
      </c>
      <c r="AI5" s="86">
        <v>2.5219298245614034E-2</v>
      </c>
      <c r="AJ5" s="86">
        <v>1.8640350877192981E-2</v>
      </c>
      <c r="AK5" s="86">
        <v>1.3157894736842105E-2</v>
      </c>
      <c r="AL5" s="86">
        <v>4.3859649122807015E-3</v>
      </c>
      <c r="AM5" s="86">
        <v>1.0964912280699846E-3</v>
      </c>
      <c r="AN5" s="86">
        <v>1</v>
      </c>
    </row>
    <row r="6" spans="1:40" x14ac:dyDescent="0.25">
      <c r="AD6" s="25" t="s">
        <v>30</v>
      </c>
      <c r="AE6" s="86">
        <v>0.49361313868613138</v>
      </c>
      <c r="AF6" s="86">
        <v>0.3448905109489051</v>
      </c>
      <c r="AG6" s="86">
        <v>4.9270072992700732E-2</v>
      </c>
      <c r="AH6" s="86">
        <v>3.3759124087591241E-2</v>
      </c>
      <c r="AI6" s="86">
        <v>3.6496350364963501E-2</v>
      </c>
      <c r="AJ6" s="86">
        <v>1.916058394160584E-2</v>
      </c>
      <c r="AK6" s="86">
        <v>1.2773722627737226E-2</v>
      </c>
      <c r="AL6" s="86">
        <v>9.1240875912408752E-3</v>
      </c>
      <c r="AM6" s="86">
        <v>9.1240875912435015E-4</v>
      </c>
      <c r="AN6" s="86">
        <v>1.0000000000000002</v>
      </c>
    </row>
    <row r="7" spans="1:40" x14ac:dyDescent="0.25">
      <c r="AD7" s="25" t="s">
        <v>31</v>
      </c>
      <c r="AE7" s="86">
        <v>0.48987108655616945</v>
      </c>
      <c r="AF7" s="86">
        <v>0.35359116022099446</v>
      </c>
      <c r="AG7" s="86">
        <v>5.0644567219152857E-2</v>
      </c>
      <c r="AH7" s="86">
        <v>4.9723756906077346E-2</v>
      </c>
      <c r="AI7" s="86">
        <v>2.85451197053407E-2</v>
      </c>
      <c r="AJ7" s="86">
        <v>1.3812154696132596E-2</v>
      </c>
      <c r="AK7" s="86">
        <v>6.4456721915285451E-3</v>
      </c>
      <c r="AL7" s="86">
        <v>3.6832412523020259E-3</v>
      </c>
      <c r="AM7" s="86">
        <v>3.6832412523019054E-3</v>
      </c>
      <c r="AN7" s="86">
        <v>0.99999999999999989</v>
      </c>
    </row>
    <row r="8" spans="1:40" x14ac:dyDescent="0.25">
      <c r="V8"/>
      <c r="W8"/>
      <c r="AD8" s="25" t="s">
        <v>68</v>
      </c>
      <c r="AE8" s="86">
        <v>0.41</v>
      </c>
      <c r="AF8" s="86">
        <v>0.35561416729464956</v>
      </c>
      <c r="AG8" s="86">
        <v>7.0000000000000007E-2</v>
      </c>
      <c r="AH8" s="86">
        <v>0.03</v>
      </c>
      <c r="AI8" s="86">
        <v>0.03</v>
      </c>
      <c r="AJ8" s="86">
        <v>0.08</v>
      </c>
      <c r="AK8" s="86">
        <v>0.01</v>
      </c>
      <c r="AL8" s="86">
        <v>0.01</v>
      </c>
      <c r="AM8" s="86">
        <v>0.05</v>
      </c>
      <c r="AN8" s="86">
        <v>1.0456141672946495</v>
      </c>
    </row>
    <row r="9" spans="1:40" x14ac:dyDescent="0.25">
      <c r="S9"/>
      <c r="T9"/>
      <c r="U9"/>
      <c r="V9"/>
      <c r="W9"/>
    </row>
    <row r="10" spans="1:40" x14ac:dyDescent="0.25">
      <c r="S10"/>
      <c r="T10"/>
      <c r="U10"/>
    </row>
    <row r="11" spans="1:40" x14ac:dyDescent="0.25">
      <c r="S11"/>
      <c r="T11"/>
      <c r="U11"/>
    </row>
    <row r="12" spans="1:40" x14ac:dyDescent="0.25">
      <c r="S12"/>
      <c r="T12"/>
      <c r="U12"/>
    </row>
    <row r="13" spans="1:40" x14ac:dyDescent="0.25">
      <c r="S13"/>
      <c r="T13"/>
      <c r="U13"/>
    </row>
    <row r="14" spans="1:40" x14ac:dyDescent="0.25">
      <c r="S14"/>
      <c r="T14"/>
      <c r="U14"/>
    </row>
    <row r="15" spans="1:40" x14ac:dyDescent="0.25">
      <c r="S15"/>
      <c r="T15"/>
      <c r="U15"/>
    </row>
    <row r="16" spans="1:40" x14ac:dyDescent="0.25">
      <c r="S16"/>
      <c r="T16"/>
      <c r="U16"/>
    </row>
    <row r="17" spans="19:21" x14ac:dyDescent="0.25">
      <c r="S17"/>
      <c r="T17"/>
      <c r="U17"/>
    </row>
    <row r="18" spans="19:21" x14ac:dyDescent="0.25">
      <c r="S18"/>
      <c r="T18"/>
      <c r="U18"/>
    </row>
    <row r="19" spans="19:21" x14ac:dyDescent="0.25">
      <c r="S19"/>
      <c r="T19"/>
      <c r="U19"/>
    </row>
    <row r="20" spans="19:21" x14ac:dyDescent="0.25">
      <c r="S20"/>
      <c r="T20"/>
      <c r="U20"/>
    </row>
    <row r="21" spans="19:21" x14ac:dyDescent="0.25">
      <c r="S21"/>
      <c r="T21"/>
      <c r="U21"/>
    </row>
    <row r="22" spans="19:21" x14ac:dyDescent="0.25">
      <c r="S22"/>
      <c r="T22"/>
    </row>
    <row r="23" spans="19:21" x14ac:dyDescent="0.25">
      <c r="S23"/>
      <c r="T23"/>
    </row>
    <row r="24" spans="19:21" x14ac:dyDescent="0.25">
      <c r="S24"/>
      <c r="T24"/>
    </row>
    <row r="25" spans="19:21" x14ac:dyDescent="0.25">
      <c r="S25"/>
      <c r="T25"/>
    </row>
    <row r="26" spans="19:21" x14ac:dyDescent="0.25">
      <c r="S26"/>
      <c r="T26"/>
    </row>
    <row r="27" spans="19:21" x14ac:dyDescent="0.25">
      <c r="S27"/>
      <c r="T27"/>
    </row>
    <row r="28" spans="19:21" x14ac:dyDescent="0.25">
      <c r="S28"/>
      <c r="T28"/>
    </row>
    <row r="29" spans="19:21" x14ac:dyDescent="0.25">
      <c r="S29"/>
      <c r="T29"/>
    </row>
    <row r="30" spans="19:21" x14ac:dyDescent="0.25">
      <c r="S30"/>
      <c r="T30"/>
    </row>
    <row r="31" spans="19:21" x14ac:dyDescent="0.25">
      <c r="S31"/>
      <c r="T31"/>
    </row>
    <row r="32" spans="19:21" x14ac:dyDescent="0.25">
      <c r="S32"/>
      <c r="T32"/>
    </row>
    <row r="33" spans="19:20" x14ac:dyDescent="0.25">
      <c r="S33"/>
      <c r="T33"/>
    </row>
  </sheetData>
  <hyperlinks>
    <hyperlink ref="A1" location="Table!A1" display="BACK TO TABLE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workbookViewId="0">
      <selection activeCell="Y31" sqref="Y31"/>
    </sheetView>
  </sheetViews>
  <sheetFormatPr defaultRowHeight="15" x14ac:dyDescent="0.25"/>
  <cols>
    <col min="1" max="1" width="12.42578125" bestFit="1" customWidth="1"/>
    <col min="25" max="25" width="23.85546875" bestFit="1" customWidth="1"/>
    <col min="26" max="26" width="16.28515625" bestFit="1" customWidth="1"/>
    <col min="27" max="33" width="12" bestFit="1" customWidth="1"/>
    <col min="34" max="34" width="9.5703125" bestFit="1" customWidth="1"/>
    <col min="35" max="35" width="12" bestFit="1" customWidth="1"/>
    <col min="36" max="36" width="16.28515625" bestFit="1" customWidth="1"/>
    <col min="37" max="37" width="38.42578125" bestFit="1" customWidth="1"/>
    <col min="38" max="38" width="16.28515625" bestFit="1" customWidth="1"/>
    <col min="39" max="39" width="7.42578125" bestFit="1" customWidth="1"/>
    <col min="40" max="44" width="7.7109375" bestFit="1" customWidth="1"/>
    <col min="45" max="45" width="4.42578125" bestFit="1" customWidth="1"/>
    <col min="46" max="46" width="9.5703125" bestFit="1" customWidth="1"/>
    <col min="47" max="47" width="11.28515625" bestFit="1" customWidth="1"/>
  </cols>
  <sheetData>
    <row r="1" spans="1:47" x14ac:dyDescent="0.25">
      <c r="A1" s="85" t="s">
        <v>58</v>
      </c>
      <c r="AL1" s="82" t="s">
        <v>59</v>
      </c>
    </row>
    <row r="2" spans="1:47" x14ac:dyDescent="0.25">
      <c r="AK2" s="82" t="s">
        <v>60</v>
      </c>
      <c r="AL2" s="1" t="s">
        <v>18</v>
      </c>
      <c r="AM2" s="1" t="s">
        <v>19</v>
      </c>
      <c r="AN2" s="1" t="s">
        <v>20</v>
      </c>
      <c r="AO2" s="1" t="s">
        <v>41</v>
      </c>
      <c r="AP2" s="1" t="s">
        <v>21</v>
      </c>
      <c r="AQ2" s="1" t="s">
        <v>22</v>
      </c>
      <c r="AR2" s="1" t="s">
        <v>23</v>
      </c>
      <c r="AS2" s="1" t="s">
        <v>24</v>
      </c>
      <c r="AT2" s="1" t="s">
        <v>7</v>
      </c>
      <c r="AU2" s="1" t="s">
        <v>26</v>
      </c>
    </row>
    <row r="3" spans="1:47" x14ac:dyDescent="0.25">
      <c r="AK3" s="25" t="s">
        <v>27</v>
      </c>
      <c r="AL3" s="86">
        <v>0</v>
      </c>
      <c r="AM3" s="86">
        <v>9.8684210526315784E-3</v>
      </c>
      <c r="AN3" s="86">
        <v>0.42543859649122806</v>
      </c>
      <c r="AO3" s="86">
        <v>0.19188596491228072</v>
      </c>
      <c r="AP3" s="86">
        <v>0.11403508771929824</v>
      </c>
      <c r="AQ3" s="86">
        <v>7.6754385964912283E-2</v>
      </c>
      <c r="AR3" s="86">
        <v>0.13048245614035087</v>
      </c>
      <c r="AS3" s="86">
        <v>5.1535087719298246E-2</v>
      </c>
      <c r="AT3" s="86">
        <v>0</v>
      </c>
      <c r="AU3" s="86">
        <v>1</v>
      </c>
    </row>
    <row r="4" spans="1:47" x14ac:dyDescent="0.25">
      <c r="AK4" s="25" t="s">
        <v>28</v>
      </c>
      <c r="AL4" s="86">
        <v>0</v>
      </c>
      <c r="AM4" s="86">
        <v>1.5182186234817813E-2</v>
      </c>
      <c r="AN4" s="86">
        <v>0.44635627530364375</v>
      </c>
      <c r="AO4" s="86">
        <v>0.17206477732793521</v>
      </c>
      <c r="AP4" s="86">
        <v>0.11538461538461539</v>
      </c>
      <c r="AQ4" s="86">
        <v>8.2995951417004055E-2</v>
      </c>
      <c r="AR4" s="86">
        <v>0.11336032388663968</v>
      </c>
      <c r="AS4" s="86">
        <v>5.4655870445344132E-2</v>
      </c>
      <c r="AT4" s="86">
        <v>0</v>
      </c>
      <c r="AU4" s="86">
        <v>1</v>
      </c>
    </row>
    <row r="5" spans="1:47" x14ac:dyDescent="0.25">
      <c r="AK5" s="25" t="s">
        <v>29</v>
      </c>
      <c r="AL5" s="86">
        <v>0</v>
      </c>
      <c r="AM5" s="86">
        <v>7.8662733529990172E-3</v>
      </c>
      <c r="AN5" s="86">
        <v>0.44051130776794495</v>
      </c>
      <c r="AO5" s="86">
        <v>0.19665683382497542</v>
      </c>
      <c r="AP5" s="86">
        <v>0.10226155358898721</v>
      </c>
      <c r="AQ5" s="86">
        <v>7.1779744346116031E-2</v>
      </c>
      <c r="AR5" s="86">
        <v>0.13274336283185842</v>
      </c>
      <c r="AS5" s="86">
        <v>4.8180924287118974E-2</v>
      </c>
      <c r="AT5" s="86">
        <v>0</v>
      </c>
      <c r="AU5" s="86">
        <v>1</v>
      </c>
    </row>
    <row r="6" spans="1:47" x14ac:dyDescent="0.25">
      <c r="AK6" s="25" t="s">
        <v>30</v>
      </c>
      <c r="AL6" s="86">
        <v>1.8248175182481751E-3</v>
      </c>
      <c r="AM6" s="86">
        <v>7.2992700729927005E-3</v>
      </c>
      <c r="AN6" s="86">
        <v>0.45529197080291972</v>
      </c>
      <c r="AO6" s="86">
        <v>0.17518248175182483</v>
      </c>
      <c r="AP6" s="86">
        <v>0.10218978102189781</v>
      </c>
      <c r="AQ6" s="86">
        <v>7.3905109489051102E-2</v>
      </c>
      <c r="AR6" s="86">
        <v>0.12864963503649635</v>
      </c>
      <c r="AS6" s="86">
        <v>5.5656934306569344E-2</v>
      </c>
      <c r="AT6" s="86">
        <v>0</v>
      </c>
      <c r="AU6" s="86">
        <v>1</v>
      </c>
    </row>
    <row r="7" spans="1:47" x14ac:dyDescent="0.25">
      <c r="AK7" s="25" t="s">
        <v>31</v>
      </c>
      <c r="AL7" s="86">
        <v>0</v>
      </c>
      <c r="AM7" s="86">
        <v>8.2872928176795577E-3</v>
      </c>
      <c r="AN7" s="86">
        <v>0.48066298342541436</v>
      </c>
      <c r="AO7" s="86">
        <v>0.18324125230202579</v>
      </c>
      <c r="AP7" s="86">
        <v>0.10220994475138122</v>
      </c>
      <c r="AQ7" s="86">
        <v>7.4585635359116026E-2</v>
      </c>
      <c r="AR7" s="86">
        <v>9.8526703499079188E-2</v>
      </c>
      <c r="AS7" s="86">
        <v>5.2486187845303865E-2</v>
      </c>
      <c r="AT7" s="86">
        <v>0</v>
      </c>
      <c r="AU7" s="86">
        <v>1</v>
      </c>
    </row>
    <row r="8" spans="1:47" x14ac:dyDescent="0.25">
      <c r="AK8" s="25" t="s">
        <v>68</v>
      </c>
      <c r="AL8" s="86">
        <v>9.1183119819140922E-3</v>
      </c>
      <c r="AM8" s="86">
        <v>0.13406179351921627</v>
      </c>
      <c r="AN8" s="86">
        <v>0.42471740768651095</v>
      </c>
      <c r="AO8" s="86">
        <v>0.1455162019593067</v>
      </c>
      <c r="AP8" s="86">
        <v>8.3270535041446866E-2</v>
      </c>
      <c r="AQ8" s="86">
        <v>6.1115297663903542E-2</v>
      </c>
      <c r="AR8" s="86">
        <v>9.0052750565184622E-2</v>
      </c>
      <c r="AS8" s="86">
        <v>5.1996985681989447E-2</v>
      </c>
      <c r="AT8" s="86">
        <v>0</v>
      </c>
      <c r="AU8" s="86">
        <v>0.99984928409947249</v>
      </c>
    </row>
  </sheetData>
  <hyperlinks>
    <hyperlink ref="A1" location="Table!A1" display="BACK TO TABLE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C929B92-6425-4896-BC0D-23BBD2B459C2}"/>
</file>

<file path=customXml/itemProps2.xml><?xml version="1.0" encoding="utf-8"?>
<ds:datastoreItem xmlns:ds="http://schemas.openxmlformats.org/officeDocument/2006/customXml" ds:itemID="{84B2CE38-6BA1-4181-A833-2466F6AB4CB1}"/>
</file>

<file path=customXml/itemProps3.xml><?xml version="1.0" encoding="utf-8"?>
<ds:datastoreItem xmlns:ds="http://schemas.openxmlformats.org/officeDocument/2006/customXml" ds:itemID="{69A25C65-0830-4C4F-8DA8-527C778DC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Table</vt:lpstr>
      <vt:lpstr>Sheet2</vt:lpstr>
      <vt:lpstr>AWARDS GRAPH</vt:lpstr>
      <vt:lpstr>GENDER % GRAPH</vt:lpstr>
      <vt:lpstr>ETHNICITY % GRAPH</vt:lpstr>
      <vt:lpstr>AGE %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cp:lastPrinted>2012-08-08T21:43:03Z</cp:lastPrinted>
  <dcterms:created xsi:type="dcterms:W3CDTF">2012-06-11T17:04:54Z</dcterms:created>
  <dcterms:modified xsi:type="dcterms:W3CDTF">2012-08-16T17:52:41Z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