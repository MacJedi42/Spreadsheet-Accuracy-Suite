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gram\Website\2014\Support Scouting\Product Sales\"/>
    </mc:Choice>
  </mc:AlternateContent>
  <bookViews>
    <workbookView xWindow="360" yWindow="240" windowWidth="14940" windowHeight="8385" activeTab="2"/>
  </bookViews>
  <sheets>
    <sheet name="Potential" sheetId="1" r:id="rId1"/>
    <sheet name="Prog Planner" sheetId="2" r:id="rId2"/>
    <sheet name="Sales Goal" sheetId="3" r:id="rId3"/>
  </sheets>
  <definedNames>
    <definedName name="_xlnm.Print_Area" localSheetId="0">Potential!$A$1:$E$24</definedName>
  </definedNames>
  <calcPr calcId="152511"/>
</workbook>
</file>

<file path=xl/calcChain.xml><?xml version="1.0" encoding="utf-8"?>
<calcChain xmlns="http://schemas.openxmlformats.org/spreadsheetml/2006/main">
  <c r="F51" i="2" l="1"/>
  <c r="F50" i="2"/>
  <c r="F49" i="2"/>
  <c r="F47" i="2"/>
  <c r="F45" i="2"/>
  <c r="D45" i="2"/>
  <c r="B45" i="2"/>
  <c r="F35" i="2"/>
  <c r="D35" i="2"/>
  <c r="B35" i="2"/>
  <c r="F25" i="2"/>
  <c r="D25" i="2"/>
  <c r="B25" i="2"/>
  <c r="F15" i="2"/>
  <c r="D15" i="2"/>
  <c r="B15" i="2"/>
  <c r="A51" i="2"/>
  <c r="A48" i="2"/>
  <c r="A47" i="2"/>
  <c r="E7" i="1"/>
  <c r="E14" i="1"/>
  <c r="E17" i="1"/>
  <c r="E9" i="1"/>
  <c r="E19" i="1"/>
  <c r="B17" i="1"/>
  <c r="B19" i="1"/>
  <c r="E5" i="1"/>
</calcChain>
</file>

<file path=xl/sharedStrings.xml><?xml version="1.0" encoding="utf-8"?>
<sst xmlns="http://schemas.openxmlformats.org/spreadsheetml/2006/main" count="143" uniqueCount="61">
  <si>
    <t>Each Scout Selling 15* Containers</t>
  </si>
  <si>
    <t>Unit</t>
  </si>
  <si>
    <t>Number of Scouts</t>
  </si>
  <si>
    <t>Commission Percent</t>
  </si>
  <si>
    <t>Average container sales</t>
  </si>
  <si>
    <t xml:space="preserve">Filling a Sheet </t>
  </si>
  <si>
    <t xml:space="preserve">  per Scout</t>
  </si>
  <si>
    <t xml:space="preserve">    (minimum containers)</t>
  </si>
  <si>
    <t>Average Retail Price</t>
  </si>
  <si>
    <t>Gross Sales Potential</t>
  </si>
  <si>
    <t>Unit Commission Potential</t>
  </si>
  <si>
    <t>*Based upon research, the average Scout sells 15 containers</t>
  </si>
  <si>
    <t>Pack 50</t>
  </si>
  <si>
    <t xml:space="preserve">1. Enter all your activities and costs under each month.   </t>
  </si>
  <si>
    <t>Pack/Troop</t>
  </si>
  <si>
    <t xml:space="preserve">2. Enter your number of Scouts and unit commission %.  </t>
  </si>
  <si>
    <t>Number of Scouts in Unit</t>
  </si>
  <si>
    <t>3. Fill in the five shaded fields at the bottom of the sheet.</t>
  </si>
  <si>
    <t>Unit Commission %</t>
  </si>
  <si>
    <t>September</t>
  </si>
  <si>
    <t>October</t>
  </si>
  <si>
    <t>November</t>
  </si>
  <si>
    <t>Activities</t>
  </si>
  <si>
    <t>Cost</t>
  </si>
  <si>
    <t xml:space="preserve"> </t>
  </si>
  <si>
    <t>Total Cost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</si>
  <si>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</si>
  <si>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</si>
  <si>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</si>
  <si>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</si>
  <si>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</si>
  <si>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</si>
  <si>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</si>
  <si>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</si>
  <si>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</si>
  <si>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Registration &amp; Insurance</t>
  </si>
  <si>
    <t>Total Activity Cost &amp; Expenses</t>
  </si>
  <si>
    <t>Boy's Life</t>
  </si>
  <si>
    <t xml:space="preserve">               Other Unit Expenses</t>
  </si>
  <si>
    <t>Uniform</t>
  </si>
  <si>
    <t xml:space="preserve">                      Unit Sales Goal</t>
  </si>
  <si>
    <t>Advancements</t>
  </si>
  <si>
    <t xml:space="preserve">                   Scout Sales Goal</t>
  </si>
  <si>
    <t>Total Expenses</t>
  </si>
  <si>
    <t xml:space="preserve">                    Unit Commission</t>
  </si>
  <si>
    <t>Unit Sales Goal Worksheet</t>
  </si>
  <si>
    <t>/</t>
  </si>
  <si>
    <t>=</t>
  </si>
  <si>
    <t>Budget Goal</t>
  </si>
  <si>
    <t>Unit Commission</t>
  </si>
  <si>
    <t>Unit Sales Goal</t>
  </si>
  <si>
    <t>Sales Goal</t>
  </si>
  <si>
    <t>Scout Goal</t>
  </si>
  <si>
    <t>Avg. Price per Container</t>
  </si>
  <si>
    <t>Container Goal</t>
  </si>
  <si>
    <t>*Based upon commission potential</t>
  </si>
  <si>
    <t>Fall 2014 Sales Potential</t>
  </si>
  <si>
    <t>Every Scout Fills Up A Sheet (30 lines)</t>
  </si>
  <si>
    <t>Replace example with actual Unit info</t>
  </si>
  <si>
    <t xml:space="preserve">         2014-2015 Program Planner</t>
  </si>
  <si>
    <t>Replace with actual Unit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</si>
</sst>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&quot;$&quot;#,##0.00"/>
    <numFmt numFmtId="167" formatCode="_(* #,##0_);_(* \(#,##0\);_(* &quot;-&quot;??_);_(@_)"/>
  </numFmts>
  <fonts count="19">
    <font>
      <sz val="10"/>
      <name val="Arial"/>
    </font>
    <font>
      <sz val="10"/>
      <name val="Arial"/>
    </font>
    <font>
      <b/>
      <sz val="11"/>
      <color indexed="12"/>
      <name val="Arial"/>
      <family val="2"/>
    </font>
    <font>
      <sz val="12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u/>
      <sz val="16"/>
      <name val="Arial"/>
      <family val="2"/>
    </font>
    <font>
      <sz val="10"/>
      <name val="Arial"/>
    </font>
    <font>
      <sz val="10"/>
      <name val="Adelon-Light"/>
    </font>
    <font>
      <sz val="16"/>
      <name val="Adelon-Light"/>
    </font>
    <font>
      <b/>
      <sz val="2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Adelon-Light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4" fillId="2" borderId="1" xfId="0" applyNumberFormat="1" applyFont="1" applyFill="1" applyBorder="1"/>
    <xf numFmtId="0" fontId="4" fillId="0" borderId="0" xfId="0" applyFont="1" applyFill="1"/>
    <xf numFmtId="0" fontId="4" fillId="0" borderId="1" xfId="0" applyFont="1" applyBorder="1"/>
    <xf numFmtId="0" fontId="4" fillId="0" borderId="0" xfId="0" applyFont="1" applyBorder="1"/>
    <xf numFmtId="164" fontId="4" fillId="0" borderId="0" xfId="2" applyNumberFormat="1" applyFont="1" applyBorder="1"/>
    <xf numFmtId="44" fontId="4" fillId="0" borderId="1" xfId="0" applyNumberFormat="1" applyFont="1" applyBorder="1"/>
    <xf numFmtId="0" fontId="5" fillId="3" borderId="2" xfId="0" applyFont="1" applyFill="1" applyBorder="1"/>
    <xf numFmtId="164" fontId="5" fillId="3" borderId="3" xfId="0" applyNumberFormat="1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164" fontId="5" fillId="3" borderId="7" xfId="2" applyNumberFormat="1" applyFont="1" applyFill="1" applyBorder="1"/>
    <xf numFmtId="0" fontId="6" fillId="0" borderId="0" xfId="0" applyFont="1"/>
    <xf numFmtId="0" fontId="7" fillId="0" borderId="0" xfId="0" applyFont="1" applyFill="1" applyBorder="1"/>
    <xf numFmtId="0" fontId="8" fillId="0" borderId="0" xfId="0" applyFont="1" applyFill="1" applyBorder="1"/>
    <xf numFmtId="164" fontId="7" fillId="0" borderId="0" xfId="2" applyNumberFormat="1" applyFont="1" applyFill="1" applyBorder="1"/>
    <xf numFmtId="0" fontId="9" fillId="0" borderId="0" xfId="0" applyFont="1"/>
    <xf numFmtId="0" fontId="15" fillId="0" borderId="0" xfId="0" applyFont="1" applyAlignment="1"/>
    <xf numFmtId="165" fontId="16" fillId="0" borderId="8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2" borderId="8" xfId="0" applyFont="1" applyFill="1" applyBorder="1" applyAlignment="1">
      <alignment horizontal="center" wrapText="1"/>
    </xf>
    <xf numFmtId="9" fontId="12" fillId="2" borderId="8" xfId="0" applyNumberFormat="1" applyFont="1" applyFill="1" applyBorder="1" applyAlignment="1">
      <alignment horizontal="center"/>
    </xf>
    <xf numFmtId="0" fontId="12" fillId="0" borderId="0" xfId="0" applyFont="1" applyAlignment="1"/>
    <xf numFmtId="0" fontId="12" fillId="0" borderId="0" xfId="0" applyFont="1" applyAlignment="1">
      <alignment horizontal="right"/>
    </xf>
    <xf numFmtId="9" fontId="12" fillId="0" borderId="9" xfId="0" applyNumberFormat="1" applyFont="1" applyBorder="1" applyAlignment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66" fontId="6" fillId="2" borderId="13" xfId="0" applyNumberFormat="1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6" fontId="6" fillId="2" borderId="15" xfId="0" applyNumberFormat="1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166" fontId="15" fillId="0" borderId="17" xfId="0" applyNumberFormat="1" applyFont="1" applyBorder="1" applyAlignment="1">
      <alignment horizontal="center"/>
    </xf>
    <xf numFmtId="0" fontId="6" fillId="0" borderId="0" xfId="0" applyFont="1" applyAlignment="1"/>
    <xf numFmtId="165" fontId="17" fillId="0" borderId="8" xfId="0" applyNumberFormat="1" applyFont="1" applyBorder="1" applyAlignment="1">
      <alignment horizontal="center"/>
    </xf>
    <xf numFmtId="165" fontId="16" fillId="0" borderId="8" xfId="0" applyNumberFormat="1" applyFont="1" applyFill="1" applyBorder="1" applyAlignment="1">
      <alignment horizontal="center"/>
    </xf>
    <xf numFmtId="165" fontId="16" fillId="2" borderId="8" xfId="0" applyNumberFormat="1" applyFont="1" applyFill="1" applyBorder="1" applyAlignment="1">
      <alignment horizontal="center"/>
    </xf>
    <xf numFmtId="165" fontId="9" fillId="2" borderId="8" xfId="0" applyNumberFormat="1" applyFont="1" applyFill="1" applyBorder="1" applyAlignment="1">
      <alignment horizontal="center"/>
    </xf>
    <xf numFmtId="0" fontId="15" fillId="0" borderId="4" xfId="0" applyFont="1" applyBorder="1" applyAlignme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164" fontId="8" fillId="0" borderId="27" xfId="3" applyNumberFormat="1" applyFont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shrinkToFit="1"/>
    </xf>
    <xf numFmtId="44" fontId="8" fillId="0" borderId="27" xfId="3" applyFont="1" applyBorder="1"/>
    <xf numFmtId="167" fontId="8" fillId="0" borderId="27" xfId="1" applyNumberFormat="1" applyFont="1" applyBorder="1"/>
    <xf numFmtId="0" fontId="16" fillId="0" borderId="0" xfId="0" applyFont="1"/>
    <xf numFmtId="164" fontId="8" fillId="2" borderId="27" xfId="3" applyNumberFormat="1" applyFont="1" applyFill="1" applyBorder="1" applyAlignment="1">
      <alignment horizontal="center"/>
    </xf>
    <xf numFmtId="0" fontId="9" fillId="4" borderId="0" xfId="0" applyFont="1" applyFill="1"/>
    <xf numFmtId="0" fontId="4" fillId="4" borderId="1" xfId="0" applyFont="1" applyFill="1" applyBorder="1" applyAlignment="1">
      <alignment horizontal="center"/>
    </xf>
    <xf numFmtId="1" fontId="4" fillId="4" borderId="1" xfId="0" applyNumberFormat="1" applyFont="1" applyFill="1" applyBorder="1"/>
    <xf numFmtId="9" fontId="4" fillId="4" borderId="1" xfId="4" applyFont="1" applyFill="1" applyBorder="1"/>
    <xf numFmtId="9" fontId="4" fillId="4" borderId="1" xfId="0" applyNumberFormat="1" applyFont="1" applyFill="1" applyBorder="1"/>
    <xf numFmtId="0" fontId="5" fillId="5" borderId="2" xfId="0" applyFont="1" applyFill="1" applyBorder="1"/>
    <xf numFmtId="164" fontId="5" fillId="5" borderId="3" xfId="0" applyNumberFormat="1" applyFont="1" applyFill="1" applyBorder="1"/>
    <xf numFmtId="0" fontId="5" fillId="5" borderId="4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164" fontId="5" fillId="5" borderId="7" xfId="2" applyNumberFormat="1" applyFont="1" applyFill="1" applyBorder="1"/>
    <xf numFmtId="164" fontId="7" fillId="4" borderId="0" xfId="2" applyNumberFormat="1" applyFont="1" applyFill="1" applyBorder="1"/>
    <xf numFmtId="0" fontId="16" fillId="0" borderId="8" xfId="3" applyNumberFormat="1" applyFont="1" applyFill="1" applyBorder="1" applyAlignment="1">
      <alignment horizontal="center"/>
    </xf>
    <xf numFmtId="0" fontId="16" fillId="0" borderId="8" xfId="3" applyNumberFormat="1" applyFont="1" applyBorder="1" applyAlignment="1">
      <alignment horizontal="center"/>
    </xf>
    <xf numFmtId="0" fontId="8" fillId="2" borderId="27" xfId="1" applyNumberFormat="1" applyFont="1" applyFill="1" applyBorder="1" applyAlignment="1">
      <alignment horizontal="center" vertical="center"/>
    </xf>
    <xf numFmtId="9" fontId="8" fillId="4" borderId="27" xfId="5" applyFont="1" applyFill="1" applyBorder="1" applyAlignment="1">
      <alignment horizontal="center"/>
    </xf>
    <xf numFmtId="0" fontId="6" fillId="2" borderId="0" xfId="0" applyFont="1" applyFill="1"/>
    <xf numFmtId="0" fontId="0" fillId="4" borderId="0" xfId="0" applyFill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18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6" fillId="0" borderId="18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2" borderId="24" xfId="0" applyFont="1" applyFill="1" applyBorder="1" applyAlignment="1">
      <alignment horizontal="left" wrapText="1"/>
    </xf>
    <xf numFmtId="0" fontId="6" fillId="2" borderId="25" xfId="0" applyFont="1" applyFill="1" applyBorder="1" applyAlignment="1">
      <alignment horizontal="left" wrapText="1"/>
    </xf>
    <xf numFmtId="0" fontId="6" fillId="2" borderId="26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6" fillId="2" borderId="18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0" fontId="6" fillId="2" borderId="19" xfId="0" applyFont="1" applyFill="1" applyBorder="1" applyAlignment="1">
      <alignment horizontal="left" wrapText="1"/>
    </xf>
    <xf numFmtId="0" fontId="6" fillId="2" borderId="20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18" fillId="0" borderId="0" xfId="0" applyFont="1" applyAlignment="1">
      <alignment horizontal="center"/>
    </xf>
  </cellXfs>
  <cellStyles count="6">
    <cellStyle name="Comma 2" xfId="1"/>
    <cellStyle name="Currency" xfId="2" builtinId="4"/>
    <cellStyle name="Currency 2" xfId="3"/>
    <cellStyle name="Normal" xfId="0" builtinId="0"/>
    <cellStyle name="Percent" xfId="4" builtinId="5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E36" sqref="E36"/>
    </sheetView>
  </sheetViews>
  <sheetFormatPr defaultRowHeight="12.75"/>
  <cols>
    <col min="1" max="1" width="30.7109375" customWidth="1"/>
    <col min="2" max="2" width="14.28515625" customWidth="1"/>
    <col min="3" max="3" width="2.7109375" customWidth="1"/>
    <col min="4" max="4" width="30.7109375" customWidth="1"/>
    <col min="5" max="5" width="14.140625" customWidth="1"/>
  </cols>
  <sheetData>
    <row r="1" spans="1:5" ht="24.75" customHeight="1">
      <c r="A1" s="79" t="s">
        <v>56</v>
      </c>
      <c r="B1" s="79"/>
      <c r="C1" s="79"/>
      <c r="D1" s="79"/>
      <c r="E1" s="79"/>
    </row>
    <row r="2" spans="1:5" ht="7.5" customHeight="1">
      <c r="A2" s="1"/>
      <c r="B2" s="1"/>
      <c r="C2" s="2"/>
      <c r="D2" s="1"/>
      <c r="E2" s="1"/>
    </row>
    <row r="3" spans="1:5" ht="15.75">
      <c r="A3" s="80" t="s">
        <v>0</v>
      </c>
      <c r="B3" s="80"/>
      <c r="C3" s="2"/>
      <c r="D3" s="80" t="s">
        <v>57</v>
      </c>
      <c r="E3" s="80"/>
    </row>
    <row r="4" spans="1:5" ht="7.5" customHeight="1">
      <c r="A4" s="1"/>
      <c r="B4" s="1"/>
      <c r="C4" s="2"/>
      <c r="D4" s="1"/>
      <c r="E4" s="1"/>
    </row>
    <row r="5" spans="1:5" ht="15">
      <c r="A5" s="3" t="s">
        <v>1</v>
      </c>
      <c r="B5" s="4" t="s">
        <v>12</v>
      </c>
      <c r="C5" s="3"/>
      <c r="D5" s="3" t="s">
        <v>1</v>
      </c>
      <c r="E5" s="62" t="str">
        <f>B5</f>
        <v>Pack 50</v>
      </c>
    </row>
    <row r="6" spans="1:5" ht="15">
      <c r="A6" s="3"/>
      <c r="B6" s="5"/>
      <c r="C6" s="3"/>
      <c r="D6" s="3"/>
      <c r="E6" s="6"/>
    </row>
    <row r="7" spans="1:5" ht="15">
      <c r="A7" s="3" t="s">
        <v>2</v>
      </c>
      <c r="B7" s="7">
        <v>35</v>
      </c>
      <c r="C7" s="3"/>
      <c r="D7" s="3" t="s">
        <v>2</v>
      </c>
      <c r="E7" s="63">
        <f>B7</f>
        <v>35</v>
      </c>
    </row>
    <row r="8" spans="1:5" ht="15">
      <c r="A8" s="3"/>
      <c r="B8" s="5"/>
      <c r="C8" s="3"/>
      <c r="D8" s="3"/>
      <c r="E8" s="6"/>
    </row>
    <row r="9" spans="1:5" ht="15">
      <c r="A9" s="3" t="s">
        <v>3</v>
      </c>
      <c r="B9" s="64">
        <v>0.36</v>
      </c>
      <c r="C9" s="3"/>
      <c r="D9" s="3" t="s">
        <v>3</v>
      </c>
      <c r="E9" s="65">
        <f>B9</f>
        <v>0.36</v>
      </c>
    </row>
    <row r="10" spans="1:5" ht="15">
      <c r="A10" s="3"/>
      <c r="B10" s="8"/>
      <c r="C10" s="3"/>
      <c r="D10" s="3"/>
      <c r="E10" s="3"/>
    </row>
    <row r="11" spans="1:5" ht="15">
      <c r="A11" s="3" t="s">
        <v>4</v>
      </c>
      <c r="B11" s="9">
        <v>15</v>
      </c>
      <c r="C11" s="3"/>
      <c r="D11" s="3" t="s">
        <v>5</v>
      </c>
      <c r="E11" s="9">
        <v>30</v>
      </c>
    </row>
    <row r="12" spans="1:5" ht="15">
      <c r="A12" s="3" t="s">
        <v>6</v>
      </c>
      <c r="B12" s="3"/>
      <c r="C12" s="3"/>
      <c r="D12" s="3" t="s">
        <v>7</v>
      </c>
      <c r="E12" s="3"/>
    </row>
    <row r="13" spans="1:5" ht="15">
      <c r="A13" s="10"/>
      <c r="B13" s="11"/>
      <c r="C13" s="10"/>
      <c r="D13" s="10"/>
      <c r="E13" s="11"/>
    </row>
    <row r="14" spans="1:5" ht="15">
      <c r="A14" s="3" t="s">
        <v>8</v>
      </c>
      <c r="B14" s="12">
        <v>17</v>
      </c>
      <c r="C14" s="3"/>
      <c r="D14" s="3" t="s">
        <v>8</v>
      </c>
      <c r="E14" s="12">
        <f>B14</f>
        <v>17</v>
      </c>
    </row>
    <row r="16" spans="1:5" ht="13.5" thickBot="1"/>
    <row r="17" spans="1:5" ht="15.75">
      <c r="A17" s="13" t="s">
        <v>9</v>
      </c>
      <c r="B17" s="14">
        <f>(B11*B14)*B7</f>
        <v>8925</v>
      </c>
      <c r="C17" s="3"/>
      <c r="D17" s="66" t="s">
        <v>9</v>
      </c>
      <c r="E17" s="67">
        <f>(E7*E11)*E14</f>
        <v>17850</v>
      </c>
    </row>
    <row r="18" spans="1:5" ht="15.75">
      <c r="A18" s="15"/>
      <c r="B18" s="16"/>
      <c r="C18" s="3"/>
      <c r="D18" s="68"/>
      <c r="E18" s="69"/>
    </row>
    <row r="19" spans="1:5" ht="16.5" thickBot="1">
      <c r="A19" s="17" t="s">
        <v>10</v>
      </c>
      <c r="B19" s="18">
        <f>B17*B9</f>
        <v>3213</v>
      </c>
      <c r="C19" s="3"/>
      <c r="D19" s="70" t="s">
        <v>10</v>
      </c>
      <c r="E19" s="71">
        <f>E17*E9</f>
        <v>6426</v>
      </c>
    </row>
    <row r="20" spans="1:5" ht="15">
      <c r="A20" s="3"/>
      <c r="B20" s="3"/>
      <c r="C20" s="3"/>
      <c r="D20" s="3"/>
      <c r="E20" s="3"/>
    </row>
    <row r="22" spans="1:5" ht="15">
      <c r="A22" s="19" t="s">
        <v>11</v>
      </c>
      <c r="B22" s="3"/>
      <c r="C22" s="3"/>
      <c r="D22" s="3"/>
      <c r="E22" s="3"/>
    </row>
    <row r="23" spans="1:5" ht="18">
      <c r="A23" s="20"/>
      <c r="B23" s="21"/>
      <c r="C23" s="21"/>
      <c r="D23" s="20"/>
      <c r="E23" s="21"/>
    </row>
    <row r="24" spans="1:5" ht="18">
      <c r="A24" s="61" t="s">
        <v>58</v>
      </c>
      <c r="B24" s="72"/>
      <c r="C24" s="21"/>
      <c r="D24" s="20"/>
      <c r="E24" s="22"/>
    </row>
    <row r="25" spans="1:5" ht="15">
      <c r="A25" s="3"/>
      <c r="B25" s="3"/>
      <c r="C25" s="3"/>
      <c r="D25" s="3"/>
      <c r="E25" s="3"/>
    </row>
    <row r="26" spans="1:5" ht="14.25">
      <c r="A26" s="23"/>
      <c r="B26" s="23"/>
      <c r="C26" s="23"/>
      <c r="D26" s="23"/>
      <c r="E26" s="23"/>
    </row>
    <row r="27" spans="1:5" ht="14.25">
      <c r="B27" s="23"/>
      <c r="C27" s="23"/>
      <c r="D27" s="23"/>
      <c r="E27" s="23"/>
    </row>
  </sheetData>
  <mergeCells count="3">
    <mergeCell ref="A1:E1"/>
    <mergeCell ref="A3:B3"/>
    <mergeCell ref="D3:E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16" workbookViewId="0">
      <selection activeCell="D51" sqref="D51:E51"/>
    </sheetView>
  </sheetViews>
  <sheetFormatPr defaultRowHeight="12.75"/>
  <cols>
    <col min="1" max="1" width="25" customWidth="1"/>
    <col min="2" max="2" width="13.28515625" customWidth="1"/>
    <col min="3" max="3" width="25" customWidth="1"/>
    <col min="4" max="4" width="13.28515625" customWidth="1"/>
    <col min="5" max="5" width="25" customWidth="1"/>
    <col min="6" max="6" width="13.28515625" customWidth="1"/>
  </cols>
  <sheetData>
    <row r="1" spans="1:6" ht="26.25">
      <c r="A1" s="90" t="s">
        <v>59</v>
      </c>
      <c r="B1" s="90"/>
      <c r="C1" s="90"/>
      <c r="D1" s="90"/>
      <c r="E1" s="90"/>
      <c r="F1" s="90"/>
    </row>
    <row r="2" spans="1:6" ht="21" thickBot="1">
      <c r="A2" s="26"/>
      <c r="B2" s="26"/>
      <c r="C2" s="26"/>
      <c r="D2" s="26"/>
      <c r="E2" s="26"/>
      <c r="F2" s="26"/>
    </row>
    <row r="3" spans="1:6" ht="13.5" thickBot="1">
      <c r="A3" s="87" t="s">
        <v>13</v>
      </c>
      <c r="B3" s="88"/>
      <c r="C3" s="89"/>
      <c r="D3" s="83" t="s">
        <v>14</v>
      </c>
      <c r="E3" s="84"/>
      <c r="F3" s="27">
        <v>0</v>
      </c>
    </row>
    <row r="4" spans="1:6" ht="13.5" thickBot="1">
      <c r="A4" s="93" t="s">
        <v>15</v>
      </c>
      <c r="B4" s="94"/>
      <c r="C4" s="95"/>
      <c r="D4" s="83" t="s">
        <v>16</v>
      </c>
      <c r="E4" s="84"/>
      <c r="F4" s="27">
        <v>0</v>
      </c>
    </row>
    <row r="5" spans="1:6" ht="13.5" thickBot="1">
      <c r="A5" s="96" t="s">
        <v>17</v>
      </c>
      <c r="B5" s="97"/>
      <c r="C5" s="98"/>
      <c r="D5" s="85" t="s">
        <v>18</v>
      </c>
      <c r="E5" s="86"/>
      <c r="F5" s="28">
        <v>0</v>
      </c>
    </row>
    <row r="6" spans="1:6" ht="13.5" thickBot="1">
      <c r="A6" s="29"/>
      <c r="B6" s="29"/>
      <c r="C6" s="29"/>
      <c r="D6" s="29"/>
      <c r="E6" s="30"/>
      <c r="F6" s="31"/>
    </row>
    <row r="7" spans="1:6" ht="16.5" thickBot="1">
      <c r="A7" s="81" t="s">
        <v>19</v>
      </c>
      <c r="B7" s="82"/>
      <c r="C7" s="81" t="s">
        <v>20</v>
      </c>
      <c r="D7" s="82"/>
      <c r="E7" s="81" t="s">
        <v>21</v>
      </c>
      <c r="F7" s="82"/>
    </row>
    <row r="8" spans="1:6" ht="13.5" thickBot="1">
      <c r="A8" s="32" t="s">
        <v>22</v>
      </c>
      <c r="B8" s="33" t="s">
        <v>23</v>
      </c>
      <c r="C8" s="32" t="s">
        <v>22</v>
      </c>
      <c r="D8" s="33" t="s">
        <v>23</v>
      </c>
      <c r="E8" s="32" t="s">
        <v>22</v>
      </c>
      <c r="F8" s="33" t="s">
        <v>23</v>
      </c>
    </row>
    <row r="9" spans="1:6" ht="13.5" thickTop="1">
      <c r="A9" s="34"/>
      <c r="B9" s="35"/>
      <c r="C9" s="34"/>
      <c r="D9" s="35"/>
      <c r="E9" s="34"/>
      <c r="F9" s="35"/>
    </row>
    <row r="10" spans="1:6">
      <c r="A10" s="36"/>
      <c r="B10" s="37" t="s">
        <v>24</v>
      </c>
      <c r="C10" s="36"/>
      <c r="D10" s="37" t="s">
        <v>24</v>
      </c>
      <c r="E10" s="36"/>
      <c r="F10" s="37" t="s">
        <v>24</v>
      </c>
    </row>
    <row r="11" spans="1:6">
      <c r="A11" s="36"/>
      <c r="B11" s="37"/>
      <c r="C11" s="36"/>
      <c r="D11" s="37"/>
      <c r="E11" s="36"/>
      <c r="F11" s="37"/>
    </row>
    <row r="12" spans="1:6">
      <c r="A12" s="36"/>
      <c r="B12" s="37" t="s">
        <v>24</v>
      </c>
      <c r="C12" s="36"/>
      <c r="D12" s="37" t="s">
        <v>24</v>
      </c>
      <c r="E12" s="36"/>
      <c r="F12" s="37" t="s">
        <v>24</v>
      </c>
    </row>
    <row r="13" spans="1:6">
      <c r="A13" s="36"/>
      <c r="B13" s="37" t="s">
        <v>24</v>
      </c>
      <c r="C13" s="36"/>
      <c r="D13" s="37" t="s">
        <v>24</v>
      </c>
      <c r="E13" s="36"/>
      <c r="F13" s="37" t="s">
        <v>24</v>
      </c>
    </row>
    <row r="14" spans="1:6">
      <c r="A14" s="36"/>
      <c r="B14" s="37"/>
      <c r="C14" s="36"/>
      <c r="D14" s="37"/>
      <c r="E14" s="36"/>
      <c r="F14" s="37"/>
    </row>
    <row r="15" spans="1:6" ht="13.5" thickBot="1">
      <c r="A15" s="38" t="s">
        <v>25</v>
      </c>
      <c r="B15" s="39">
        <f>SUM(B9:B14)</f>
        <v>0</v>
      </c>
      <c r="C15" s="38" t="s">
        <v>25</v>
      </c>
      <c r="D15" s="39">
        <f>SUM(D9:D14)</f>
        <v>0</v>
      </c>
      <c r="E15" s="38" t="s">
        <v>25</v>
      </c>
      <c r="F15" s="39">
        <f>SUM(F9:F14)</f>
        <v>0</v>
      </c>
    </row>
    <row r="16" spans="1:6" ht="13.5" thickBot="1">
      <c r="A16" s="40"/>
      <c r="B16" s="40"/>
      <c r="C16" s="40"/>
      <c r="D16" s="40"/>
      <c r="E16" s="40"/>
      <c r="F16" s="40"/>
    </row>
    <row r="17" spans="1:6" ht="16.5" thickBot="1">
      <c r="A17" s="81" t="s">
        <v>26</v>
      </c>
      <c r="B17" s="82"/>
      <c r="C17" s="81" t="s">
        <v>27</v>
      </c>
      <c r="D17" s="82"/>
      <c r="E17" s="81" t="s">
        <v>28</v>
      </c>
      <c r="F17" s="82"/>
    </row>
    <row r="18" spans="1:6" ht="13.5" thickBot="1">
      <c r="A18" s="32" t="s">
        <v>22</v>
      </c>
      <c r="B18" s="33" t="s">
        <v>23</v>
      </c>
      <c r="C18" s="32" t="s">
        <v>22</v>
      </c>
      <c r="D18" s="33" t="s">
        <v>23</v>
      </c>
      <c r="E18" s="32" t="s">
        <v>22</v>
      </c>
      <c r="F18" s="33" t="s">
        <v>23</v>
      </c>
    </row>
    <row r="19" spans="1:6" ht="13.5" thickTop="1">
      <c r="A19" s="34"/>
      <c r="B19" s="35"/>
      <c r="C19" s="34"/>
      <c r="D19" s="35"/>
      <c r="E19" s="34"/>
      <c r="F19" s="35"/>
    </row>
    <row r="20" spans="1:6">
      <c r="A20" s="36"/>
      <c r="B20" s="37" t="s">
        <v>24</v>
      </c>
      <c r="C20" s="36" t="s">
        <v>24</v>
      </c>
      <c r="D20" s="37" t="s">
        <v>24</v>
      </c>
      <c r="E20" s="36"/>
      <c r="F20" s="37" t="s">
        <v>24</v>
      </c>
    </row>
    <row r="21" spans="1:6">
      <c r="A21" s="36"/>
      <c r="B21" s="37"/>
      <c r="C21" s="36"/>
      <c r="D21" s="37"/>
      <c r="E21" s="36"/>
      <c r="F21" s="37"/>
    </row>
    <row r="22" spans="1:6">
      <c r="A22" s="36"/>
      <c r="B22" s="37" t="s">
        <v>24</v>
      </c>
      <c r="C22" s="36"/>
      <c r="D22" s="37" t="s">
        <v>24</v>
      </c>
      <c r="E22" s="36"/>
      <c r="F22" s="37" t="s">
        <v>24</v>
      </c>
    </row>
    <row r="23" spans="1:6">
      <c r="A23" s="36"/>
      <c r="B23" s="37" t="s">
        <v>24</v>
      </c>
      <c r="C23" s="36"/>
      <c r="D23" s="37" t="s">
        <v>24</v>
      </c>
      <c r="E23" s="36"/>
      <c r="F23" s="37" t="s">
        <v>24</v>
      </c>
    </row>
    <row r="24" spans="1:6">
      <c r="A24" s="36"/>
      <c r="B24" s="37"/>
      <c r="C24" s="36"/>
      <c r="D24" s="37"/>
      <c r="E24" s="36"/>
      <c r="F24" s="37"/>
    </row>
    <row r="25" spans="1:6" ht="13.5" thickBot="1">
      <c r="A25" s="38" t="s">
        <v>25</v>
      </c>
      <c r="B25" s="39">
        <f>SUM(B19:B24)</f>
        <v>0</v>
      </c>
      <c r="C25" s="38" t="s">
        <v>25</v>
      </c>
      <c r="D25" s="39">
        <f>SUM(D19:D24)</f>
        <v>0</v>
      </c>
      <c r="E25" s="38" t="s">
        <v>25</v>
      </c>
      <c r="F25" s="39">
        <f>SUM(F19:F24)</f>
        <v>0</v>
      </c>
    </row>
    <row r="26" spans="1:6" ht="13.5" thickBot="1">
      <c r="A26" s="40"/>
      <c r="B26" s="40"/>
      <c r="C26" s="40"/>
      <c r="D26" s="40"/>
      <c r="E26" s="40"/>
      <c r="F26" s="40"/>
    </row>
    <row r="27" spans="1:6" ht="16.5" thickBot="1">
      <c r="A27" s="81" t="s">
        <v>29</v>
      </c>
      <c r="B27" s="82"/>
      <c r="C27" s="81" t="s">
        <v>30</v>
      </c>
      <c r="D27" s="82"/>
      <c r="E27" s="81" t="s">
        <v>31</v>
      </c>
      <c r="F27" s="82"/>
    </row>
    <row r="28" spans="1:6" ht="13.5" thickBot="1">
      <c r="A28" s="32" t="s">
        <v>22</v>
      </c>
      <c r="B28" s="33" t="s">
        <v>23</v>
      </c>
      <c r="C28" s="32" t="s">
        <v>22</v>
      </c>
      <c r="D28" s="33" t="s">
        <v>23</v>
      </c>
      <c r="E28" s="32" t="s">
        <v>22</v>
      </c>
      <c r="F28" s="33" t="s">
        <v>23</v>
      </c>
    </row>
    <row r="29" spans="1:6" ht="13.5" thickTop="1">
      <c r="A29" s="34"/>
      <c r="B29" s="35"/>
      <c r="C29" s="34"/>
      <c r="D29" s="35"/>
      <c r="E29" s="34" t="s">
        <v>24</v>
      </c>
      <c r="F29" s="35"/>
    </row>
    <row r="30" spans="1:6">
      <c r="A30" s="36"/>
      <c r="B30" s="37" t="s">
        <v>24</v>
      </c>
      <c r="C30" s="36"/>
      <c r="D30" s="37" t="s">
        <v>24</v>
      </c>
      <c r="E30" s="36"/>
      <c r="F30" s="37" t="s">
        <v>24</v>
      </c>
    </row>
    <row r="31" spans="1:6">
      <c r="A31" s="36"/>
      <c r="B31" s="37"/>
      <c r="C31" s="36"/>
      <c r="D31" s="37"/>
      <c r="E31" s="36"/>
      <c r="F31" s="37"/>
    </row>
    <row r="32" spans="1:6">
      <c r="A32" s="36"/>
      <c r="B32" s="37" t="s">
        <v>24</v>
      </c>
      <c r="C32" s="36"/>
      <c r="D32" s="37" t="s">
        <v>24</v>
      </c>
      <c r="E32" s="36"/>
      <c r="F32" s="37" t="s">
        <v>24</v>
      </c>
    </row>
    <row r="33" spans="1:6">
      <c r="A33" s="36"/>
      <c r="B33" s="37" t="s">
        <v>24</v>
      </c>
      <c r="C33" s="36"/>
      <c r="D33" s="37" t="s">
        <v>24</v>
      </c>
      <c r="E33" s="36"/>
      <c r="F33" s="37" t="s">
        <v>24</v>
      </c>
    </row>
    <row r="34" spans="1:6">
      <c r="A34" s="36"/>
      <c r="B34" s="37"/>
      <c r="C34" s="36"/>
      <c r="D34" s="37"/>
      <c r="E34" s="36"/>
      <c r="F34" s="37"/>
    </row>
    <row r="35" spans="1:6" ht="13.5" thickBot="1">
      <c r="A35" s="38" t="s">
        <v>25</v>
      </c>
      <c r="B35" s="39">
        <f>SUM(B29:B34)</f>
        <v>0</v>
      </c>
      <c r="C35" s="38" t="s">
        <v>25</v>
      </c>
      <c r="D35" s="39">
        <f>SUM(D29:D34)</f>
        <v>0</v>
      </c>
      <c r="E35" s="38" t="s">
        <v>25</v>
      </c>
      <c r="F35" s="39">
        <f>SUM(F29:F34)</f>
        <v>0</v>
      </c>
    </row>
    <row r="36" spans="1:6" ht="13.5" thickBot="1">
      <c r="A36" s="24"/>
      <c r="B36" s="40"/>
      <c r="C36" s="40"/>
      <c r="D36" s="40"/>
      <c r="E36" s="40"/>
      <c r="F36" s="40"/>
    </row>
    <row r="37" spans="1:6" ht="16.5" thickBot="1">
      <c r="A37" s="81" t="s">
        <v>32</v>
      </c>
      <c r="B37" s="82"/>
      <c r="C37" s="81" t="s">
        <v>33</v>
      </c>
      <c r="D37" s="82"/>
      <c r="E37" s="81" t="s">
        <v>34</v>
      </c>
      <c r="F37" s="82"/>
    </row>
    <row r="38" spans="1:6" ht="13.5" thickBot="1">
      <c r="A38" s="32" t="s">
        <v>22</v>
      </c>
      <c r="B38" s="33" t="s">
        <v>23</v>
      </c>
      <c r="C38" s="32" t="s">
        <v>22</v>
      </c>
      <c r="D38" s="33" t="s">
        <v>23</v>
      </c>
      <c r="E38" s="32" t="s">
        <v>22</v>
      </c>
      <c r="F38" s="33" t="s">
        <v>23</v>
      </c>
    </row>
    <row r="39" spans="1:6" ht="13.5" thickTop="1">
      <c r="A39" s="34"/>
      <c r="B39" s="35"/>
      <c r="C39" s="34"/>
      <c r="D39" s="35"/>
      <c r="E39" s="34"/>
      <c r="F39" s="35"/>
    </row>
    <row r="40" spans="1:6">
      <c r="A40" s="36"/>
      <c r="B40" s="37" t="s">
        <v>24</v>
      </c>
      <c r="C40" s="36"/>
      <c r="D40" s="37" t="s">
        <v>24</v>
      </c>
      <c r="E40" s="36"/>
      <c r="F40" s="37" t="s">
        <v>24</v>
      </c>
    </row>
    <row r="41" spans="1:6">
      <c r="A41" s="36"/>
      <c r="B41" s="37"/>
      <c r="C41" s="36"/>
      <c r="D41" s="37"/>
      <c r="E41" s="36"/>
      <c r="F41" s="37"/>
    </row>
    <row r="42" spans="1:6">
      <c r="A42" s="36"/>
      <c r="B42" s="37" t="s">
        <v>24</v>
      </c>
      <c r="C42" s="36"/>
      <c r="D42" s="37" t="s">
        <v>24</v>
      </c>
      <c r="E42" s="36"/>
      <c r="F42" s="37" t="s">
        <v>24</v>
      </c>
    </row>
    <row r="43" spans="1:6">
      <c r="A43" s="36"/>
      <c r="B43" s="37" t="s">
        <v>24</v>
      </c>
      <c r="C43" s="36"/>
      <c r="D43" s="37" t="s">
        <v>24</v>
      </c>
      <c r="E43" s="36"/>
      <c r="F43" s="37" t="s">
        <v>24</v>
      </c>
    </row>
    <row r="44" spans="1:6">
      <c r="A44" s="36"/>
      <c r="B44" s="37"/>
      <c r="C44" s="36"/>
      <c r="D44" s="37"/>
      <c r="E44" s="36"/>
      <c r="F44" s="37"/>
    </row>
    <row r="45" spans="1:6" ht="13.5" thickBot="1">
      <c r="A45" s="38" t="s">
        <v>25</v>
      </c>
      <c r="B45" s="39">
        <f>SUM(B39:B44)</f>
        <v>0</v>
      </c>
      <c r="C45" s="38" t="s">
        <v>25</v>
      </c>
      <c r="D45" s="39">
        <f>SUM(D39:D44)</f>
        <v>0</v>
      </c>
      <c r="E45" s="38" t="s">
        <v>25</v>
      </c>
      <c r="F45" s="39">
        <f>SUM(F39:F44)</f>
        <v>0</v>
      </c>
    </row>
    <row r="46" spans="1:6" ht="13.5" thickBot="1">
      <c r="A46" s="40"/>
      <c r="B46" s="40"/>
      <c r="C46" s="40"/>
      <c r="D46" s="40"/>
      <c r="E46" s="40"/>
      <c r="F46" s="40"/>
    </row>
    <row r="47" spans="1:6" ht="15.75" thickBot="1">
      <c r="A47" s="44">
        <f>F4*24</f>
        <v>0</v>
      </c>
      <c r="B47" s="45" t="s">
        <v>35</v>
      </c>
      <c r="D47" s="91" t="s">
        <v>36</v>
      </c>
      <c r="E47" s="92"/>
      <c r="F47" s="25">
        <f>B15+D15+F15+B25+D25+F25+B35+D35+F35+B45+D45+F45+A51</f>
        <v>0</v>
      </c>
    </row>
    <row r="48" spans="1:6" ht="15.75" thickBot="1">
      <c r="A48" s="44">
        <f>F4*12</f>
        <v>0</v>
      </c>
      <c r="B48" s="45" t="s">
        <v>37</v>
      </c>
      <c r="C48" s="24"/>
      <c r="D48" s="91" t="s">
        <v>38</v>
      </c>
      <c r="E48" s="92"/>
      <c r="F48" s="43">
        <v>0</v>
      </c>
    </row>
    <row r="49" spans="1:6" ht="15.75" thickBot="1">
      <c r="A49" s="44">
        <v>0</v>
      </c>
      <c r="B49" s="45" t="s">
        <v>39</v>
      </c>
      <c r="C49" s="24"/>
      <c r="D49" s="91" t="s">
        <v>40</v>
      </c>
      <c r="E49" s="92"/>
      <c r="F49" s="42" t="e">
        <f>(SUM(F47:F48))/(F5*0.01)</f>
        <v>#DIV/0!</v>
      </c>
    </row>
    <row r="50" spans="1:6" ht="15.75" thickBot="1">
      <c r="A50" s="44">
        <v>0</v>
      </c>
      <c r="B50" s="45" t="s">
        <v>41</v>
      </c>
      <c r="C50" s="24"/>
      <c r="D50" s="91" t="s">
        <v>42</v>
      </c>
      <c r="E50" s="92"/>
      <c r="F50" s="73" t="e">
        <f>F49/F4</f>
        <v>#DIV/0!</v>
      </c>
    </row>
    <row r="51" spans="1:6" ht="15.75" thickBot="1">
      <c r="A51" s="41">
        <f>SUM(A47:A50)</f>
        <v>0</v>
      </c>
      <c r="B51" s="24" t="s">
        <v>43</v>
      </c>
      <c r="C51" s="29"/>
      <c r="D51" s="91" t="s">
        <v>44</v>
      </c>
      <c r="E51" s="92"/>
      <c r="F51" s="74" t="e">
        <f>F49*F5*0.01</f>
        <v>#DIV/0!</v>
      </c>
    </row>
  </sheetData>
  <mergeCells count="24">
    <mergeCell ref="D49:E49"/>
    <mergeCell ref="D50:E50"/>
    <mergeCell ref="D51:E51"/>
    <mergeCell ref="D48:E48"/>
    <mergeCell ref="A4:C4"/>
    <mergeCell ref="A5:C5"/>
    <mergeCell ref="A37:B37"/>
    <mergeCell ref="C37:D37"/>
    <mergeCell ref="E37:F37"/>
    <mergeCell ref="D47:E47"/>
    <mergeCell ref="D4:E4"/>
    <mergeCell ref="D3:E3"/>
    <mergeCell ref="D5:E5"/>
    <mergeCell ref="A3:C3"/>
    <mergeCell ref="C17:D17"/>
    <mergeCell ref="E17:F17"/>
    <mergeCell ref="A1:F1"/>
    <mergeCell ref="A27:B27"/>
    <mergeCell ref="C27:D27"/>
    <mergeCell ref="E27:F27"/>
    <mergeCell ref="A7:B7"/>
    <mergeCell ref="C7:D7"/>
    <mergeCell ref="E7:F7"/>
    <mergeCell ref="A17:B17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L5" sqref="L5"/>
    </sheetView>
  </sheetViews>
  <sheetFormatPr defaultRowHeight="12.75"/>
  <cols>
    <col min="1" max="1" width="14.85546875" customWidth="1"/>
    <col min="2" max="2" width="5.85546875" customWidth="1"/>
    <col min="3" max="3" width="15.7109375" customWidth="1"/>
    <col min="4" max="4" width="6" customWidth="1"/>
    <col min="5" max="5" width="13.42578125" customWidth="1"/>
  </cols>
  <sheetData>
    <row r="1" spans="1:5" ht="20.25">
      <c r="A1" s="99" t="s">
        <v>45</v>
      </c>
      <c r="B1" s="99"/>
      <c r="C1" s="99"/>
      <c r="D1" s="99"/>
      <c r="E1" s="99"/>
    </row>
    <row r="3" spans="1:5" ht="18">
      <c r="A3" s="46"/>
      <c r="B3" s="46"/>
      <c r="C3" s="46"/>
      <c r="D3" s="46"/>
      <c r="E3" s="46"/>
    </row>
    <row r="4" spans="1:5" ht="18">
      <c r="A4" s="60">
        <v>3000</v>
      </c>
      <c r="B4" s="47" t="s">
        <v>46</v>
      </c>
      <c r="C4" s="76">
        <v>0.35</v>
      </c>
      <c r="D4" s="48" t="s">
        <v>47</v>
      </c>
      <c r="E4" s="49">
        <v>8571.4285714285725</v>
      </c>
    </row>
    <row r="5" spans="1:5" ht="30">
      <c r="A5" s="50" t="s">
        <v>48</v>
      </c>
      <c r="B5" s="51"/>
      <c r="C5" s="50" t="s">
        <v>49</v>
      </c>
      <c r="D5" s="51"/>
      <c r="E5" s="50" t="s">
        <v>50</v>
      </c>
    </row>
    <row r="6" spans="1:5" ht="18">
      <c r="A6" s="46"/>
      <c r="B6" s="46"/>
      <c r="C6" s="46"/>
      <c r="D6" s="46"/>
      <c r="E6" s="46"/>
    </row>
    <row r="7" spans="1:5" ht="18">
      <c r="A7" s="49">
        <v>8571.4285714285725</v>
      </c>
      <c r="B7" s="47" t="s">
        <v>46</v>
      </c>
      <c r="C7" s="75">
        <v>35</v>
      </c>
      <c r="D7" s="48" t="s">
        <v>47</v>
      </c>
      <c r="E7" s="49">
        <v>244.89795918367349</v>
      </c>
    </row>
    <row r="8" spans="1:5" ht="30">
      <c r="A8" s="50" t="s">
        <v>51</v>
      </c>
      <c r="B8" s="52"/>
      <c r="C8" s="50" t="s">
        <v>2</v>
      </c>
      <c r="D8" s="52"/>
      <c r="E8" s="53" t="s">
        <v>52</v>
      </c>
    </row>
    <row r="9" spans="1:5" ht="18">
      <c r="A9" s="54"/>
      <c r="B9" s="55"/>
      <c r="C9" s="54"/>
      <c r="D9" s="55"/>
      <c r="E9" s="56"/>
    </row>
    <row r="10" spans="1:5" ht="18">
      <c r="A10" s="49">
        <v>244.89795918367349</v>
      </c>
      <c r="B10" s="47" t="s">
        <v>46</v>
      </c>
      <c r="C10" s="57">
        <v>17</v>
      </c>
      <c r="D10" s="48" t="s">
        <v>47</v>
      </c>
      <c r="E10" s="58">
        <v>14.40576230492197</v>
      </c>
    </row>
    <row r="11" spans="1:5" ht="30">
      <c r="A11" s="50" t="s">
        <v>52</v>
      </c>
      <c r="B11" s="52"/>
      <c r="C11" s="50" t="s">
        <v>53</v>
      </c>
      <c r="D11" s="52"/>
      <c r="E11" s="53" t="s">
        <v>54</v>
      </c>
    </row>
    <row r="13" spans="1:5" ht="15">
      <c r="A13" s="59" t="s">
        <v>55</v>
      </c>
    </row>
    <row r="15" spans="1:5">
      <c r="A15" s="77" t="s">
        <v>60</v>
      </c>
      <c r="B15" s="78"/>
      <c r="C15" s="78"/>
    </row>
  </sheetData>
  <mergeCells count="1">
    <mergeCell ref="A1:E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Potential</vt:lpstr>
      <vt:lpstr>Prog Planner</vt:lpstr>
      <vt:lpstr>Sales Goal</vt:lpstr>
      <vt:lpstr>Potential!Print_Area</vt:lpstr>
    </vt:vector>
  </TitlesOfParts>
  <Company>Weaver Pocorn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Garyr</dc:creator>
  <cp:lastModifiedBy>Authorized User</cp:lastModifiedBy>
  <cp:lastPrinted>2010-06-05T00:09:08Z</cp:lastPrinted>
  <dcterms:created xsi:type="dcterms:W3CDTF">2008-03-11T12:43:32Z</dcterms:created>
  <dcterms:modified xsi:type="dcterms:W3CDTF">2014-05-28T19:15:22Z</dcterms:modified>
</cp:coreProperties>
</file>