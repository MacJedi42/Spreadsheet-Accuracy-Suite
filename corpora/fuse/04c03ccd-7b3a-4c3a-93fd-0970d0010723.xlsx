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45" windowWidth="9375" windowHeight="4200"/>
  </bookViews>
  <sheets>
    <sheet name="Tax Rates" sheetId="1" r:id="rId1"/>
  </sheets>
  <definedNames>
    <definedName name="_xlnm.Print_Area" localSheetId="0">'Tax Rates'!$A$1:$L$47</definedName>
  </definedNames>
  <calcPr calcId="145621"/>
</workbook>
</file>

<file path=xl/calcChain.xml><?xml version="1.0" encoding="utf-8"?>
<calcChain xmlns="http://schemas.openxmlformats.org/spreadsheetml/2006/main">
  <c r="L38" i="1" l="1"/>
  <c r="K38" i="1"/>
  <c r="K41" i="1"/>
  <c r="K40" i="1"/>
  <c r="K31" i="1" l="1"/>
  <c r="L31" i="1" s="1"/>
  <c r="K30" i="1"/>
  <c r="L30" i="1" s="1"/>
  <c r="K37" i="1" l="1"/>
  <c r="L37" i="1" s="1"/>
  <c r="K35" i="1"/>
  <c r="L35" i="1" s="1"/>
  <c r="K33" i="1"/>
  <c r="L33" i="1" s="1"/>
  <c r="K28" i="1"/>
  <c r="L28" i="1" s="1"/>
  <c r="E41" i="1"/>
  <c r="E40" i="1"/>
  <c r="E36" i="1"/>
  <c r="E34" i="1"/>
  <c r="E33" i="1"/>
  <c r="E32" i="1"/>
  <c r="E29" i="1"/>
  <c r="E28" i="1"/>
  <c r="F41" i="1" l="1"/>
  <c r="F29" i="1" l="1"/>
  <c r="F32" i="1"/>
  <c r="F28" i="1"/>
  <c r="F33" i="1"/>
  <c r="F40" i="1"/>
  <c r="F36" i="1"/>
  <c r="F34" i="1"/>
</calcChain>
</file>

<file path=xl/sharedStrings.xml><?xml version="1.0" encoding="utf-8"?>
<sst xmlns="http://schemas.openxmlformats.org/spreadsheetml/2006/main" count="71" uniqueCount="47">
  <si>
    <t>Adjustment to Tax Rates</t>
  </si>
  <si>
    <t>Old (Statutory)</t>
  </si>
  <si>
    <t>Adjusted</t>
  </si>
  <si>
    <t>New</t>
  </si>
  <si>
    <t>Program</t>
  </si>
  <si>
    <t>Tax Rate</t>
  </si>
  <si>
    <t>Ratio</t>
  </si>
  <si>
    <t>Tax Tate</t>
  </si>
  <si>
    <t>=</t>
  </si>
  <si>
    <t>Adjustment to Equalizing Factors</t>
  </si>
  <si>
    <t>Eq Factor</t>
  </si>
  <si>
    <t>Health &amp; Safety</t>
  </si>
  <si>
    <t>Equal Factor</t>
  </si>
  <si>
    <t>School Age Care</t>
  </si>
  <si>
    <t>Maximum Effort (new)</t>
  </si>
  <si>
    <t>MDE, Program Finance Division</t>
  </si>
  <si>
    <t>LEVY ADJUSTMENTS FOR NET TAX CAPACITY CHANGES IN TAX BILL</t>
  </si>
  <si>
    <t>Effective for FY 2013, taxes payable in 2012</t>
  </si>
  <si>
    <t>(Under First Special Session Laws 2011, Chapter 11, Article 1, Section 34</t>
  </si>
  <si>
    <t>Debt Equalization</t>
  </si>
  <si>
    <t xml:space="preserve">   Tier I</t>
  </si>
  <si>
    <t xml:space="preserve">   Tier II</t>
  </si>
  <si>
    <t>Deferred Maintenance</t>
  </si>
  <si>
    <t>Operating Capital</t>
  </si>
  <si>
    <t>(excluded from conversion since based on Referendum Market Value)</t>
  </si>
  <si>
    <t>Referendum Equalization, Equity and Transtion</t>
  </si>
  <si>
    <t>Alt Comp (Q Comp)</t>
  </si>
  <si>
    <t>2010 Tax Rate and Equalizing Factor Adjustment Ratio</t>
  </si>
  <si>
    <t>2010 NTC</t>
  </si>
  <si>
    <t>After Legislation</t>
  </si>
  <si>
    <t>Tax Rate Adjustment</t>
  </si>
  <si>
    <t>Previous Tax Rate times Ratio</t>
  </si>
  <si>
    <t>Equalizing Factor Adjustment</t>
  </si>
  <si>
    <t>Previous Equalizing Factor divided by Ratio</t>
  </si>
  <si>
    <t xml:space="preserve">  Prior to Legislation</t>
  </si>
  <si>
    <t>Alternative Fac (Fund 1)</t>
  </si>
  <si>
    <t>Maximum Effort (old)</t>
  </si>
  <si>
    <t>(Dist 38 &amp; Dist 707)</t>
  </si>
  <si>
    <t xml:space="preserve"> </t>
  </si>
  <si>
    <t>Capital Loan threshold</t>
  </si>
  <si>
    <t>Standard Community Ed</t>
  </si>
  <si>
    <t xml:space="preserve">                      and Chapter 7, Article 6, sections 2, 3, 5, 6 and 27)</t>
  </si>
  <si>
    <t>Tier 1 Debt Limit</t>
  </si>
  <si>
    <t>Tier 2 Debt Limit</t>
  </si>
  <si>
    <t>St Paul (only) Severence</t>
  </si>
  <si>
    <t xml:space="preserve">Mpls (only) Health Ins </t>
  </si>
  <si>
    <t>Capital Loan eligibility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</si>
</sst>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5" formatCode="&quot;$&quot;#,##0_);\(&quot;$&quot;#,##0\)"/>
    <numFmt numFmtId="7" formatCode="&quot;$&quot;#,##0.00_);\(&quot;$&quot;#,##0.00\)"/>
    <numFmt numFmtId="43" formatCode="_(* #,##0.00_);_(* \(#,##0.00\);_(* &quot;-&quot;??_);_(@_)"/>
    <numFmt numFmtId="164" formatCode="0.00_)"/>
    <numFmt numFmtId="165" formatCode="_(* #,##0_);_(* \(#,##0\);_(* &quot;-&quot;??_);_(@_)"/>
    <numFmt numFmtId="166" formatCode="#,##0.000"/>
    <numFmt numFmtId="167" formatCode="0.0000"/>
  </numFmts>
  <fonts count="9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10"/>
      <name val="Arial"/>
      <family val="2"/>
    </font>
    <font>
      <sz val="10"/>
      <name val="Arial"/>
      <family val="2"/>
    </font>
    <font>
      <sz val="10"/>
      <name val="Arial"/>
    </font>
    <font>
      <u val="singleAccounting"/>
      <sz val="8"/>
      <name val="Arial"/>
      <family val="2"/>
    </font>
    <font>
      <sz val="8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 applyProtection="1">
      <alignment horizontal="left"/>
    </xf>
    <xf numFmtId="0" fontId="1" fillId="0" borderId="0" xfId="0" applyFont="1"/>
    <xf numFmtId="0" fontId="1" fillId="0" borderId="0" xfId="0" applyFont="1" applyAlignment="1" applyProtection="1">
      <alignment horizontal="right"/>
    </xf>
    <xf numFmtId="0" fontId="1" fillId="0" borderId="0" xfId="0" applyFont="1" applyProtection="1"/>
    <xf numFmtId="0" fontId="1" fillId="0" borderId="0" xfId="0" applyFont="1" applyAlignment="1" applyProtection="1">
      <alignment horizontal="center"/>
    </xf>
    <xf numFmtId="0" fontId="1" fillId="0" borderId="0" xfId="0" applyFont="1" applyAlignment="1" applyProtection="1">
      <alignment horizontal="fill"/>
    </xf>
    <xf numFmtId="164" fontId="1" fillId="0" borderId="0" xfId="0" applyNumberFormat="1" applyFont="1" applyProtection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Protection="1"/>
    <xf numFmtId="0" fontId="1" fillId="0" borderId="2" xfId="0" applyFont="1" applyBorder="1" applyAlignment="1" applyProtection="1">
      <alignment horizontal="center"/>
    </xf>
    <xf numFmtId="0" fontId="1" fillId="0" borderId="2" xfId="0" applyFont="1" applyBorder="1" applyAlignment="1" applyProtection="1">
      <alignment horizontal="fill"/>
    </xf>
    <xf numFmtId="0" fontId="1" fillId="0" borderId="0" xfId="0" applyFont="1" applyBorder="1"/>
    <xf numFmtId="0" fontId="1" fillId="0" borderId="0" xfId="0" applyFont="1" applyBorder="1" applyProtection="1"/>
    <xf numFmtId="0" fontId="2" fillId="0" borderId="0" xfId="0" applyFont="1" applyAlignment="1" applyProtection="1">
      <alignment horizontal="left"/>
    </xf>
    <xf numFmtId="0" fontId="2" fillId="0" borderId="0" xfId="0" applyFont="1"/>
    <xf numFmtId="0" fontId="2" fillId="0" borderId="0" xfId="0" applyFont="1" applyBorder="1"/>
    <xf numFmtId="0" fontId="0" fillId="0" borderId="0" xfId="0" applyBorder="1"/>
    <xf numFmtId="0" fontId="1" fillId="0" borderId="0" xfId="0" applyFont="1" applyAlignment="1">
      <alignment horizontal="centerContinuous"/>
    </xf>
    <xf numFmtId="0" fontId="1" fillId="0" borderId="0" xfId="0" applyFont="1" applyBorder="1" applyAlignment="1">
      <alignment horizontal="centerContinuous"/>
    </xf>
    <xf numFmtId="0" fontId="4" fillId="0" borderId="0" xfId="0" applyFont="1" applyAlignment="1">
      <alignment horizontal="left" indent="1"/>
    </xf>
    <xf numFmtId="0" fontId="0" fillId="0" borderId="0" xfId="0" applyAlignment="1"/>
    <xf numFmtId="0" fontId="1" fillId="0" borderId="0" xfId="0" applyFont="1" applyAlignment="1">
      <alignment horizontal="right"/>
    </xf>
    <xf numFmtId="37" fontId="1" fillId="0" borderId="0" xfId="0" applyNumberFormat="1" applyFont="1"/>
    <xf numFmtId="0" fontId="1" fillId="0" borderId="0" xfId="0" applyFont="1" applyAlignment="1">
      <alignment horizontal="center"/>
    </xf>
    <xf numFmtId="5" fontId="1" fillId="0" borderId="0" xfId="0" applyNumberFormat="1" applyFont="1" applyProtection="1"/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5" fontId="1" fillId="0" borderId="2" xfId="0" applyNumberFormat="1" applyFont="1" applyBorder="1" applyProtection="1"/>
    <xf numFmtId="4" fontId="1" fillId="0" borderId="0" xfId="0" applyNumberFormat="1" applyFont="1" applyProtection="1"/>
    <xf numFmtId="7" fontId="1" fillId="0" borderId="0" xfId="0" applyNumberFormat="1" applyFont="1" applyProtection="1"/>
    <xf numFmtId="14" fontId="1" fillId="0" borderId="0" xfId="0" applyNumberFormat="1" applyFont="1" applyBorder="1" applyAlignment="1" applyProtection="1">
      <alignment horizontal="right"/>
    </xf>
    <xf numFmtId="5" fontId="1" fillId="0" borderId="0" xfId="0" applyNumberFormat="1" applyFont="1" applyBorder="1" applyProtection="1"/>
    <xf numFmtId="37" fontId="1" fillId="0" borderId="2" xfId="0" applyNumberFormat="1" applyFont="1" applyBorder="1" applyProtection="1"/>
    <xf numFmtId="37" fontId="1" fillId="0" borderId="2" xfId="0" applyNumberFormat="1" applyFont="1" applyBorder="1"/>
    <xf numFmtId="0" fontId="3" fillId="0" borderId="0" xfId="0" applyFont="1"/>
    <xf numFmtId="165" fontId="1" fillId="0" borderId="0" xfId="1" applyNumberFormat="1" applyFont="1"/>
    <xf numFmtId="0" fontId="1" fillId="0" borderId="0" xfId="0" applyFont="1" applyAlignment="1">
      <alignment horizontal="left"/>
    </xf>
    <xf numFmtId="165" fontId="7" fillId="0" borderId="0" xfId="1" applyNumberFormat="1" applyFont="1"/>
    <xf numFmtId="0" fontId="1" fillId="0" borderId="0" xfId="0" applyFont="1" applyAlignment="1" applyProtection="1">
      <alignment horizontal="center"/>
    </xf>
    <xf numFmtId="0" fontId="1" fillId="0" borderId="0" xfId="0" applyFont="1" applyAlignment="1" applyProtection="1">
      <alignment horizontal="left"/>
    </xf>
    <xf numFmtId="0" fontId="1" fillId="0" borderId="0" xfId="0" applyFont="1" applyAlignment="1">
      <alignment horizontal="center"/>
    </xf>
    <xf numFmtId="166" fontId="1" fillId="0" borderId="0" xfId="0" applyNumberFormat="1" applyFont="1" applyProtection="1"/>
    <xf numFmtId="2" fontId="1" fillId="0" borderId="0" xfId="0" applyNumberFormat="1" applyFont="1"/>
    <xf numFmtId="0" fontId="1" fillId="0" borderId="0" xfId="0" applyFont="1" applyAlignment="1"/>
    <xf numFmtId="0" fontId="1" fillId="0" borderId="0" xfId="0" applyFont="1" applyFill="1"/>
    <xf numFmtId="0" fontId="8" fillId="2" borderId="0" xfId="0" applyFont="1" applyFill="1"/>
    <xf numFmtId="0" fontId="8" fillId="2" borderId="2" xfId="0" applyFont="1" applyFill="1" applyBorder="1"/>
    <xf numFmtId="0" fontId="8" fillId="2" borderId="3" xfId="0" applyFont="1" applyFill="1" applyBorder="1"/>
    <xf numFmtId="0" fontId="1" fillId="0" borderId="4" xfId="0" applyFont="1" applyBorder="1"/>
    <xf numFmtId="167" fontId="1" fillId="0" borderId="0" xfId="0" applyNumberFormat="1" applyFont="1" applyProtection="1"/>
    <xf numFmtId="0" fontId="1" fillId="0" borderId="0" xfId="0" applyFont="1" applyAlignment="1" applyProtection="1">
      <alignment horizontal="left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 applyProtection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4"/>
  <sheetViews>
    <sheetView tabSelected="1" workbookViewId="0"/>
  </sheetViews>
  <sheetFormatPr defaultColWidth="11" defaultRowHeight="11.25" x14ac:dyDescent="0.2"/>
  <cols>
    <col min="1" max="1" width="5.7109375" style="2" customWidth="1"/>
    <col min="2" max="2" width="17.42578125" style="2" customWidth="1"/>
    <col min="3" max="3" width="12.7109375" style="2" customWidth="1"/>
    <col min="4" max="4" width="1" style="2" customWidth="1"/>
    <col min="5" max="6" width="11" style="2" customWidth="1"/>
    <col min="7" max="7" width="4.7109375" style="9" customWidth="1"/>
    <col min="8" max="8" width="3.7109375" style="2" customWidth="1"/>
    <col min="9" max="9" width="17.7109375" style="2" customWidth="1"/>
    <col min="10" max="10" width="11" style="2"/>
    <col min="11" max="12" width="11" style="2" customWidth="1"/>
    <col min="13" max="16384" width="11" style="2"/>
  </cols>
  <sheetData>
    <row r="1" spans="1:13" ht="12.75" x14ac:dyDescent="0.2">
      <c r="A1" s="1" t="s">
        <v>15</v>
      </c>
      <c r="G1" s="18"/>
      <c r="L1" s="32">
        <v>40956</v>
      </c>
    </row>
    <row r="2" spans="1:13" ht="12.75" x14ac:dyDescent="0.2">
      <c r="A2" s="1"/>
      <c r="G2"/>
    </row>
    <row r="3" spans="1:13" ht="12.75" x14ac:dyDescent="0.2">
      <c r="G3" s="13"/>
      <c r="H3" s="27" t="s">
        <v>16</v>
      </c>
    </row>
    <row r="4" spans="1:13" ht="12.75" x14ac:dyDescent="0.2">
      <c r="G4" s="13"/>
      <c r="H4" s="28" t="s">
        <v>17</v>
      </c>
    </row>
    <row r="5" spans="1:13" x14ac:dyDescent="0.2">
      <c r="G5" s="13"/>
      <c r="H5" s="25" t="s">
        <v>18</v>
      </c>
    </row>
    <row r="6" spans="1:13" ht="12.75" customHeight="1" x14ac:dyDescent="0.2">
      <c r="E6" s="55" t="s">
        <v>41</v>
      </c>
      <c r="F6" s="55"/>
      <c r="G6" s="55"/>
      <c r="H6" s="55"/>
      <c r="I6" s="55"/>
      <c r="J6" s="55"/>
      <c r="K6" s="45"/>
    </row>
    <row r="7" spans="1:13" x14ac:dyDescent="0.2">
      <c r="E7" s="19"/>
      <c r="F7" s="19"/>
      <c r="G7" s="20"/>
      <c r="H7" s="25"/>
      <c r="I7" s="19"/>
      <c r="J7" s="19"/>
    </row>
    <row r="8" spans="1:13" ht="12.75" x14ac:dyDescent="0.2">
      <c r="A8" s="36" t="s">
        <v>27</v>
      </c>
      <c r="G8" s="13"/>
      <c r="I8" s="22"/>
    </row>
    <row r="9" spans="1:13" ht="12.75" x14ac:dyDescent="0.2">
      <c r="C9" s="25" t="s">
        <v>28</v>
      </c>
      <c r="D9" s="42"/>
      <c r="E9" s="25" t="s">
        <v>6</v>
      </c>
      <c r="G9" s="13"/>
      <c r="I9" s="22"/>
    </row>
    <row r="10" spans="1:13" ht="15" x14ac:dyDescent="0.35">
      <c r="A10" s="56" t="s">
        <v>34</v>
      </c>
      <c r="B10" s="56"/>
      <c r="C10" s="39">
        <v>6019613216</v>
      </c>
      <c r="D10" s="53" t="s">
        <v>8</v>
      </c>
      <c r="E10" s="53">
        <v>1.049605626</v>
      </c>
      <c r="G10" s="33"/>
      <c r="J10" s="22"/>
      <c r="K10" s="22"/>
      <c r="L10" s="22"/>
      <c r="M10" s="22"/>
    </row>
    <row r="11" spans="1:13" ht="12.75" customHeight="1" x14ac:dyDescent="0.2">
      <c r="A11" s="56" t="s">
        <v>29</v>
      </c>
      <c r="B11" s="56"/>
      <c r="C11" s="37">
        <v>5735119047</v>
      </c>
      <c r="D11" s="54"/>
      <c r="E11" s="54"/>
      <c r="G11" s="33"/>
      <c r="H11" s="22"/>
      <c r="I11" s="22"/>
      <c r="J11" s="22"/>
      <c r="K11" s="22"/>
      <c r="L11" s="22"/>
      <c r="M11" s="22"/>
    </row>
    <row r="12" spans="1:13" x14ac:dyDescent="0.2">
      <c r="A12" s="3"/>
      <c r="B12" s="1"/>
      <c r="G12" s="14"/>
    </row>
    <row r="13" spans="1:13" x14ac:dyDescent="0.2">
      <c r="A13" s="38" t="s">
        <v>30</v>
      </c>
      <c r="G13" s="13"/>
      <c r="I13" s="21"/>
    </row>
    <row r="14" spans="1:13" x14ac:dyDescent="0.2">
      <c r="A14" s="15"/>
      <c r="B14" s="2" t="s">
        <v>31</v>
      </c>
      <c r="C14" s="16"/>
      <c r="D14" s="16"/>
      <c r="E14" s="16"/>
      <c r="F14" s="16"/>
      <c r="G14" s="17"/>
    </row>
    <row r="15" spans="1:13" x14ac:dyDescent="0.2">
      <c r="G15" s="13"/>
    </row>
    <row r="16" spans="1:13" x14ac:dyDescent="0.2">
      <c r="A16" s="52" t="s">
        <v>32</v>
      </c>
      <c r="B16" s="52"/>
      <c r="G16" s="33"/>
    </row>
    <row r="17" spans="1:13" x14ac:dyDescent="0.2">
      <c r="A17" s="3"/>
      <c r="B17" s="52" t="s">
        <v>33</v>
      </c>
      <c r="C17" s="52"/>
      <c r="D17" s="41"/>
      <c r="G17" s="33"/>
    </row>
    <row r="18" spans="1:13" x14ac:dyDescent="0.2">
      <c r="A18" s="3"/>
      <c r="B18" s="1"/>
      <c r="G18" s="14"/>
    </row>
    <row r="19" spans="1:13" s="8" customFormat="1" ht="12" thickBot="1" x14ac:dyDescent="0.25"/>
    <row r="20" spans="1:13" x14ac:dyDescent="0.2">
      <c r="A20" s="47"/>
      <c r="B20" s="47"/>
      <c r="C20" s="47"/>
      <c r="D20" s="47"/>
      <c r="E20" s="47"/>
      <c r="F20" s="49"/>
      <c r="G20" s="48"/>
      <c r="H20" s="47"/>
      <c r="I20" s="47"/>
      <c r="J20" s="47"/>
      <c r="K20" s="47"/>
      <c r="L20" s="47"/>
      <c r="M20" s="46"/>
    </row>
    <row r="21" spans="1:13" ht="12.75" x14ac:dyDescent="0.2">
      <c r="F21" s="9"/>
      <c r="H21"/>
    </row>
    <row r="22" spans="1:13" x14ac:dyDescent="0.2">
      <c r="A22" s="15" t="s">
        <v>9</v>
      </c>
      <c r="C22" s="16"/>
      <c r="D22" s="16"/>
      <c r="E22" s="16"/>
      <c r="F22" s="9"/>
      <c r="H22" s="15" t="s">
        <v>0</v>
      </c>
      <c r="J22" s="16"/>
    </row>
    <row r="23" spans="1:13" x14ac:dyDescent="0.2">
      <c r="F23" s="9"/>
    </row>
    <row r="24" spans="1:13" x14ac:dyDescent="0.2">
      <c r="C24" s="2" t="s">
        <v>1</v>
      </c>
      <c r="E24" s="5" t="s">
        <v>2</v>
      </c>
      <c r="F24" s="11" t="s">
        <v>3</v>
      </c>
      <c r="J24" s="2" t="s">
        <v>1</v>
      </c>
      <c r="K24" s="5" t="s">
        <v>2</v>
      </c>
      <c r="L24" s="5" t="s">
        <v>3</v>
      </c>
    </row>
    <row r="25" spans="1:13" x14ac:dyDescent="0.2">
      <c r="B25" s="1" t="s">
        <v>4</v>
      </c>
      <c r="C25" s="5" t="s">
        <v>12</v>
      </c>
      <c r="D25" s="40"/>
      <c r="E25" s="5" t="s">
        <v>10</v>
      </c>
      <c r="F25" s="11" t="s">
        <v>10</v>
      </c>
      <c r="I25" s="1" t="s">
        <v>4</v>
      </c>
      <c r="J25" s="5" t="s">
        <v>5</v>
      </c>
      <c r="K25" s="5" t="s">
        <v>7</v>
      </c>
      <c r="L25" s="5" t="s">
        <v>5</v>
      </c>
    </row>
    <row r="26" spans="1:13" x14ac:dyDescent="0.2">
      <c r="B26" s="6" t="s">
        <v>8</v>
      </c>
      <c r="C26" s="6" t="s">
        <v>8</v>
      </c>
      <c r="D26" s="6"/>
      <c r="E26" s="6" t="s">
        <v>8</v>
      </c>
      <c r="F26" s="12" t="s">
        <v>8</v>
      </c>
      <c r="I26" s="6" t="s">
        <v>8</v>
      </c>
      <c r="J26" s="6" t="s">
        <v>8</v>
      </c>
      <c r="K26" s="6" t="s">
        <v>8</v>
      </c>
      <c r="L26" s="6" t="s">
        <v>8</v>
      </c>
    </row>
    <row r="27" spans="1:13" x14ac:dyDescent="0.2">
      <c r="B27" s="6"/>
      <c r="C27" s="6"/>
      <c r="D27" s="6"/>
      <c r="E27" s="6"/>
      <c r="F27" s="12"/>
    </row>
    <row r="28" spans="1:13" x14ac:dyDescent="0.2">
      <c r="B28" s="1" t="s">
        <v>23</v>
      </c>
      <c r="C28" s="26">
        <v>10700</v>
      </c>
      <c r="D28" s="26"/>
      <c r="E28" s="31">
        <f>C28/$E$10</f>
        <v>10194.305113223545</v>
      </c>
      <c r="F28" s="29">
        <f t="shared" ref="F28:F33" si="0">ROUND(E28*1,0)</f>
        <v>10194</v>
      </c>
      <c r="I28" s="1" t="s">
        <v>40</v>
      </c>
      <c r="J28" s="43">
        <v>8.9999999999999993E-3</v>
      </c>
      <c r="K28" s="4">
        <f>J28*$E$10</f>
        <v>9.4464506339999987E-3</v>
      </c>
      <c r="L28" s="4">
        <f>ROUND(K28*1,4)</f>
        <v>9.4000000000000004E-3</v>
      </c>
    </row>
    <row r="29" spans="1:13" x14ac:dyDescent="0.2">
      <c r="B29" s="1" t="s">
        <v>26</v>
      </c>
      <c r="C29" s="26">
        <v>5913</v>
      </c>
      <c r="D29" s="26"/>
      <c r="E29" s="31">
        <f>C29/$E$10</f>
        <v>5633.5444985505446</v>
      </c>
      <c r="F29" s="29">
        <f t="shared" si="0"/>
        <v>5634</v>
      </c>
      <c r="I29" s="2" t="s">
        <v>38</v>
      </c>
      <c r="J29" s="2" t="s">
        <v>38</v>
      </c>
      <c r="K29" s="4" t="s">
        <v>38</v>
      </c>
      <c r="L29" s="4" t="s">
        <v>38</v>
      </c>
    </row>
    <row r="30" spans="1:13" x14ac:dyDescent="0.2">
      <c r="B30" s="1"/>
      <c r="C30" s="26"/>
      <c r="D30" s="26"/>
      <c r="E30" s="31"/>
      <c r="F30" s="29"/>
      <c r="I30" s="2" t="s">
        <v>42</v>
      </c>
      <c r="J30" s="2">
        <v>0.15</v>
      </c>
      <c r="K30" s="4">
        <f>J30*$E$10</f>
        <v>0.15744084389999999</v>
      </c>
      <c r="L30" s="4">
        <f>ROUND(K30*1,4)</f>
        <v>0.15740000000000001</v>
      </c>
    </row>
    <row r="31" spans="1:13" x14ac:dyDescent="0.2">
      <c r="B31" s="1"/>
      <c r="C31" s="26"/>
      <c r="D31" s="26"/>
      <c r="E31" s="31"/>
      <c r="F31" s="29"/>
      <c r="I31" s="1" t="s">
        <v>43</v>
      </c>
      <c r="J31" s="4">
        <v>0.1</v>
      </c>
      <c r="K31" s="4">
        <f>J31*$E$10</f>
        <v>0.1049605626</v>
      </c>
      <c r="L31" s="4">
        <f>ROUND(K31*1,4)</f>
        <v>0.105</v>
      </c>
    </row>
    <row r="32" spans="1:13" x14ac:dyDescent="0.2">
      <c r="B32" s="1" t="s">
        <v>11</v>
      </c>
      <c r="C32" s="26">
        <v>2935</v>
      </c>
      <c r="D32" s="26"/>
      <c r="E32" s="31">
        <f>C32/$E$10</f>
        <v>2796.2883651692623</v>
      </c>
      <c r="F32" s="29">
        <f t="shared" si="0"/>
        <v>2796</v>
      </c>
      <c r="I32" s="2" t="s">
        <v>38</v>
      </c>
      <c r="J32" s="4" t="s">
        <v>38</v>
      </c>
      <c r="K32" s="4" t="s">
        <v>38</v>
      </c>
      <c r="L32" s="4" t="s">
        <v>38</v>
      </c>
    </row>
    <row r="33" spans="1:12" x14ac:dyDescent="0.2">
      <c r="B33" s="2" t="s">
        <v>35</v>
      </c>
      <c r="C33" s="26">
        <v>2935</v>
      </c>
      <c r="D33" s="26"/>
      <c r="E33" s="31">
        <f>C33/$E$10</f>
        <v>2796.2883651692623</v>
      </c>
      <c r="F33" s="29">
        <f t="shared" si="0"/>
        <v>2796</v>
      </c>
      <c r="I33" s="1" t="s">
        <v>36</v>
      </c>
      <c r="J33" s="4">
        <v>0.28000000000000003</v>
      </c>
      <c r="K33" s="4">
        <f>J33*$E$10</f>
        <v>0.29388957528000004</v>
      </c>
      <c r="L33" s="4">
        <f>ROUND(K33*1,4)</f>
        <v>0.29389999999999999</v>
      </c>
    </row>
    <row r="34" spans="1:12" x14ac:dyDescent="0.2">
      <c r="B34" s="1" t="s">
        <v>22</v>
      </c>
      <c r="C34" s="26">
        <v>5900</v>
      </c>
      <c r="D34" s="26"/>
      <c r="E34" s="31">
        <f>C34/$E$10</f>
        <v>5621.1588942073759</v>
      </c>
      <c r="F34" s="29">
        <f>ROUND(E34*1,0)</f>
        <v>5621</v>
      </c>
      <c r="I34" s="1" t="s">
        <v>14</v>
      </c>
      <c r="J34" s="30" t="s">
        <v>38</v>
      </c>
      <c r="K34" s="4" t="s">
        <v>38</v>
      </c>
      <c r="L34" s="30" t="s">
        <v>38</v>
      </c>
    </row>
    <row r="35" spans="1:12" x14ac:dyDescent="0.2">
      <c r="B35" s="1"/>
      <c r="C35" s="4"/>
      <c r="D35" s="4"/>
      <c r="E35" s="4"/>
      <c r="F35" s="34"/>
      <c r="I35" s="2" t="s">
        <v>37</v>
      </c>
      <c r="J35" s="2">
        <v>0.32</v>
      </c>
      <c r="K35" s="4">
        <f>J35*$E$10</f>
        <v>0.33587380031999997</v>
      </c>
      <c r="L35" s="4">
        <f>ROUND(K35*1,4)</f>
        <v>0.33589999999999998</v>
      </c>
    </row>
    <row r="36" spans="1:12" x14ac:dyDescent="0.2">
      <c r="B36" s="1" t="s">
        <v>13</v>
      </c>
      <c r="C36" s="26">
        <v>2433</v>
      </c>
      <c r="D36" s="26"/>
      <c r="E36" s="31">
        <f>C36/$E$10</f>
        <v>2318.0134897638213</v>
      </c>
      <c r="F36" s="29">
        <f>ROUND(E36*1,0)</f>
        <v>2318</v>
      </c>
    </row>
    <row r="37" spans="1:12" x14ac:dyDescent="0.2">
      <c r="C37" s="24"/>
      <c r="D37" s="24"/>
      <c r="F37" s="35"/>
      <c r="I37" s="2" t="s">
        <v>39</v>
      </c>
      <c r="J37" s="44">
        <v>6.07</v>
      </c>
      <c r="K37" s="4">
        <f>J37*$E$10</f>
        <v>6.3711061498200001</v>
      </c>
      <c r="L37" s="4">
        <f>ROUND(K37*1,2)</f>
        <v>6.37</v>
      </c>
    </row>
    <row r="38" spans="1:12" x14ac:dyDescent="0.2">
      <c r="A38" s="23"/>
      <c r="F38" s="9"/>
      <c r="I38" s="2" t="s">
        <v>46</v>
      </c>
      <c r="J38" s="44">
        <v>0.4</v>
      </c>
      <c r="K38" s="4">
        <f>J38*$E$10</f>
        <v>0.41984225040000001</v>
      </c>
      <c r="L38" s="51">
        <f>ROUND(K38*1,4)</f>
        <v>0.41980000000000001</v>
      </c>
    </row>
    <row r="39" spans="1:12" x14ac:dyDescent="0.2">
      <c r="A39" s="23"/>
      <c r="B39" s="2" t="s">
        <v>19</v>
      </c>
      <c r="F39" s="9"/>
      <c r="H39" s="50"/>
    </row>
    <row r="40" spans="1:12" ht="12.75" x14ac:dyDescent="0.2">
      <c r="A40" s="23"/>
      <c r="B40" s="1" t="s">
        <v>20</v>
      </c>
      <c r="C40" s="33">
        <v>3200</v>
      </c>
      <c r="D40" s="33"/>
      <c r="E40" s="31">
        <f>C40/$E$10</f>
        <v>3048.7641460107798</v>
      </c>
      <c r="F40" s="29">
        <f>ROUND(E40*1,0)</f>
        <v>3049</v>
      </c>
      <c r="H40"/>
      <c r="I40" s="13" t="s">
        <v>45</v>
      </c>
      <c r="J40" s="13">
        <v>1E-3</v>
      </c>
      <c r="K40" s="4">
        <f>J40*$E$10</f>
        <v>1.049605626E-3</v>
      </c>
      <c r="L40" s="13">
        <v>1E-3</v>
      </c>
    </row>
    <row r="41" spans="1:12" x14ac:dyDescent="0.2">
      <c r="A41" s="23"/>
      <c r="B41" s="1" t="s">
        <v>21</v>
      </c>
      <c r="C41" s="33">
        <v>8000</v>
      </c>
      <c r="D41" s="33"/>
      <c r="E41" s="31">
        <f>C41/$E$10</f>
        <v>7621.9103650269499</v>
      </c>
      <c r="F41" s="29">
        <f>ROUND(E41*1,0)</f>
        <v>7622</v>
      </c>
      <c r="I41" s="2" t="s">
        <v>44</v>
      </c>
      <c r="J41" s="2">
        <v>3.3999999999999998E-3</v>
      </c>
      <c r="K41" s="4">
        <f>J41*$E$10</f>
        <v>3.5686591283999995E-3</v>
      </c>
      <c r="L41" s="2">
        <v>3.5999999999999999E-3</v>
      </c>
    </row>
    <row r="42" spans="1:12" x14ac:dyDescent="0.2">
      <c r="A42" s="23"/>
      <c r="F42" s="9"/>
    </row>
    <row r="43" spans="1:12" x14ac:dyDescent="0.2">
      <c r="A43" s="23"/>
      <c r="F43" s="9"/>
    </row>
    <row r="44" spans="1:12" x14ac:dyDescent="0.2">
      <c r="A44" s="23"/>
      <c r="F44" s="9"/>
    </row>
    <row r="45" spans="1:12" x14ac:dyDescent="0.2">
      <c r="B45" s="1"/>
      <c r="C45" s="7"/>
      <c r="D45" s="7"/>
      <c r="E45" s="4"/>
      <c r="F45" s="10"/>
      <c r="G45" s="10"/>
    </row>
    <row r="46" spans="1:12" x14ac:dyDescent="0.2">
      <c r="A46" s="15" t="s">
        <v>25</v>
      </c>
      <c r="B46" s="16"/>
      <c r="F46" s="9"/>
    </row>
    <row r="47" spans="1:12" x14ac:dyDescent="0.2">
      <c r="B47" s="2" t="s">
        <v>24</v>
      </c>
      <c r="F47" s="9"/>
    </row>
    <row r="68" spans="1:13" x14ac:dyDescent="0.2">
      <c r="G68" s="13"/>
    </row>
    <row r="69" spans="1:13" ht="12.75" x14ac:dyDescent="0.2">
      <c r="A69"/>
      <c r="B69"/>
      <c r="C69"/>
      <c r="D69"/>
      <c r="E69"/>
      <c r="F69"/>
      <c r="G69" s="18"/>
    </row>
    <row r="70" spans="1:13" ht="12.75" x14ac:dyDescent="0.2">
      <c r="A70"/>
      <c r="B70"/>
      <c r="C70"/>
      <c r="D70"/>
      <c r="E70"/>
      <c r="F70"/>
      <c r="G70" s="18"/>
      <c r="H70"/>
      <c r="I70"/>
      <c r="J70"/>
      <c r="K70"/>
      <c r="L70"/>
      <c r="M70"/>
    </row>
    <row r="71" spans="1:13" ht="12.75" x14ac:dyDescent="0.2">
      <c r="A71"/>
      <c r="B71"/>
      <c r="C71"/>
      <c r="D71"/>
      <c r="E71"/>
      <c r="F71"/>
      <c r="G71" s="18"/>
      <c r="H71"/>
      <c r="I71"/>
      <c r="J71"/>
      <c r="K71"/>
      <c r="L71"/>
      <c r="M71"/>
    </row>
    <row r="72" spans="1:13" ht="12.75" x14ac:dyDescent="0.2">
      <c r="A72"/>
      <c r="B72"/>
      <c r="C72"/>
      <c r="D72"/>
      <c r="E72"/>
      <c r="F72"/>
      <c r="G72" s="18"/>
      <c r="H72"/>
      <c r="I72"/>
      <c r="J72"/>
      <c r="K72"/>
      <c r="L72"/>
      <c r="M72"/>
    </row>
    <row r="73" spans="1:13" ht="12.75" x14ac:dyDescent="0.2">
      <c r="A73"/>
      <c r="B73"/>
      <c r="C73"/>
      <c r="D73"/>
      <c r="E73"/>
      <c r="F73"/>
      <c r="G73" s="18"/>
      <c r="H73"/>
      <c r="I73"/>
      <c r="J73"/>
      <c r="K73"/>
      <c r="L73"/>
      <c r="M73"/>
    </row>
    <row r="74" spans="1:13" ht="12.75" x14ac:dyDescent="0.2">
      <c r="A74"/>
      <c r="B74"/>
      <c r="C74"/>
      <c r="D74"/>
      <c r="E74"/>
      <c r="F74"/>
      <c r="G74" s="18"/>
      <c r="H74"/>
      <c r="I74"/>
      <c r="J74"/>
      <c r="K74"/>
      <c r="L74"/>
      <c r="M74"/>
    </row>
    <row r="75" spans="1:13" ht="12.75" x14ac:dyDescent="0.2">
      <c r="A75"/>
      <c r="B75"/>
      <c r="C75"/>
      <c r="D75"/>
      <c r="E75"/>
      <c r="F75"/>
      <c r="G75" s="18"/>
      <c r="H75"/>
      <c r="I75"/>
      <c r="J75"/>
      <c r="K75"/>
      <c r="L75"/>
      <c r="M75"/>
    </row>
    <row r="76" spans="1:13" ht="12.75" x14ac:dyDescent="0.2">
      <c r="A76"/>
      <c r="B76"/>
      <c r="C76"/>
      <c r="D76"/>
      <c r="E76"/>
      <c r="F76"/>
      <c r="G76" s="18"/>
    </row>
    <row r="77" spans="1:13" ht="12.75" x14ac:dyDescent="0.2">
      <c r="A77"/>
      <c r="B77"/>
      <c r="C77"/>
      <c r="D77"/>
      <c r="E77"/>
      <c r="F77"/>
      <c r="G77" s="18"/>
    </row>
    <row r="78" spans="1:13" ht="12.75" x14ac:dyDescent="0.2">
      <c r="A78"/>
      <c r="B78"/>
      <c r="C78"/>
      <c r="D78"/>
      <c r="E78"/>
      <c r="F78"/>
      <c r="G78" s="18"/>
    </row>
    <row r="79" spans="1:13" ht="12.75" x14ac:dyDescent="0.2">
      <c r="A79"/>
      <c r="B79"/>
      <c r="C79"/>
      <c r="D79"/>
      <c r="E79"/>
      <c r="F79"/>
      <c r="G79" s="18"/>
    </row>
    <row r="80" spans="1:13" ht="12.75" x14ac:dyDescent="0.2">
      <c r="A80"/>
      <c r="B80"/>
      <c r="C80"/>
      <c r="D80"/>
      <c r="E80"/>
      <c r="F80"/>
      <c r="G80" s="18"/>
    </row>
    <row r="81" spans="1:7" ht="12.75" x14ac:dyDescent="0.2">
      <c r="A81"/>
      <c r="B81"/>
      <c r="C81"/>
      <c r="D81"/>
      <c r="E81"/>
      <c r="F81"/>
      <c r="G81" s="18"/>
    </row>
    <row r="82" spans="1:7" ht="12.75" x14ac:dyDescent="0.2">
      <c r="A82"/>
      <c r="B82"/>
      <c r="C82"/>
      <c r="D82"/>
      <c r="E82"/>
      <c r="F82"/>
      <c r="G82" s="18"/>
    </row>
    <row r="83" spans="1:7" ht="12.75" x14ac:dyDescent="0.2">
      <c r="A83"/>
      <c r="B83"/>
      <c r="C83"/>
      <c r="D83"/>
      <c r="E83"/>
      <c r="F83"/>
      <c r="G83" s="18"/>
    </row>
    <row r="84" spans="1:7" ht="12.75" x14ac:dyDescent="0.2">
      <c r="A84"/>
      <c r="B84"/>
      <c r="C84"/>
      <c r="D84"/>
      <c r="E84"/>
      <c r="F84"/>
      <c r="G84" s="18"/>
    </row>
    <row r="85" spans="1:7" ht="12.75" x14ac:dyDescent="0.2">
      <c r="A85"/>
      <c r="B85"/>
      <c r="C85"/>
      <c r="D85"/>
      <c r="E85"/>
      <c r="F85"/>
      <c r="G85" s="18"/>
    </row>
    <row r="86" spans="1:7" ht="12.75" x14ac:dyDescent="0.2">
      <c r="A86"/>
      <c r="B86"/>
      <c r="C86"/>
      <c r="D86"/>
      <c r="E86"/>
      <c r="F86"/>
      <c r="G86" s="18"/>
    </row>
    <row r="87" spans="1:7" ht="12.75" x14ac:dyDescent="0.2">
      <c r="A87"/>
      <c r="B87"/>
      <c r="C87"/>
      <c r="D87"/>
      <c r="E87"/>
      <c r="F87"/>
      <c r="G87" s="18"/>
    </row>
    <row r="88" spans="1:7" ht="12.75" x14ac:dyDescent="0.2">
      <c r="A88"/>
      <c r="B88"/>
      <c r="C88"/>
      <c r="D88"/>
      <c r="E88"/>
      <c r="F88"/>
      <c r="G88" s="18"/>
    </row>
    <row r="89" spans="1:7" ht="12.75" x14ac:dyDescent="0.2">
      <c r="A89"/>
      <c r="B89"/>
      <c r="C89"/>
      <c r="D89"/>
      <c r="E89"/>
      <c r="F89"/>
      <c r="G89" s="18"/>
    </row>
    <row r="90" spans="1:7" ht="12.75" x14ac:dyDescent="0.2">
      <c r="A90"/>
      <c r="B90"/>
      <c r="C90"/>
      <c r="D90"/>
      <c r="E90"/>
      <c r="F90"/>
      <c r="G90" s="18"/>
    </row>
    <row r="91" spans="1:7" ht="12.75" x14ac:dyDescent="0.2">
      <c r="A91"/>
      <c r="B91"/>
      <c r="C91"/>
      <c r="D91"/>
      <c r="E91"/>
      <c r="F91"/>
      <c r="G91" s="18"/>
    </row>
    <row r="92" spans="1:7" ht="12.75" x14ac:dyDescent="0.2">
      <c r="A92"/>
      <c r="B92"/>
      <c r="C92"/>
      <c r="D92"/>
      <c r="E92"/>
      <c r="F92"/>
      <c r="G92" s="18"/>
    </row>
    <row r="93" spans="1:7" ht="12.75" x14ac:dyDescent="0.2">
      <c r="A93"/>
      <c r="B93"/>
      <c r="C93"/>
      <c r="D93"/>
      <c r="E93"/>
      <c r="F93"/>
      <c r="G93" s="18"/>
    </row>
    <row r="94" spans="1:7" ht="12.75" x14ac:dyDescent="0.2">
      <c r="A94"/>
      <c r="B94"/>
      <c r="C94"/>
      <c r="D94"/>
      <c r="E94"/>
      <c r="F94"/>
      <c r="G94" s="18"/>
    </row>
    <row r="95" spans="1:7" ht="12.75" x14ac:dyDescent="0.2">
      <c r="A95"/>
      <c r="B95"/>
      <c r="C95"/>
      <c r="D95"/>
      <c r="E95"/>
      <c r="F95"/>
      <c r="G95" s="18"/>
    </row>
    <row r="96" spans="1:7" ht="12.75" x14ac:dyDescent="0.2">
      <c r="A96"/>
      <c r="B96"/>
      <c r="C96"/>
      <c r="D96"/>
      <c r="E96"/>
      <c r="F96"/>
      <c r="G96" s="18"/>
    </row>
    <row r="97" spans="1:7" ht="12.75" x14ac:dyDescent="0.2">
      <c r="A97"/>
      <c r="B97"/>
      <c r="C97"/>
      <c r="D97"/>
      <c r="E97"/>
      <c r="F97"/>
      <c r="G97" s="18"/>
    </row>
    <row r="98" spans="1:7" ht="12.75" x14ac:dyDescent="0.2">
      <c r="A98"/>
      <c r="B98"/>
      <c r="C98"/>
      <c r="D98"/>
      <c r="E98"/>
      <c r="F98"/>
      <c r="G98" s="18"/>
    </row>
    <row r="99" spans="1:7" ht="12.75" x14ac:dyDescent="0.2">
      <c r="A99"/>
      <c r="B99"/>
      <c r="C99"/>
      <c r="D99"/>
      <c r="E99"/>
      <c r="F99"/>
      <c r="G99" s="18"/>
    </row>
    <row r="100" spans="1:7" ht="12.75" x14ac:dyDescent="0.2">
      <c r="A100"/>
      <c r="B100"/>
      <c r="C100"/>
      <c r="D100"/>
      <c r="E100"/>
      <c r="F100"/>
      <c r="G100" s="18"/>
    </row>
    <row r="101" spans="1:7" ht="12.75" x14ac:dyDescent="0.2">
      <c r="A101"/>
      <c r="B101"/>
      <c r="C101"/>
      <c r="D101"/>
      <c r="E101"/>
      <c r="F101"/>
      <c r="G101" s="18"/>
    </row>
    <row r="102" spans="1:7" ht="12.75" x14ac:dyDescent="0.2">
      <c r="A102"/>
      <c r="B102"/>
      <c r="C102"/>
      <c r="D102"/>
      <c r="E102"/>
      <c r="F102"/>
      <c r="G102" s="18"/>
    </row>
    <row r="103" spans="1:7" ht="12.75" x14ac:dyDescent="0.2">
      <c r="A103"/>
      <c r="B103"/>
      <c r="C103"/>
      <c r="D103"/>
      <c r="E103"/>
      <c r="F103"/>
      <c r="G103" s="18"/>
    </row>
    <row r="104" spans="1:7" ht="12.75" x14ac:dyDescent="0.2">
      <c r="A104"/>
      <c r="B104"/>
      <c r="C104"/>
      <c r="D104"/>
      <c r="E104"/>
      <c r="F104"/>
      <c r="G104" s="18"/>
    </row>
    <row r="105" spans="1:7" x14ac:dyDescent="0.2">
      <c r="G105" s="13"/>
    </row>
    <row r="106" spans="1:7" x14ac:dyDescent="0.2">
      <c r="G106" s="13"/>
    </row>
    <row r="107" spans="1:7" x14ac:dyDescent="0.2">
      <c r="G107" s="13"/>
    </row>
    <row r="108" spans="1:7" x14ac:dyDescent="0.2">
      <c r="G108" s="13"/>
    </row>
    <row r="109" spans="1:7" x14ac:dyDescent="0.2">
      <c r="G109" s="13"/>
    </row>
    <row r="110" spans="1:7" x14ac:dyDescent="0.2">
      <c r="G110" s="13"/>
    </row>
    <row r="111" spans="1:7" x14ac:dyDescent="0.2">
      <c r="G111" s="13"/>
    </row>
    <row r="112" spans="1:7" x14ac:dyDescent="0.2">
      <c r="G112" s="13"/>
    </row>
    <row r="113" spans="7:7" x14ac:dyDescent="0.2">
      <c r="G113" s="13"/>
    </row>
    <row r="114" spans="7:7" x14ac:dyDescent="0.2">
      <c r="G114" s="13"/>
    </row>
    <row r="115" spans="7:7" x14ac:dyDescent="0.2">
      <c r="G115" s="13"/>
    </row>
    <row r="116" spans="7:7" x14ac:dyDescent="0.2">
      <c r="G116" s="13"/>
    </row>
    <row r="117" spans="7:7" x14ac:dyDescent="0.2">
      <c r="G117" s="13"/>
    </row>
    <row r="118" spans="7:7" x14ac:dyDescent="0.2">
      <c r="G118" s="13"/>
    </row>
    <row r="119" spans="7:7" x14ac:dyDescent="0.2">
      <c r="G119" s="13"/>
    </row>
    <row r="120" spans="7:7" x14ac:dyDescent="0.2">
      <c r="G120" s="13"/>
    </row>
    <row r="121" spans="7:7" x14ac:dyDescent="0.2">
      <c r="G121" s="13"/>
    </row>
    <row r="122" spans="7:7" x14ac:dyDescent="0.2">
      <c r="G122" s="13"/>
    </row>
    <row r="123" spans="7:7" x14ac:dyDescent="0.2">
      <c r="G123" s="13"/>
    </row>
    <row r="124" spans="7:7" x14ac:dyDescent="0.2">
      <c r="G124" s="13"/>
    </row>
    <row r="125" spans="7:7" x14ac:dyDescent="0.2">
      <c r="G125" s="13"/>
    </row>
    <row r="126" spans="7:7" x14ac:dyDescent="0.2">
      <c r="G126" s="13"/>
    </row>
    <row r="127" spans="7:7" x14ac:dyDescent="0.2">
      <c r="G127" s="13"/>
    </row>
    <row r="128" spans="7:7" x14ac:dyDescent="0.2">
      <c r="G128" s="13"/>
    </row>
    <row r="129" spans="7:7" x14ac:dyDescent="0.2">
      <c r="G129" s="13"/>
    </row>
    <row r="130" spans="7:7" x14ac:dyDescent="0.2">
      <c r="G130" s="13"/>
    </row>
    <row r="131" spans="7:7" x14ac:dyDescent="0.2">
      <c r="G131" s="13"/>
    </row>
    <row r="132" spans="7:7" x14ac:dyDescent="0.2">
      <c r="G132" s="13"/>
    </row>
    <row r="133" spans="7:7" x14ac:dyDescent="0.2">
      <c r="G133" s="13"/>
    </row>
    <row r="134" spans="7:7" x14ac:dyDescent="0.2">
      <c r="G134" s="13"/>
    </row>
    <row r="135" spans="7:7" x14ac:dyDescent="0.2">
      <c r="G135" s="13"/>
    </row>
    <row r="136" spans="7:7" x14ac:dyDescent="0.2">
      <c r="G136" s="13"/>
    </row>
    <row r="137" spans="7:7" x14ac:dyDescent="0.2">
      <c r="G137" s="13"/>
    </row>
    <row r="138" spans="7:7" x14ac:dyDescent="0.2">
      <c r="G138" s="13"/>
    </row>
    <row r="139" spans="7:7" x14ac:dyDescent="0.2">
      <c r="G139" s="13"/>
    </row>
    <row r="140" spans="7:7" x14ac:dyDescent="0.2">
      <c r="G140" s="13"/>
    </row>
    <row r="141" spans="7:7" x14ac:dyDescent="0.2">
      <c r="G141" s="13"/>
    </row>
    <row r="142" spans="7:7" x14ac:dyDescent="0.2">
      <c r="G142" s="13"/>
    </row>
    <row r="143" spans="7:7" x14ac:dyDescent="0.2">
      <c r="G143" s="13"/>
    </row>
    <row r="144" spans="7:7" x14ac:dyDescent="0.2">
      <c r="G144" s="13"/>
    </row>
    <row r="145" spans="7:7" x14ac:dyDescent="0.2">
      <c r="G145" s="13"/>
    </row>
    <row r="146" spans="7:7" x14ac:dyDescent="0.2">
      <c r="G146" s="13"/>
    </row>
    <row r="147" spans="7:7" x14ac:dyDescent="0.2">
      <c r="G147" s="13"/>
    </row>
    <row r="148" spans="7:7" x14ac:dyDescent="0.2">
      <c r="G148" s="13"/>
    </row>
    <row r="149" spans="7:7" x14ac:dyDescent="0.2">
      <c r="G149" s="13"/>
    </row>
    <row r="150" spans="7:7" x14ac:dyDescent="0.2">
      <c r="G150" s="13"/>
    </row>
    <row r="151" spans="7:7" x14ac:dyDescent="0.2">
      <c r="G151" s="13"/>
    </row>
    <row r="152" spans="7:7" x14ac:dyDescent="0.2">
      <c r="G152" s="13"/>
    </row>
    <row r="153" spans="7:7" x14ac:dyDescent="0.2">
      <c r="G153" s="13"/>
    </row>
    <row r="154" spans="7:7" x14ac:dyDescent="0.2">
      <c r="G154" s="13"/>
    </row>
    <row r="155" spans="7:7" x14ac:dyDescent="0.2">
      <c r="G155" s="13"/>
    </row>
    <row r="156" spans="7:7" x14ac:dyDescent="0.2">
      <c r="G156" s="13"/>
    </row>
    <row r="157" spans="7:7" x14ac:dyDescent="0.2">
      <c r="G157" s="13"/>
    </row>
    <row r="158" spans="7:7" x14ac:dyDescent="0.2">
      <c r="G158" s="13"/>
    </row>
    <row r="159" spans="7:7" x14ac:dyDescent="0.2">
      <c r="G159" s="13"/>
    </row>
    <row r="160" spans="7:7" x14ac:dyDescent="0.2">
      <c r="G160" s="13"/>
    </row>
    <row r="161" spans="7:7" x14ac:dyDescent="0.2">
      <c r="G161" s="13"/>
    </row>
    <row r="162" spans="7:7" x14ac:dyDescent="0.2">
      <c r="G162" s="13"/>
    </row>
    <row r="163" spans="7:7" x14ac:dyDescent="0.2">
      <c r="G163" s="13"/>
    </row>
    <row r="164" spans="7:7" x14ac:dyDescent="0.2">
      <c r="G164" s="13"/>
    </row>
    <row r="165" spans="7:7" x14ac:dyDescent="0.2">
      <c r="G165" s="13"/>
    </row>
    <row r="166" spans="7:7" x14ac:dyDescent="0.2">
      <c r="G166" s="13"/>
    </row>
    <row r="167" spans="7:7" x14ac:dyDescent="0.2">
      <c r="G167" s="13"/>
    </row>
    <row r="168" spans="7:7" x14ac:dyDescent="0.2">
      <c r="G168" s="13"/>
    </row>
    <row r="169" spans="7:7" x14ac:dyDescent="0.2">
      <c r="G169" s="13"/>
    </row>
    <row r="170" spans="7:7" x14ac:dyDescent="0.2">
      <c r="G170" s="13"/>
    </row>
    <row r="171" spans="7:7" x14ac:dyDescent="0.2">
      <c r="G171" s="13"/>
    </row>
    <row r="172" spans="7:7" x14ac:dyDescent="0.2">
      <c r="G172" s="13"/>
    </row>
    <row r="173" spans="7:7" x14ac:dyDescent="0.2">
      <c r="G173" s="13"/>
    </row>
    <row r="174" spans="7:7" x14ac:dyDescent="0.2">
      <c r="G174" s="13"/>
    </row>
    <row r="175" spans="7:7" x14ac:dyDescent="0.2">
      <c r="G175" s="13"/>
    </row>
    <row r="176" spans="7:7" x14ac:dyDescent="0.2">
      <c r="G176" s="13"/>
    </row>
    <row r="177" spans="7:7" x14ac:dyDescent="0.2">
      <c r="G177" s="13"/>
    </row>
    <row r="178" spans="7:7" x14ac:dyDescent="0.2">
      <c r="G178" s="13"/>
    </row>
    <row r="179" spans="7:7" x14ac:dyDescent="0.2">
      <c r="G179" s="13"/>
    </row>
    <row r="180" spans="7:7" x14ac:dyDescent="0.2">
      <c r="G180" s="13"/>
    </row>
    <row r="181" spans="7:7" x14ac:dyDescent="0.2">
      <c r="G181" s="13"/>
    </row>
    <row r="182" spans="7:7" x14ac:dyDescent="0.2">
      <c r="G182" s="13"/>
    </row>
    <row r="183" spans="7:7" x14ac:dyDescent="0.2">
      <c r="G183" s="13"/>
    </row>
    <row r="184" spans="7:7" x14ac:dyDescent="0.2">
      <c r="G184" s="13"/>
    </row>
    <row r="185" spans="7:7" x14ac:dyDescent="0.2">
      <c r="G185" s="13"/>
    </row>
    <row r="186" spans="7:7" x14ac:dyDescent="0.2">
      <c r="G186" s="13"/>
    </row>
    <row r="187" spans="7:7" x14ac:dyDescent="0.2">
      <c r="G187" s="13"/>
    </row>
    <row r="188" spans="7:7" x14ac:dyDescent="0.2">
      <c r="G188" s="13"/>
    </row>
    <row r="189" spans="7:7" x14ac:dyDescent="0.2">
      <c r="G189" s="13"/>
    </row>
    <row r="190" spans="7:7" x14ac:dyDescent="0.2">
      <c r="G190" s="13"/>
    </row>
    <row r="191" spans="7:7" x14ac:dyDescent="0.2">
      <c r="G191" s="13"/>
    </row>
    <row r="192" spans="7:7" x14ac:dyDescent="0.2">
      <c r="G192" s="13"/>
    </row>
    <row r="193" spans="7:7" x14ac:dyDescent="0.2">
      <c r="G193" s="13"/>
    </row>
    <row r="194" spans="7:7" x14ac:dyDescent="0.2">
      <c r="G194" s="13"/>
    </row>
    <row r="195" spans="7:7" x14ac:dyDescent="0.2">
      <c r="G195" s="13"/>
    </row>
    <row r="196" spans="7:7" x14ac:dyDescent="0.2">
      <c r="G196" s="13"/>
    </row>
    <row r="197" spans="7:7" x14ac:dyDescent="0.2">
      <c r="G197" s="13"/>
    </row>
    <row r="198" spans="7:7" x14ac:dyDescent="0.2">
      <c r="G198" s="13"/>
    </row>
    <row r="199" spans="7:7" x14ac:dyDescent="0.2">
      <c r="G199" s="13"/>
    </row>
    <row r="200" spans="7:7" x14ac:dyDescent="0.2">
      <c r="G200" s="13"/>
    </row>
    <row r="201" spans="7:7" x14ac:dyDescent="0.2">
      <c r="G201" s="13"/>
    </row>
    <row r="202" spans="7:7" x14ac:dyDescent="0.2">
      <c r="G202" s="13"/>
    </row>
    <row r="203" spans="7:7" x14ac:dyDescent="0.2">
      <c r="G203" s="13"/>
    </row>
    <row r="204" spans="7:7" x14ac:dyDescent="0.2">
      <c r="G204" s="13"/>
    </row>
    <row r="205" spans="7:7" x14ac:dyDescent="0.2">
      <c r="G205" s="13"/>
    </row>
    <row r="206" spans="7:7" x14ac:dyDescent="0.2">
      <c r="G206" s="13"/>
    </row>
    <row r="207" spans="7:7" x14ac:dyDescent="0.2">
      <c r="G207" s="13"/>
    </row>
    <row r="208" spans="7:7" x14ac:dyDescent="0.2">
      <c r="G208" s="13"/>
    </row>
    <row r="209" spans="7:7" x14ac:dyDescent="0.2">
      <c r="G209" s="13"/>
    </row>
    <row r="210" spans="7:7" x14ac:dyDescent="0.2">
      <c r="G210" s="13"/>
    </row>
    <row r="211" spans="7:7" x14ac:dyDescent="0.2">
      <c r="G211" s="13"/>
    </row>
    <row r="212" spans="7:7" x14ac:dyDescent="0.2">
      <c r="G212" s="13"/>
    </row>
    <row r="213" spans="7:7" x14ac:dyDescent="0.2">
      <c r="G213" s="13"/>
    </row>
    <row r="214" spans="7:7" x14ac:dyDescent="0.2">
      <c r="G214" s="13"/>
    </row>
    <row r="215" spans="7:7" x14ac:dyDescent="0.2">
      <c r="G215" s="13"/>
    </row>
    <row r="216" spans="7:7" x14ac:dyDescent="0.2">
      <c r="G216" s="13"/>
    </row>
    <row r="217" spans="7:7" x14ac:dyDescent="0.2">
      <c r="G217" s="13"/>
    </row>
    <row r="218" spans="7:7" x14ac:dyDescent="0.2">
      <c r="G218" s="13"/>
    </row>
    <row r="219" spans="7:7" x14ac:dyDescent="0.2">
      <c r="G219" s="13"/>
    </row>
    <row r="220" spans="7:7" x14ac:dyDescent="0.2">
      <c r="G220" s="13"/>
    </row>
    <row r="221" spans="7:7" x14ac:dyDescent="0.2">
      <c r="G221" s="13"/>
    </row>
    <row r="222" spans="7:7" x14ac:dyDescent="0.2">
      <c r="G222" s="13"/>
    </row>
    <row r="223" spans="7:7" x14ac:dyDescent="0.2">
      <c r="G223" s="13"/>
    </row>
    <row r="224" spans="7:7" x14ac:dyDescent="0.2">
      <c r="G224" s="13"/>
    </row>
    <row r="225" spans="7:7" x14ac:dyDescent="0.2">
      <c r="G225" s="13"/>
    </row>
    <row r="226" spans="7:7" x14ac:dyDescent="0.2">
      <c r="G226" s="13"/>
    </row>
    <row r="227" spans="7:7" x14ac:dyDescent="0.2">
      <c r="G227" s="13"/>
    </row>
    <row r="228" spans="7:7" x14ac:dyDescent="0.2">
      <c r="G228" s="13"/>
    </row>
    <row r="229" spans="7:7" x14ac:dyDescent="0.2">
      <c r="G229" s="13"/>
    </row>
    <row r="230" spans="7:7" x14ac:dyDescent="0.2">
      <c r="G230" s="13"/>
    </row>
    <row r="231" spans="7:7" x14ac:dyDescent="0.2">
      <c r="G231" s="13"/>
    </row>
    <row r="232" spans="7:7" x14ac:dyDescent="0.2">
      <c r="G232" s="13"/>
    </row>
    <row r="233" spans="7:7" x14ac:dyDescent="0.2">
      <c r="G233" s="13"/>
    </row>
    <row r="234" spans="7:7" x14ac:dyDescent="0.2">
      <c r="G234" s="13"/>
    </row>
    <row r="235" spans="7:7" x14ac:dyDescent="0.2">
      <c r="G235" s="13"/>
    </row>
    <row r="236" spans="7:7" x14ac:dyDescent="0.2">
      <c r="G236" s="13"/>
    </row>
    <row r="237" spans="7:7" x14ac:dyDescent="0.2">
      <c r="G237" s="13"/>
    </row>
    <row r="238" spans="7:7" x14ac:dyDescent="0.2">
      <c r="G238" s="13"/>
    </row>
    <row r="239" spans="7:7" x14ac:dyDescent="0.2">
      <c r="G239" s="13"/>
    </row>
    <row r="240" spans="7:7" x14ac:dyDescent="0.2">
      <c r="G240" s="13"/>
    </row>
    <row r="241" spans="7:7" x14ac:dyDescent="0.2">
      <c r="G241" s="13"/>
    </row>
    <row r="242" spans="7:7" x14ac:dyDescent="0.2">
      <c r="G242" s="13"/>
    </row>
    <row r="243" spans="7:7" x14ac:dyDescent="0.2">
      <c r="G243" s="13"/>
    </row>
    <row r="244" spans="7:7" x14ac:dyDescent="0.2">
      <c r="G244" s="13"/>
    </row>
    <row r="245" spans="7:7" x14ac:dyDescent="0.2">
      <c r="G245" s="13"/>
    </row>
    <row r="246" spans="7:7" x14ac:dyDescent="0.2">
      <c r="G246" s="13"/>
    </row>
    <row r="247" spans="7:7" x14ac:dyDescent="0.2">
      <c r="G247" s="13"/>
    </row>
    <row r="248" spans="7:7" x14ac:dyDescent="0.2">
      <c r="G248" s="13"/>
    </row>
    <row r="249" spans="7:7" x14ac:dyDescent="0.2">
      <c r="G249" s="13"/>
    </row>
    <row r="250" spans="7:7" x14ac:dyDescent="0.2">
      <c r="G250" s="13"/>
    </row>
    <row r="251" spans="7:7" x14ac:dyDescent="0.2">
      <c r="G251" s="13"/>
    </row>
    <row r="252" spans="7:7" x14ac:dyDescent="0.2">
      <c r="G252" s="13"/>
    </row>
    <row r="253" spans="7:7" x14ac:dyDescent="0.2">
      <c r="G253" s="13"/>
    </row>
    <row r="254" spans="7:7" x14ac:dyDescent="0.2">
      <c r="G254" s="13"/>
    </row>
    <row r="255" spans="7:7" x14ac:dyDescent="0.2">
      <c r="G255" s="13"/>
    </row>
    <row r="256" spans="7:7" x14ac:dyDescent="0.2">
      <c r="G256" s="13"/>
    </row>
    <row r="257" spans="7:7" x14ac:dyDescent="0.2">
      <c r="G257" s="13"/>
    </row>
    <row r="258" spans="7:7" x14ac:dyDescent="0.2">
      <c r="G258" s="13"/>
    </row>
    <row r="259" spans="7:7" x14ac:dyDescent="0.2">
      <c r="G259" s="13"/>
    </row>
    <row r="260" spans="7:7" x14ac:dyDescent="0.2">
      <c r="G260" s="13"/>
    </row>
    <row r="261" spans="7:7" x14ac:dyDescent="0.2">
      <c r="G261" s="13"/>
    </row>
    <row r="262" spans="7:7" x14ac:dyDescent="0.2">
      <c r="G262" s="13"/>
    </row>
    <row r="263" spans="7:7" x14ac:dyDescent="0.2">
      <c r="G263" s="13"/>
    </row>
    <row r="264" spans="7:7" x14ac:dyDescent="0.2">
      <c r="G264" s="13"/>
    </row>
    <row r="265" spans="7:7" x14ac:dyDescent="0.2">
      <c r="G265" s="13"/>
    </row>
    <row r="266" spans="7:7" x14ac:dyDescent="0.2">
      <c r="G266" s="13"/>
    </row>
    <row r="267" spans="7:7" x14ac:dyDescent="0.2">
      <c r="G267" s="13"/>
    </row>
    <row r="268" spans="7:7" x14ac:dyDescent="0.2">
      <c r="G268" s="13"/>
    </row>
    <row r="269" spans="7:7" x14ac:dyDescent="0.2">
      <c r="G269" s="13"/>
    </row>
    <row r="270" spans="7:7" x14ac:dyDescent="0.2">
      <c r="G270" s="13"/>
    </row>
    <row r="271" spans="7:7" x14ac:dyDescent="0.2">
      <c r="G271" s="13"/>
    </row>
    <row r="272" spans="7:7" x14ac:dyDescent="0.2">
      <c r="G272" s="13"/>
    </row>
    <row r="273" spans="7:7" x14ac:dyDescent="0.2">
      <c r="G273" s="13"/>
    </row>
    <row r="274" spans="7:7" x14ac:dyDescent="0.2">
      <c r="G274" s="13"/>
    </row>
    <row r="275" spans="7:7" x14ac:dyDescent="0.2">
      <c r="G275" s="13"/>
    </row>
    <row r="276" spans="7:7" x14ac:dyDescent="0.2">
      <c r="G276" s="13"/>
    </row>
    <row r="277" spans="7:7" x14ac:dyDescent="0.2">
      <c r="G277" s="13"/>
    </row>
    <row r="278" spans="7:7" x14ac:dyDescent="0.2">
      <c r="G278" s="13"/>
    </row>
    <row r="279" spans="7:7" x14ac:dyDescent="0.2">
      <c r="G279" s="13"/>
    </row>
    <row r="280" spans="7:7" x14ac:dyDescent="0.2">
      <c r="G280" s="13"/>
    </row>
    <row r="281" spans="7:7" x14ac:dyDescent="0.2">
      <c r="G281" s="13"/>
    </row>
    <row r="282" spans="7:7" x14ac:dyDescent="0.2">
      <c r="G282" s="13"/>
    </row>
    <row r="283" spans="7:7" x14ac:dyDescent="0.2">
      <c r="G283" s="13"/>
    </row>
    <row r="284" spans="7:7" x14ac:dyDescent="0.2">
      <c r="G284" s="13"/>
    </row>
    <row r="285" spans="7:7" x14ac:dyDescent="0.2">
      <c r="G285" s="13"/>
    </row>
    <row r="286" spans="7:7" x14ac:dyDescent="0.2">
      <c r="G286" s="13"/>
    </row>
    <row r="287" spans="7:7" x14ac:dyDescent="0.2">
      <c r="G287" s="13"/>
    </row>
    <row r="288" spans="7:7" x14ac:dyDescent="0.2">
      <c r="G288" s="13"/>
    </row>
    <row r="289" spans="7:7" x14ac:dyDescent="0.2">
      <c r="G289" s="13"/>
    </row>
    <row r="290" spans="7:7" x14ac:dyDescent="0.2">
      <c r="G290" s="13"/>
    </row>
    <row r="291" spans="7:7" x14ac:dyDescent="0.2">
      <c r="G291" s="13"/>
    </row>
    <row r="292" spans="7:7" x14ac:dyDescent="0.2">
      <c r="G292" s="13"/>
    </row>
    <row r="293" spans="7:7" x14ac:dyDescent="0.2">
      <c r="G293" s="13"/>
    </row>
    <row r="294" spans="7:7" x14ac:dyDescent="0.2">
      <c r="G294" s="13"/>
    </row>
    <row r="295" spans="7:7" x14ac:dyDescent="0.2">
      <c r="G295" s="13"/>
    </row>
    <row r="296" spans="7:7" x14ac:dyDescent="0.2">
      <c r="G296" s="13"/>
    </row>
    <row r="297" spans="7:7" x14ac:dyDescent="0.2">
      <c r="G297" s="13"/>
    </row>
    <row r="298" spans="7:7" x14ac:dyDescent="0.2">
      <c r="G298" s="13"/>
    </row>
    <row r="299" spans="7:7" x14ac:dyDescent="0.2">
      <c r="G299" s="13"/>
    </row>
    <row r="300" spans="7:7" x14ac:dyDescent="0.2">
      <c r="G300" s="13"/>
    </row>
    <row r="301" spans="7:7" x14ac:dyDescent="0.2">
      <c r="G301" s="13"/>
    </row>
    <row r="302" spans="7:7" x14ac:dyDescent="0.2">
      <c r="G302" s="13"/>
    </row>
    <row r="303" spans="7:7" x14ac:dyDescent="0.2">
      <c r="G303" s="13"/>
    </row>
    <row r="304" spans="7:7" x14ac:dyDescent="0.2">
      <c r="G304" s="13"/>
    </row>
    <row r="305" spans="7:7" x14ac:dyDescent="0.2">
      <c r="G305" s="13"/>
    </row>
    <row r="306" spans="7:7" x14ac:dyDescent="0.2">
      <c r="G306" s="13"/>
    </row>
    <row r="307" spans="7:7" x14ac:dyDescent="0.2">
      <c r="G307" s="13"/>
    </row>
    <row r="308" spans="7:7" x14ac:dyDescent="0.2">
      <c r="G308" s="13"/>
    </row>
    <row r="309" spans="7:7" x14ac:dyDescent="0.2">
      <c r="G309" s="13"/>
    </row>
    <row r="310" spans="7:7" x14ac:dyDescent="0.2">
      <c r="G310" s="13"/>
    </row>
    <row r="311" spans="7:7" x14ac:dyDescent="0.2">
      <c r="G311" s="13"/>
    </row>
    <row r="312" spans="7:7" x14ac:dyDescent="0.2">
      <c r="G312" s="13"/>
    </row>
    <row r="313" spans="7:7" x14ac:dyDescent="0.2">
      <c r="G313" s="13"/>
    </row>
    <row r="314" spans="7:7" x14ac:dyDescent="0.2">
      <c r="G314" s="13"/>
    </row>
    <row r="315" spans="7:7" x14ac:dyDescent="0.2">
      <c r="G315" s="13"/>
    </row>
    <row r="316" spans="7:7" x14ac:dyDescent="0.2">
      <c r="G316" s="13"/>
    </row>
    <row r="317" spans="7:7" x14ac:dyDescent="0.2">
      <c r="G317" s="13"/>
    </row>
    <row r="318" spans="7:7" x14ac:dyDescent="0.2">
      <c r="G318" s="13"/>
    </row>
    <row r="319" spans="7:7" x14ac:dyDescent="0.2">
      <c r="G319" s="13"/>
    </row>
    <row r="320" spans="7:7" x14ac:dyDescent="0.2">
      <c r="G320" s="13"/>
    </row>
    <row r="321" spans="7:7" x14ac:dyDescent="0.2">
      <c r="G321" s="13"/>
    </row>
    <row r="322" spans="7:7" x14ac:dyDescent="0.2">
      <c r="G322" s="13"/>
    </row>
    <row r="323" spans="7:7" x14ac:dyDescent="0.2">
      <c r="G323" s="13"/>
    </row>
    <row r="324" spans="7:7" x14ac:dyDescent="0.2">
      <c r="G324" s="13"/>
    </row>
    <row r="325" spans="7:7" x14ac:dyDescent="0.2">
      <c r="G325" s="13"/>
    </row>
    <row r="326" spans="7:7" x14ac:dyDescent="0.2">
      <c r="G326" s="13"/>
    </row>
    <row r="327" spans="7:7" x14ac:dyDescent="0.2">
      <c r="G327" s="13"/>
    </row>
    <row r="328" spans="7:7" x14ac:dyDescent="0.2">
      <c r="G328" s="13"/>
    </row>
    <row r="329" spans="7:7" x14ac:dyDescent="0.2">
      <c r="G329" s="13"/>
    </row>
    <row r="330" spans="7:7" x14ac:dyDescent="0.2">
      <c r="G330" s="13"/>
    </row>
    <row r="331" spans="7:7" x14ac:dyDescent="0.2">
      <c r="G331" s="13"/>
    </row>
    <row r="332" spans="7:7" x14ac:dyDescent="0.2">
      <c r="G332" s="13"/>
    </row>
    <row r="333" spans="7:7" x14ac:dyDescent="0.2">
      <c r="G333" s="13"/>
    </row>
    <row r="334" spans="7:7" x14ac:dyDescent="0.2">
      <c r="G334" s="13"/>
    </row>
    <row r="335" spans="7:7" x14ac:dyDescent="0.2">
      <c r="G335" s="13"/>
    </row>
    <row r="336" spans="7:7" x14ac:dyDescent="0.2">
      <c r="G336" s="13"/>
    </row>
    <row r="337" spans="7:7" x14ac:dyDescent="0.2">
      <c r="G337" s="13"/>
    </row>
    <row r="338" spans="7:7" x14ac:dyDescent="0.2">
      <c r="G338" s="13"/>
    </row>
    <row r="339" spans="7:7" x14ac:dyDescent="0.2">
      <c r="G339" s="13"/>
    </row>
    <row r="340" spans="7:7" x14ac:dyDescent="0.2">
      <c r="G340" s="13"/>
    </row>
    <row r="341" spans="7:7" x14ac:dyDescent="0.2">
      <c r="G341" s="13"/>
    </row>
    <row r="342" spans="7:7" x14ac:dyDescent="0.2">
      <c r="G342" s="13"/>
    </row>
    <row r="343" spans="7:7" x14ac:dyDescent="0.2">
      <c r="G343" s="13"/>
    </row>
    <row r="344" spans="7:7" x14ac:dyDescent="0.2">
      <c r="G344" s="13"/>
    </row>
    <row r="345" spans="7:7" x14ac:dyDescent="0.2">
      <c r="G345" s="13"/>
    </row>
    <row r="346" spans="7:7" x14ac:dyDescent="0.2">
      <c r="G346" s="13"/>
    </row>
    <row r="347" spans="7:7" x14ac:dyDescent="0.2">
      <c r="G347" s="13"/>
    </row>
    <row r="348" spans="7:7" x14ac:dyDescent="0.2">
      <c r="G348" s="13"/>
    </row>
    <row r="349" spans="7:7" x14ac:dyDescent="0.2">
      <c r="G349" s="13"/>
    </row>
    <row r="350" spans="7:7" x14ac:dyDescent="0.2">
      <c r="G350" s="13"/>
    </row>
    <row r="351" spans="7:7" x14ac:dyDescent="0.2">
      <c r="G351" s="13"/>
    </row>
    <row r="352" spans="7:7" x14ac:dyDescent="0.2">
      <c r="G352" s="13"/>
    </row>
    <row r="353" spans="7:7" x14ac:dyDescent="0.2">
      <c r="G353" s="13"/>
    </row>
    <row r="354" spans="7:7" x14ac:dyDescent="0.2">
      <c r="G354" s="13"/>
    </row>
    <row r="355" spans="7:7" x14ac:dyDescent="0.2">
      <c r="G355" s="13"/>
    </row>
    <row r="356" spans="7:7" x14ac:dyDescent="0.2">
      <c r="G356" s="13"/>
    </row>
    <row r="357" spans="7:7" x14ac:dyDescent="0.2">
      <c r="G357" s="13"/>
    </row>
    <row r="358" spans="7:7" x14ac:dyDescent="0.2">
      <c r="G358" s="13"/>
    </row>
    <row r="359" spans="7:7" x14ac:dyDescent="0.2">
      <c r="G359" s="13"/>
    </row>
    <row r="360" spans="7:7" x14ac:dyDescent="0.2">
      <c r="G360" s="13"/>
    </row>
    <row r="361" spans="7:7" x14ac:dyDescent="0.2">
      <c r="G361" s="13"/>
    </row>
    <row r="362" spans="7:7" x14ac:dyDescent="0.2">
      <c r="G362" s="13"/>
    </row>
    <row r="363" spans="7:7" x14ac:dyDescent="0.2">
      <c r="G363" s="13"/>
    </row>
    <row r="364" spans="7:7" x14ac:dyDescent="0.2">
      <c r="G364" s="13"/>
    </row>
    <row r="365" spans="7:7" x14ac:dyDescent="0.2">
      <c r="G365" s="13"/>
    </row>
    <row r="366" spans="7:7" x14ac:dyDescent="0.2">
      <c r="G366" s="13"/>
    </row>
    <row r="367" spans="7:7" x14ac:dyDescent="0.2">
      <c r="G367" s="13"/>
    </row>
    <row r="368" spans="7:7" x14ac:dyDescent="0.2">
      <c r="G368" s="13"/>
    </row>
    <row r="369" spans="7:7" x14ac:dyDescent="0.2">
      <c r="G369" s="13"/>
    </row>
    <row r="370" spans="7:7" x14ac:dyDescent="0.2">
      <c r="G370" s="13"/>
    </row>
    <row r="371" spans="7:7" x14ac:dyDescent="0.2">
      <c r="G371" s="13"/>
    </row>
    <row r="372" spans="7:7" x14ac:dyDescent="0.2">
      <c r="G372" s="13"/>
    </row>
    <row r="373" spans="7:7" x14ac:dyDescent="0.2">
      <c r="G373" s="13"/>
    </row>
    <row r="374" spans="7:7" x14ac:dyDescent="0.2">
      <c r="G374" s="13"/>
    </row>
  </sheetData>
  <mergeCells count="7">
    <mergeCell ref="B17:C17"/>
    <mergeCell ref="D10:D11"/>
    <mergeCell ref="E6:J6"/>
    <mergeCell ref="A10:B10"/>
    <mergeCell ref="A11:B11"/>
    <mergeCell ref="E10:E11"/>
    <mergeCell ref="A16:B16"/>
  </mergeCells>
  <printOptions gridLines="1"/>
  <pageMargins left="0.5" right="0.5" top="0.75" bottom="0.5" header="0.5" footer="0.25"/>
  <pageSetup scale="94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Tax Rates</vt:lpstr>
      <vt:lpstr>'Tax Rates'!Print_Area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Melcher</dc:creator>
  <cp:lastModifiedBy>Kostelecky, Teri</cp:lastModifiedBy>
  <cp:lastPrinted>2012-02-17T19:31:07Z</cp:lastPrinted>
  <dcterms:created xsi:type="dcterms:W3CDTF">1998-06-23T22:52:14Z</dcterms:created>
  <dcterms:modified xsi:type="dcterms:W3CDTF">2012-02-21T14:08:33Z</dcterms:modified>
</cp:coreProperties>
</file>