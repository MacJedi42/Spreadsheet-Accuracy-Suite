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588" yWindow="780" windowWidth="19428" windowHeight="8820"/>
  </bookViews>
  <sheets>
    <sheet name="Weekly Menu 9-12 (2)" sheetId="4" r:id="rId1"/>
  </sheets>
  <calcPr calcId="145621"/>
</workbook>
</file>

<file path=xl/calcChain.xml><?xml version="1.0" encoding="utf-8"?>
<calcChain xmlns="http://schemas.openxmlformats.org/spreadsheetml/2006/main">
  <c r="N22" i="4" l="1"/>
  <c r="N23" i="4"/>
  <c r="N24" i="4"/>
  <c r="N13" i="4" l="1"/>
  <c r="N28" i="4" l="1"/>
  <c r="N26" i="4"/>
  <c r="N21" i="4"/>
  <c r="P22" i="4" s="1"/>
  <c r="Q24" i="4" l="1"/>
  <c r="Q28" i="4" l="1"/>
  <c r="Q23" i="4"/>
  <c r="N14" i="4" l="1"/>
  <c r="P14" i="4" s="1"/>
  <c r="Q14" i="4" s="1"/>
  <c r="N6" i="4" l="1"/>
  <c r="P6" i="4" s="1"/>
  <c r="Q6" i="4" s="1"/>
  <c r="D7" i="4"/>
  <c r="F7" i="4"/>
  <c r="H7" i="4"/>
  <c r="J7" i="4"/>
  <c r="L7" i="4"/>
  <c r="N9" i="4"/>
  <c r="P9" i="4" s="1"/>
  <c r="Q9" i="4" s="1"/>
  <c r="N10" i="4"/>
  <c r="P10" i="4" s="1"/>
  <c r="Q10" i="4" s="1"/>
  <c r="N11" i="4"/>
  <c r="P11" i="4" s="1"/>
  <c r="Q11" i="4" s="1"/>
  <c r="N12" i="4"/>
  <c r="P12" i="4" s="1"/>
  <c r="Q12" i="4" s="1"/>
  <c r="P13" i="4"/>
  <c r="Q13" i="4" s="1"/>
  <c r="D18" i="4"/>
  <c r="F18" i="4"/>
  <c r="H18" i="4"/>
  <c r="J18" i="4"/>
  <c r="L18" i="4"/>
  <c r="Q21" i="4"/>
  <c r="Q26" i="4"/>
  <c r="N30" i="4"/>
  <c r="Q30" i="4" s="1"/>
  <c r="N18" i="4" l="1"/>
  <c r="P18" i="4" s="1"/>
  <c r="Q18" i="4" s="1"/>
</calcChain>
</file>

<file path=xl/comments1.xml><?xml version="1.0" encoding="utf-8"?>
<comments xmlns="http://schemas.openxmlformats.org/spreadsheetml/2006/main">
  <authors>
    <author>Oberholser, Cheryl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>Oberholser, Cheryl: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<sst xmlns="http://schemas.openxmlformats.org/spreadsheetml/2006/main" count="157" uniqueCount="95">
  <si>
    <t>Offer 1 cup/day</t>
  </si>
  <si>
    <t>Non-fat (flavored or unflavored) or 1% unflavored</t>
  </si>
  <si>
    <t>cup</t>
  </si>
  <si>
    <t>MILK</t>
  </si>
  <si>
    <t>Minimum of 2 oz. per day</t>
  </si>
  <si>
    <t>oz</t>
  </si>
  <si>
    <t>MEAT / MEAT ALT.</t>
  </si>
  <si>
    <t>Half of all grains must be whole grain</t>
  </si>
  <si>
    <t>List only WGR</t>
  </si>
  <si>
    <t>GRAINS &amp; BREADS</t>
  </si>
  <si>
    <t xml:space="preserve">Required Totals (for the week) </t>
  </si>
  <si>
    <t>Actual Totals</t>
  </si>
  <si>
    <t>oz. eq.</t>
  </si>
  <si>
    <t>Item</t>
  </si>
  <si>
    <t>New Meal Pattern</t>
  </si>
  <si>
    <t>Component</t>
  </si>
  <si>
    <t>Daily Requirement</t>
  </si>
  <si>
    <r>
      <rPr>
        <sz val="10"/>
        <color theme="1"/>
        <rFont val="Times New Roman"/>
        <family val="1"/>
      </rPr>
      <t>¾</t>
    </r>
    <r>
      <rPr>
        <sz val="10"/>
        <color theme="1"/>
        <rFont val="Calibri"/>
        <family val="2"/>
        <scheme val="minor"/>
      </rPr>
      <t xml:space="preserve"> cup of other</t>
    </r>
  </si>
  <si>
    <t>½ cup of starchy</t>
  </si>
  <si>
    <t>½ cup of legumes</t>
  </si>
  <si>
    <t>1 ¼ cup of red/orange</t>
  </si>
  <si>
    <t>½ cup dark green</t>
  </si>
  <si>
    <t xml:space="preserve"> </t>
  </si>
  <si>
    <t>VEGETABLE</t>
  </si>
  <si>
    <t>FRUIT</t>
  </si>
  <si>
    <t>cups</t>
  </si>
  <si>
    <t>RESULTS</t>
  </si>
  <si>
    <r>
      <t xml:space="preserve">Required Totals </t>
    </r>
    <r>
      <rPr>
        <sz val="10"/>
        <color theme="1"/>
        <rFont val="Calibri"/>
        <family val="2"/>
        <scheme val="minor"/>
      </rPr>
      <t>(for the week)</t>
    </r>
  </si>
  <si>
    <t>Friday</t>
  </si>
  <si>
    <t>Thursday</t>
  </si>
  <si>
    <t>Wednesday</t>
  </si>
  <si>
    <t>Tuesday</t>
  </si>
  <si>
    <t>Monday</t>
  </si>
  <si>
    <t>Weekly Results/Totals</t>
  </si>
  <si>
    <t>List food from menu that fit into each category</t>
  </si>
  <si>
    <t>COMMENTS/                   RESULTS</t>
  </si>
  <si>
    <t>Age/grade:                 9-12</t>
  </si>
  <si>
    <t>Fruit bar</t>
  </si>
  <si>
    <t>Additional Vegetable</t>
  </si>
  <si>
    <t xml:space="preserve">1 1/2 cup Additional </t>
  </si>
  <si>
    <t>Minimum of 2 per day</t>
  </si>
  <si>
    <t>10 per week minimum</t>
  </si>
  <si>
    <t>12 per week maximum</t>
  </si>
  <si>
    <t>12 per week minimum</t>
  </si>
  <si>
    <t>Deli bar</t>
  </si>
  <si>
    <t>Chipped steak sandwich</t>
  </si>
  <si>
    <t>Fish fillet sandwich</t>
  </si>
  <si>
    <t>Fat free chocolate, strawberry, white and low fat white</t>
  </si>
  <si>
    <t>Date: Week # 4</t>
  </si>
  <si>
    <t>Steamed broccoli</t>
  </si>
  <si>
    <t>Fresh carrots w/ ff ranch dip</t>
  </si>
  <si>
    <t>Hummus</t>
  </si>
  <si>
    <t>Steamed green beans</t>
  </si>
  <si>
    <t>Chef salad w/ ham</t>
  </si>
  <si>
    <t>Chef salad w/ turkey</t>
  </si>
  <si>
    <t>Taco salad</t>
  </si>
  <si>
    <t>Chicken ceasar salad</t>
  </si>
  <si>
    <t>Cobb salad</t>
  </si>
  <si>
    <t>BBQ glazed chicken nuggets</t>
  </si>
  <si>
    <t>Fresh broccoli w/ ff ranch dip</t>
  </si>
  <si>
    <t>Sweet potato french fries</t>
  </si>
  <si>
    <t>Corn</t>
  </si>
  <si>
    <t>Grilled chicken sandwich</t>
  </si>
  <si>
    <t>Refried beans</t>
  </si>
  <si>
    <t>Steamed wax beans</t>
  </si>
  <si>
    <t>Mixed vegetables</t>
  </si>
  <si>
    <t>Weekly Average: Calories 819, Saturated fat 5.98%, Sodium 1868</t>
  </si>
  <si>
    <t>Fruit Totals                                  (for each day)</t>
  </si>
  <si>
    <t>VEG TOTALS                    (for each day)</t>
  </si>
  <si>
    <t>Fresh veggies w/ ff ranch dip</t>
  </si>
  <si>
    <r>
      <t xml:space="preserve">Enter daily </t>
    </r>
    <r>
      <rPr>
        <b/>
        <sz val="10"/>
        <color theme="1"/>
        <rFont val="Calibri"/>
        <family val="2"/>
        <scheme val="minor"/>
      </rPr>
      <t>minimum</t>
    </r>
    <r>
      <rPr>
        <sz val="10"/>
        <color theme="1"/>
        <rFont val="Calibri"/>
        <family val="2"/>
        <scheme val="minor"/>
      </rPr>
      <t xml:space="preserve"> offering</t>
    </r>
  </si>
  <si>
    <r>
      <t xml:space="preserve">Enter daily </t>
    </r>
    <r>
      <rPr>
        <b/>
        <sz val="10"/>
        <color theme="1"/>
        <rFont val="Calibri"/>
        <family val="2"/>
        <scheme val="minor"/>
      </rPr>
      <t xml:space="preserve">maximum </t>
    </r>
    <r>
      <rPr>
        <sz val="10"/>
        <color theme="1"/>
        <rFont val="Calibri"/>
        <family val="2"/>
        <scheme val="minor"/>
      </rPr>
      <t>offering</t>
    </r>
  </si>
  <si>
    <t>Total oz. eq. of grains offered this week</t>
  </si>
  <si>
    <t>Total oz. eq. of whole grains offered this week</t>
  </si>
  <si>
    <t xml:space="preserve">Waffles 2 each </t>
  </si>
  <si>
    <t>Whole grain garlic bread</t>
  </si>
  <si>
    <t>Deli bar - steak or kaiser roll</t>
  </si>
  <si>
    <t>Whole grain long roll</t>
  </si>
  <si>
    <t>Whole grain long roll and garlic bread</t>
  </si>
  <si>
    <t xml:space="preserve">Whole grain round roll </t>
  </si>
  <si>
    <t>Whole grain tortilla chips</t>
  </si>
  <si>
    <t>Whole grain round roll or tortilla chips</t>
  </si>
  <si>
    <t xml:space="preserve"> Whole grain dinner roll 2 each</t>
  </si>
  <si>
    <t>Whole grain dinner rolls and garlic bread</t>
  </si>
  <si>
    <r>
      <t xml:space="preserve">Enter daily </t>
    </r>
    <r>
      <rPr>
        <b/>
        <sz val="10"/>
        <color theme="1"/>
        <rFont val="Calibri"/>
        <family val="2"/>
        <scheme val="minor"/>
      </rPr>
      <t xml:space="preserve">minimum </t>
    </r>
    <r>
      <rPr>
        <sz val="10"/>
        <color theme="1"/>
        <rFont val="Calibri"/>
        <family val="2"/>
        <scheme val="minor"/>
      </rPr>
      <t>offering</t>
    </r>
  </si>
  <si>
    <t xml:space="preserve">Spanish rice USDA recipe B-17               (1/3 cup serving) &amp; whole round roll  </t>
  </si>
  <si>
    <t>Whole grain deli bar steak roll and round roll</t>
  </si>
  <si>
    <t>1 cup of fruit</t>
  </si>
  <si>
    <t>Side salad w/ dressing*                 (1 cup)</t>
  </si>
  <si>
    <t>Chicken w/ gravy</t>
  </si>
  <si>
    <t>Mashed potatoes w/ gravy</t>
  </si>
  <si>
    <t>VEGETABLES                   1 cup of vegs/day</t>
  </si>
  <si>
    <t>Required weekly vegetable sub-groups adds up to 31/2 cup; weekly total of all vegetables is 5 cup</t>
  </si>
  <si>
    <t xml:space="preserve">Fresh carrot and cucumber </t>
  </si>
  <si>
    <t>Quantity Difference (actual vs. required)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</si>
</sst>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</fills>
  <borders count="4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0" fillId="0" borderId="0" xfId="0" applyProtection="1">
      <protection locked="0"/>
    </xf>
    <xf numFmtId="0" fontId="1" fillId="0" borderId="1" xfId="0" applyFont="1" applyBorder="1" applyAlignment="1" applyProtection="1">
      <alignment horizontal="center" vertical="top" wrapText="1"/>
      <protection locked="0"/>
    </xf>
    <xf numFmtId="12" fontId="1" fillId="0" borderId="1" xfId="0" applyNumberFormat="1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vertical="top" wrapText="1"/>
      <protection locked="0"/>
    </xf>
    <xf numFmtId="0" fontId="0" fillId="0" borderId="0" xfId="0" applyAlignment="1" applyProtection="1">
      <alignment horizontal="center" vertical="top"/>
      <protection locked="0"/>
    </xf>
    <xf numFmtId="12" fontId="0" fillId="0" borderId="0" xfId="0" applyNumberFormat="1" applyAlignment="1" applyProtection="1">
      <alignment horizontal="center" vertical="center"/>
      <protection locked="0"/>
    </xf>
    <xf numFmtId="0" fontId="0" fillId="0" borderId="0" xfId="0" applyAlignment="1" applyProtection="1">
      <alignment vertical="top"/>
      <protection locked="0"/>
    </xf>
    <xf numFmtId="0" fontId="1" fillId="0" borderId="2" xfId="0" applyFont="1" applyBorder="1" applyAlignment="1" applyProtection="1">
      <alignment horizontal="center" vertical="center" wrapText="1"/>
    </xf>
    <xf numFmtId="12" fontId="1" fillId="0" borderId="1" xfId="0" applyNumberFormat="1" applyFont="1" applyBorder="1" applyAlignment="1" applyProtection="1">
      <alignment horizontal="center" vertical="center" wrapText="1"/>
    </xf>
    <xf numFmtId="0" fontId="1" fillId="0" borderId="1" xfId="0" applyFont="1" applyBorder="1" applyAlignment="1" applyProtection="1">
      <alignment horizontal="center" vertical="center" wrapText="1"/>
    </xf>
    <xf numFmtId="12" fontId="1" fillId="0" borderId="1" xfId="0" applyNumberFormat="1" applyFont="1" applyFill="1" applyBorder="1" applyAlignment="1" applyProtection="1">
      <alignment horizontal="center" vertical="center" wrapText="1"/>
    </xf>
    <xf numFmtId="12" fontId="1" fillId="0" borderId="8" xfId="0" applyNumberFormat="1" applyFont="1" applyBorder="1" applyAlignment="1" applyProtection="1">
      <alignment horizontal="center" vertical="center" wrapText="1"/>
      <protection locked="0"/>
    </xf>
    <xf numFmtId="0" fontId="1" fillId="0" borderId="8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 wrapText="1"/>
      <protection locked="0"/>
    </xf>
    <xf numFmtId="12" fontId="1" fillId="0" borderId="3" xfId="0" applyNumberFormat="1" applyFont="1" applyFill="1" applyBorder="1" applyAlignment="1" applyProtection="1">
      <alignment horizontal="center" vertical="center" wrapText="1"/>
    </xf>
    <xf numFmtId="12" fontId="1" fillId="0" borderId="16" xfId="0" applyNumberFormat="1" applyFont="1" applyFill="1" applyBorder="1" applyAlignment="1" applyProtection="1">
      <alignment horizontal="center" vertical="center" wrapText="1"/>
    </xf>
    <xf numFmtId="12" fontId="1" fillId="0" borderId="6" xfId="0" applyNumberFormat="1" applyFont="1" applyBorder="1" applyAlignment="1" applyProtection="1">
      <alignment horizontal="center" vertical="center" wrapText="1"/>
      <protection locked="0"/>
    </xf>
    <xf numFmtId="0" fontId="1" fillId="0" borderId="6" xfId="0" applyFont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vertical="center"/>
      <protection locked="0"/>
    </xf>
    <xf numFmtId="12" fontId="1" fillId="0" borderId="11" xfId="0" applyNumberFormat="1" applyFont="1" applyBorder="1" applyAlignment="1" applyProtection="1">
      <alignment horizontal="center" vertical="center" wrapText="1"/>
      <protection locked="0"/>
    </xf>
    <xf numFmtId="0" fontId="1" fillId="0" borderId="11" xfId="0" applyFont="1" applyBorder="1" applyAlignment="1" applyProtection="1">
      <alignment horizontal="center" vertical="center" wrapText="1"/>
      <protection locked="0"/>
    </xf>
    <xf numFmtId="0" fontId="1" fillId="0" borderId="21" xfId="0" applyFont="1" applyBorder="1" applyAlignment="1" applyProtection="1">
      <alignment horizontal="center" vertical="center" wrapText="1"/>
    </xf>
    <xf numFmtId="16" fontId="1" fillId="0" borderId="1" xfId="0" applyNumberFormat="1" applyFont="1" applyBorder="1" applyAlignment="1" applyProtection="1">
      <alignment horizontal="center" vertical="center" wrapText="1"/>
    </xf>
    <xf numFmtId="0" fontId="1" fillId="0" borderId="14" xfId="0" applyFont="1" applyBorder="1" applyAlignment="1" applyProtection="1">
      <alignment horizontal="center" vertical="center" wrapText="1"/>
    </xf>
    <xf numFmtId="0" fontId="1" fillId="0" borderId="10" xfId="0" applyFont="1" applyBorder="1" applyAlignment="1" applyProtection="1">
      <alignment horizontal="center" vertical="center" wrapText="1"/>
    </xf>
    <xf numFmtId="0" fontId="1" fillId="0" borderId="13" xfId="0" applyFont="1" applyBorder="1" applyAlignment="1" applyProtection="1">
      <alignment horizontal="center" vertical="center" wrapText="1"/>
    </xf>
    <xf numFmtId="0" fontId="1" fillId="0" borderId="8" xfId="0" applyFont="1" applyBorder="1" applyAlignment="1" applyProtection="1">
      <alignment horizontal="center" vertical="center" wrapText="1"/>
    </xf>
    <xf numFmtId="0" fontId="1" fillId="0" borderId="11" xfId="0" applyFont="1" applyBorder="1" applyAlignment="1" applyProtection="1">
      <alignment horizontal="center" vertical="center" wrapText="1"/>
    </xf>
    <xf numFmtId="0" fontId="1" fillId="0" borderId="12" xfId="0" applyFont="1" applyBorder="1" applyAlignment="1" applyProtection="1">
      <alignment horizontal="center" vertical="center" wrapText="1"/>
    </xf>
    <xf numFmtId="0" fontId="1" fillId="0" borderId="6" xfId="0" applyFont="1" applyBorder="1" applyAlignment="1" applyProtection="1">
      <alignment horizontal="center" vertical="center" wrapText="1"/>
    </xf>
    <xf numFmtId="12" fontId="1" fillId="0" borderId="8" xfId="0" applyNumberFormat="1" applyFont="1" applyBorder="1" applyAlignment="1" applyProtection="1">
      <alignment horizontal="center" vertical="center" wrapText="1"/>
    </xf>
    <xf numFmtId="12" fontId="1" fillId="0" borderId="6" xfId="0" applyNumberFormat="1" applyFont="1" applyBorder="1" applyAlignment="1" applyProtection="1">
      <alignment horizontal="center" vertical="center" wrapText="1"/>
    </xf>
    <xf numFmtId="12" fontId="1" fillId="0" borderId="8" xfId="0" applyNumberFormat="1" applyFont="1" applyFill="1" applyBorder="1" applyAlignment="1" applyProtection="1">
      <alignment horizontal="center" vertical="center" wrapText="1"/>
    </xf>
    <xf numFmtId="0" fontId="1" fillId="0" borderId="7" xfId="0" applyFont="1" applyBorder="1" applyAlignment="1" applyProtection="1">
      <alignment horizontal="center" vertical="center" wrapText="1"/>
    </xf>
    <xf numFmtId="0" fontId="0" fillId="0" borderId="0" xfId="0" applyAlignment="1" applyProtection="1">
      <alignment horizontal="center" vertical="center"/>
      <protection locked="0"/>
    </xf>
    <xf numFmtId="0" fontId="4" fillId="0" borderId="26" xfId="0" applyFont="1" applyBorder="1" applyAlignment="1" applyProtection="1">
      <alignment horizontal="center" vertical="center" wrapText="1"/>
      <protection locked="0"/>
    </xf>
    <xf numFmtId="0" fontId="4" fillId="0" borderId="28" xfId="0" applyFont="1" applyBorder="1" applyAlignment="1" applyProtection="1">
      <alignment horizontal="center" vertical="center" wrapText="1"/>
      <protection locked="0"/>
    </xf>
    <xf numFmtId="0" fontId="1" fillId="9" borderId="13" xfId="0" applyFont="1" applyFill="1" applyBorder="1" applyAlignment="1" applyProtection="1">
      <alignment horizontal="center" vertical="center" wrapText="1"/>
    </xf>
    <xf numFmtId="0" fontId="4" fillId="7" borderId="17" xfId="0" applyFont="1" applyFill="1" applyBorder="1" applyAlignment="1" applyProtection="1">
      <alignment horizontal="center" vertical="center" wrapText="1"/>
    </xf>
    <xf numFmtId="12" fontId="4" fillId="0" borderId="3" xfId="0" applyNumberFormat="1" applyFont="1" applyBorder="1" applyAlignment="1" applyProtection="1">
      <alignment horizontal="center" vertical="center" wrapText="1"/>
    </xf>
    <xf numFmtId="16" fontId="4" fillId="0" borderId="3" xfId="0" applyNumberFormat="1" applyFont="1" applyBorder="1" applyAlignment="1" applyProtection="1">
      <alignment horizontal="center" vertical="center" wrapText="1"/>
    </xf>
    <xf numFmtId="12" fontId="1" fillId="0" borderId="22" xfId="0" applyNumberFormat="1" applyFont="1" applyFill="1" applyBorder="1" applyAlignment="1" applyProtection="1">
      <alignment horizontal="center" vertical="center" wrapText="1"/>
    </xf>
    <xf numFmtId="0" fontId="1" fillId="7" borderId="17" xfId="0" applyFont="1" applyFill="1" applyBorder="1" applyAlignment="1" applyProtection="1">
      <alignment horizontal="center" vertical="center" wrapText="1"/>
    </xf>
    <xf numFmtId="12" fontId="1" fillId="7" borderId="33" xfId="0" applyNumberFormat="1" applyFont="1" applyFill="1" applyBorder="1" applyAlignment="1" applyProtection="1">
      <alignment horizontal="center" vertical="center" wrapText="1"/>
    </xf>
    <xf numFmtId="12" fontId="1" fillId="7" borderId="34" xfId="0" applyNumberFormat="1" applyFont="1" applyFill="1" applyBorder="1" applyAlignment="1" applyProtection="1">
      <alignment horizontal="center" vertical="center" wrapText="1"/>
    </xf>
    <xf numFmtId="0" fontId="1" fillId="0" borderId="13" xfId="0" applyFont="1" applyFill="1" applyBorder="1" applyAlignment="1" applyProtection="1">
      <alignment horizontal="center" vertical="center" wrapText="1"/>
    </xf>
    <xf numFmtId="0" fontId="1" fillId="0" borderId="11" xfId="0" applyFont="1" applyFill="1" applyBorder="1" applyAlignment="1" applyProtection="1">
      <alignment horizontal="center" vertical="center" wrapText="1"/>
    </xf>
    <xf numFmtId="12" fontId="1" fillId="6" borderId="11" xfId="0" applyNumberFormat="1" applyFont="1" applyFill="1" applyBorder="1" applyAlignment="1" applyProtection="1">
      <alignment horizontal="center" vertical="center" wrapText="1"/>
    </xf>
    <xf numFmtId="0" fontId="1" fillId="5" borderId="14" xfId="0" applyFont="1" applyFill="1" applyBorder="1" applyAlignment="1" applyProtection="1">
      <alignment horizontal="center" vertical="center" wrapText="1"/>
    </xf>
    <xf numFmtId="16" fontId="1" fillId="0" borderId="6" xfId="0" applyNumberFormat="1" applyFont="1" applyBorder="1" applyAlignment="1" applyProtection="1">
      <alignment horizontal="center" vertical="center" wrapText="1"/>
    </xf>
    <xf numFmtId="16" fontId="4" fillId="0" borderId="16" xfId="0" applyNumberFormat="1" applyFont="1" applyBorder="1" applyAlignment="1" applyProtection="1">
      <alignment horizontal="center" vertical="center" wrapText="1"/>
    </xf>
    <xf numFmtId="12" fontId="4" fillId="0" borderId="36" xfId="0" applyNumberFormat="1" applyFont="1" applyBorder="1" applyAlignment="1" applyProtection="1">
      <alignment horizontal="center" vertical="center" wrapText="1"/>
    </xf>
    <xf numFmtId="0" fontId="1" fillId="0" borderId="38" xfId="0" applyFont="1" applyBorder="1" applyAlignment="1" applyProtection="1">
      <alignment horizontal="center" vertical="center" wrapText="1"/>
    </xf>
    <xf numFmtId="0" fontId="1" fillId="0" borderId="38" xfId="0" applyFont="1" applyBorder="1" applyAlignment="1" applyProtection="1">
      <alignment horizontal="center" vertical="center" wrapText="1"/>
      <protection locked="0"/>
    </xf>
    <xf numFmtId="12" fontId="1" fillId="0" borderId="38" xfId="0" applyNumberFormat="1" applyFont="1" applyBorder="1" applyAlignment="1" applyProtection="1">
      <alignment horizontal="center" vertical="center" wrapText="1"/>
      <protection locked="0"/>
    </xf>
    <xf numFmtId="12" fontId="1" fillId="0" borderId="38" xfId="0" applyNumberFormat="1" applyFont="1" applyBorder="1" applyAlignment="1" applyProtection="1">
      <alignment horizontal="center" vertical="center" wrapText="1"/>
    </xf>
    <xf numFmtId="0" fontId="1" fillId="0" borderId="32" xfId="0" applyFont="1" applyBorder="1" applyAlignment="1" applyProtection="1">
      <alignment horizontal="center" vertical="center" wrapText="1"/>
    </xf>
    <xf numFmtId="0" fontId="4" fillId="9" borderId="17" xfId="0" applyFont="1" applyFill="1" applyBorder="1" applyAlignment="1" applyProtection="1">
      <alignment horizontal="center" vertical="center"/>
      <protection locked="0"/>
    </xf>
    <xf numFmtId="0" fontId="4" fillId="0" borderId="29" xfId="0" applyFont="1" applyBorder="1" applyAlignment="1" applyProtection="1">
      <alignment horizontal="center" vertical="center" wrapText="1"/>
      <protection locked="0"/>
    </xf>
    <xf numFmtId="0" fontId="1" fillId="0" borderId="27" xfId="0" applyFont="1" applyBorder="1" applyAlignment="1" applyProtection="1">
      <alignment horizontal="center" vertical="center" wrapText="1"/>
      <protection locked="0"/>
    </xf>
    <xf numFmtId="0" fontId="1" fillId="0" borderId="24" xfId="0" applyFont="1" applyBorder="1" applyAlignment="1" applyProtection="1">
      <alignment horizontal="center" vertical="center" wrapText="1"/>
    </xf>
    <xf numFmtId="0" fontId="1" fillId="0" borderId="13" xfId="0" applyFont="1" applyBorder="1" applyAlignment="1" applyProtection="1">
      <alignment horizontal="center" vertical="center" wrapText="1"/>
      <protection locked="0"/>
    </xf>
    <xf numFmtId="0" fontId="1" fillId="8" borderId="1" xfId="0" applyFont="1" applyFill="1" applyBorder="1" applyAlignment="1" applyProtection="1">
      <alignment horizontal="center" vertical="center" wrapText="1"/>
    </xf>
    <xf numFmtId="0" fontId="1" fillId="7" borderId="33" xfId="0" applyFont="1" applyFill="1" applyBorder="1" applyAlignment="1" applyProtection="1">
      <alignment horizontal="center" vertical="center" wrapText="1"/>
    </xf>
    <xf numFmtId="0" fontId="2" fillId="3" borderId="19" xfId="0" applyFont="1" applyFill="1" applyBorder="1" applyAlignment="1" applyProtection="1">
      <alignment horizontal="center" vertical="center" wrapText="1"/>
    </xf>
    <xf numFmtId="0" fontId="1" fillId="0" borderId="37" xfId="0" applyFont="1" applyBorder="1" applyAlignment="1" applyProtection="1">
      <alignment horizontal="center" vertical="center" wrapText="1"/>
      <protection locked="0"/>
    </xf>
    <xf numFmtId="0" fontId="1" fillId="0" borderId="5" xfId="0" applyFont="1" applyBorder="1" applyAlignment="1" applyProtection="1">
      <alignment horizontal="center" vertical="center" wrapText="1"/>
      <protection locked="0"/>
    </xf>
    <xf numFmtId="0" fontId="1" fillId="0" borderId="0" xfId="0" applyFont="1" applyBorder="1" applyAlignment="1" applyProtection="1">
      <alignment horizontal="center" vertical="center" wrapText="1"/>
      <protection locked="0"/>
    </xf>
    <xf numFmtId="0" fontId="2" fillId="2" borderId="19" xfId="0" applyFont="1" applyFill="1" applyBorder="1" applyAlignment="1" applyProtection="1">
      <alignment horizontal="center" vertical="center" wrapText="1"/>
    </xf>
    <xf numFmtId="0" fontId="1" fillId="0" borderId="39" xfId="0" applyFont="1" applyBorder="1" applyAlignment="1" applyProtection="1">
      <alignment horizontal="center" vertical="center" wrapText="1"/>
    </xf>
    <xf numFmtId="0" fontId="1" fillId="0" borderId="4" xfId="0" applyFont="1" applyBorder="1" applyAlignment="1" applyProtection="1">
      <alignment horizontal="center" vertical="center" wrapText="1"/>
    </xf>
    <xf numFmtId="0" fontId="2" fillId="3" borderId="35" xfId="0" applyFont="1" applyFill="1" applyBorder="1" applyAlignment="1" applyProtection="1">
      <alignment horizontal="center" vertical="center" wrapText="1"/>
    </xf>
    <xf numFmtId="0" fontId="2" fillId="3" borderId="18" xfId="0" applyFont="1" applyFill="1" applyBorder="1" applyAlignment="1" applyProtection="1">
      <alignment horizontal="center" vertical="center" wrapText="1"/>
    </xf>
    <xf numFmtId="0" fontId="2" fillId="2" borderId="35" xfId="0" applyFont="1" applyFill="1" applyBorder="1" applyAlignment="1" applyProtection="1">
      <alignment horizontal="center" vertical="center" wrapText="1"/>
    </xf>
    <xf numFmtId="0" fontId="2" fillId="2" borderId="18" xfId="0" applyFont="1" applyFill="1" applyBorder="1" applyAlignment="1" applyProtection="1">
      <alignment horizontal="center" vertical="center" wrapText="1"/>
    </xf>
    <xf numFmtId="0" fontId="1" fillId="9" borderId="8" xfId="0" applyFont="1" applyFill="1" applyBorder="1" applyAlignment="1" applyProtection="1">
      <alignment horizontal="center" vertical="center" wrapText="1"/>
    </xf>
    <xf numFmtId="12" fontId="1" fillId="9" borderId="8" xfId="0" applyNumberFormat="1" applyFont="1" applyFill="1" applyBorder="1" applyAlignment="1" applyProtection="1">
      <alignment horizontal="center" vertical="center" wrapText="1"/>
    </xf>
    <xf numFmtId="0" fontId="1" fillId="0" borderId="13" xfId="0" applyFont="1" applyBorder="1" applyAlignment="1" applyProtection="1">
      <alignment horizontal="center" vertical="center" wrapText="1"/>
    </xf>
    <xf numFmtId="0" fontId="1" fillId="0" borderId="11" xfId="0" applyFont="1" applyBorder="1" applyAlignment="1" applyProtection="1">
      <alignment horizontal="center" vertical="center" wrapText="1"/>
    </xf>
    <xf numFmtId="12" fontId="1" fillId="0" borderId="9" xfId="0" applyNumberFormat="1" applyFont="1" applyBorder="1" applyAlignment="1" applyProtection="1">
      <alignment horizontal="center" vertical="center" wrapText="1"/>
    </xf>
    <xf numFmtId="12" fontId="1" fillId="0" borderId="11" xfId="0" applyNumberFormat="1" applyFont="1" applyBorder="1" applyAlignment="1" applyProtection="1">
      <alignment horizontal="center" vertical="center" wrapText="1"/>
    </xf>
    <xf numFmtId="12" fontId="1" fillId="0" borderId="9" xfId="0" applyNumberFormat="1" applyFont="1" applyFill="1" applyBorder="1" applyAlignment="1" applyProtection="1">
      <alignment horizontal="center" vertical="center" wrapText="1"/>
    </xf>
    <xf numFmtId="12" fontId="1" fillId="0" borderId="11" xfId="0" applyNumberFormat="1" applyFont="1" applyFill="1" applyBorder="1" applyAlignment="1" applyProtection="1">
      <alignment horizontal="center" vertical="center" wrapText="1"/>
    </xf>
    <xf numFmtId="0" fontId="4" fillId="0" borderId="8" xfId="0" applyFont="1" applyBorder="1" applyAlignment="1" applyProtection="1">
      <alignment horizontal="center" vertical="center" wrapText="1"/>
    </xf>
    <xf numFmtId="0" fontId="4" fillId="0" borderId="11" xfId="0" applyFont="1" applyBorder="1" applyAlignment="1" applyProtection="1">
      <alignment horizontal="center" vertical="center" wrapText="1"/>
    </xf>
    <xf numFmtId="0" fontId="1" fillId="9" borderId="20" xfId="0" applyFont="1" applyFill="1" applyBorder="1" applyAlignment="1" applyProtection="1">
      <alignment horizontal="center" vertical="center" wrapText="1"/>
      <protection locked="0"/>
    </xf>
    <xf numFmtId="0" fontId="0" fillId="9" borderId="19" xfId="0" applyFill="1" applyBorder="1" applyAlignment="1" applyProtection="1">
      <alignment horizontal="center" vertical="center"/>
      <protection locked="0"/>
    </xf>
    <xf numFmtId="0" fontId="0" fillId="9" borderId="18" xfId="0" applyFill="1" applyBorder="1" applyAlignment="1" applyProtection="1">
      <alignment horizontal="center" vertical="center"/>
      <protection locked="0"/>
    </xf>
    <xf numFmtId="0" fontId="1" fillId="0" borderId="30" xfId="0" applyFont="1" applyBorder="1" applyAlignment="1" applyProtection="1">
      <alignment horizontal="center" vertical="center" wrapText="1"/>
    </xf>
    <xf numFmtId="0" fontId="1" fillId="0" borderId="31" xfId="0" applyFont="1" applyBorder="1" applyAlignment="1" applyProtection="1">
      <alignment horizontal="center" vertical="center" wrapText="1"/>
    </xf>
    <xf numFmtId="0" fontId="2" fillId="4" borderId="35" xfId="0" applyFont="1" applyFill="1" applyBorder="1" applyAlignment="1" applyProtection="1">
      <alignment horizontal="center" vertical="center" wrapText="1"/>
    </xf>
    <xf numFmtId="0" fontId="2" fillId="4" borderId="19" xfId="0" applyFont="1" applyFill="1" applyBorder="1" applyAlignment="1" applyProtection="1">
      <alignment horizontal="center" vertical="center" wrapText="1"/>
    </xf>
    <xf numFmtId="0" fontId="2" fillId="4" borderId="18" xfId="0" applyFont="1" applyFill="1" applyBorder="1" applyAlignment="1" applyProtection="1">
      <alignment horizontal="center" vertical="center" wrapText="1"/>
    </xf>
    <xf numFmtId="0" fontId="1" fillId="7" borderId="20" xfId="0" applyFont="1" applyFill="1" applyBorder="1" applyAlignment="1" applyProtection="1">
      <alignment horizontal="center" vertical="center" wrapText="1"/>
    </xf>
    <xf numFmtId="0" fontId="1" fillId="7" borderId="19" xfId="0" applyFont="1" applyFill="1" applyBorder="1" applyAlignment="1" applyProtection="1">
      <alignment horizontal="center" vertical="center" wrapText="1"/>
    </xf>
    <xf numFmtId="0" fontId="1" fillId="7" borderId="18" xfId="0" applyFont="1" applyFill="1" applyBorder="1" applyAlignment="1" applyProtection="1">
      <alignment horizontal="center" vertical="center" wrapText="1"/>
    </xf>
    <xf numFmtId="0" fontId="1" fillId="0" borderId="15" xfId="0" applyFont="1" applyBorder="1" applyAlignment="1" applyProtection="1">
      <alignment horizontal="center" vertical="center" wrapText="1"/>
    </xf>
    <xf numFmtId="0" fontId="4" fillId="0" borderId="3" xfId="0" applyFont="1" applyBorder="1" applyAlignment="1" applyProtection="1">
      <alignment horizontal="center" vertical="center" wrapText="1"/>
      <protection locked="0"/>
    </xf>
    <xf numFmtId="0" fontId="4" fillId="0" borderId="24" xfId="0" applyFont="1" applyBorder="1" applyAlignment="1" applyProtection="1">
      <alignment horizontal="center" vertical="center" wrapText="1"/>
      <protection locked="0"/>
    </xf>
    <xf numFmtId="0" fontId="4" fillId="0" borderId="22" xfId="0" applyFont="1" applyBorder="1" applyAlignment="1" applyProtection="1">
      <alignment horizontal="center" vertical="center" wrapText="1"/>
      <protection locked="0"/>
    </xf>
    <xf numFmtId="0" fontId="1" fillId="0" borderId="8" xfId="0" applyFont="1" applyBorder="1" applyAlignment="1" applyProtection="1">
      <alignment horizontal="center" vertical="center" wrapText="1"/>
    </xf>
    <xf numFmtId="0" fontId="1" fillId="0" borderId="14" xfId="0" applyFont="1" applyBorder="1" applyAlignment="1" applyProtection="1">
      <alignment horizontal="center" vertical="center" wrapText="1"/>
    </xf>
    <xf numFmtId="0" fontId="1" fillId="0" borderId="10" xfId="0" applyFont="1" applyBorder="1" applyAlignment="1" applyProtection="1">
      <alignment horizontal="center" vertical="center" wrapText="1"/>
    </xf>
    <xf numFmtId="12" fontId="1" fillId="0" borderId="8" xfId="0" applyNumberFormat="1" applyFont="1" applyBorder="1" applyAlignment="1" applyProtection="1">
      <alignment horizontal="center" vertical="center" wrapText="1"/>
    </xf>
    <xf numFmtId="12" fontId="1" fillId="0" borderId="6" xfId="0" applyNumberFormat="1" applyFont="1" applyBorder="1" applyAlignment="1" applyProtection="1">
      <alignment horizontal="center" vertical="center" wrapText="1"/>
    </xf>
    <xf numFmtId="12" fontId="1" fillId="0" borderId="8" xfId="0" applyNumberFormat="1" applyFont="1" applyFill="1" applyBorder="1" applyAlignment="1" applyProtection="1">
      <alignment horizontal="center" vertical="center" wrapText="1"/>
    </xf>
    <xf numFmtId="12" fontId="1" fillId="0" borderId="6" xfId="0" applyNumberFormat="1" applyFont="1" applyFill="1" applyBorder="1" applyAlignment="1" applyProtection="1">
      <alignment horizontal="center" vertical="center" wrapText="1"/>
    </xf>
    <xf numFmtId="0" fontId="4" fillId="0" borderId="14" xfId="0" applyFont="1" applyBorder="1" applyAlignment="1" applyProtection="1">
      <alignment horizontal="center" vertical="center" wrapText="1"/>
    </xf>
    <xf numFmtId="0" fontId="4" fillId="0" borderId="32" xfId="0" applyFont="1" applyBorder="1" applyAlignment="1" applyProtection="1">
      <alignment horizontal="center" vertical="center" wrapText="1"/>
    </xf>
    <xf numFmtId="0" fontId="1" fillId="0" borderId="7" xfId="0" applyFont="1" applyBorder="1" applyAlignment="1" applyProtection="1">
      <alignment horizontal="center" vertical="center" wrapText="1"/>
    </xf>
    <xf numFmtId="0" fontId="7" fillId="0" borderId="27" xfId="0" applyFont="1" applyBorder="1" applyAlignment="1" applyProtection="1">
      <alignment horizontal="center" vertical="center" wrapText="1"/>
      <protection locked="0"/>
    </xf>
    <xf numFmtId="0" fontId="7" fillId="0" borderId="40" xfId="0" applyFont="1" applyBorder="1" applyAlignment="1" applyProtection="1">
      <alignment horizontal="center" vertical="center" wrapText="1"/>
      <protection locked="0"/>
    </xf>
    <xf numFmtId="0" fontId="8" fillId="0" borderId="40" xfId="0" applyFont="1" applyBorder="1" applyAlignment="1" applyProtection="1">
      <alignment horizontal="center" vertical="center" wrapText="1"/>
      <protection locked="0"/>
    </xf>
    <xf numFmtId="0" fontId="8" fillId="0" borderId="41" xfId="0" applyFont="1" applyBorder="1" applyAlignment="1" applyProtection="1">
      <alignment horizontal="center" vertical="center" wrapText="1"/>
      <protection locked="0"/>
    </xf>
    <xf numFmtId="0" fontId="1" fillId="0" borderId="25" xfId="0" applyFont="1" applyBorder="1" applyAlignment="1" applyProtection="1">
      <alignment horizontal="center" vertical="center" wrapText="1"/>
    </xf>
    <xf numFmtId="0" fontId="0" fillId="0" borderId="24" xfId="0" applyBorder="1" applyAlignment="1" applyProtection="1">
      <alignment horizontal="center" vertical="center" wrapText="1"/>
    </xf>
    <xf numFmtId="0" fontId="1" fillId="0" borderId="24" xfId="0" applyFont="1" applyBorder="1" applyAlignment="1" applyProtection="1">
      <alignment horizontal="center" vertical="center" wrapText="1"/>
    </xf>
    <xf numFmtId="0" fontId="1" fillId="0" borderId="23" xfId="0" applyFont="1" applyBorder="1" applyAlignment="1" applyProtection="1">
      <alignment horizontal="center" vertical="center" wrapText="1"/>
    </xf>
    <xf numFmtId="0" fontId="4" fillId="0" borderId="3" xfId="0" applyFont="1" applyBorder="1" applyAlignment="1" applyProtection="1">
      <alignment horizontal="center" vertical="center" wrapText="1"/>
    </xf>
    <xf numFmtId="0" fontId="4" fillId="0" borderId="22" xfId="0" applyFont="1" applyBorder="1" applyAlignment="1" applyProtection="1">
      <alignment horizontal="center" vertical="center" wrapText="1"/>
    </xf>
  </cellXfs>
  <cellStyles count="1">
    <cellStyle name="Normal" xfId="0" builtinId="0"/>
  </cellStyles>
  <dxfs count="16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color rgb="FFFF000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AH139"/>
  <sheetViews>
    <sheetView tabSelected="1" view="pageLayout" topLeftCell="F1" zoomScaleNormal="100" workbookViewId="0">
      <selection activeCell="P3" sqref="P3:P4"/>
    </sheetView>
  </sheetViews>
  <sheetFormatPr defaultColWidth="8.88671875" defaultRowHeight="14.4" x14ac:dyDescent="0.3"/>
  <cols>
    <col min="1" max="1" width="15.5546875" style="4" customWidth="1"/>
    <col min="2" max="2" width="12.5546875" style="2" customWidth="1"/>
    <col min="3" max="3" width="15.88671875" style="2" customWidth="1"/>
    <col min="4" max="4" width="6.5546875" style="3" customWidth="1"/>
    <col min="5" max="5" width="15.88671875" style="2" customWidth="1"/>
    <col min="6" max="6" width="6.5546875" style="2" customWidth="1"/>
    <col min="7" max="7" width="15.5546875" style="2" customWidth="1"/>
    <col min="8" max="8" width="6.44140625" style="2" customWidth="1"/>
    <col min="9" max="9" width="15.5546875" style="2" customWidth="1"/>
    <col min="10" max="10" width="6.5546875" style="2" customWidth="1"/>
    <col min="11" max="11" width="15.5546875" style="2" customWidth="1"/>
    <col min="12" max="12" width="6.5546875" style="2" customWidth="1"/>
    <col min="13" max="13" width="1.44140625" style="2" customWidth="1"/>
    <col min="14" max="14" width="6.5546875" style="2" customWidth="1"/>
    <col min="15" max="16" width="15.44140625" style="2" customWidth="1"/>
    <col min="17" max="17" width="15" style="2" customWidth="1"/>
    <col min="18" max="20" width="8.88671875" style="1"/>
    <col min="21" max="21" width="9.109375" style="1" customWidth="1"/>
    <col min="22" max="16384" width="8.88671875" style="1"/>
  </cols>
  <sheetData>
    <row r="1" spans="1:34" ht="25.5" customHeight="1" x14ac:dyDescent="0.25">
      <c r="A1" s="59" t="s">
        <v>48</v>
      </c>
      <c r="B1" s="37" t="s">
        <v>36</v>
      </c>
      <c r="C1" s="111" t="s">
        <v>66</v>
      </c>
      <c r="D1" s="112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4"/>
      <c r="P1" s="60"/>
      <c r="Q1" s="36" t="s">
        <v>35</v>
      </c>
    </row>
    <row r="2" spans="1:34" ht="15" x14ac:dyDescent="0.25">
      <c r="A2" s="115"/>
      <c r="B2" s="116"/>
      <c r="C2" s="117" t="s">
        <v>34</v>
      </c>
      <c r="D2" s="117"/>
      <c r="E2" s="117"/>
      <c r="F2" s="117"/>
      <c r="G2" s="117"/>
      <c r="H2" s="117"/>
      <c r="I2" s="117"/>
      <c r="J2" s="117"/>
      <c r="K2" s="117"/>
      <c r="L2" s="117"/>
      <c r="M2" s="61"/>
      <c r="N2" s="117" t="s">
        <v>33</v>
      </c>
      <c r="O2" s="117"/>
      <c r="P2" s="117"/>
      <c r="Q2" s="118"/>
    </row>
    <row r="3" spans="1:34" x14ac:dyDescent="0.3">
      <c r="A3" s="97" t="s">
        <v>15</v>
      </c>
      <c r="B3" s="101" t="s">
        <v>14</v>
      </c>
      <c r="C3" s="119" t="s">
        <v>32</v>
      </c>
      <c r="D3" s="120"/>
      <c r="E3" s="119" t="s">
        <v>31</v>
      </c>
      <c r="F3" s="120"/>
      <c r="G3" s="119" t="s">
        <v>30</v>
      </c>
      <c r="H3" s="120"/>
      <c r="I3" s="119" t="s">
        <v>29</v>
      </c>
      <c r="J3" s="120"/>
      <c r="K3" s="119" t="s">
        <v>28</v>
      </c>
      <c r="L3" s="120"/>
      <c r="M3" s="22"/>
      <c r="N3" s="84" t="s">
        <v>11</v>
      </c>
      <c r="O3" s="84" t="s">
        <v>27</v>
      </c>
      <c r="P3" s="84" t="s">
        <v>94</v>
      </c>
      <c r="Q3" s="108" t="s">
        <v>26</v>
      </c>
    </row>
    <row r="4" spans="1:34" ht="27.6" customHeight="1" thickBot="1" x14ac:dyDescent="0.35">
      <c r="A4" s="78"/>
      <c r="B4" s="79"/>
      <c r="C4" s="27" t="s">
        <v>13</v>
      </c>
      <c r="D4" s="31" t="s">
        <v>25</v>
      </c>
      <c r="E4" s="27" t="s">
        <v>13</v>
      </c>
      <c r="F4" s="27" t="s">
        <v>25</v>
      </c>
      <c r="G4" s="27" t="s">
        <v>13</v>
      </c>
      <c r="H4" s="27" t="s">
        <v>25</v>
      </c>
      <c r="I4" s="27" t="s">
        <v>13</v>
      </c>
      <c r="J4" s="27" t="s">
        <v>25</v>
      </c>
      <c r="K4" s="27" t="s">
        <v>13</v>
      </c>
      <c r="L4" s="27" t="s">
        <v>25</v>
      </c>
      <c r="M4" s="28"/>
      <c r="N4" s="85"/>
      <c r="O4" s="85"/>
      <c r="P4" s="85"/>
      <c r="Q4" s="109"/>
    </row>
    <row r="5" spans="1:34" ht="15.75" thickBot="1" x14ac:dyDescent="0.3">
      <c r="A5" s="58" t="s">
        <v>24</v>
      </c>
      <c r="B5" s="86" t="s">
        <v>22</v>
      </c>
      <c r="C5" s="87"/>
      <c r="D5" s="87"/>
      <c r="E5" s="87"/>
      <c r="F5" s="87"/>
      <c r="G5" s="87"/>
      <c r="H5" s="87"/>
      <c r="I5" s="87"/>
      <c r="J5" s="87"/>
      <c r="K5" s="87"/>
      <c r="L5" s="87"/>
      <c r="M5" s="87"/>
      <c r="N5" s="87"/>
      <c r="O5" s="87"/>
      <c r="P5" s="87"/>
      <c r="Q5" s="88"/>
    </row>
    <row r="6" spans="1:34" s="19" customFormat="1" ht="26.25" customHeight="1" x14ac:dyDescent="0.3">
      <c r="A6" s="62" t="s">
        <v>24</v>
      </c>
      <c r="B6" s="21" t="s">
        <v>87</v>
      </c>
      <c r="C6" s="21" t="s">
        <v>37</v>
      </c>
      <c r="D6" s="20">
        <v>1</v>
      </c>
      <c r="E6" s="21" t="s">
        <v>37</v>
      </c>
      <c r="F6" s="20">
        <v>1</v>
      </c>
      <c r="G6" s="21" t="s">
        <v>37</v>
      </c>
      <c r="H6" s="20">
        <v>1</v>
      </c>
      <c r="I6" s="21" t="s">
        <v>37</v>
      </c>
      <c r="J6" s="20">
        <v>1</v>
      </c>
      <c r="K6" s="21" t="s">
        <v>37</v>
      </c>
      <c r="L6" s="20">
        <v>1</v>
      </c>
      <c r="M6" s="20"/>
      <c r="N6" s="80">
        <f>SUM(D6,F6,H6,J6,L6)</f>
        <v>5</v>
      </c>
      <c r="O6" s="82">
        <v>5</v>
      </c>
      <c r="P6" s="82">
        <f>N6-O6</f>
        <v>0</v>
      </c>
      <c r="Q6" s="89" t="str">
        <f>IF(P6&gt;=0,"MEETS","DOES NOT MEET")</f>
        <v>MEETS</v>
      </c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</row>
    <row r="7" spans="1:34" s="19" customFormat="1" ht="28.2" thickBot="1" x14ac:dyDescent="0.35">
      <c r="A7" s="38" t="s">
        <v>67</v>
      </c>
      <c r="B7" s="76"/>
      <c r="C7" s="76" t="s">
        <v>16</v>
      </c>
      <c r="D7" s="77">
        <f>D6</f>
        <v>1</v>
      </c>
      <c r="E7" s="76" t="s">
        <v>16</v>
      </c>
      <c r="F7" s="77">
        <f>F6</f>
        <v>1</v>
      </c>
      <c r="G7" s="76" t="s">
        <v>16</v>
      </c>
      <c r="H7" s="77">
        <f>H6</f>
        <v>1</v>
      </c>
      <c r="I7" s="76" t="s">
        <v>16</v>
      </c>
      <c r="J7" s="77">
        <f>J6</f>
        <v>1</v>
      </c>
      <c r="K7" s="76" t="s">
        <v>16</v>
      </c>
      <c r="L7" s="77">
        <f>L6</f>
        <v>1</v>
      </c>
      <c r="M7" s="12"/>
      <c r="N7" s="81"/>
      <c r="O7" s="83"/>
      <c r="P7" s="83"/>
      <c r="Q7" s="90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</row>
    <row r="8" spans="1:34" ht="15.75" thickBot="1" x14ac:dyDescent="0.3">
      <c r="A8" s="39" t="s">
        <v>23</v>
      </c>
      <c r="B8" s="94" t="s">
        <v>22</v>
      </c>
      <c r="C8" s="95"/>
      <c r="D8" s="95"/>
      <c r="E8" s="95"/>
      <c r="F8" s="95"/>
      <c r="G8" s="95"/>
      <c r="H8" s="95"/>
      <c r="I8" s="95"/>
      <c r="J8" s="95"/>
      <c r="K8" s="95"/>
      <c r="L8" s="95"/>
      <c r="M8" s="95"/>
      <c r="N8" s="95"/>
      <c r="O8" s="95"/>
      <c r="P8" s="95"/>
      <c r="Q8" s="96"/>
    </row>
    <row r="9" spans="1:34" ht="27.6" x14ac:dyDescent="0.3">
      <c r="A9" s="34" t="s">
        <v>91</v>
      </c>
      <c r="B9" s="30" t="s">
        <v>21</v>
      </c>
      <c r="C9" s="18"/>
      <c r="D9" s="17"/>
      <c r="E9" s="18"/>
      <c r="F9" s="17"/>
      <c r="G9" s="18"/>
      <c r="H9" s="17"/>
      <c r="I9" s="18"/>
      <c r="J9" s="17"/>
      <c r="K9" s="18" t="s">
        <v>59</v>
      </c>
      <c r="L9" s="17">
        <v>0.5</v>
      </c>
      <c r="M9" s="17"/>
      <c r="N9" s="32">
        <f>SUM(D9,F9,H9,J9,L9)</f>
        <v>0.5</v>
      </c>
      <c r="O9" s="32">
        <v>0.5</v>
      </c>
      <c r="P9" s="16">
        <f>N9-O9</f>
        <v>0</v>
      </c>
      <c r="Q9" s="25" t="str">
        <f>IF(P9&gt;=0,"MEETS","DOES NOT MEET")</f>
        <v>MEETS</v>
      </c>
    </row>
    <row r="10" spans="1:34" ht="27.6" x14ac:dyDescent="0.3">
      <c r="A10" s="71"/>
      <c r="B10" s="10" t="s">
        <v>20</v>
      </c>
      <c r="C10" s="14" t="s">
        <v>50</v>
      </c>
      <c r="D10" s="3">
        <v>0.5</v>
      </c>
      <c r="E10" s="14" t="s">
        <v>60</v>
      </c>
      <c r="F10" s="3">
        <v>0.5</v>
      </c>
      <c r="G10" s="14" t="s">
        <v>50</v>
      </c>
      <c r="H10" s="3">
        <v>0.5</v>
      </c>
      <c r="I10" s="14"/>
      <c r="J10" s="3"/>
      <c r="K10" s="14"/>
      <c r="L10" s="3"/>
      <c r="M10" s="3"/>
      <c r="N10" s="9">
        <f>SUM(D10,F10,H10,J10,L10)</f>
        <v>1.5</v>
      </c>
      <c r="O10" s="9">
        <v>1.25</v>
      </c>
      <c r="P10" s="15">
        <f>N10-O10</f>
        <v>0.25</v>
      </c>
      <c r="Q10" s="8" t="str">
        <f>IF(P10&gt;=0,"MEETS","DOES NOT MEET")</f>
        <v>MEETS</v>
      </c>
    </row>
    <row r="11" spans="1:34" ht="27.6" x14ac:dyDescent="0.3">
      <c r="A11" s="71"/>
      <c r="B11" s="63" t="s">
        <v>19</v>
      </c>
      <c r="C11" s="14"/>
      <c r="E11" s="14" t="s">
        <v>51</v>
      </c>
      <c r="F11" s="3">
        <v>0.5</v>
      </c>
      <c r="G11" s="14"/>
      <c r="H11" s="3"/>
      <c r="I11" s="14"/>
      <c r="J11" s="3"/>
      <c r="K11" s="14"/>
      <c r="L11" s="3"/>
      <c r="M11" s="3"/>
      <c r="N11" s="9">
        <f>SUM(D11,F11,H11,J11,L11)</f>
        <v>0.5</v>
      </c>
      <c r="O11" s="9">
        <v>0.5</v>
      </c>
      <c r="P11" s="15">
        <f>N11-O11</f>
        <v>0</v>
      </c>
      <c r="Q11" s="8" t="str">
        <f>IF(P11&gt;=0,"MEETS","DOES NOT MEET")</f>
        <v>MEETS</v>
      </c>
    </row>
    <row r="12" spans="1:34" ht="27.6" x14ac:dyDescent="0.3">
      <c r="A12" s="71"/>
      <c r="B12" s="10" t="s">
        <v>18</v>
      </c>
      <c r="C12" s="14"/>
      <c r="E12" s="14"/>
      <c r="F12" s="3"/>
      <c r="G12" s="14"/>
      <c r="H12" s="3"/>
      <c r="I12" s="14" t="s">
        <v>90</v>
      </c>
      <c r="J12" s="3">
        <v>0.5</v>
      </c>
      <c r="K12" s="14"/>
      <c r="L12" s="3"/>
      <c r="M12" s="3"/>
      <c r="N12" s="9">
        <f>SUM(D12,F12,H12,J12,L12)</f>
        <v>0.5</v>
      </c>
      <c r="O12" s="9">
        <v>0.5</v>
      </c>
      <c r="P12" s="15">
        <f>N12-O12</f>
        <v>0</v>
      </c>
      <c r="Q12" s="8" t="str">
        <f>IF(P12&gt;=0,"MEETS","DOES NOT MEET")</f>
        <v>MEETS</v>
      </c>
    </row>
    <row r="13" spans="1:34" ht="35.25" customHeight="1" x14ac:dyDescent="0.3">
      <c r="A13" s="97" t="s">
        <v>92</v>
      </c>
      <c r="B13" s="10" t="s">
        <v>17</v>
      </c>
      <c r="C13" s="14"/>
      <c r="E13" s="14"/>
      <c r="F13" s="3"/>
      <c r="G13" s="14"/>
      <c r="H13" s="3"/>
      <c r="I13" s="14" t="s">
        <v>52</v>
      </c>
      <c r="J13" s="3">
        <v>0.5</v>
      </c>
      <c r="K13" s="14" t="s">
        <v>64</v>
      </c>
      <c r="L13" s="3">
        <v>0.5</v>
      </c>
      <c r="M13" s="3"/>
      <c r="N13" s="9">
        <f>D13+F13+H13+J13+L13</f>
        <v>1</v>
      </c>
      <c r="O13" s="9">
        <v>0.75</v>
      </c>
      <c r="P13" s="11">
        <f>N13-O13</f>
        <v>0.25</v>
      </c>
      <c r="Q13" s="8" t="str">
        <f>IF(P13&gt;=0,"MEETS","DOES NOT MEET")</f>
        <v>MEETS</v>
      </c>
    </row>
    <row r="14" spans="1:34" x14ac:dyDescent="0.3">
      <c r="A14" s="78"/>
      <c r="B14" s="101" t="s">
        <v>39</v>
      </c>
      <c r="C14" s="98" t="s">
        <v>38</v>
      </c>
      <c r="D14" s="99"/>
      <c r="E14" s="99"/>
      <c r="F14" s="99"/>
      <c r="G14" s="99"/>
      <c r="H14" s="99"/>
      <c r="I14" s="99"/>
      <c r="J14" s="99"/>
      <c r="K14" s="99"/>
      <c r="L14" s="99"/>
      <c r="M14" s="100"/>
      <c r="N14" s="104">
        <f>D15+F15+H15+J15+L15+D16+F16+H16+J16++L16+D17+F17+H17+J17+L17</f>
        <v>3.5</v>
      </c>
      <c r="O14" s="104">
        <v>1.5</v>
      </c>
      <c r="P14" s="106">
        <f t="shared" ref="P14" si="0">N14-O14</f>
        <v>2</v>
      </c>
      <c r="Q14" s="102" t="str">
        <f t="shared" ref="Q14" si="1">IF(P14&gt;=0,"MEETS","DOES NOT MEET")</f>
        <v>MEETS</v>
      </c>
    </row>
    <row r="15" spans="1:34" ht="27.6" x14ac:dyDescent="0.3">
      <c r="A15" s="78"/>
      <c r="B15" s="79"/>
      <c r="C15" s="14" t="s">
        <v>61</v>
      </c>
      <c r="D15" s="3">
        <v>0.5</v>
      </c>
      <c r="E15" s="14" t="s">
        <v>93</v>
      </c>
      <c r="F15" s="3">
        <v>0.5</v>
      </c>
      <c r="G15" s="14" t="s">
        <v>63</v>
      </c>
      <c r="H15" s="3">
        <v>0.5</v>
      </c>
      <c r="I15" s="14" t="s">
        <v>69</v>
      </c>
      <c r="J15" s="3">
        <v>0.5</v>
      </c>
      <c r="K15" s="14" t="s">
        <v>65</v>
      </c>
      <c r="L15" s="3">
        <v>0.5</v>
      </c>
      <c r="M15" s="3"/>
      <c r="N15" s="81"/>
      <c r="O15" s="81"/>
      <c r="P15" s="83"/>
      <c r="Q15" s="90"/>
    </row>
    <row r="16" spans="1:34" ht="41.4" x14ac:dyDescent="0.3">
      <c r="A16" s="78"/>
      <c r="B16" s="79"/>
      <c r="C16" s="14" t="s">
        <v>88</v>
      </c>
      <c r="D16" s="3">
        <v>0.5</v>
      </c>
      <c r="E16" s="14"/>
      <c r="F16" s="3"/>
      <c r="G16" s="14" t="s">
        <v>49</v>
      </c>
      <c r="H16" s="3">
        <v>0.5</v>
      </c>
      <c r="I16" s="14"/>
      <c r="J16" s="3"/>
      <c r="K16" s="14"/>
      <c r="L16" s="3"/>
      <c r="M16" s="3"/>
      <c r="N16" s="81"/>
      <c r="O16" s="81"/>
      <c r="P16" s="83"/>
      <c r="Q16" s="90"/>
    </row>
    <row r="17" spans="1:17" ht="22.35" customHeight="1" thickBot="1" x14ac:dyDescent="0.35">
      <c r="A17" s="78"/>
      <c r="B17" s="79"/>
      <c r="C17" s="13"/>
      <c r="D17" s="12"/>
      <c r="E17" s="13"/>
      <c r="F17" s="12"/>
      <c r="G17" s="13"/>
      <c r="H17" s="12"/>
      <c r="I17" s="13"/>
      <c r="J17" s="12"/>
      <c r="K17" s="13"/>
      <c r="L17" s="12"/>
      <c r="M17" s="3"/>
      <c r="N17" s="105"/>
      <c r="O17" s="105"/>
      <c r="P17" s="107"/>
      <c r="Q17" s="103"/>
    </row>
    <row r="18" spans="1:17" ht="28.2" thickBot="1" x14ac:dyDescent="0.35">
      <c r="A18" s="43" t="s">
        <v>68</v>
      </c>
      <c r="B18" s="64"/>
      <c r="C18" s="64" t="s">
        <v>16</v>
      </c>
      <c r="D18" s="44">
        <f>SUM(D9:D17)</f>
        <v>1.5</v>
      </c>
      <c r="E18" s="64" t="s">
        <v>16</v>
      </c>
      <c r="F18" s="44">
        <f>SUM(F9:F17)</f>
        <v>1.5</v>
      </c>
      <c r="G18" s="64" t="s">
        <v>16</v>
      </c>
      <c r="H18" s="44">
        <f>SUM(H9:H17)</f>
        <v>1.5</v>
      </c>
      <c r="I18" s="64" t="s">
        <v>16</v>
      </c>
      <c r="J18" s="44">
        <f>SUM(J9:J17)</f>
        <v>1.5</v>
      </c>
      <c r="K18" s="64" t="s">
        <v>16</v>
      </c>
      <c r="L18" s="45">
        <f>SUM(L9:L17)</f>
        <v>1.5</v>
      </c>
      <c r="M18" s="42"/>
      <c r="N18" s="33">
        <f>SUM(N9:N17)</f>
        <v>7.5</v>
      </c>
      <c r="O18" s="33">
        <v>5</v>
      </c>
      <c r="P18" s="33">
        <f>N18-O18</f>
        <v>2.5</v>
      </c>
      <c r="Q18" s="24" t="str">
        <f>IF(P18&gt;=0,"MEETS","DOES NOT MEET")</f>
        <v>MEETS</v>
      </c>
    </row>
    <row r="19" spans="1:17" ht="28.2" thickBot="1" x14ac:dyDescent="0.35">
      <c r="A19" s="46" t="s">
        <v>15</v>
      </c>
      <c r="B19" s="47" t="s">
        <v>14</v>
      </c>
      <c r="C19" s="47" t="s">
        <v>13</v>
      </c>
      <c r="D19" s="47" t="s">
        <v>12</v>
      </c>
      <c r="E19" s="48" t="s">
        <v>13</v>
      </c>
      <c r="F19" s="47" t="s">
        <v>12</v>
      </c>
      <c r="G19" s="48" t="s">
        <v>13</v>
      </c>
      <c r="H19" s="47" t="s">
        <v>12</v>
      </c>
      <c r="I19" s="48" t="s">
        <v>13</v>
      </c>
      <c r="J19" s="47" t="s">
        <v>12</v>
      </c>
      <c r="K19" s="48" t="s">
        <v>13</v>
      </c>
      <c r="L19" s="47" t="s">
        <v>12</v>
      </c>
      <c r="M19" s="33"/>
      <c r="N19" s="33" t="s">
        <v>11</v>
      </c>
      <c r="O19" s="33" t="s">
        <v>10</v>
      </c>
      <c r="P19" s="33"/>
      <c r="Q19" s="49"/>
    </row>
    <row r="20" spans="1:17" ht="15.75" customHeight="1" thickBot="1" x14ac:dyDescent="0.35">
      <c r="A20" s="91" t="s">
        <v>9</v>
      </c>
      <c r="B20" s="92"/>
      <c r="C20" s="92"/>
      <c r="D20" s="92"/>
      <c r="E20" s="92"/>
      <c r="F20" s="92"/>
      <c r="G20" s="92"/>
      <c r="H20" s="92"/>
      <c r="I20" s="92"/>
      <c r="J20" s="92"/>
      <c r="K20" s="92"/>
      <c r="L20" s="92"/>
      <c r="M20" s="92"/>
      <c r="N20" s="92"/>
      <c r="O20" s="92"/>
      <c r="P20" s="92"/>
      <c r="Q20" s="93"/>
    </row>
    <row r="21" spans="1:17" ht="69" x14ac:dyDescent="0.3">
      <c r="A21" s="78" t="s">
        <v>40</v>
      </c>
      <c r="B21" s="30" t="s">
        <v>70</v>
      </c>
      <c r="C21" s="18" t="s">
        <v>74</v>
      </c>
      <c r="D21" s="17">
        <v>2</v>
      </c>
      <c r="E21" s="18" t="s">
        <v>77</v>
      </c>
      <c r="F21" s="18">
        <v>2</v>
      </c>
      <c r="G21" s="18" t="s">
        <v>79</v>
      </c>
      <c r="H21" s="18">
        <v>2</v>
      </c>
      <c r="I21" s="18" t="s">
        <v>82</v>
      </c>
      <c r="J21" s="18">
        <v>2</v>
      </c>
      <c r="K21" s="18" t="s">
        <v>85</v>
      </c>
      <c r="L21" s="18">
        <v>2.5</v>
      </c>
      <c r="M21" s="18"/>
      <c r="N21" s="32">
        <f>D21+F21+H21+J21+L21</f>
        <v>10.5</v>
      </c>
      <c r="O21" s="50" t="s">
        <v>41</v>
      </c>
      <c r="P21" s="51" t="s">
        <v>72</v>
      </c>
      <c r="Q21" s="90" t="str">
        <f>IF(AND((N21)&gt;=10,(N21)&lt;=12),"MEETS","DOES NOT MEET")</f>
        <v>MEETS</v>
      </c>
    </row>
    <row r="22" spans="1:17" ht="36.75" customHeight="1" x14ac:dyDescent="0.3">
      <c r="A22" s="78"/>
      <c r="B22" s="30"/>
      <c r="C22" s="18" t="s">
        <v>75</v>
      </c>
      <c r="D22" s="17">
        <v>2</v>
      </c>
      <c r="E22" s="18" t="s">
        <v>75</v>
      </c>
      <c r="F22" s="17">
        <v>2</v>
      </c>
      <c r="G22" s="18" t="s">
        <v>80</v>
      </c>
      <c r="H22" s="18">
        <v>2</v>
      </c>
      <c r="I22" s="18" t="s">
        <v>75</v>
      </c>
      <c r="J22" s="18">
        <v>2</v>
      </c>
      <c r="K22" s="18" t="s">
        <v>76</v>
      </c>
      <c r="L22" s="18">
        <v>2</v>
      </c>
      <c r="M22" s="18"/>
      <c r="N22" s="9">
        <f>D22+F22+H22+J22+L22</f>
        <v>10</v>
      </c>
      <c r="O22" s="23"/>
      <c r="P22" s="40">
        <f>N21+N22+N23</f>
        <v>30.5</v>
      </c>
      <c r="Q22" s="103"/>
    </row>
    <row r="23" spans="1:17" ht="48.75" customHeight="1" x14ac:dyDescent="0.3">
      <c r="A23" s="110"/>
      <c r="B23" s="30" t="s">
        <v>71</v>
      </c>
      <c r="C23" s="18" t="s">
        <v>76</v>
      </c>
      <c r="D23" s="17">
        <v>2</v>
      </c>
      <c r="E23" s="18" t="s">
        <v>76</v>
      </c>
      <c r="F23" s="17">
        <v>2</v>
      </c>
      <c r="G23" s="18" t="s">
        <v>76</v>
      </c>
      <c r="H23" s="17">
        <v>2</v>
      </c>
      <c r="I23" s="18" t="s">
        <v>76</v>
      </c>
      <c r="J23" s="17">
        <v>2</v>
      </c>
      <c r="K23" s="18" t="s">
        <v>75</v>
      </c>
      <c r="L23" s="17">
        <v>2</v>
      </c>
      <c r="M23" s="18"/>
      <c r="N23" s="9">
        <f>D23+F23+H23+J23+L23</f>
        <v>10</v>
      </c>
      <c r="O23" s="23" t="s">
        <v>42</v>
      </c>
      <c r="P23" s="41" t="s">
        <v>73</v>
      </c>
      <c r="Q23" s="8" t="str">
        <f>IF(AND((N23)&gt;=10,(N23)&lt;=12),"MEETS","DOES NOT MEET")</f>
        <v>MEETS</v>
      </c>
    </row>
    <row r="24" spans="1:17" ht="42" thickBot="1" x14ac:dyDescent="0.35">
      <c r="A24" s="26"/>
      <c r="B24" s="28" t="s">
        <v>8</v>
      </c>
      <c r="C24" s="21" t="s">
        <v>75</v>
      </c>
      <c r="D24" s="20">
        <v>2</v>
      </c>
      <c r="E24" s="21" t="s">
        <v>78</v>
      </c>
      <c r="F24" s="20">
        <v>4</v>
      </c>
      <c r="G24" s="21" t="s">
        <v>81</v>
      </c>
      <c r="H24" s="21">
        <v>4</v>
      </c>
      <c r="I24" s="21" t="s">
        <v>83</v>
      </c>
      <c r="J24" s="20">
        <v>4</v>
      </c>
      <c r="K24" s="21" t="s">
        <v>86</v>
      </c>
      <c r="L24" s="20">
        <v>3</v>
      </c>
      <c r="M24" s="21"/>
      <c r="N24" s="31">
        <f>D24+F24+H24+J24+L24</f>
        <v>17</v>
      </c>
      <c r="O24" s="27" t="s">
        <v>7</v>
      </c>
      <c r="P24" s="52">
        <v>17</v>
      </c>
      <c r="Q24" s="24" t="str">
        <f>IF(N24&gt;=((N23+N21)/2),"MEETS","DOES NOT MEET")</f>
        <v>MEETS</v>
      </c>
    </row>
    <row r="25" spans="1:17" ht="17.399999999999999" customHeight="1" thickBot="1" x14ac:dyDescent="0.35">
      <c r="A25" s="72" t="s">
        <v>6</v>
      </c>
      <c r="B25" s="65"/>
      <c r="C25" s="65"/>
      <c r="D25" s="65" t="s">
        <v>5</v>
      </c>
      <c r="E25" s="65"/>
      <c r="F25" s="65" t="s">
        <v>5</v>
      </c>
      <c r="G25" s="65"/>
      <c r="H25" s="65" t="s">
        <v>5</v>
      </c>
      <c r="I25" s="65"/>
      <c r="J25" s="65" t="s">
        <v>5</v>
      </c>
      <c r="K25" s="65"/>
      <c r="L25" s="65" t="s">
        <v>5</v>
      </c>
      <c r="M25" s="65"/>
      <c r="N25" s="65"/>
      <c r="O25" s="65"/>
      <c r="P25" s="65"/>
      <c r="Q25" s="73"/>
    </row>
    <row r="26" spans="1:17" ht="41.4" x14ac:dyDescent="0.3">
      <c r="A26" s="78" t="s">
        <v>4</v>
      </c>
      <c r="B26" s="18" t="s">
        <v>84</v>
      </c>
      <c r="C26" s="18" t="s">
        <v>89</v>
      </c>
      <c r="D26" s="17">
        <v>2</v>
      </c>
      <c r="E26" s="18" t="s">
        <v>45</v>
      </c>
      <c r="F26" s="18">
        <v>2</v>
      </c>
      <c r="G26" s="18" t="s">
        <v>62</v>
      </c>
      <c r="H26" s="18">
        <v>2</v>
      </c>
      <c r="I26" s="18" t="s">
        <v>58</v>
      </c>
      <c r="J26" s="18">
        <v>2</v>
      </c>
      <c r="K26" s="18" t="s">
        <v>46</v>
      </c>
      <c r="L26" s="18">
        <v>2</v>
      </c>
      <c r="M26" s="66"/>
      <c r="N26" s="32">
        <f>D26+F26+H26+J26+L26</f>
        <v>10</v>
      </c>
      <c r="O26" s="30" t="s">
        <v>41</v>
      </c>
      <c r="P26" s="79"/>
      <c r="Q26" s="90" t="str">
        <f>IF(AND((N26)&gt;=10,(N26)&lt;=12),"MEETS","DOES NOT MEET")</f>
        <v>MEETS</v>
      </c>
    </row>
    <row r="27" spans="1:17" ht="27.6" x14ac:dyDescent="0.3">
      <c r="A27" s="78"/>
      <c r="B27" s="10"/>
      <c r="C27" s="14" t="s">
        <v>53</v>
      </c>
      <c r="D27" s="3">
        <v>2</v>
      </c>
      <c r="E27" s="14" t="s">
        <v>54</v>
      </c>
      <c r="F27" s="14">
        <v>2</v>
      </c>
      <c r="G27" s="14" t="s">
        <v>55</v>
      </c>
      <c r="H27" s="14">
        <v>2</v>
      </c>
      <c r="I27" s="14" t="s">
        <v>56</v>
      </c>
      <c r="J27" s="14">
        <v>2</v>
      </c>
      <c r="K27" s="18" t="s">
        <v>44</v>
      </c>
      <c r="L27" s="17">
        <v>2.25</v>
      </c>
      <c r="M27" s="67"/>
      <c r="N27" s="9"/>
      <c r="O27" s="10"/>
      <c r="P27" s="79"/>
      <c r="Q27" s="103"/>
    </row>
    <row r="28" spans="1:17" ht="42" thickBot="1" x14ac:dyDescent="0.35">
      <c r="A28" s="78"/>
      <c r="B28" s="13" t="s">
        <v>71</v>
      </c>
      <c r="C28" s="21" t="s">
        <v>44</v>
      </c>
      <c r="D28" s="20">
        <v>2.25</v>
      </c>
      <c r="E28" s="21" t="s">
        <v>44</v>
      </c>
      <c r="F28" s="20">
        <v>2.25</v>
      </c>
      <c r="G28" s="21" t="s">
        <v>44</v>
      </c>
      <c r="H28" s="20">
        <v>2.25</v>
      </c>
      <c r="I28" s="21" t="s">
        <v>44</v>
      </c>
      <c r="J28" s="20">
        <v>2.25</v>
      </c>
      <c r="K28" s="21" t="s">
        <v>57</v>
      </c>
      <c r="L28" s="20">
        <v>3</v>
      </c>
      <c r="M28" s="68"/>
      <c r="N28" s="31">
        <f>D28+F28+H28+J28+L28</f>
        <v>12</v>
      </c>
      <c r="O28" s="27" t="s">
        <v>43</v>
      </c>
      <c r="P28" s="79"/>
      <c r="Q28" s="24" t="str">
        <f t="shared" ref="Q28" si="2">IF(AND((N28)&gt;=10,(N28)&lt;=12),"MEETS","DOES NOT MEET")</f>
        <v>MEETS</v>
      </c>
    </row>
    <row r="29" spans="1:17" ht="15" thickBot="1" x14ac:dyDescent="0.35">
      <c r="A29" s="74" t="s">
        <v>3</v>
      </c>
      <c r="B29" s="69"/>
      <c r="C29" s="69"/>
      <c r="D29" s="69" t="s">
        <v>2</v>
      </c>
      <c r="E29" s="69"/>
      <c r="F29" s="69" t="s">
        <v>2</v>
      </c>
      <c r="G29" s="69"/>
      <c r="H29" s="69" t="s">
        <v>2</v>
      </c>
      <c r="I29" s="69"/>
      <c r="J29" s="69" t="s">
        <v>2</v>
      </c>
      <c r="K29" s="69"/>
      <c r="L29" s="69" t="s">
        <v>2</v>
      </c>
      <c r="M29" s="69"/>
      <c r="N29" s="69"/>
      <c r="O29" s="69"/>
      <c r="P29" s="69"/>
      <c r="Q29" s="75"/>
    </row>
    <row r="30" spans="1:17" ht="62.25" customHeight="1" thickBot="1" x14ac:dyDescent="0.35">
      <c r="A30" s="29"/>
      <c r="B30" s="53" t="s">
        <v>1</v>
      </c>
      <c r="C30" s="54" t="s">
        <v>47</v>
      </c>
      <c r="D30" s="55">
        <v>1</v>
      </c>
      <c r="E30" s="54" t="s">
        <v>47</v>
      </c>
      <c r="F30" s="55">
        <v>1</v>
      </c>
      <c r="G30" s="54" t="s">
        <v>47</v>
      </c>
      <c r="H30" s="55">
        <v>1</v>
      </c>
      <c r="I30" s="54" t="s">
        <v>47</v>
      </c>
      <c r="J30" s="55">
        <v>1</v>
      </c>
      <c r="K30" s="54" t="s">
        <v>47</v>
      </c>
      <c r="L30" s="54">
        <v>1</v>
      </c>
      <c r="M30" s="54"/>
      <c r="N30" s="56">
        <f>SUM(D30,F30,H30,J30,L30)</f>
        <v>5</v>
      </c>
      <c r="O30" s="53" t="s">
        <v>0</v>
      </c>
      <c r="P30" s="70"/>
      <c r="Q30" s="57" t="str">
        <f>IF(N30&gt;=5,"MEETS","DOES NOT MEET")</f>
        <v>MEETS</v>
      </c>
    </row>
    <row r="31" spans="1:17" x14ac:dyDescent="0.3">
      <c r="A31" s="7"/>
      <c r="B31" s="5"/>
      <c r="C31" s="35"/>
      <c r="D31" s="6"/>
      <c r="E31" s="35"/>
      <c r="F31" s="35"/>
      <c r="G31" s="35"/>
      <c r="H31" s="35"/>
      <c r="I31" s="35"/>
      <c r="J31" s="35"/>
      <c r="K31" s="35"/>
      <c r="L31" s="5"/>
      <c r="M31" s="5"/>
      <c r="N31" s="5"/>
      <c r="O31" s="5"/>
      <c r="P31" s="5"/>
      <c r="Q31" s="5"/>
    </row>
    <row r="32" spans="1:17" x14ac:dyDescent="0.3">
      <c r="A32" s="7"/>
      <c r="B32" s="5"/>
      <c r="C32" s="5"/>
      <c r="D32" s="6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</row>
    <row r="33" spans="1:17" x14ac:dyDescent="0.3">
      <c r="A33" s="7"/>
      <c r="B33" s="5"/>
      <c r="C33" s="5"/>
      <c r="D33" s="6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</row>
    <row r="34" spans="1:17" x14ac:dyDescent="0.3">
      <c r="A34" s="7"/>
      <c r="B34" s="5"/>
      <c r="C34" s="5"/>
      <c r="D34" s="6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</row>
    <row r="35" spans="1:17" x14ac:dyDescent="0.3">
      <c r="A35" s="7"/>
      <c r="B35" s="5"/>
      <c r="C35" s="5"/>
      <c r="D35" s="6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</row>
    <row r="36" spans="1:17" x14ac:dyDescent="0.3">
      <c r="A36" s="7"/>
      <c r="B36" s="5"/>
      <c r="C36" s="5"/>
      <c r="D36" s="6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</row>
    <row r="37" spans="1:17" x14ac:dyDescent="0.3">
      <c r="A37" s="7"/>
      <c r="B37" s="5"/>
      <c r="C37" s="5"/>
      <c r="D37" s="6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</row>
    <row r="38" spans="1:17" x14ac:dyDescent="0.3">
      <c r="A38" s="7"/>
      <c r="B38" s="5"/>
      <c r="C38" s="5"/>
      <c r="D38" s="6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</row>
    <row r="39" spans="1:17" x14ac:dyDescent="0.3">
      <c r="A39" s="7"/>
      <c r="B39" s="5"/>
      <c r="C39" s="5"/>
      <c r="D39" s="6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</row>
    <row r="40" spans="1:17" x14ac:dyDescent="0.3">
      <c r="A40" s="7"/>
      <c r="B40" s="5"/>
      <c r="C40" s="5"/>
      <c r="D40" s="6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</row>
    <row r="41" spans="1:17" x14ac:dyDescent="0.3">
      <c r="A41" s="7"/>
      <c r="B41" s="5"/>
      <c r="C41" s="5"/>
      <c r="D41" s="6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</row>
    <row r="42" spans="1:17" x14ac:dyDescent="0.3">
      <c r="A42" s="7"/>
      <c r="B42" s="5"/>
      <c r="C42" s="5"/>
      <c r="D42" s="6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</row>
    <row r="43" spans="1:17" x14ac:dyDescent="0.3">
      <c r="A43" s="7"/>
      <c r="B43" s="5"/>
      <c r="C43" s="5"/>
      <c r="D43" s="6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</row>
    <row r="44" spans="1:17" x14ac:dyDescent="0.3">
      <c r="A44" s="7"/>
      <c r="B44" s="5"/>
      <c r="C44" s="5"/>
      <c r="D44" s="6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</row>
    <row r="45" spans="1:17" x14ac:dyDescent="0.3">
      <c r="A45" s="7"/>
      <c r="B45" s="5"/>
      <c r="C45" s="5"/>
      <c r="D45" s="6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</row>
    <row r="46" spans="1:17" x14ac:dyDescent="0.3">
      <c r="A46" s="7"/>
      <c r="B46" s="5"/>
      <c r="C46" s="5"/>
      <c r="D46" s="6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</row>
    <row r="47" spans="1:17" x14ac:dyDescent="0.3">
      <c r="A47" s="7"/>
      <c r="B47" s="5"/>
      <c r="C47" s="5"/>
      <c r="D47" s="6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</row>
    <row r="48" spans="1:17" x14ac:dyDescent="0.3">
      <c r="A48" s="7"/>
      <c r="B48" s="5"/>
      <c r="C48" s="5"/>
      <c r="D48" s="6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</row>
    <row r="49" spans="1:17" x14ac:dyDescent="0.3">
      <c r="A49" s="7"/>
      <c r="B49" s="5"/>
      <c r="C49" s="5"/>
      <c r="D49" s="6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</row>
    <row r="50" spans="1:17" x14ac:dyDescent="0.3">
      <c r="A50" s="7"/>
      <c r="B50" s="5"/>
      <c r="C50" s="5"/>
      <c r="D50" s="6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</row>
    <row r="51" spans="1:17" x14ac:dyDescent="0.3">
      <c r="A51" s="7"/>
      <c r="B51" s="5"/>
      <c r="C51" s="5"/>
      <c r="D51" s="6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</row>
    <row r="52" spans="1:17" x14ac:dyDescent="0.3">
      <c r="A52" s="7"/>
      <c r="B52" s="5"/>
      <c r="C52" s="5"/>
      <c r="D52" s="6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</row>
    <row r="53" spans="1:17" x14ac:dyDescent="0.3">
      <c r="A53" s="7"/>
      <c r="B53" s="5"/>
      <c r="C53" s="5"/>
      <c r="D53" s="6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</row>
    <row r="54" spans="1:17" x14ac:dyDescent="0.3">
      <c r="A54" s="7"/>
      <c r="B54" s="5"/>
      <c r="C54" s="5"/>
      <c r="D54" s="6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</row>
    <row r="55" spans="1:17" x14ac:dyDescent="0.3">
      <c r="A55" s="7"/>
      <c r="B55" s="5"/>
      <c r="C55" s="5"/>
      <c r="D55" s="6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</row>
    <row r="56" spans="1:17" x14ac:dyDescent="0.3">
      <c r="A56" s="7"/>
      <c r="B56" s="5"/>
      <c r="C56" s="5"/>
      <c r="D56" s="6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</row>
    <row r="57" spans="1:17" x14ac:dyDescent="0.3">
      <c r="A57" s="7"/>
      <c r="B57" s="5"/>
      <c r="C57" s="5"/>
      <c r="D57" s="6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</row>
    <row r="58" spans="1:17" x14ac:dyDescent="0.3">
      <c r="A58" s="7"/>
      <c r="B58" s="5"/>
      <c r="C58" s="5"/>
      <c r="D58" s="6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</row>
    <row r="59" spans="1:17" x14ac:dyDescent="0.3">
      <c r="A59" s="7"/>
      <c r="B59" s="5"/>
      <c r="C59" s="5"/>
      <c r="D59" s="6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</row>
    <row r="60" spans="1:17" x14ac:dyDescent="0.3">
      <c r="A60" s="7"/>
      <c r="B60" s="5"/>
      <c r="C60" s="5"/>
      <c r="D60" s="6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</row>
    <row r="61" spans="1:17" x14ac:dyDescent="0.3">
      <c r="A61" s="7"/>
      <c r="B61" s="5"/>
      <c r="C61" s="5"/>
      <c r="D61" s="6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</row>
    <row r="62" spans="1:17" x14ac:dyDescent="0.3">
      <c r="A62" s="7"/>
      <c r="B62" s="5"/>
      <c r="C62" s="5"/>
      <c r="D62" s="6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</row>
    <row r="63" spans="1:17" x14ac:dyDescent="0.3">
      <c r="A63" s="7"/>
      <c r="B63" s="5"/>
      <c r="C63" s="5"/>
      <c r="D63" s="6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</row>
    <row r="64" spans="1:17" x14ac:dyDescent="0.3">
      <c r="A64" s="7"/>
      <c r="B64" s="5"/>
      <c r="C64" s="5"/>
      <c r="D64" s="6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</row>
    <row r="65" spans="1:17" x14ac:dyDescent="0.3">
      <c r="A65" s="7"/>
      <c r="B65" s="5"/>
      <c r="C65" s="5"/>
      <c r="D65" s="6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</row>
    <row r="66" spans="1:17" x14ac:dyDescent="0.3">
      <c r="A66" s="7"/>
      <c r="B66" s="5"/>
      <c r="C66" s="5"/>
      <c r="D66" s="6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</row>
    <row r="67" spans="1:17" x14ac:dyDescent="0.3">
      <c r="A67" s="7"/>
      <c r="B67" s="5"/>
      <c r="C67" s="5"/>
      <c r="D67" s="6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</row>
    <row r="68" spans="1:17" x14ac:dyDescent="0.3">
      <c r="A68" s="7"/>
      <c r="B68" s="5"/>
      <c r="C68" s="5"/>
      <c r="D68" s="6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</row>
    <row r="69" spans="1:17" x14ac:dyDescent="0.3">
      <c r="A69" s="7"/>
      <c r="B69" s="5"/>
      <c r="C69" s="5"/>
      <c r="D69" s="6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</row>
    <row r="70" spans="1:17" x14ac:dyDescent="0.3">
      <c r="A70" s="7"/>
      <c r="B70" s="5"/>
      <c r="C70" s="5"/>
      <c r="D70" s="6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</row>
    <row r="71" spans="1:17" x14ac:dyDescent="0.3">
      <c r="A71" s="7"/>
      <c r="B71" s="5"/>
      <c r="C71" s="5"/>
      <c r="D71" s="6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</row>
    <row r="72" spans="1:17" x14ac:dyDescent="0.3">
      <c r="A72" s="7"/>
      <c r="B72" s="5"/>
      <c r="C72" s="5"/>
      <c r="D72" s="6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</row>
    <row r="73" spans="1:17" x14ac:dyDescent="0.3">
      <c r="A73" s="7"/>
      <c r="B73" s="5"/>
      <c r="C73" s="5"/>
      <c r="D73" s="6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</row>
    <row r="74" spans="1:17" x14ac:dyDescent="0.3">
      <c r="A74" s="7"/>
      <c r="B74" s="5"/>
      <c r="C74" s="5"/>
      <c r="D74" s="6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</row>
    <row r="75" spans="1:17" x14ac:dyDescent="0.3">
      <c r="A75" s="7"/>
      <c r="B75" s="5"/>
      <c r="C75" s="5"/>
      <c r="D75" s="6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</row>
    <row r="76" spans="1:17" x14ac:dyDescent="0.3">
      <c r="A76" s="7"/>
      <c r="B76" s="5"/>
      <c r="C76" s="5"/>
      <c r="D76" s="6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</row>
    <row r="77" spans="1:17" x14ac:dyDescent="0.3">
      <c r="A77" s="7"/>
      <c r="B77" s="5"/>
      <c r="C77" s="5"/>
      <c r="D77" s="6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</row>
    <row r="78" spans="1:17" x14ac:dyDescent="0.3">
      <c r="A78" s="7"/>
      <c r="B78" s="5"/>
      <c r="C78" s="5"/>
      <c r="D78" s="6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</row>
    <row r="79" spans="1:17" x14ac:dyDescent="0.3">
      <c r="A79" s="7"/>
      <c r="B79" s="5"/>
      <c r="C79" s="5"/>
      <c r="D79" s="6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</row>
    <row r="80" spans="1:17" x14ac:dyDescent="0.3">
      <c r="A80" s="7"/>
      <c r="B80" s="5"/>
      <c r="C80" s="5"/>
      <c r="D80" s="6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</row>
    <row r="81" spans="1:17" x14ac:dyDescent="0.3">
      <c r="A81" s="7"/>
      <c r="B81" s="5"/>
      <c r="C81" s="5"/>
      <c r="D81" s="6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</row>
    <row r="82" spans="1:17" x14ac:dyDescent="0.3">
      <c r="A82" s="7"/>
      <c r="B82" s="5"/>
      <c r="C82" s="5"/>
      <c r="D82" s="6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</row>
    <row r="83" spans="1:17" x14ac:dyDescent="0.3">
      <c r="A83" s="7"/>
      <c r="B83" s="5"/>
      <c r="C83" s="5"/>
      <c r="D83" s="6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</row>
    <row r="84" spans="1:17" x14ac:dyDescent="0.3">
      <c r="A84" s="7"/>
      <c r="B84" s="5"/>
      <c r="C84" s="5"/>
      <c r="D84" s="6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</row>
    <row r="85" spans="1:17" x14ac:dyDescent="0.3">
      <c r="A85" s="7"/>
      <c r="B85" s="5"/>
      <c r="C85" s="5"/>
      <c r="D85" s="6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</row>
    <row r="86" spans="1:17" x14ac:dyDescent="0.3">
      <c r="A86" s="7"/>
      <c r="B86" s="5"/>
      <c r="C86" s="5"/>
      <c r="D86" s="6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</row>
    <row r="87" spans="1:17" x14ac:dyDescent="0.3">
      <c r="A87" s="7"/>
      <c r="B87" s="5"/>
      <c r="C87" s="5"/>
      <c r="D87" s="6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</row>
    <row r="88" spans="1:17" x14ac:dyDescent="0.3">
      <c r="A88" s="7"/>
      <c r="B88" s="5"/>
      <c r="C88" s="5"/>
      <c r="D88" s="6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</row>
    <row r="89" spans="1:17" x14ac:dyDescent="0.3">
      <c r="A89" s="7"/>
      <c r="B89" s="5"/>
      <c r="C89" s="5"/>
      <c r="D89" s="6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</row>
    <row r="90" spans="1:17" x14ac:dyDescent="0.3">
      <c r="A90" s="7"/>
      <c r="B90" s="5"/>
      <c r="C90" s="5"/>
      <c r="D90" s="6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</row>
    <row r="91" spans="1:17" x14ac:dyDescent="0.3">
      <c r="A91" s="7"/>
      <c r="B91" s="5"/>
      <c r="C91" s="5"/>
      <c r="D91" s="6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</row>
    <row r="92" spans="1:17" x14ac:dyDescent="0.3">
      <c r="A92" s="7"/>
      <c r="B92" s="5"/>
      <c r="C92" s="5"/>
      <c r="D92" s="6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</row>
    <row r="93" spans="1:17" x14ac:dyDescent="0.3">
      <c r="A93" s="7"/>
      <c r="B93" s="5"/>
      <c r="C93" s="5"/>
      <c r="D93" s="6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</row>
    <row r="94" spans="1:17" x14ac:dyDescent="0.3">
      <c r="A94" s="7"/>
      <c r="B94" s="5"/>
      <c r="C94" s="5"/>
      <c r="D94" s="6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</row>
    <row r="95" spans="1:17" x14ac:dyDescent="0.3">
      <c r="A95" s="7"/>
      <c r="B95" s="5"/>
      <c r="C95" s="5"/>
      <c r="D95" s="6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</row>
    <row r="96" spans="1:17" x14ac:dyDescent="0.3">
      <c r="A96" s="7"/>
      <c r="B96" s="5"/>
      <c r="C96" s="5"/>
      <c r="D96" s="6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</row>
    <row r="97" spans="1:17" x14ac:dyDescent="0.3">
      <c r="A97" s="7"/>
      <c r="B97" s="5"/>
      <c r="C97" s="5"/>
      <c r="D97" s="6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</row>
    <row r="98" spans="1:17" x14ac:dyDescent="0.3">
      <c r="A98" s="7"/>
      <c r="B98" s="5"/>
      <c r="C98" s="5"/>
      <c r="D98" s="6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</row>
    <row r="99" spans="1:17" x14ac:dyDescent="0.3">
      <c r="A99" s="7"/>
      <c r="B99" s="5"/>
      <c r="C99" s="5"/>
      <c r="D99" s="6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</row>
    <row r="100" spans="1:17" x14ac:dyDescent="0.3">
      <c r="A100" s="7"/>
      <c r="B100" s="5"/>
      <c r="C100" s="5"/>
      <c r="D100" s="6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</row>
    <row r="101" spans="1:17" x14ac:dyDescent="0.3">
      <c r="A101" s="7"/>
      <c r="B101" s="5"/>
      <c r="C101" s="5"/>
      <c r="D101" s="6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</row>
    <row r="102" spans="1:17" x14ac:dyDescent="0.3">
      <c r="A102" s="7"/>
      <c r="B102" s="5"/>
      <c r="C102" s="5"/>
      <c r="D102" s="6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</row>
    <row r="103" spans="1:17" x14ac:dyDescent="0.3">
      <c r="A103" s="7"/>
      <c r="B103" s="5"/>
      <c r="C103" s="5"/>
      <c r="D103" s="6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</row>
    <row r="104" spans="1:17" x14ac:dyDescent="0.3">
      <c r="A104" s="7"/>
      <c r="B104" s="5"/>
      <c r="C104" s="5"/>
      <c r="D104" s="6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</row>
    <row r="105" spans="1:17" x14ac:dyDescent="0.3">
      <c r="A105" s="7"/>
      <c r="B105" s="5"/>
      <c r="C105" s="5"/>
      <c r="D105" s="6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</row>
    <row r="106" spans="1:17" x14ac:dyDescent="0.3">
      <c r="A106" s="7"/>
      <c r="B106" s="5"/>
      <c r="C106" s="5"/>
      <c r="D106" s="6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</row>
    <row r="107" spans="1:17" x14ac:dyDescent="0.3">
      <c r="A107" s="7"/>
      <c r="B107" s="5"/>
      <c r="C107" s="5"/>
      <c r="D107" s="6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</row>
    <row r="108" spans="1:17" x14ac:dyDescent="0.3">
      <c r="A108" s="7"/>
      <c r="B108" s="5"/>
      <c r="C108" s="5"/>
      <c r="D108" s="6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</row>
    <row r="109" spans="1:17" x14ac:dyDescent="0.3">
      <c r="A109" s="7"/>
      <c r="B109" s="5"/>
      <c r="C109" s="5"/>
      <c r="D109" s="6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</row>
    <row r="110" spans="1:17" x14ac:dyDescent="0.3">
      <c r="A110" s="7"/>
      <c r="B110" s="5"/>
      <c r="C110" s="5"/>
      <c r="D110" s="6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</row>
    <row r="111" spans="1:17" x14ac:dyDescent="0.3">
      <c r="A111" s="7"/>
      <c r="B111" s="5"/>
      <c r="C111" s="5"/>
      <c r="D111" s="6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</row>
    <row r="112" spans="1:17" x14ac:dyDescent="0.3">
      <c r="A112" s="7"/>
      <c r="B112" s="5"/>
      <c r="C112" s="5"/>
      <c r="D112" s="6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</row>
    <row r="113" spans="1:17" x14ac:dyDescent="0.3">
      <c r="A113" s="7"/>
      <c r="B113" s="5"/>
      <c r="C113" s="5"/>
      <c r="D113" s="6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</row>
    <row r="114" spans="1:17" x14ac:dyDescent="0.3">
      <c r="A114" s="7"/>
      <c r="B114" s="5"/>
      <c r="C114" s="5"/>
      <c r="D114" s="6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</row>
    <row r="115" spans="1:17" x14ac:dyDescent="0.3">
      <c r="A115" s="7"/>
      <c r="B115" s="5"/>
      <c r="C115" s="5"/>
      <c r="D115" s="6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</row>
    <row r="116" spans="1:17" x14ac:dyDescent="0.3">
      <c r="A116" s="7"/>
      <c r="B116" s="5"/>
      <c r="C116" s="5"/>
      <c r="D116" s="6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</row>
    <row r="117" spans="1:17" x14ac:dyDescent="0.3">
      <c r="A117" s="7"/>
      <c r="B117" s="5"/>
      <c r="C117" s="5"/>
      <c r="D117" s="6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</row>
    <row r="118" spans="1:17" x14ac:dyDescent="0.3">
      <c r="A118" s="7"/>
      <c r="B118" s="5"/>
      <c r="C118" s="5"/>
      <c r="D118" s="6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</row>
    <row r="119" spans="1:17" x14ac:dyDescent="0.3">
      <c r="A119" s="7"/>
      <c r="B119" s="5"/>
      <c r="C119" s="5"/>
      <c r="D119" s="6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</row>
    <row r="120" spans="1:17" x14ac:dyDescent="0.3">
      <c r="A120" s="7"/>
      <c r="B120" s="5"/>
      <c r="C120" s="5"/>
      <c r="D120" s="6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</row>
    <row r="121" spans="1:17" x14ac:dyDescent="0.3">
      <c r="A121" s="7"/>
      <c r="B121" s="5"/>
      <c r="C121" s="5"/>
      <c r="D121" s="6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</row>
    <row r="122" spans="1:17" x14ac:dyDescent="0.3">
      <c r="A122" s="7"/>
      <c r="B122" s="5"/>
      <c r="C122" s="5"/>
      <c r="D122" s="6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</row>
    <row r="123" spans="1:17" x14ac:dyDescent="0.3">
      <c r="A123" s="7"/>
      <c r="B123" s="5"/>
      <c r="C123" s="5"/>
      <c r="D123" s="6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</row>
    <row r="124" spans="1:17" x14ac:dyDescent="0.3">
      <c r="A124" s="7"/>
      <c r="B124" s="5"/>
      <c r="C124" s="5"/>
      <c r="D124" s="6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</row>
    <row r="125" spans="1:17" x14ac:dyDescent="0.3">
      <c r="A125" s="7"/>
      <c r="B125" s="5"/>
      <c r="C125" s="5"/>
      <c r="D125" s="6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</row>
    <row r="126" spans="1:17" x14ac:dyDescent="0.3">
      <c r="A126" s="7"/>
      <c r="B126" s="5"/>
      <c r="C126" s="5"/>
      <c r="D126" s="6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</row>
    <row r="127" spans="1:17" x14ac:dyDescent="0.3">
      <c r="A127" s="7"/>
      <c r="B127" s="5"/>
      <c r="C127" s="5"/>
      <c r="D127" s="6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</row>
    <row r="128" spans="1:17" x14ac:dyDescent="0.3">
      <c r="A128" s="7"/>
      <c r="B128" s="5"/>
      <c r="C128" s="5"/>
      <c r="D128" s="6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</row>
    <row r="129" spans="1:17" x14ac:dyDescent="0.3">
      <c r="A129" s="7"/>
      <c r="B129" s="5"/>
      <c r="C129" s="5"/>
      <c r="D129" s="6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</row>
    <row r="130" spans="1:17" x14ac:dyDescent="0.3">
      <c r="A130" s="7"/>
      <c r="B130" s="5"/>
      <c r="C130" s="5"/>
      <c r="D130" s="6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</row>
    <row r="131" spans="1:17" x14ac:dyDescent="0.3">
      <c r="A131" s="7"/>
      <c r="B131" s="5"/>
      <c r="C131" s="5"/>
      <c r="D131" s="6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</row>
    <row r="132" spans="1:17" x14ac:dyDescent="0.3">
      <c r="A132" s="7"/>
      <c r="B132" s="5"/>
      <c r="C132" s="5"/>
      <c r="D132" s="6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</row>
    <row r="133" spans="1:17" x14ac:dyDescent="0.3">
      <c r="A133" s="7"/>
      <c r="B133" s="5"/>
      <c r="C133" s="5"/>
      <c r="D133" s="6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</row>
    <row r="134" spans="1:17" x14ac:dyDescent="0.3">
      <c r="A134" s="7"/>
      <c r="B134" s="5"/>
      <c r="C134" s="5"/>
      <c r="D134" s="6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</row>
    <row r="135" spans="1:17" x14ac:dyDescent="0.3">
      <c r="A135" s="7"/>
      <c r="B135" s="5"/>
      <c r="C135" s="5"/>
      <c r="D135" s="6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</row>
    <row r="136" spans="1:17" x14ac:dyDescent="0.3">
      <c r="A136" s="7"/>
      <c r="B136" s="5"/>
      <c r="C136" s="5"/>
      <c r="D136" s="6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</row>
    <row r="137" spans="1:17" x14ac:dyDescent="0.3">
      <c r="A137" s="7"/>
      <c r="B137" s="5"/>
      <c r="C137" s="5"/>
      <c r="D137" s="6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</row>
    <row r="138" spans="1:17" x14ac:dyDescent="0.3">
      <c r="A138" s="7"/>
      <c r="B138" s="5"/>
      <c r="C138" s="5"/>
      <c r="D138" s="6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</row>
    <row r="139" spans="1:17" x14ac:dyDescent="0.3">
      <c r="A139" s="7"/>
      <c r="B139" s="5"/>
      <c r="C139" s="5"/>
      <c r="D139" s="6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</row>
  </sheetData>
  <mergeCells count="34">
    <mergeCell ref="Q21:Q22"/>
    <mergeCell ref="A21:A23"/>
    <mergeCell ref="Q26:Q27"/>
    <mergeCell ref="C1:O1"/>
    <mergeCell ref="A2:B2"/>
    <mergeCell ref="C2:L2"/>
    <mergeCell ref="N2:Q2"/>
    <mergeCell ref="A3:A4"/>
    <mergeCell ref="B3:B4"/>
    <mergeCell ref="C3:D3"/>
    <mergeCell ref="E3:F3"/>
    <mergeCell ref="G3:H3"/>
    <mergeCell ref="I3:J3"/>
    <mergeCell ref="K3:L3"/>
    <mergeCell ref="N3:N4"/>
    <mergeCell ref="O3:O4"/>
    <mergeCell ref="P3:P4"/>
    <mergeCell ref="B5:Q5"/>
    <mergeCell ref="Q6:Q7"/>
    <mergeCell ref="A20:Q20"/>
    <mergeCell ref="B8:Q8"/>
    <mergeCell ref="A13:A17"/>
    <mergeCell ref="C14:M14"/>
    <mergeCell ref="B14:B17"/>
    <mergeCell ref="Q14:Q17"/>
    <mergeCell ref="N14:N17"/>
    <mergeCell ref="O14:O17"/>
    <mergeCell ref="P14:P17"/>
    <mergeCell ref="Q3:Q4"/>
    <mergeCell ref="A26:A28"/>
    <mergeCell ref="P26:P28"/>
    <mergeCell ref="N6:N7"/>
    <mergeCell ref="O6:O7"/>
    <mergeCell ref="P6:P7"/>
  </mergeCells>
  <conditionalFormatting sqref="Q6 Q9:Q14 Q18:Q19 Q21 Q23">
    <cfRule type="containsText" dxfId="15" priority="17" operator="containsText" text="MEETS">
      <formula>NOT(ISERROR(SEARCH("MEETS",Q6)))</formula>
    </cfRule>
    <cfRule type="containsText" dxfId="14" priority="18" operator="containsText" text="DOES NOT MEET">
      <formula>NOT(ISERROR(SEARCH("DOES NOT MEET",Q6)))</formula>
    </cfRule>
  </conditionalFormatting>
  <conditionalFormatting sqref="P6">
    <cfRule type="cellIs" dxfId="13" priority="16" operator="lessThan">
      <formula>0</formula>
    </cfRule>
  </conditionalFormatting>
  <conditionalFormatting sqref="F18 H18 L18 D18">
    <cfRule type="cellIs" dxfId="12" priority="15" operator="lessThan">
      <formula>1</formula>
    </cfRule>
  </conditionalFormatting>
  <conditionalFormatting sqref="Q26 Q28">
    <cfRule type="containsText" dxfId="11" priority="13" operator="containsText" text="MEETS">
      <formula>NOT(ISERROR(SEARCH("MEETS",Q26)))</formula>
    </cfRule>
    <cfRule type="containsText" dxfId="10" priority="14" operator="containsText" text="DOES NOT MEET">
      <formula>NOT(ISERROR(SEARCH("DOES NOT MEET",Q26)))</formula>
    </cfRule>
  </conditionalFormatting>
  <conditionalFormatting sqref="Q30">
    <cfRule type="containsText" dxfId="9" priority="9" operator="containsText" text="MEETS">
      <formula>NOT(ISERROR(SEARCH("MEETS",Q30)))</formula>
    </cfRule>
    <cfRule type="containsText" dxfId="8" priority="10" operator="containsText" text="DOES NOT MEET">
      <formula>NOT(ISERROR(SEARCH("DOES NOT MEET",Q30)))</formula>
    </cfRule>
  </conditionalFormatting>
  <conditionalFormatting sqref="D7">
    <cfRule type="cellIs" dxfId="7" priority="8" operator="lessThan">
      <formula>1</formula>
    </cfRule>
  </conditionalFormatting>
  <conditionalFormatting sqref="F7">
    <cfRule type="cellIs" dxfId="6" priority="7" operator="lessThan">
      <formula>1</formula>
    </cfRule>
  </conditionalFormatting>
  <conditionalFormatting sqref="H7">
    <cfRule type="cellIs" dxfId="5" priority="6" operator="lessThan">
      <formula>1</formula>
    </cfRule>
  </conditionalFormatting>
  <conditionalFormatting sqref="J7">
    <cfRule type="cellIs" dxfId="4" priority="5" operator="lessThan">
      <formula>1</formula>
    </cfRule>
  </conditionalFormatting>
  <conditionalFormatting sqref="L7">
    <cfRule type="cellIs" dxfId="3" priority="4" operator="lessThan">
      <formula>1</formula>
    </cfRule>
  </conditionalFormatting>
  <conditionalFormatting sqref="J18">
    <cfRule type="cellIs" dxfId="2" priority="3" operator="lessThan">
      <formula>1</formula>
    </cfRule>
  </conditionalFormatting>
  <conditionalFormatting sqref="Q24">
    <cfRule type="containsText" dxfId="1" priority="1" operator="containsText" text="MEETS">
      <formula>NOT(ISERROR(SEARCH("MEETS",Q24)))</formula>
    </cfRule>
    <cfRule type="containsText" dxfId="0" priority="2" operator="containsText" text="DOES NOT MEET">
      <formula>NOT(ISERROR(SEARCH("DOES NOT MEET",Q24)))</formula>
    </cfRule>
  </conditionalFormatting>
  <pageMargins left="0.7" right="0.7" top="0.80208333333333337" bottom="0.75" header="0.3" footer="0.3"/>
  <pageSetup scale="55" orientation="landscape" r:id="rId1"/>
  <headerFooter>
    <oddHeader>&amp;L&amp;G&amp;C&amp;20Sample Menu 
Grades 9-12 - Week # 4&amp;18
&amp;12Students may choose 2 or 3 vegetables daily</oddHeader>
    <oddFooter xml:space="preserve">&amp;L*  Nutrition analysis consists of a variety of salad dressing </oddFooter>
  </headerFooter>
  <legacy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Weekly Menu 9-12 (2)</vt:lpstr>
    </vt:vector>
  </TitlesOfParts>
  <Company>PA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Oberholser, Cheryl</dc:creator>
  <cp:lastModifiedBy>Dabulis, Dianne</cp:lastModifiedBy>
  <cp:lastPrinted>2012-11-06T21:48:44Z</cp:lastPrinted>
  <dcterms:created xsi:type="dcterms:W3CDTF">2012-06-06T19:00:56Z</dcterms:created>
  <dcterms:modified xsi:type="dcterms:W3CDTF">2012-11-08T19:49:03Z</dcterms:modified>
</cp:coreProperties>
</file>