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1790" windowHeight="6975" activeTab="4"/>
  </bookViews>
  <sheets>
    <sheet name="Forside" sheetId="1" r:id="rId1"/>
    <sheet name="Ledelsespåtegning" sheetId="5" r:id="rId2"/>
    <sheet name="Resultatopgørelse" sheetId="4" r:id="rId3"/>
    <sheet name="Balance" sheetId="3" r:id="rId4"/>
    <sheet name="Noter" sheetId="2" r:id="rId5"/>
  </sheets>
  <definedNames>
    <definedName name="_Toc251576535" localSheetId="1">Ledelsespåtegning!$A$1</definedName>
    <definedName name="_Toc516985418" localSheetId="4">Noter!#REF!</definedName>
    <definedName name="_xlnm.Print_Area" localSheetId="0">Forside!$A$1:$I$48</definedName>
    <definedName name="_xlnm.Print_Area" localSheetId="4">Noter!$A$1:$P$131</definedName>
  </definedNames>
  <calcPr calcId="125725"/>
</workbook>
</file>

<file path=xl/calcChain.xml><?xml version="1.0" encoding="utf-8"?>
<calcChain xmlns="http://schemas.openxmlformats.org/spreadsheetml/2006/main">
  <c r="N22" i="2"/>
  <c r="N29"/>
  <c r="N26"/>
  <c r="D45"/>
  <c r="E45"/>
  <c r="F45"/>
  <c r="G45"/>
  <c r="H45"/>
  <c r="L45"/>
  <c r="P45"/>
  <c r="G7" i="4"/>
  <c r="N130" i="2"/>
  <c r="G22" i="3" s="1"/>
  <c r="N9" i="2"/>
  <c r="G5" i="4" s="1"/>
  <c r="P130" i="2"/>
  <c r="I22" i="3" s="1"/>
  <c r="A6"/>
  <c r="P39" i="2"/>
  <c r="I14" i="4" s="1"/>
  <c r="I15"/>
  <c r="A20"/>
  <c r="A21" s="1"/>
  <c r="P78" i="2"/>
  <c r="I20" i="4" s="1"/>
  <c r="N78" i="2"/>
  <c r="G20" i="4" s="1"/>
  <c r="A15"/>
  <c r="A16" s="1"/>
  <c r="A17" s="1"/>
  <c r="A18" s="1"/>
  <c r="A19" s="1"/>
  <c r="A13"/>
  <c r="A14"/>
  <c r="N44" i="2"/>
  <c r="N43"/>
  <c r="N42"/>
  <c r="N45" s="1"/>
  <c r="N41"/>
  <c r="N38"/>
  <c r="N36"/>
  <c r="N37"/>
  <c r="L39"/>
  <c r="E39"/>
  <c r="F39"/>
  <c r="G39"/>
  <c r="H39"/>
  <c r="D39"/>
  <c r="O130"/>
  <c r="N55"/>
  <c r="N54"/>
  <c r="N53"/>
  <c r="L56"/>
  <c r="H56"/>
  <c r="G56"/>
  <c r="F56"/>
  <c r="E56"/>
  <c r="D56"/>
  <c r="N49"/>
  <c r="N48"/>
  <c r="L50"/>
  <c r="E50"/>
  <c r="F50"/>
  <c r="G50"/>
  <c r="H50"/>
  <c r="D50"/>
  <c r="N28"/>
  <c r="N30"/>
  <c r="D31"/>
  <c r="E31"/>
  <c r="F31"/>
  <c r="G31"/>
  <c r="H31"/>
  <c r="L31"/>
  <c r="M31"/>
  <c r="A11"/>
  <c r="A16" s="1"/>
  <c r="A25" s="1"/>
  <c r="A35" s="1"/>
  <c r="A41" s="1"/>
  <c r="N14"/>
  <c r="G6" i="4" s="1"/>
  <c r="A5"/>
  <c r="A6" s="1"/>
  <c r="A7" s="1"/>
  <c r="P121" i="2"/>
  <c r="I21" i="3" s="1"/>
  <c r="N121" i="2"/>
  <c r="G21" i="3" s="1"/>
  <c r="P115" i="2"/>
  <c r="I20" i="3" s="1"/>
  <c r="N115" i="2"/>
  <c r="G20" i="3" s="1"/>
  <c r="P111" i="2"/>
  <c r="I19" i="3" s="1"/>
  <c r="N111" i="2"/>
  <c r="G19" i="3" s="1"/>
  <c r="G23" s="1"/>
  <c r="P107" i="2"/>
  <c r="I16" i="3" s="1"/>
  <c r="N107" i="2"/>
  <c r="G16" i="3" s="1"/>
  <c r="P100" i="2"/>
  <c r="I10" i="3" s="1"/>
  <c r="N100" i="2"/>
  <c r="G10" i="3" s="1"/>
  <c r="P95" i="2"/>
  <c r="I7" i="3" s="1"/>
  <c r="N95" i="2"/>
  <c r="G7" i="3" s="1"/>
  <c r="N90" i="2"/>
  <c r="G6" i="3" s="1"/>
  <c r="P90" i="2"/>
  <c r="I6" i="3" s="1"/>
  <c r="I8" s="1"/>
  <c r="P83" i="2"/>
  <c r="I21" i="4" s="1"/>
  <c r="N83" i="2"/>
  <c r="G21" i="4" s="1"/>
  <c r="P74" i="2"/>
  <c r="I19" i="4" s="1"/>
  <c r="N74" i="2"/>
  <c r="G19" i="4" s="1"/>
  <c r="P61" i="2"/>
  <c r="I18" i="4" s="1"/>
  <c r="N61" i="2"/>
  <c r="G18" i="4" s="1"/>
  <c r="P56" i="2"/>
  <c r="I17" i="4" s="1"/>
  <c r="P50" i="2"/>
  <c r="I16" i="4" s="1"/>
  <c r="P31" i="2"/>
  <c r="I13" i="4" s="1"/>
  <c r="P22" i="2"/>
  <c r="I7" i="4" s="1"/>
  <c r="P14" i="2"/>
  <c r="I6" i="4" s="1"/>
  <c r="O9" i="2"/>
  <c r="P9"/>
  <c r="I5" i="4" s="1"/>
  <c r="G25" i="3" l="1"/>
  <c r="I23" i="4"/>
  <c r="G8" i="3"/>
  <c r="I23"/>
  <c r="I25" s="1"/>
  <c r="G9" i="4"/>
  <c r="N39" i="2"/>
  <c r="G14" i="4" s="1"/>
  <c r="N31" i="2"/>
  <c r="G13" i="4" s="1"/>
  <c r="N50" i="2"/>
  <c r="G15" i="4"/>
  <c r="A7" i="3"/>
  <c r="A10" s="1"/>
  <c r="A16" s="1"/>
  <c r="A47" i="2"/>
  <c r="A52" s="1"/>
  <c r="A58" s="1"/>
  <c r="A63" s="1"/>
  <c r="N56"/>
  <c r="G17" i="4" s="1"/>
  <c r="I9"/>
  <c r="I25" l="1"/>
  <c r="A19" i="3"/>
  <c r="A20" s="1"/>
  <c r="A21" s="1"/>
  <c r="A22" s="1"/>
  <c r="A27" s="1"/>
  <c r="G23" i="4"/>
  <c r="G25" s="1"/>
  <c r="A76" i="2"/>
  <c r="A80" s="1"/>
  <c r="A87" l="1"/>
  <c r="A92" s="1"/>
  <c r="A97" s="1"/>
  <c r="A103" s="1"/>
  <c r="A109" s="1"/>
  <c r="A113" s="1"/>
  <c r="A117" s="1"/>
  <c r="A123" s="1"/>
</calcChain>
</file>

<file path=xl/sharedStrings.xml><?xml version="1.0" encoding="utf-8"?>
<sst xmlns="http://schemas.openxmlformats.org/spreadsheetml/2006/main" count="211" uniqueCount="147">
  <si>
    <t xml:space="preserve">Indsæt logo </t>
  </si>
  <si>
    <t>(NAVN)</t>
  </si>
  <si>
    <t>RESULTATOPGØRELSE</t>
  </si>
  <si>
    <t>INDTÆGTER</t>
  </si>
  <si>
    <t>Note</t>
  </si>
  <si>
    <t>INDTÆGTER I ALT</t>
  </si>
  <si>
    <t>Renteindtægter</t>
  </si>
  <si>
    <t xml:space="preserve">Øvrige indtægter </t>
  </si>
  <si>
    <t>UDGIFTER</t>
  </si>
  <si>
    <t>Mødeudgifter</t>
  </si>
  <si>
    <t>Husleje</t>
  </si>
  <si>
    <t xml:space="preserve">UDGIFTER I ALT </t>
  </si>
  <si>
    <t xml:space="preserve">ÅRETS RESULTAT </t>
  </si>
  <si>
    <t xml:space="preserve">Note </t>
  </si>
  <si>
    <t>Beskrivelse</t>
  </si>
  <si>
    <t>Kontorinventar</t>
  </si>
  <si>
    <t>IT udstyr</t>
  </si>
  <si>
    <t>Kontorartikler</t>
  </si>
  <si>
    <t>Kursus, seminar, konference</t>
  </si>
  <si>
    <t>Software og licenser</t>
  </si>
  <si>
    <t>Pensioner</t>
  </si>
  <si>
    <t>Andre omkostninger til social sikring</t>
  </si>
  <si>
    <t>Omsætningsaktiver</t>
  </si>
  <si>
    <t>AKTIVER</t>
  </si>
  <si>
    <t>PASSIVER</t>
  </si>
  <si>
    <t xml:space="preserve">Egenkapital </t>
  </si>
  <si>
    <t>Gæld</t>
  </si>
  <si>
    <t>Periodeafgrænsningsposter</t>
  </si>
  <si>
    <t>Annoncering og PR</t>
  </si>
  <si>
    <t xml:space="preserve">Forsikringer </t>
  </si>
  <si>
    <t>Kreditorer</t>
  </si>
  <si>
    <t xml:space="preserve">Tilskud </t>
  </si>
  <si>
    <t>Renteindtægter af likvide beholdninger</t>
  </si>
  <si>
    <t>Renteindtægter øvrige</t>
  </si>
  <si>
    <t>[art]</t>
  </si>
  <si>
    <t>Gager og lønninger</t>
  </si>
  <si>
    <t>Kontorhold og it</t>
  </si>
  <si>
    <t>Porto</t>
  </si>
  <si>
    <t>Ophold</t>
  </si>
  <si>
    <t>Transport</t>
  </si>
  <si>
    <t>Øvrige</t>
  </si>
  <si>
    <t>Efteruddannelse, interne kurser m.v.</t>
  </si>
  <si>
    <t>Øvrige renteudgifter</t>
  </si>
  <si>
    <t>Renteudgifter</t>
  </si>
  <si>
    <t>Øvrige udgifter</t>
  </si>
  <si>
    <t xml:space="preserve">NOTER </t>
  </si>
  <si>
    <t>Forudbetalt husleje, depositum</t>
  </si>
  <si>
    <t>Øvrige forudbetalte poster</t>
  </si>
  <si>
    <t>Indestående i pengeinstitutter</t>
  </si>
  <si>
    <t>Kassebeholdning</t>
  </si>
  <si>
    <t>Årets resultat</t>
  </si>
  <si>
    <t>Saldo ved årets begyndelse</t>
  </si>
  <si>
    <t>Øvrige reguleringer</t>
  </si>
  <si>
    <t>Gæld til Arbejdstilsynet</t>
  </si>
  <si>
    <t>Anden gæld</t>
  </si>
  <si>
    <t>Gæld i alt</t>
  </si>
  <si>
    <t>Skyldige poster vedr. kreditor</t>
  </si>
  <si>
    <t>Øvrige skyldige poster</t>
  </si>
  <si>
    <t>Eventualforpligtelser</t>
  </si>
  <si>
    <t xml:space="preserve">TILSKUD I ALT </t>
  </si>
  <si>
    <t xml:space="preserve">RENTEINDTÆGTER I ALT </t>
  </si>
  <si>
    <t xml:space="preserve">ØVRIGE INDTÆGTER I ALT </t>
  </si>
  <si>
    <t xml:space="preserve">PERSONALEOMKOSTNINGER I ALT </t>
  </si>
  <si>
    <t xml:space="preserve">MØDEUDGIFTER I ALT </t>
  </si>
  <si>
    <t xml:space="preserve">REJSEUDGIFTER I ALT </t>
  </si>
  <si>
    <t>Rejseudgifter</t>
  </si>
  <si>
    <t xml:space="preserve">HUSLEJE I ALT </t>
  </si>
  <si>
    <t xml:space="preserve">KONTORHOLD OG IT I ALT </t>
  </si>
  <si>
    <t xml:space="preserve">RENTEUDGIFTER I ALT </t>
  </si>
  <si>
    <t xml:space="preserve">PERIODEAFGRÆNSNINGSPOSTER I ALT </t>
  </si>
  <si>
    <t xml:space="preserve">LIKVIDER I ALT </t>
  </si>
  <si>
    <t>EGENKAPITAL I ALT</t>
  </si>
  <si>
    <t xml:space="preserve">KREDITOR I ALT </t>
  </si>
  <si>
    <t>GÆLD TIL ARBEJDSTILSYNET I ALT</t>
  </si>
  <si>
    <t xml:space="preserve">ANDEN GÆLD I ALT </t>
  </si>
  <si>
    <t>Personaleomkostninger</t>
  </si>
  <si>
    <t xml:space="preserve">Renteudgifter </t>
  </si>
  <si>
    <t>BALANCE</t>
  </si>
  <si>
    <t xml:space="preserve">Likvide midler </t>
  </si>
  <si>
    <t xml:space="preserve">AKTIVER I ALT </t>
  </si>
  <si>
    <t>PASSIVER I ALT</t>
  </si>
  <si>
    <t xml:space="preserve">OMSÆTNINGSAKTIVER I ALT </t>
  </si>
  <si>
    <t>KR.</t>
  </si>
  <si>
    <t>Tilbagebetaling af tilskud</t>
  </si>
  <si>
    <t>Salg af materiale</t>
  </si>
  <si>
    <t>OMKOSTNINGER</t>
  </si>
  <si>
    <t>Kontorhold og IT</t>
  </si>
  <si>
    <t>[indsatsområder #A]</t>
  </si>
  <si>
    <t>[indsatsområder #B]</t>
  </si>
  <si>
    <t>[indsatsområder #C]</t>
  </si>
  <si>
    <t>[indsatsområder #D]</t>
  </si>
  <si>
    <t>[indsatsområder #E]</t>
  </si>
  <si>
    <t>Indsats #A</t>
  </si>
  <si>
    <t>Indsats #B</t>
  </si>
  <si>
    <t>Indsats #C</t>
  </si>
  <si>
    <t>Indsats #D</t>
  </si>
  <si>
    <t>Indsats #E</t>
  </si>
  <si>
    <t>ADM.</t>
  </si>
  <si>
    <t>Antal medarbejdere , Fuldtidsmedarbejdere</t>
  </si>
  <si>
    <t xml:space="preserve">Total </t>
  </si>
  <si>
    <t>ÅRSREGNSKAB FOR  2011</t>
  </si>
  <si>
    <t>Tilgodehavender</t>
  </si>
  <si>
    <t>Periodeafgræsningsposter</t>
  </si>
  <si>
    <t>Gebyr og renter til pengeinstitutter</t>
  </si>
  <si>
    <t>Modtaget tilskud</t>
  </si>
  <si>
    <t>Deltagerbetaling fra kursus, seminar og konference</t>
  </si>
  <si>
    <t>Partskonsulenter</t>
  </si>
  <si>
    <t>Sekretærbistand</t>
  </si>
  <si>
    <t>Skyldige lønrelaterede poster</t>
  </si>
  <si>
    <t>Ekstern konsulentbistand</t>
  </si>
  <si>
    <t>El, vand og varme</t>
  </si>
  <si>
    <t>Tryk og web</t>
  </si>
  <si>
    <t xml:space="preserve">Tryk og webudgifter </t>
  </si>
  <si>
    <t xml:space="preserve">TRYK OG WEB I ALT </t>
  </si>
  <si>
    <t>Tilskud overført til næste år</t>
  </si>
  <si>
    <t xml:space="preserve">EKSTERN KONSULENTBISTAND I ALT </t>
  </si>
  <si>
    <t xml:space="preserve">TILGODEHAVENDE I ALT </t>
  </si>
  <si>
    <t>Periodeafgrænsningspost</t>
  </si>
  <si>
    <t xml:space="preserve">PERIODEAFGRÆNSNINGSPOST I ALT </t>
  </si>
  <si>
    <t>Tilgodehavende</t>
  </si>
  <si>
    <t>Likvid beholdning</t>
  </si>
  <si>
    <t>Øvrige personaleomkostninger</t>
  </si>
  <si>
    <t>Bogføring og regnskabsassistance</t>
  </si>
  <si>
    <t>Faglitteratur og abonnement</t>
  </si>
  <si>
    <t>Tilskud fra organisationerne</t>
  </si>
  <si>
    <t>Tilskud overført til næste år (fradrag)</t>
  </si>
  <si>
    <t>Tilskud overført fra tidligere år (tillæg)</t>
  </si>
  <si>
    <t>Partskonsulentbistand m.v.</t>
  </si>
  <si>
    <t>Administrationsbidrag</t>
  </si>
  <si>
    <t>Tilgodehavende hos Arbejdstilsynet</t>
  </si>
  <si>
    <t>Partskonsulentbistand</t>
  </si>
  <si>
    <t xml:space="preserve">PARTSKONSULENTBISTAND I ALT </t>
  </si>
  <si>
    <t>Øvrige indtægter</t>
  </si>
  <si>
    <t>Budget 2012</t>
  </si>
  <si>
    <t>Indsats #F</t>
  </si>
  <si>
    <t>Indsats #G</t>
  </si>
  <si>
    <t>Indsats #H</t>
  </si>
  <si>
    <t>Adm. Indtægt (fællesekretariat)</t>
  </si>
  <si>
    <t xml:space="preserve">Bestyrelse </t>
  </si>
  <si>
    <t>Mellemværende med andre organisationer m.v.</t>
  </si>
  <si>
    <t>Tilgodehavende hos andre organisationer m.v.</t>
  </si>
  <si>
    <r>
      <t xml:space="preserve">Bestyrelse har dags dato behandlet og godkendt årsrapporten for regnskabsåret 1. januar – 31. december 2012 for BAR </t>
    </r>
    <r>
      <rPr>
        <sz val="11"/>
        <color rgb="FFFF0000"/>
        <rFont val="Times New Roman"/>
        <family val="1"/>
      </rPr>
      <t>XX</t>
    </r>
  </si>
  <si>
    <t>Det er vores opfattelse, at årsregnskabet giver et retvisende billede aktiver, passiver og finansielle stilling pr. 31. december 2010 samt af resultatet af aktiviteter for regnskabsåret 1. januar – 31. december 2012.</t>
  </si>
  <si>
    <t>By, den 22. februar 2013</t>
  </si>
  <si>
    <t>Årsrapporten er aflagt i overensstemmelse med årsregnskabsloven og bekendtgørelse om branchearbejdsmiljørådenes arbejdsmiljøindsats, finansiering, regnskab m.v.</t>
  </si>
  <si>
    <t xml:space="preserve">Ledelsespåtegning </t>
  </si>
  <si>
    <t>Afleveringsfrist 1. april 2013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</si>
</sst>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DB7E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164" fontId="8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/>
    <xf numFmtId="0" fontId="0" fillId="0" borderId="0" xfId="0" applyFont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2" borderId="0" xfId="0" applyFill="1" applyAlignment="1">
      <alignment horizontal="left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0" fillId="2" borderId="0" xfId="0" applyFont="1" applyFill="1"/>
    <xf numFmtId="0" fontId="9" fillId="2" borderId="0" xfId="0" applyFont="1" applyFill="1" applyAlignment="1">
      <alignment horizontal="left"/>
    </xf>
    <xf numFmtId="0" fontId="0" fillId="3" borderId="0" xfId="0" applyFill="1" applyBorder="1"/>
    <xf numFmtId="0" fontId="0" fillId="2" borderId="0" xfId="0" applyFill="1" applyBorder="1"/>
    <xf numFmtId="0" fontId="0" fillId="4" borderId="0" xfId="0" applyFill="1" applyBorder="1"/>
    <xf numFmtId="0" fontId="0" fillId="2" borderId="0" xfId="0" applyFill="1" applyAlignment="1">
      <alignment horizontal="center"/>
    </xf>
    <xf numFmtId="0" fontId="0" fillId="2" borderId="0" xfId="0" applyFont="1" applyFill="1" applyBorder="1"/>
    <xf numFmtId="2" fontId="0" fillId="3" borderId="1" xfId="2" applyNumberFormat="1" applyFont="1" applyFill="1" applyBorder="1"/>
    <xf numFmtId="164" fontId="0" fillId="2" borderId="0" xfId="2" applyFont="1" applyFill="1"/>
    <xf numFmtId="165" fontId="0" fillId="2" borderId="0" xfId="2" applyNumberFormat="1" applyFont="1" applyFill="1" applyAlignment="1">
      <alignment horizontal="center"/>
    </xf>
    <xf numFmtId="165" fontId="0" fillId="2" borderId="0" xfId="2" applyNumberFormat="1" applyFont="1" applyFill="1"/>
    <xf numFmtId="165" fontId="0" fillId="3" borderId="0" xfId="2" applyNumberFormat="1" applyFont="1" applyFill="1"/>
    <xf numFmtId="165" fontId="4" fillId="4" borderId="0" xfId="2" applyNumberFormat="1" applyFont="1" applyFill="1"/>
    <xf numFmtId="165" fontId="9" fillId="2" borderId="0" xfId="2" applyNumberFormat="1" applyFont="1" applyFill="1"/>
    <xf numFmtId="165" fontId="0" fillId="3" borderId="1" xfId="2" applyNumberFormat="1" applyFont="1" applyFill="1" applyBorder="1"/>
    <xf numFmtId="165" fontId="0" fillId="4" borderId="1" xfId="2" applyNumberFormat="1" applyFont="1" applyFill="1" applyBorder="1"/>
    <xf numFmtId="165" fontId="0" fillId="2" borderId="0" xfId="2" applyNumberFormat="1" applyFont="1" applyFill="1" applyAlignment="1">
      <alignment horizontal="center" vertical="center"/>
    </xf>
    <xf numFmtId="164" fontId="0" fillId="3" borderId="2" xfId="2" applyFont="1" applyFill="1" applyBorder="1"/>
    <xf numFmtId="164" fontId="4" fillId="4" borderId="2" xfId="2" applyFont="1" applyFill="1" applyBorder="1"/>
    <xf numFmtId="165" fontId="10" fillId="2" borderId="0" xfId="2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right"/>
    </xf>
    <xf numFmtId="165" fontId="0" fillId="4" borderId="0" xfId="2" applyNumberFormat="1" applyFont="1" applyFill="1"/>
    <xf numFmtId="165" fontId="4" fillId="4" borderId="1" xfId="2" applyNumberFormat="1" applyFont="1" applyFill="1" applyBorder="1"/>
    <xf numFmtId="165" fontId="0" fillId="3" borderId="0" xfId="2" applyNumberFormat="1" applyFont="1" applyFill="1" applyBorder="1"/>
    <xf numFmtId="165" fontId="4" fillId="4" borderId="0" xfId="2" applyNumberFormat="1" applyFont="1" applyFill="1" applyBorder="1"/>
    <xf numFmtId="165" fontId="11" fillId="2" borderId="0" xfId="2" applyNumberFormat="1" applyFont="1" applyFill="1" applyAlignment="1">
      <alignment horizontal="center"/>
    </xf>
    <xf numFmtId="165" fontId="0" fillId="0" borderId="0" xfId="2" applyNumberFormat="1" applyFont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0" fillId="2" borderId="0" xfId="2" applyNumberFormat="1" applyFont="1" applyFill="1" applyAlignment="1">
      <alignment horizontal="center"/>
    </xf>
    <xf numFmtId="0" fontId="5" fillId="0" borderId="0" xfId="0" applyFont="1" applyAlignment="1">
      <alignment horizontal="justify"/>
    </xf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65" fontId="9" fillId="5" borderId="0" xfId="2" applyNumberFormat="1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2">
    <dxf>
      <font>
        <color rgb="FFFFCC00"/>
      </font>
    </dxf>
    <dxf>
      <font>
        <color theme="0"/>
      </font>
    </dxf>
  </dxfs>
  <tableStyles count="0" defaultTableStyle="TableStyleMedium2" defaultPivotStyle="PivotStyleLight16"/>
  <colors>
    <mruColors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view="pageBreakPreview" zoomScaleNormal="110" zoomScaleSheetLayoutView="100" workbookViewId="0">
      <selection activeCell="D24" sqref="D24"/>
    </sheetView>
  </sheetViews>
  <sheetFormatPr defaultRowHeight="15"/>
  <sheetData>
    <row r="1" spans="7:9">
      <c r="G1" s="50" t="s">
        <v>0</v>
      </c>
      <c r="H1" s="50"/>
      <c r="I1" s="50"/>
    </row>
    <row r="2" spans="7:9">
      <c r="G2" s="50"/>
      <c r="H2" s="50"/>
      <c r="I2" s="50"/>
    </row>
    <row r="3" spans="7:9">
      <c r="G3" s="50"/>
      <c r="H3" s="50"/>
      <c r="I3" s="50"/>
    </row>
    <row r="4" spans="7:9">
      <c r="G4" s="50"/>
      <c r="H4" s="50"/>
      <c r="I4" s="50"/>
    </row>
    <row r="5" spans="7:9">
      <c r="G5" s="50"/>
      <c r="H5" s="50"/>
      <c r="I5" s="50"/>
    </row>
    <row r="6" spans="7:9">
      <c r="G6" s="50"/>
      <c r="H6" s="50"/>
      <c r="I6" s="50"/>
    </row>
    <row r="17" spans="1:9" ht="21">
      <c r="A17" s="51" t="s">
        <v>100</v>
      </c>
      <c r="B17" s="51"/>
      <c r="C17" s="51"/>
      <c r="D17" s="51"/>
      <c r="E17" s="51"/>
      <c r="F17" s="51"/>
      <c r="G17" s="51"/>
      <c r="H17" s="51"/>
      <c r="I17" s="51"/>
    </row>
    <row r="19" spans="1:9">
      <c r="A19" s="52" t="s">
        <v>1</v>
      </c>
      <c r="B19" s="52"/>
      <c r="C19" s="52"/>
      <c r="D19" s="52"/>
      <c r="E19" s="52"/>
      <c r="F19" s="52"/>
      <c r="G19" s="52"/>
      <c r="H19" s="52"/>
      <c r="I19" s="52"/>
    </row>
    <row r="47" spans="1:9">
      <c r="A47" s="50" t="s">
        <v>146</v>
      </c>
      <c r="B47" s="50"/>
      <c r="C47" s="50"/>
      <c r="D47" s="50"/>
      <c r="E47" s="50"/>
      <c r="F47" s="50"/>
      <c r="G47" s="50"/>
      <c r="H47" s="50"/>
      <c r="I47" s="50"/>
    </row>
  </sheetData>
  <mergeCells count="4">
    <mergeCell ref="G1:I6"/>
    <mergeCell ref="A17:I17"/>
    <mergeCell ref="A19:I19"/>
    <mergeCell ref="A47:I4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1"/>
  <sheetViews>
    <sheetView workbookViewId="0">
      <selection activeCell="A9" sqref="A9"/>
    </sheetView>
  </sheetViews>
  <sheetFormatPr defaultRowHeight="15"/>
  <cols>
    <col min="1" max="1" width="90.28515625" bestFit="1" customWidth="1"/>
  </cols>
  <sheetData>
    <row r="1" spans="1:1" ht="23.25">
      <c r="A1" s="43" t="s">
        <v>145</v>
      </c>
    </row>
    <row r="2" spans="1:1" ht="30">
      <c r="A2" s="47" t="s">
        <v>141</v>
      </c>
    </row>
    <row r="3" spans="1:1" ht="30">
      <c r="A3" s="47" t="s">
        <v>144</v>
      </c>
    </row>
    <row r="4" spans="1:1" ht="45">
      <c r="A4" s="49" t="s">
        <v>142</v>
      </c>
    </row>
    <row r="5" spans="1:1" ht="21.75" customHeight="1">
      <c r="A5" s="47"/>
    </row>
    <row r="6" spans="1:1">
      <c r="A6" s="48" t="s">
        <v>143</v>
      </c>
    </row>
    <row r="7" spans="1:1">
      <c r="A7" s="48"/>
    </row>
    <row r="8" spans="1:1">
      <c r="A8" s="48" t="s">
        <v>138</v>
      </c>
    </row>
    <row r="9" spans="1:1">
      <c r="A9" s="45"/>
    </row>
    <row r="10" spans="1:1">
      <c r="A10" s="45"/>
    </row>
    <row r="11" spans="1:1">
      <c r="A11" s="45"/>
    </row>
    <row r="12" spans="1:1">
      <c r="A12" s="45"/>
    </row>
    <row r="13" spans="1:1">
      <c r="A13" s="45"/>
    </row>
    <row r="14" spans="1:1">
      <c r="A14" s="45"/>
    </row>
    <row r="15" spans="1:1">
      <c r="A15" s="45"/>
    </row>
    <row r="16" spans="1:1">
      <c r="A16" s="45"/>
    </row>
    <row r="17" spans="1:1">
      <c r="A17" s="45"/>
    </row>
    <row r="18" spans="1:1">
      <c r="A18" s="45"/>
    </row>
    <row r="19" spans="1:1">
      <c r="A19" s="45"/>
    </row>
    <row r="20" spans="1:1">
      <c r="A20" s="45"/>
    </row>
    <row r="21" spans="1:1">
      <c r="A21" s="44"/>
    </row>
    <row r="40" spans="1:1">
      <c r="A40" s="5"/>
    </row>
    <row r="41" spans="1:1">
      <c r="A41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zoomScale="110" zoomScaleNormal="110" zoomScaleSheetLayoutView="110" workbookViewId="0">
      <selection activeCell="F29" sqref="F29"/>
    </sheetView>
  </sheetViews>
  <sheetFormatPr defaultRowHeight="15"/>
  <cols>
    <col min="7" max="7" width="14" customWidth="1"/>
    <col min="8" max="8" width="2.28515625" customWidth="1"/>
    <col min="9" max="9" width="14" customWidth="1"/>
  </cols>
  <sheetData>
    <row r="1" spans="1:9" ht="18.75">
      <c r="A1" s="53" t="s">
        <v>2</v>
      </c>
      <c r="B1" s="53"/>
      <c r="C1" s="53"/>
      <c r="D1" s="53"/>
      <c r="E1" s="53"/>
      <c r="F1" s="53"/>
      <c r="G1" s="53"/>
      <c r="H1" s="53"/>
      <c r="I1" s="53"/>
    </row>
    <row r="2" spans="1:9">
      <c r="A2" s="2"/>
      <c r="B2" s="2"/>
      <c r="C2" s="2"/>
      <c r="D2" s="2"/>
      <c r="E2" s="2"/>
      <c r="F2" s="2"/>
      <c r="G2" s="2">
        <v>2012</v>
      </c>
      <c r="H2" s="2"/>
      <c r="I2" s="2" t="s">
        <v>133</v>
      </c>
    </row>
    <row r="3" spans="1:9">
      <c r="A3" s="54" t="s">
        <v>3</v>
      </c>
      <c r="B3" s="54"/>
      <c r="C3" s="54"/>
      <c r="D3" s="54"/>
      <c r="E3" s="54"/>
      <c r="F3" s="54"/>
      <c r="G3" s="54"/>
      <c r="H3" s="54"/>
      <c r="I3" s="54"/>
    </row>
    <row r="4" spans="1:9">
      <c r="A4" s="2" t="s">
        <v>4</v>
      </c>
      <c r="B4" s="2"/>
      <c r="C4" s="2"/>
      <c r="D4" s="2"/>
      <c r="E4" s="2"/>
      <c r="F4" s="2"/>
      <c r="G4" s="2"/>
      <c r="H4" s="2"/>
      <c r="I4" s="2"/>
    </row>
    <row r="5" spans="1:9">
      <c r="A5" s="25">
        <f>1</f>
        <v>1</v>
      </c>
      <c r="B5" s="26" t="s">
        <v>31</v>
      </c>
      <c r="C5" s="26"/>
      <c r="D5" s="26"/>
      <c r="E5" s="26"/>
      <c r="F5" s="26"/>
      <c r="G5" s="27" t="str">
        <f>Noter!N9</f>
        <v/>
      </c>
      <c r="H5" s="26"/>
      <c r="I5" s="28" t="str">
        <f>Noter!P9</f>
        <v/>
      </c>
    </row>
    <row r="6" spans="1:9">
      <c r="A6" s="25">
        <f>A5+1</f>
        <v>2</v>
      </c>
      <c r="B6" s="26" t="s">
        <v>6</v>
      </c>
      <c r="C6" s="26"/>
      <c r="D6" s="26"/>
      <c r="E6" s="26"/>
      <c r="F6" s="26"/>
      <c r="G6" s="27" t="str">
        <f>Noter!N14</f>
        <v/>
      </c>
      <c r="H6" s="26"/>
      <c r="I6" s="28" t="str">
        <f>Noter!P14</f>
        <v/>
      </c>
    </row>
    <row r="7" spans="1:9">
      <c r="A7" s="25">
        <f>A6+1</f>
        <v>3</v>
      </c>
      <c r="B7" s="26" t="s">
        <v>132</v>
      </c>
      <c r="C7" s="26"/>
      <c r="D7" s="26"/>
      <c r="E7" s="26"/>
      <c r="F7" s="26"/>
      <c r="G7" s="27" t="str">
        <f>Noter!N22</f>
        <v/>
      </c>
      <c r="H7" s="26"/>
      <c r="I7" s="28" t="str">
        <f>Noter!P22</f>
        <v/>
      </c>
    </row>
    <row r="8" spans="1:9">
      <c r="A8" s="26"/>
      <c r="B8" s="29"/>
      <c r="C8" s="26"/>
      <c r="D8" s="26"/>
      <c r="E8" s="26"/>
      <c r="F8" s="26"/>
      <c r="G8" s="26"/>
      <c r="H8" s="26"/>
      <c r="I8" s="26"/>
    </row>
    <row r="9" spans="1:9" ht="15.75" thickBot="1">
      <c r="A9" s="26"/>
      <c r="B9" s="29" t="s">
        <v>5</v>
      </c>
      <c r="C9" s="26"/>
      <c r="D9" s="26"/>
      <c r="E9" s="26"/>
      <c r="F9" s="26"/>
      <c r="G9" s="23" t="str">
        <f>IF(SUM(G5:G7)=0,"",SUM(G5:G7))</f>
        <v/>
      </c>
      <c r="H9" s="26"/>
      <c r="I9" s="31" t="str">
        <f>IF(SUM(I5:I7)=0," ",SUM(I5:I7))</f>
        <v xml:space="preserve"> </v>
      </c>
    </row>
    <row r="10" spans="1:9" ht="15.75" thickTop="1">
      <c r="A10" s="26"/>
      <c r="B10" s="26"/>
      <c r="C10" s="26"/>
      <c r="D10" s="26"/>
      <c r="E10" s="26"/>
      <c r="F10" s="26"/>
      <c r="G10" s="26"/>
      <c r="H10" s="26"/>
      <c r="I10" s="26"/>
    </row>
    <row r="11" spans="1:9">
      <c r="A11" s="55" t="s">
        <v>8</v>
      </c>
      <c r="B11" s="55"/>
      <c r="C11" s="55"/>
      <c r="D11" s="55"/>
      <c r="E11" s="55"/>
      <c r="F11" s="55"/>
      <c r="G11" s="55"/>
      <c r="H11" s="55"/>
      <c r="I11" s="55"/>
    </row>
    <row r="12" spans="1:9">
      <c r="A12" s="26" t="s">
        <v>4</v>
      </c>
      <c r="B12" s="26"/>
      <c r="C12" s="26"/>
      <c r="D12" s="26"/>
      <c r="E12" s="26"/>
      <c r="F12" s="26"/>
      <c r="G12" s="26"/>
      <c r="H12" s="26"/>
      <c r="I12" s="26"/>
    </row>
    <row r="13" spans="1:9">
      <c r="A13" s="32">
        <f>$A$7+1</f>
        <v>4</v>
      </c>
      <c r="B13" s="26" t="s">
        <v>75</v>
      </c>
      <c r="C13" s="26"/>
      <c r="D13" s="26"/>
      <c r="E13" s="26"/>
      <c r="F13" s="26"/>
      <c r="G13" s="27" t="str">
        <f>Noter!N31</f>
        <v/>
      </c>
      <c r="H13" s="26"/>
      <c r="I13" s="28" t="str">
        <f>Noter!P31</f>
        <v/>
      </c>
    </row>
    <row r="14" spans="1:9">
      <c r="A14" s="32">
        <f>A13+1</f>
        <v>5</v>
      </c>
      <c r="B14" s="26" t="s">
        <v>127</v>
      </c>
      <c r="C14" s="26"/>
      <c r="D14" s="26"/>
      <c r="E14" s="26"/>
      <c r="F14" s="26"/>
      <c r="G14" s="27" t="str">
        <f>Noter!N39</f>
        <v xml:space="preserve"> </v>
      </c>
      <c r="H14" s="26"/>
      <c r="I14" s="28" t="str">
        <f>Noter!P39</f>
        <v xml:space="preserve"> </v>
      </c>
    </row>
    <row r="15" spans="1:9">
      <c r="A15" s="32">
        <f t="shared" ref="A15:A21" si="0">A14+1</f>
        <v>6</v>
      </c>
      <c r="B15" s="26" t="s">
        <v>109</v>
      </c>
      <c r="C15" s="26"/>
      <c r="D15" s="26"/>
      <c r="E15" s="26"/>
      <c r="F15" s="26"/>
      <c r="G15" s="27" t="str">
        <f>Noter!N45</f>
        <v/>
      </c>
      <c r="H15" s="26"/>
      <c r="I15" s="28" t="str">
        <f>Noter!P45</f>
        <v xml:space="preserve"> </v>
      </c>
    </row>
    <row r="16" spans="1:9">
      <c r="A16" s="32">
        <f t="shared" si="0"/>
        <v>7</v>
      </c>
      <c r="B16" s="26" t="s">
        <v>9</v>
      </c>
      <c r="C16" s="26"/>
      <c r="D16" s="26"/>
      <c r="E16" s="26"/>
      <c r="F16" s="26"/>
      <c r="G16" s="27"/>
      <c r="H16" s="26"/>
      <c r="I16" s="28" t="str">
        <f>Noter!P50</f>
        <v/>
      </c>
    </row>
    <row r="17" spans="1:9">
      <c r="A17" s="32">
        <f t="shared" si="0"/>
        <v>8</v>
      </c>
      <c r="B17" s="26" t="s">
        <v>65</v>
      </c>
      <c r="C17" s="26"/>
      <c r="D17" s="26"/>
      <c r="E17" s="26"/>
      <c r="F17" s="26"/>
      <c r="G17" s="27" t="str">
        <f>Noter!N56</f>
        <v/>
      </c>
      <c r="H17" s="26"/>
      <c r="I17" s="28" t="str">
        <f>Noter!P56</f>
        <v/>
      </c>
    </row>
    <row r="18" spans="1:9">
      <c r="A18" s="32">
        <f t="shared" si="0"/>
        <v>9</v>
      </c>
      <c r="B18" s="26" t="s">
        <v>10</v>
      </c>
      <c r="C18" s="26"/>
      <c r="D18" s="26"/>
      <c r="E18" s="26"/>
      <c r="F18" s="26"/>
      <c r="G18" s="27" t="str">
        <f>Noter!N61</f>
        <v/>
      </c>
      <c r="H18" s="26"/>
      <c r="I18" s="28" t="str">
        <f>Noter!P61</f>
        <v/>
      </c>
    </row>
    <row r="19" spans="1:9">
      <c r="A19" s="32">
        <f t="shared" si="0"/>
        <v>10</v>
      </c>
      <c r="B19" s="26" t="s">
        <v>36</v>
      </c>
      <c r="C19" s="26"/>
      <c r="D19" s="26"/>
      <c r="E19" s="26"/>
      <c r="F19" s="26"/>
      <c r="G19" s="27" t="str">
        <f>Noter!N74</f>
        <v/>
      </c>
      <c r="H19" s="26"/>
      <c r="I19" s="28" t="str">
        <f>Noter!P74</f>
        <v/>
      </c>
    </row>
    <row r="20" spans="1:9">
      <c r="A20" s="32">
        <f t="shared" si="0"/>
        <v>11</v>
      </c>
      <c r="B20" s="26" t="s">
        <v>111</v>
      </c>
      <c r="C20" s="26"/>
      <c r="D20" s="26"/>
      <c r="E20" s="26"/>
      <c r="F20" s="26"/>
      <c r="G20" s="27" t="str">
        <f>Noter!N78</f>
        <v/>
      </c>
      <c r="H20" s="26"/>
      <c r="I20" s="28" t="str">
        <f>Noter!P78</f>
        <v/>
      </c>
    </row>
    <row r="21" spans="1:9">
      <c r="A21" s="32">
        <f t="shared" si="0"/>
        <v>12</v>
      </c>
      <c r="B21" s="26" t="s">
        <v>76</v>
      </c>
      <c r="C21" s="26"/>
      <c r="D21" s="26"/>
      <c r="E21" s="26"/>
      <c r="F21" s="26"/>
      <c r="G21" s="27" t="str">
        <f>Noter!N83</f>
        <v/>
      </c>
      <c r="H21" s="26"/>
      <c r="I21" s="28" t="str">
        <f>Noter!P83</f>
        <v/>
      </c>
    </row>
    <row r="22" spans="1:9">
      <c r="A22" s="26"/>
      <c r="B22" s="26"/>
      <c r="C22" s="26"/>
      <c r="D22" s="26"/>
      <c r="E22" s="26"/>
      <c r="F22" s="26"/>
      <c r="G22" s="26"/>
      <c r="H22" s="26"/>
      <c r="I22" s="26"/>
    </row>
    <row r="23" spans="1:9" ht="15.75" thickBot="1">
      <c r="A23" s="26"/>
      <c r="B23" s="29" t="s">
        <v>11</v>
      </c>
      <c r="C23" s="26"/>
      <c r="D23" s="26"/>
      <c r="E23" s="26"/>
      <c r="F23" s="26"/>
      <c r="G23" s="23" t="str">
        <f>IF(SUM(G13:G21)=0,"",SUM(G13:G21))</f>
        <v/>
      </c>
      <c r="H23" s="26"/>
      <c r="I23" s="31" t="str">
        <f>IF(SUM(I13:I21)=0," ",SUM(I13:I21))</f>
        <v xml:space="preserve"> </v>
      </c>
    </row>
    <row r="24" spans="1:9" ht="15.75" thickTop="1">
      <c r="A24" s="2"/>
      <c r="B24" s="2"/>
      <c r="C24" s="2"/>
      <c r="D24" s="2"/>
      <c r="E24" s="2"/>
      <c r="F24" s="2"/>
      <c r="G24" s="24"/>
      <c r="H24" s="24"/>
      <c r="I24" s="24"/>
    </row>
    <row r="25" spans="1:9" ht="15.75" thickBot="1">
      <c r="A25" s="2"/>
      <c r="B25" s="15" t="s">
        <v>12</v>
      </c>
      <c r="C25" s="2"/>
      <c r="D25" s="2"/>
      <c r="E25" s="2"/>
      <c r="F25" s="2"/>
      <c r="G25" s="33" t="e">
        <f>G9-G23</f>
        <v>#VALUE!</v>
      </c>
      <c r="H25" s="24"/>
      <c r="I25" s="34" t="e">
        <f>I9-I23</f>
        <v>#VALUE!</v>
      </c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</sheetData>
  <mergeCells count="3">
    <mergeCell ref="A1:I1"/>
    <mergeCell ref="A3:I3"/>
    <mergeCell ref="A11:I1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&amp;C&amp;18&amp;K00-049Regnskabsmodel - Resultatopgørelse</oddHeader>
    <oddFooter>&amp;R&amp;P</oddFooter>
  </headerFooter>
  <ignoredErrors>
    <ignoredError sqref="I9" formulaRange="1"/>
    <ignoredError sqref="F25 I2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zoomScale="110" zoomScaleNormal="110" zoomScaleSheetLayoutView="100" workbookViewId="0">
      <selection activeCell="B27" sqref="B27"/>
    </sheetView>
  </sheetViews>
  <sheetFormatPr defaultRowHeight="15"/>
  <cols>
    <col min="7" max="7" width="14" customWidth="1"/>
    <col min="8" max="8" width="1.7109375" customWidth="1"/>
    <col min="9" max="9" width="14" customWidth="1"/>
  </cols>
  <sheetData>
    <row r="1" spans="1:9" ht="18.75">
      <c r="A1" s="53" t="s">
        <v>77</v>
      </c>
      <c r="B1" s="53"/>
      <c r="C1" s="53"/>
      <c r="D1" s="53"/>
      <c r="E1" s="53"/>
      <c r="F1" s="53"/>
      <c r="G1" s="53"/>
      <c r="H1" s="53"/>
      <c r="I1" s="53"/>
    </row>
    <row r="2" spans="1:9">
      <c r="A2" s="2"/>
      <c r="B2" s="2"/>
      <c r="C2" s="2"/>
      <c r="D2" s="2"/>
      <c r="E2" s="2"/>
      <c r="F2" s="2"/>
      <c r="G2" s="2">
        <v>2012</v>
      </c>
      <c r="H2" s="2"/>
      <c r="I2" s="2" t="s">
        <v>133</v>
      </c>
    </row>
    <row r="3" spans="1:9" ht="15.75">
      <c r="A3" s="56" t="s">
        <v>23</v>
      </c>
      <c r="B3" s="56"/>
      <c r="C3" s="56"/>
      <c r="D3" s="56"/>
      <c r="E3" s="56"/>
      <c r="F3" s="56"/>
      <c r="G3" s="56"/>
      <c r="H3" s="56"/>
      <c r="I3" s="56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 t="s">
        <v>13</v>
      </c>
      <c r="B5" s="15" t="s">
        <v>22</v>
      </c>
      <c r="C5" s="2"/>
      <c r="D5" s="2"/>
      <c r="E5" s="2"/>
      <c r="F5" s="2"/>
      <c r="G5" s="2"/>
      <c r="H5" s="2"/>
      <c r="I5" s="2"/>
    </row>
    <row r="6" spans="1:9">
      <c r="A6" s="10">
        <f>Resultatopgørelse!A21+1</f>
        <v>13</v>
      </c>
      <c r="B6" s="2" t="s">
        <v>101</v>
      </c>
      <c r="C6" s="2"/>
      <c r="D6" s="2"/>
      <c r="E6" s="2"/>
      <c r="F6" s="2"/>
      <c r="G6" s="3" t="str">
        <f>Noter!N90</f>
        <v/>
      </c>
      <c r="H6" s="2"/>
      <c r="I6" s="9" t="str">
        <f>Noter!P90</f>
        <v/>
      </c>
    </row>
    <row r="7" spans="1:9">
      <c r="A7" s="21">
        <f t="shared" ref="A7" si="0">A6+1</f>
        <v>14</v>
      </c>
      <c r="B7" s="2" t="s">
        <v>102</v>
      </c>
      <c r="C7" s="2"/>
      <c r="D7" s="2"/>
      <c r="E7" s="2"/>
      <c r="F7" s="2"/>
      <c r="G7" s="3" t="str">
        <f>Noter!N95</f>
        <v/>
      </c>
      <c r="H7" s="2"/>
      <c r="I7" s="9" t="str">
        <f>Noter!P95</f>
        <v/>
      </c>
    </row>
    <row r="8" spans="1:9" ht="15.75" thickBot="1">
      <c r="A8" s="10"/>
      <c r="B8" s="2" t="s">
        <v>81</v>
      </c>
      <c r="C8" s="2"/>
      <c r="D8" s="2"/>
      <c r="E8" s="2"/>
      <c r="F8" s="2"/>
      <c r="G8" s="4">
        <f>SUM(G6:G7)</f>
        <v>0</v>
      </c>
      <c r="H8" s="2"/>
      <c r="I8" s="11">
        <f>SUM(I6:I7)</f>
        <v>0</v>
      </c>
    </row>
    <row r="9" spans="1:9" ht="15.75" thickTop="1">
      <c r="A9" s="10"/>
      <c r="B9" s="2"/>
      <c r="C9" s="2"/>
      <c r="D9" s="2"/>
      <c r="E9" s="2"/>
      <c r="F9" s="2"/>
      <c r="G9" s="2"/>
      <c r="H9" s="2"/>
      <c r="I9" s="2"/>
    </row>
    <row r="10" spans="1:9">
      <c r="A10" s="10">
        <f>A7+1</f>
        <v>15</v>
      </c>
      <c r="B10" s="2" t="s">
        <v>78</v>
      </c>
      <c r="C10" s="2"/>
      <c r="D10" s="2"/>
      <c r="E10" s="2"/>
      <c r="F10" s="2"/>
      <c r="G10" s="18" t="str">
        <f>Noter!N100</f>
        <v/>
      </c>
      <c r="H10" s="19"/>
      <c r="I10" s="20" t="str">
        <f>Noter!P100</f>
        <v/>
      </c>
    </row>
    <row r="11" spans="1:9">
      <c r="A11" s="10"/>
      <c r="B11" s="2"/>
      <c r="C11" s="2"/>
      <c r="D11" s="2"/>
      <c r="E11" s="2"/>
      <c r="F11" s="2"/>
      <c r="G11" s="19"/>
      <c r="H11" s="19"/>
      <c r="I11" s="19"/>
    </row>
    <row r="12" spans="1:9" ht="15.75" thickBot="1">
      <c r="A12" s="10"/>
      <c r="B12" s="15" t="s">
        <v>79</v>
      </c>
      <c r="C12" s="2"/>
      <c r="D12" s="2"/>
      <c r="E12" s="2"/>
      <c r="F12" s="2"/>
      <c r="G12" s="4"/>
      <c r="H12" s="19"/>
      <c r="I12" s="11"/>
    </row>
    <row r="13" spans="1:9" ht="15.75" thickTop="1">
      <c r="A13" s="10"/>
      <c r="B13" s="2"/>
      <c r="C13" s="2"/>
      <c r="D13" s="2"/>
      <c r="E13" s="2"/>
      <c r="F13" s="2"/>
      <c r="G13" s="2"/>
      <c r="H13" s="2"/>
      <c r="I13" s="2"/>
    </row>
    <row r="14" spans="1:9" ht="15.75">
      <c r="A14" s="57" t="s">
        <v>24</v>
      </c>
      <c r="B14" s="57"/>
      <c r="C14" s="57"/>
      <c r="D14" s="57"/>
      <c r="E14" s="57"/>
      <c r="F14" s="57"/>
      <c r="G14" s="57"/>
      <c r="H14" s="57"/>
      <c r="I14" s="57"/>
    </row>
    <row r="15" spans="1:9">
      <c r="A15" s="10"/>
      <c r="B15" s="2"/>
      <c r="C15" s="2"/>
      <c r="D15" s="2"/>
      <c r="E15" s="2"/>
      <c r="F15" s="2"/>
      <c r="G15" s="2"/>
      <c r="H15" s="2"/>
      <c r="I15" s="2"/>
    </row>
    <row r="16" spans="1:9">
      <c r="A16" s="10">
        <f>A10+1</f>
        <v>16</v>
      </c>
      <c r="B16" s="2" t="s">
        <v>25</v>
      </c>
      <c r="C16" s="2"/>
      <c r="D16" s="2"/>
      <c r="E16" s="2"/>
      <c r="F16" s="2"/>
      <c r="G16" s="3" t="str">
        <f>Noter!N107</f>
        <v/>
      </c>
      <c r="H16" s="2"/>
      <c r="I16" s="9" t="str">
        <f>Noter!P107</f>
        <v/>
      </c>
    </row>
    <row r="17" spans="1:9">
      <c r="A17" s="10"/>
      <c r="B17" s="2"/>
      <c r="C17" s="2"/>
      <c r="D17" s="2"/>
      <c r="E17" s="2"/>
      <c r="F17" s="2"/>
      <c r="G17" s="2"/>
      <c r="H17" s="2"/>
      <c r="I17" s="2"/>
    </row>
    <row r="18" spans="1:9">
      <c r="A18" s="10"/>
      <c r="B18" s="15" t="s">
        <v>26</v>
      </c>
      <c r="C18" s="2"/>
      <c r="D18" s="2"/>
      <c r="E18" s="2"/>
      <c r="F18" s="2"/>
      <c r="G18" s="2"/>
      <c r="H18" s="2"/>
      <c r="I18" s="2"/>
    </row>
    <row r="19" spans="1:9">
      <c r="A19" s="10">
        <f>A16+1</f>
        <v>17</v>
      </c>
      <c r="B19" s="2" t="s">
        <v>30</v>
      </c>
      <c r="C19" s="2"/>
      <c r="D19" s="2"/>
      <c r="E19" s="2"/>
      <c r="F19" s="2"/>
      <c r="G19" s="3" t="str">
        <f>Noter!N111</f>
        <v/>
      </c>
      <c r="H19" s="2"/>
      <c r="I19" s="9" t="str">
        <f>Noter!P111</f>
        <v/>
      </c>
    </row>
    <row r="20" spans="1:9">
      <c r="A20" s="10">
        <f>A19+1</f>
        <v>18</v>
      </c>
      <c r="B20" s="2" t="s">
        <v>53</v>
      </c>
      <c r="C20" s="2"/>
      <c r="D20" s="2"/>
      <c r="E20" s="2"/>
      <c r="F20" s="2"/>
      <c r="G20" s="3" t="str">
        <f>Noter!N115</f>
        <v/>
      </c>
      <c r="H20" s="2"/>
      <c r="I20" s="9" t="str">
        <f>Noter!P115</f>
        <v/>
      </c>
    </row>
    <row r="21" spans="1:9">
      <c r="A21" s="21">
        <f t="shared" ref="A21:A22" si="1">A20+1</f>
        <v>19</v>
      </c>
      <c r="B21" s="2" t="s">
        <v>54</v>
      </c>
      <c r="C21" s="2"/>
      <c r="D21" s="2"/>
      <c r="E21" s="2"/>
      <c r="F21" s="2"/>
      <c r="G21" s="3" t="str">
        <f>Noter!N121</f>
        <v/>
      </c>
      <c r="H21" s="2"/>
      <c r="I21" s="9" t="str">
        <f>Noter!P121</f>
        <v/>
      </c>
    </row>
    <row r="22" spans="1:9">
      <c r="A22" s="21">
        <f t="shared" si="1"/>
        <v>20</v>
      </c>
      <c r="B22" s="2" t="s">
        <v>27</v>
      </c>
      <c r="C22" s="2"/>
      <c r="D22" s="2"/>
      <c r="E22" s="2"/>
      <c r="F22" s="2"/>
      <c r="G22" s="3" t="str">
        <f>Noter!N130</f>
        <v/>
      </c>
      <c r="H22" s="2"/>
      <c r="I22" s="9" t="str">
        <f>Noter!P130</f>
        <v/>
      </c>
    </row>
    <row r="23" spans="1:9" ht="15.75" thickBot="1">
      <c r="A23" s="10"/>
      <c r="B23" s="2" t="s">
        <v>55</v>
      </c>
      <c r="C23" s="2"/>
      <c r="D23" s="2"/>
      <c r="E23" s="2"/>
      <c r="F23" s="2"/>
      <c r="G23" s="4">
        <f>SUM(G19:G22)</f>
        <v>0</v>
      </c>
      <c r="H23" s="2"/>
      <c r="I23" s="11">
        <f>SUM(I19:I22)</f>
        <v>0</v>
      </c>
    </row>
    <row r="24" spans="1:9" ht="15.75" thickTop="1">
      <c r="A24" s="2"/>
      <c r="B24" s="2"/>
      <c r="C24" s="2"/>
      <c r="D24" s="2"/>
      <c r="E24" s="2"/>
      <c r="F24" s="2"/>
      <c r="G24" s="2"/>
      <c r="H24" s="2"/>
      <c r="I24" s="2"/>
    </row>
    <row r="25" spans="1:9" ht="15.75" thickBot="1">
      <c r="A25" s="2"/>
      <c r="B25" s="15" t="s">
        <v>80</v>
      </c>
      <c r="C25" s="2"/>
      <c r="D25" s="2"/>
      <c r="E25" s="2"/>
      <c r="F25" s="2"/>
      <c r="G25" s="4" t="e">
        <f>SUM(G23+G16)</f>
        <v>#VALUE!</v>
      </c>
      <c r="H25" s="2"/>
      <c r="I25" s="11" t="e">
        <f>I23+I16</f>
        <v>#VALUE!</v>
      </c>
    </row>
    <row r="26" spans="1:9" ht="15.75" thickTop="1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10">
        <f>A22+1</f>
        <v>21</v>
      </c>
      <c r="B27" s="2" t="s">
        <v>58</v>
      </c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</sheetData>
  <mergeCells count="3">
    <mergeCell ref="A1:I1"/>
    <mergeCell ref="A3:I3"/>
    <mergeCell ref="A14:I14"/>
  </mergeCells>
  <conditionalFormatting sqref="A4:I26">
    <cfRule type="cellIs" dxfId="1" priority="2" operator="equal">
      <formula>0</formula>
    </cfRule>
  </conditionalFormatting>
  <conditionalFormatting sqref="I8 I23">
    <cfRule type="cellIs" dxfId="0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&amp;C&amp;18&amp;K00-049Regnskabsmodel - Balance</oddHeader>
    <oddFooter>&amp;R&amp;P</oddFooter>
  </headerFooter>
  <ignoredErrors>
    <ignoredError sqref="H25:I2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34"/>
  <sheetViews>
    <sheetView tabSelected="1" zoomScaleNormal="100" zoomScaleSheetLayoutView="100" workbookViewId="0">
      <pane ySplit="2" topLeftCell="A85" activePane="bottomLeft" state="frozen"/>
      <selection pane="bottomLeft" activeCell="A85" sqref="A85:P85"/>
    </sheetView>
  </sheetViews>
  <sheetFormatPr defaultRowHeight="15"/>
  <cols>
    <col min="1" max="1" width="5.85546875" style="1" bestFit="1" customWidth="1"/>
    <col min="2" max="2" width="33.85546875" customWidth="1"/>
    <col min="3" max="3" width="9.28515625" customWidth="1"/>
    <col min="4" max="12" width="10.7109375" style="42" customWidth="1"/>
    <col min="13" max="13" width="1.7109375" style="42" customWidth="1"/>
    <col min="14" max="14" width="14" style="42" customWidth="1"/>
    <col min="15" max="15" width="1.7109375" style="42" customWidth="1"/>
    <col min="16" max="16" width="14" style="42" customWidth="1"/>
  </cols>
  <sheetData>
    <row r="1" spans="1:16" ht="18.75">
      <c r="A1" s="59" t="s">
        <v>45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.75">
      <c r="A2" s="12" t="s">
        <v>13</v>
      </c>
      <c r="B2" s="2" t="s">
        <v>14</v>
      </c>
      <c r="C2" s="13"/>
      <c r="D2" s="35"/>
      <c r="E2" s="35"/>
      <c r="F2" s="35"/>
      <c r="G2" s="35"/>
      <c r="H2" s="35"/>
      <c r="I2" s="35"/>
      <c r="J2" s="35"/>
      <c r="K2" s="35"/>
      <c r="L2" s="35"/>
      <c r="M2" s="35"/>
      <c r="N2" s="46">
        <v>2012</v>
      </c>
      <c r="O2" s="46"/>
      <c r="P2" s="46" t="s">
        <v>133</v>
      </c>
    </row>
    <row r="3" spans="1:16" ht="15.75">
      <c r="A3" s="57" t="s">
        <v>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>
      <c r="A4" s="14">
        <v>1</v>
      </c>
      <c r="B4" s="15" t="s">
        <v>31</v>
      </c>
      <c r="C4" s="2"/>
      <c r="D4" s="26"/>
      <c r="E4" s="26"/>
      <c r="F4" s="26"/>
      <c r="G4" s="26"/>
      <c r="H4" s="26"/>
      <c r="I4" s="26"/>
      <c r="J4" s="26"/>
      <c r="K4" s="26"/>
      <c r="L4" s="26"/>
      <c r="M4" s="26"/>
      <c r="N4" s="36" t="s">
        <v>82</v>
      </c>
      <c r="O4" s="26"/>
      <c r="P4" s="36" t="s">
        <v>82</v>
      </c>
    </row>
    <row r="5" spans="1:16">
      <c r="A5" s="10"/>
      <c r="B5" s="2" t="s">
        <v>104</v>
      </c>
      <c r="C5" s="2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  <c r="O5" s="26"/>
      <c r="P5" s="37"/>
    </row>
    <row r="6" spans="1:16" hidden="1">
      <c r="A6" s="10"/>
      <c r="B6" s="2" t="s">
        <v>83</v>
      </c>
      <c r="C6" s="2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  <c r="O6" s="26"/>
      <c r="P6" s="37"/>
    </row>
    <row r="7" spans="1:16">
      <c r="A7" s="21"/>
      <c r="B7" s="2" t="s">
        <v>126</v>
      </c>
      <c r="C7" s="2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  <c r="O7" s="26"/>
      <c r="P7" s="37"/>
    </row>
    <row r="8" spans="1:16">
      <c r="A8" s="21"/>
      <c r="B8" s="2" t="s">
        <v>125</v>
      </c>
      <c r="C8" s="2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  <c r="O8" s="26"/>
      <c r="P8" s="37"/>
    </row>
    <row r="9" spans="1:16" ht="15.75" thickBot="1">
      <c r="A9" s="10"/>
      <c r="B9" s="2" t="s">
        <v>59</v>
      </c>
      <c r="C9" s="2"/>
      <c r="D9" s="26"/>
      <c r="E9" s="26"/>
      <c r="F9" s="26"/>
      <c r="G9" s="26"/>
      <c r="H9" s="26"/>
      <c r="I9" s="26"/>
      <c r="J9" s="26"/>
      <c r="K9" s="26"/>
      <c r="L9" s="26"/>
      <c r="M9" s="26"/>
      <c r="N9" s="30" t="str">
        <f>IF(SUM(N5:N8)=0,"",SUM(N5:N8))</f>
        <v/>
      </c>
      <c r="O9" s="26" t="str">
        <f>IF(SUM(O5:O8)=0,"",SUM(O5:O8))</f>
        <v/>
      </c>
      <c r="P9" s="31" t="str">
        <f>IF(SUM(P5:P8)=0,"",SUM(P5:P8))</f>
        <v/>
      </c>
    </row>
    <row r="10" spans="1:16" ht="15.75" thickTop="1">
      <c r="A10" s="10"/>
      <c r="B10" s="2"/>
      <c r="C10" s="2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14">
        <f>A4+1</f>
        <v>2</v>
      </c>
      <c r="B11" s="15" t="s">
        <v>6</v>
      </c>
      <c r="C11" s="2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10"/>
      <c r="B12" s="2" t="s">
        <v>32</v>
      </c>
      <c r="C12" s="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6"/>
      <c r="P12" s="37"/>
    </row>
    <row r="13" spans="1:16">
      <c r="A13" s="10"/>
      <c r="B13" s="2" t="s">
        <v>33</v>
      </c>
      <c r="C13" s="2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6"/>
      <c r="P13" s="37"/>
    </row>
    <row r="14" spans="1:16" ht="15.75" thickBot="1">
      <c r="A14" s="10"/>
      <c r="B14" s="2" t="s">
        <v>60</v>
      </c>
      <c r="C14" s="2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30" t="str">
        <f>IF(SUM(N12:N13)=0,"",SUM(N12:N13))</f>
        <v/>
      </c>
      <c r="O14" s="26"/>
      <c r="P14" s="38" t="str">
        <f>IF(SUM(P12:P13)=0,"",SUM(P12:P13))</f>
        <v/>
      </c>
    </row>
    <row r="15" spans="1:16" ht="15.75" thickTop="1">
      <c r="A15" s="10"/>
      <c r="B15" s="2"/>
      <c r="C15" s="2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>
      <c r="A16" s="14">
        <f>A11+1</f>
        <v>3</v>
      </c>
      <c r="B16" s="15" t="s">
        <v>7</v>
      </c>
      <c r="C16" s="2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>
      <c r="A17" s="10"/>
      <c r="B17" s="2" t="s">
        <v>84</v>
      </c>
      <c r="C17" s="2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6"/>
      <c r="P17" s="37"/>
    </row>
    <row r="18" spans="1:16">
      <c r="A18" s="10"/>
      <c r="B18" s="2" t="s">
        <v>105</v>
      </c>
      <c r="C18" s="2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6"/>
      <c r="P18" s="37"/>
    </row>
    <row r="19" spans="1:16">
      <c r="A19" s="21"/>
      <c r="B19" s="2" t="s">
        <v>124</v>
      </c>
      <c r="C19" s="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6"/>
      <c r="P19" s="37"/>
    </row>
    <row r="20" spans="1:16">
      <c r="A20" s="21"/>
      <c r="B20" s="2" t="s">
        <v>137</v>
      </c>
      <c r="C20" s="2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6"/>
      <c r="P20" s="37"/>
    </row>
    <row r="21" spans="1:16">
      <c r="A21" s="10"/>
      <c r="B21" s="2" t="s">
        <v>34</v>
      </c>
      <c r="C21" s="2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6"/>
      <c r="P21" s="37"/>
    </row>
    <row r="22" spans="1:16" ht="15.75" thickBot="1">
      <c r="A22" s="10"/>
      <c r="B22" s="2" t="s">
        <v>61</v>
      </c>
      <c r="C22" s="2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30" t="str">
        <f>IF(SUM(N17:N21)=0,"",SUM(N17:N21))</f>
        <v/>
      </c>
      <c r="O22" s="26"/>
      <c r="P22" s="38" t="str">
        <f>IF(SUM(P17:P21)=0,"",SUM(P17:P21))</f>
        <v/>
      </c>
    </row>
    <row r="23" spans="1:16" ht="15.75" thickTop="1">
      <c r="A23" s="10"/>
      <c r="B23" s="2"/>
      <c r="C23" s="2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ht="15.75">
      <c r="A24" s="57" t="s">
        <v>85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>
      <c r="A25" s="14">
        <f>A16+1</f>
        <v>4</v>
      </c>
      <c r="B25" s="17" t="s">
        <v>75</v>
      </c>
      <c r="C25" s="21"/>
      <c r="D25" s="25" t="s">
        <v>92</v>
      </c>
      <c r="E25" s="25" t="s">
        <v>93</v>
      </c>
      <c r="F25" s="25" t="s">
        <v>94</v>
      </c>
      <c r="G25" s="25" t="s">
        <v>95</v>
      </c>
      <c r="H25" s="25" t="s">
        <v>96</v>
      </c>
      <c r="I25" s="25" t="s">
        <v>134</v>
      </c>
      <c r="J25" s="25" t="s">
        <v>135</v>
      </c>
      <c r="K25" s="25" t="s">
        <v>136</v>
      </c>
      <c r="L25" s="25" t="s">
        <v>97</v>
      </c>
      <c r="M25" s="25"/>
      <c r="N25" s="25" t="s">
        <v>99</v>
      </c>
      <c r="O25" s="25"/>
      <c r="P25" s="25"/>
    </row>
    <row r="26" spans="1:16">
      <c r="A26" s="10"/>
      <c r="B26" s="2" t="s">
        <v>35</v>
      </c>
      <c r="C26" s="2"/>
      <c r="D26" s="27"/>
      <c r="E26" s="27"/>
      <c r="F26" s="27"/>
      <c r="G26" s="27"/>
      <c r="H26" s="27"/>
      <c r="I26" s="27"/>
      <c r="J26" s="27"/>
      <c r="K26" s="27"/>
      <c r="L26" s="27"/>
      <c r="M26" s="26"/>
      <c r="N26" s="27" t="str">
        <f>IF(SUM(D26:L26)=0," ",SUM(D26:L26))</f>
        <v xml:space="preserve"> </v>
      </c>
      <c r="O26" s="26"/>
      <c r="P26" s="37"/>
    </row>
    <row r="27" spans="1:16">
      <c r="A27" s="10"/>
      <c r="B27" s="2" t="s">
        <v>20</v>
      </c>
      <c r="C27" s="2"/>
      <c r="D27" s="27"/>
      <c r="E27" s="27"/>
      <c r="F27" s="27"/>
      <c r="G27" s="27"/>
      <c r="H27" s="27"/>
      <c r="I27" s="27"/>
      <c r="J27" s="27"/>
      <c r="K27" s="27"/>
      <c r="L27" s="27"/>
      <c r="M27" s="26"/>
      <c r="N27" s="27"/>
      <c r="O27" s="26"/>
      <c r="P27" s="37"/>
    </row>
    <row r="28" spans="1:16">
      <c r="A28" s="10"/>
      <c r="B28" s="2" t="s">
        <v>21</v>
      </c>
      <c r="C28" s="2"/>
      <c r="D28" s="27"/>
      <c r="E28" s="27"/>
      <c r="F28" s="27"/>
      <c r="G28" s="27"/>
      <c r="H28" s="27"/>
      <c r="I28" s="27"/>
      <c r="J28" s="27"/>
      <c r="K28" s="27"/>
      <c r="L28" s="27"/>
      <c r="M28" s="26"/>
      <c r="N28" s="27" t="str">
        <f>IF(SUM(D28:L28)=0," ",SUM(D28:L28))</f>
        <v xml:space="preserve"> </v>
      </c>
      <c r="O28" s="26"/>
      <c r="P28" s="37"/>
    </row>
    <row r="29" spans="1:16">
      <c r="A29" s="10"/>
      <c r="B29" s="2" t="s">
        <v>41</v>
      </c>
      <c r="C29" s="2"/>
      <c r="D29" s="27"/>
      <c r="E29" s="27"/>
      <c r="F29" s="27"/>
      <c r="G29" s="27"/>
      <c r="H29" s="27"/>
      <c r="I29" s="27"/>
      <c r="J29" s="27"/>
      <c r="K29" s="27"/>
      <c r="L29" s="27"/>
      <c r="M29" s="26"/>
      <c r="N29" s="27" t="str">
        <f>IF(SUM(D29:L29)=0," ",SUM(D29:L29))</f>
        <v xml:space="preserve"> </v>
      </c>
      <c r="O29" s="26"/>
      <c r="P29" s="37"/>
    </row>
    <row r="30" spans="1:16">
      <c r="A30" s="10"/>
      <c r="B30" s="2" t="s">
        <v>121</v>
      </c>
      <c r="C30" s="2"/>
      <c r="D30" s="27"/>
      <c r="E30" s="27"/>
      <c r="F30" s="27"/>
      <c r="G30" s="27"/>
      <c r="H30" s="27"/>
      <c r="I30" s="27"/>
      <c r="J30" s="27"/>
      <c r="K30" s="27"/>
      <c r="L30" s="27"/>
      <c r="M30" s="26"/>
      <c r="N30" s="27" t="str">
        <f>IF(SUM(D30:L30)=0," ",SUM(D30:L30))</f>
        <v xml:space="preserve"> </v>
      </c>
      <c r="O30" s="26"/>
      <c r="P30" s="37"/>
    </row>
    <row r="31" spans="1:16" ht="15.75" thickBot="1">
      <c r="A31" s="10"/>
      <c r="B31" s="2" t="s">
        <v>62</v>
      </c>
      <c r="C31" s="2"/>
      <c r="D31" s="30" t="str">
        <f>IF(SUM(D26:D30)=0,"",SUM(D26:D30))</f>
        <v/>
      </c>
      <c r="E31" s="30" t="str">
        <f t="shared" ref="E31:M31" si="0">IF(SUM(E26:E30)=0,"",SUM(E26:E30))</f>
        <v/>
      </c>
      <c r="F31" s="30" t="str">
        <f t="shared" si="0"/>
        <v/>
      </c>
      <c r="G31" s="30" t="str">
        <f t="shared" si="0"/>
        <v/>
      </c>
      <c r="H31" s="30" t="str">
        <f t="shared" si="0"/>
        <v/>
      </c>
      <c r="I31" s="30"/>
      <c r="J31" s="30"/>
      <c r="K31" s="30"/>
      <c r="L31" s="30" t="str">
        <f t="shared" si="0"/>
        <v/>
      </c>
      <c r="M31" s="26" t="str">
        <f t="shared" si="0"/>
        <v/>
      </c>
      <c r="N31" s="30" t="str">
        <f>IF(SUM(N26:N30)=0,"",SUM(N26:N30))</f>
        <v/>
      </c>
      <c r="O31" s="26"/>
      <c r="P31" s="38" t="str">
        <f>IF(SUM(P26:P30)=0,"",SUM(P26:P30))</f>
        <v/>
      </c>
    </row>
    <row r="32" spans="1:16" ht="15.75" thickTop="1">
      <c r="A32" s="10"/>
      <c r="B32" s="2"/>
      <c r="C32" s="2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ht="15.75" thickBot="1">
      <c r="A33" s="10"/>
      <c r="B33" s="15" t="s">
        <v>98</v>
      </c>
      <c r="C33" s="2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30"/>
      <c r="O33" s="26"/>
      <c r="P33" s="31"/>
    </row>
    <row r="34" spans="1:16" ht="15.75" thickTop="1">
      <c r="A34" s="10"/>
      <c r="B34" s="2"/>
      <c r="C34" s="2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>
      <c r="A35" s="14">
        <f>A25+1</f>
        <v>5</v>
      </c>
      <c r="B35" s="15" t="s">
        <v>130</v>
      </c>
      <c r="C35" s="15"/>
      <c r="D35" s="25" t="s">
        <v>92</v>
      </c>
      <c r="E35" s="25" t="s">
        <v>93</v>
      </c>
      <c r="F35" s="25" t="s">
        <v>94</v>
      </c>
      <c r="G35" s="25" t="s">
        <v>95</v>
      </c>
      <c r="H35" s="25" t="s">
        <v>96</v>
      </c>
      <c r="I35" s="25" t="s">
        <v>134</v>
      </c>
      <c r="J35" s="25" t="s">
        <v>135</v>
      </c>
      <c r="K35" s="25" t="s">
        <v>136</v>
      </c>
      <c r="L35" s="25" t="s">
        <v>97</v>
      </c>
      <c r="M35" s="26"/>
      <c r="N35" s="25" t="s">
        <v>99</v>
      </c>
      <c r="O35" s="26"/>
      <c r="P35" s="26"/>
    </row>
    <row r="36" spans="1:16">
      <c r="A36" s="10"/>
      <c r="B36" s="2" t="s">
        <v>106</v>
      </c>
      <c r="C36" s="2"/>
      <c r="D36" s="27"/>
      <c r="E36" s="27"/>
      <c r="F36" s="27"/>
      <c r="G36" s="27"/>
      <c r="H36" s="27"/>
      <c r="I36" s="27"/>
      <c r="J36" s="27"/>
      <c r="K36" s="27"/>
      <c r="L36" s="27"/>
      <c r="M36" s="26"/>
      <c r="N36" s="27" t="str">
        <f>IF(SUM(D36:L36)=0," ",SUM(D36:L36))</f>
        <v xml:space="preserve"> </v>
      </c>
      <c r="O36" s="26"/>
      <c r="P36" s="37"/>
    </row>
    <row r="37" spans="1:16">
      <c r="A37" s="10"/>
      <c r="B37" s="2" t="s">
        <v>107</v>
      </c>
      <c r="C37" s="2"/>
      <c r="D37" s="27"/>
      <c r="E37" s="27"/>
      <c r="F37" s="27"/>
      <c r="G37" s="27"/>
      <c r="H37" s="27"/>
      <c r="I37" s="27"/>
      <c r="J37" s="27"/>
      <c r="K37" s="27"/>
      <c r="L37" s="27"/>
      <c r="M37" s="26"/>
      <c r="N37" s="27" t="str">
        <f>IF(SUM(D37:L37)=0," ",SUM(D37:L37))</f>
        <v xml:space="preserve"> </v>
      </c>
      <c r="O37" s="26"/>
      <c r="P37" s="37"/>
    </row>
    <row r="38" spans="1:16">
      <c r="A38" s="10"/>
      <c r="B38" s="2" t="s">
        <v>34</v>
      </c>
      <c r="C38" s="2"/>
      <c r="D38" s="27"/>
      <c r="E38" s="27"/>
      <c r="F38" s="27"/>
      <c r="G38" s="27"/>
      <c r="H38" s="27"/>
      <c r="I38" s="27"/>
      <c r="J38" s="27"/>
      <c r="K38" s="27"/>
      <c r="L38" s="27"/>
      <c r="M38" s="26"/>
      <c r="N38" s="27" t="str">
        <f>IF(SUM(D38:L38)=0," ",SUM(D38:L38))</f>
        <v xml:space="preserve"> </v>
      </c>
      <c r="O38" s="26"/>
      <c r="P38" s="37"/>
    </row>
    <row r="39" spans="1:16" ht="15.75" thickBot="1">
      <c r="A39" s="10"/>
      <c r="B39" s="2" t="s">
        <v>131</v>
      </c>
      <c r="C39" s="2"/>
      <c r="D39" s="30" t="str">
        <f>IF(SUM(D36:D38)=0,"",SUM(D36:D38))</f>
        <v/>
      </c>
      <c r="E39" s="30" t="str">
        <f t="shared" ref="E39:H39" si="1">IF(SUM(E36:E38)=0,"",SUM(E36:E38))</f>
        <v/>
      </c>
      <c r="F39" s="30" t="str">
        <f t="shared" si="1"/>
        <v/>
      </c>
      <c r="G39" s="30" t="str">
        <f t="shared" si="1"/>
        <v/>
      </c>
      <c r="H39" s="30" t="str">
        <f t="shared" si="1"/>
        <v/>
      </c>
      <c r="I39" s="30"/>
      <c r="J39" s="30"/>
      <c r="K39" s="30"/>
      <c r="L39" s="30" t="str">
        <f>IF(SUM(L36:L38)=0,"",SUM(L36:L38))</f>
        <v/>
      </c>
      <c r="M39" s="26"/>
      <c r="N39" s="30" t="str">
        <f>IF(SUM(D39:L39)=0," ",SUM(D39:L39))</f>
        <v xml:space="preserve"> </v>
      </c>
      <c r="O39" s="26"/>
      <c r="P39" s="31" t="str">
        <f>IF(SUM(P36:P38)=0," ",SUM(P36:P38))</f>
        <v xml:space="preserve"> </v>
      </c>
    </row>
    <row r="40" spans="1:16" ht="15.75" thickTop="1">
      <c r="A40" s="21"/>
      <c r="B40" s="2"/>
      <c r="C40" s="2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>
      <c r="A41" s="14">
        <f>A35+1</f>
        <v>6</v>
      </c>
      <c r="B41" s="15" t="s">
        <v>109</v>
      </c>
      <c r="C41" s="2"/>
      <c r="D41" s="25" t="s">
        <v>92</v>
      </c>
      <c r="E41" s="25" t="s">
        <v>93</v>
      </c>
      <c r="F41" s="25" t="s">
        <v>94</v>
      </c>
      <c r="G41" s="25" t="s">
        <v>95</v>
      </c>
      <c r="H41" s="25" t="s">
        <v>96</v>
      </c>
      <c r="I41" s="25" t="s">
        <v>134</v>
      </c>
      <c r="J41" s="25" t="s">
        <v>135</v>
      </c>
      <c r="K41" s="25" t="s">
        <v>136</v>
      </c>
      <c r="L41" s="25" t="s">
        <v>97</v>
      </c>
      <c r="M41" s="26"/>
      <c r="N41" s="2" t="str">
        <f>IF(SUM(D41:L41)=0," ",SUM(D41:L41))</f>
        <v xml:space="preserve"> </v>
      </c>
      <c r="O41" s="2"/>
      <c r="P41" s="2"/>
    </row>
    <row r="42" spans="1:16">
      <c r="A42" s="21"/>
      <c r="B42" s="2" t="s">
        <v>122</v>
      </c>
      <c r="C42" s="2"/>
      <c r="D42" s="39"/>
      <c r="E42" s="39"/>
      <c r="F42" s="39"/>
      <c r="G42" s="39"/>
      <c r="H42" s="39"/>
      <c r="I42" s="39"/>
      <c r="J42" s="39"/>
      <c r="K42" s="39"/>
      <c r="L42" s="39"/>
      <c r="M42" s="26"/>
      <c r="N42" s="27" t="str">
        <f>IF(SUM(D42:L42)=0," ",SUM(D42:L42))</f>
        <v xml:space="preserve"> </v>
      </c>
      <c r="O42" s="26"/>
      <c r="P42" s="40"/>
    </row>
    <row r="43" spans="1:16">
      <c r="A43" s="21"/>
      <c r="B43" s="2" t="s">
        <v>34</v>
      </c>
      <c r="C43" s="2"/>
      <c r="D43" s="39"/>
      <c r="E43" s="39"/>
      <c r="F43" s="39"/>
      <c r="G43" s="39"/>
      <c r="H43" s="39"/>
      <c r="I43" s="39"/>
      <c r="J43" s="39"/>
      <c r="K43" s="39"/>
      <c r="L43" s="39"/>
      <c r="M43" s="26"/>
      <c r="N43" s="27" t="str">
        <f>IF(SUM(D43:L43)=0," ",SUM(D43:L43))</f>
        <v xml:space="preserve"> </v>
      </c>
      <c r="O43" s="26"/>
      <c r="P43" s="40"/>
    </row>
    <row r="44" spans="1:16">
      <c r="A44" s="21"/>
      <c r="B44" s="2" t="s">
        <v>34</v>
      </c>
      <c r="C44" s="2"/>
      <c r="D44" s="39"/>
      <c r="E44" s="39"/>
      <c r="F44" s="39"/>
      <c r="G44" s="39"/>
      <c r="H44" s="39"/>
      <c r="I44" s="39"/>
      <c r="J44" s="39"/>
      <c r="K44" s="39"/>
      <c r="L44" s="39"/>
      <c r="M44" s="26"/>
      <c r="N44" s="27" t="str">
        <f>IF(SUM(D44:L44)=0," ",SUM(D44:L44))</f>
        <v xml:space="preserve"> </v>
      </c>
      <c r="O44" s="26"/>
      <c r="P44" s="40"/>
    </row>
    <row r="45" spans="1:16" ht="15.75" thickBot="1">
      <c r="A45" s="21"/>
      <c r="B45" s="2" t="s">
        <v>115</v>
      </c>
      <c r="C45" s="2"/>
      <c r="D45" s="30" t="str">
        <f>IF(SUM(D42:D44)=0,"",SUM(D42:D44))</f>
        <v/>
      </c>
      <c r="E45" s="30" t="str">
        <f t="shared" ref="E45:H45" si="2">IF(SUM(E42:E44)=0,"",SUM(E42:E44))</f>
        <v/>
      </c>
      <c r="F45" s="30" t="str">
        <f t="shared" si="2"/>
        <v/>
      </c>
      <c r="G45" s="30" t="str">
        <f t="shared" si="2"/>
        <v/>
      </c>
      <c r="H45" s="30" t="str">
        <f t="shared" si="2"/>
        <v/>
      </c>
      <c r="I45" s="30"/>
      <c r="J45" s="30"/>
      <c r="K45" s="30"/>
      <c r="L45" s="30" t="str">
        <f>IF(SUM(L42:L44)=0,"",SUM(L42:L44))</f>
        <v/>
      </c>
      <c r="M45" s="26"/>
      <c r="N45" s="30" t="str">
        <f>IF(SUM(N42:N44)=0,"",SUM(N42:N44))</f>
        <v/>
      </c>
      <c r="O45" s="26"/>
      <c r="P45" s="31" t="str">
        <f>IF(SUM(P42:P44)=0," ",SUM(P42:P44))</f>
        <v xml:space="preserve"> </v>
      </c>
    </row>
    <row r="46" spans="1:16" ht="15.75" thickTop="1">
      <c r="A46" s="10"/>
      <c r="B46" s="2"/>
      <c r="C46" s="2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>
      <c r="A47" s="14">
        <f>A41+1</f>
        <v>7</v>
      </c>
      <c r="B47" s="15" t="s">
        <v>9</v>
      </c>
      <c r="C47" s="2"/>
      <c r="D47" s="25" t="s">
        <v>92</v>
      </c>
      <c r="E47" s="25" t="s">
        <v>93</v>
      </c>
      <c r="F47" s="25" t="s">
        <v>94</v>
      </c>
      <c r="G47" s="25" t="s">
        <v>95</v>
      </c>
      <c r="H47" s="25" t="s">
        <v>96</v>
      </c>
      <c r="I47" s="25" t="s">
        <v>134</v>
      </c>
      <c r="J47" s="25" t="s">
        <v>135</v>
      </c>
      <c r="K47" s="25" t="s">
        <v>136</v>
      </c>
      <c r="L47" s="25" t="s">
        <v>97</v>
      </c>
      <c r="M47" s="26"/>
      <c r="N47" s="26"/>
      <c r="O47" s="26"/>
      <c r="P47" s="26"/>
    </row>
    <row r="48" spans="1:16">
      <c r="A48" s="10"/>
      <c r="B48" s="2" t="s">
        <v>9</v>
      </c>
      <c r="C48" s="2"/>
      <c r="D48" s="27"/>
      <c r="E48" s="27"/>
      <c r="F48" s="27"/>
      <c r="G48" s="27"/>
      <c r="H48" s="27"/>
      <c r="I48" s="27"/>
      <c r="J48" s="27"/>
      <c r="K48" s="27"/>
      <c r="L48" s="27"/>
      <c r="M48" s="26"/>
      <c r="N48" s="27" t="str">
        <f>IF(SUM(D48:L48)=0," ",SUM(D48:L48))</f>
        <v xml:space="preserve"> </v>
      </c>
      <c r="O48" s="26"/>
      <c r="P48" s="37"/>
    </row>
    <row r="49" spans="1:16">
      <c r="A49" s="10"/>
      <c r="B49" s="2" t="s">
        <v>18</v>
      </c>
      <c r="C49" s="2"/>
      <c r="D49" s="27"/>
      <c r="E49" s="27"/>
      <c r="F49" s="27"/>
      <c r="G49" s="27"/>
      <c r="H49" s="27"/>
      <c r="I49" s="27"/>
      <c r="J49" s="27"/>
      <c r="K49" s="27"/>
      <c r="L49" s="27"/>
      <c r="M49" s="26"/>
      <c r="N49" s="27" t="str">
        <f>IF(SUM(D49:L49)=0," ",SUM(D49:L49))</f>
        <v xml:space="preserve"> </v>
      </c>
      <c r="O49" s="26"/>
      <c r="P49" s="37"/>
    </row>
    <row r="50" spans="1:16" ht="15.75" thickBot="1">
      <c r="A50" s="10"/>
      <c r="B50" s="2" t="s">
        <v>63</v>
      </c>
      <c r="C50" s="2"/>
      <c r="D50" s="30" t="str">
        <f>IF(SUM(D48:D49)=0,"",SUM(D48:D49))</f>
        <v/>
      </c>
      <c r="E50" s="30" t="str">
        <f t="shared" ref="E50:H50" si="3">IF(SUM(E48:E49)=0,"",SUM(E48:E49))</f>
        <v/>
      </c>
      <c r="F50" s="30" t="str">
        <f t="shared" si="3"/>
        <v/>
      </c>
      <c r="G50" s="30" t="str">
        <f t="shared" si="3"/>
        <v/>
      </c>
      <c r="H50" s="30" t="str">
        <f t="shared" si="3"/>
        <v/>
      </c>
      <c r="I50" s="30"/>
      <c r="J50" s="30"/>
      <c r="K50" s="30"/>
      <c r="L50" s="30" t="str">
        <f>IF(SUM(L48:L49)=0,"",SUM(L48:L49))</f>
        <v/>
      </c>
      <c r="M50" s="26"/>
      <c r="N50" s="30" t="str">
        <f>IF(SUM(N48:N49)=0,"",SUM(N48:N49))</f>
        <v/>
      </c>
      <c r="O50" s="26"/>
      <c r="P50" s="38" t="str">
        <f>IF(SUM(P48:P49)=0,"",SUM(P48:P49))</f>
        <v/>
      </c>
    </row>
    <row r="51" spans="1:16" ht="15.75" thickTop="1">
      <c r="A51" s="10"/>
      <c r="B51" s="2"/>
      <c r="C51" s="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>
      <c r="A52" s="14">
        <f>A47+1</f>
        <v>8</v>
      </c>
      <c r="B52" s="15" t="s">
        <v>65</v>
      </c>
      <c r="C52" s="2"/>
      <c r="D52" s="25" t="s">
        <v>92</v>
      </c>
      <c r="E52" s="25" t="s">
        <v>93</v>
      </c>
      <c r="F52" s="25" t="s">
        <v>94</v>
      </c>
      <c r="G52" s="25" t="s">
        <v>95</v>
      </c>
      <c r="H52" s="25" t="s">
        <v>96</v>
      </c>
      <c r="I52" s="25" t="s">
        <v>134</v>
      </c>
      <c r="J52" s="25" t="s">
        <v>135</v>
      </c>
      <c r="K52" s="25" t="s">
        <v>136</v>
      </c>
      <c r="L52" s="25" t="s">
        <v>97</v>
      </c>
      <c r="M52" s="26"/>
      <c r="N52" s="26"/>
      <c r="O52" s="26"/>
      <c r="P52" s="26"/>
    </row>
    <row r="53" spans="1:16">
      <c r="A53" s="10"/>
      <c r="B53" s="2" t="s">
        <v>38</v>
      </c>
      <c r="C53" s="2"/>
      <c r="D53" s="27"/>
      <c r="E53" s="27"/>
      <c r="F53" s="27"/>
      <c r="G53" s="27"/>
      <c r="H53" s="27"/>
      <c r="I53" s="27"/>
      <c r="J53" s="27"/>
      <c r="K53" s="27"/>
      <c r="L53" s="27"/>
      <c r="M53" s="26"/>
      <c r="N53" s="27" t="str">
        <f>IF(SUM(D53:L53)=0," ",SUM(D53:L53))</f>
        <v xml:space="preserve"> </v>
      </c>
      <c r="O53" s="26"/>
      <c r="P53" s="37"/>
    </row>
    <row r="54" spans="1:16">
      <c r="A54" s="10"/>
      <c r="B54" s="2" t="s">
        <v>39</v>
      </c>
      <c r="C54" s="2"/>
      <c r="D54" s="27"/>
      <c r="E54" s="27"/>
      <c r="F54" s="27"/>
      <c r="G54" s="27"/>
      <c r="H54" s="27"/>
      <c r="I54" s="27"/>
      <c r="J54" s="27"/>
      <c r="K54" s="27"/>
      <c r="L54" s="27"/>
      <c r="M54" s="26"/>
      <c r="N54" s="27" t="str">
        <f>IF(SUM(D54:L54)=0," ",SUM(D54:L54))</f>
        <v xml:space="preserve"> </v>
      </c>
      <c r="O54" s="26"/>
      <c r="P54" s="37"/>
    </row>
    <row r="55" spans="1:16">
      <c r="A55" s="10"/>
      <c r="B55" s="2" t="s">
        <v>40</v>
      </c>
      <c r="C55" s="2"/>
      <c r="D55" s="27"/>
      <c r="E55" s="27"/>
      <c r="F55" s="27"/>
      <c r="G55" s="27"/>
      <c r="H55" s="27"/>
      <c r="I55" s="27"/>
      <c r="J55" s="27"/>
      <c r="K55" s="27"/>
      <c r="L55" s="27"/>
      <c r="M55" s="26"/>
      <c r="N55" s="27" t="str">
        <f>IF(SUM(D55:L55)=0," ",SUM(D55:L55))</f>
        <v xml:space="preserve"> </v>
      </c>
      <c r="O55" s="26"/>
      <c r="P55" s="37"/>
    </row>
    <row r="56" spans="1:16" ht="15.75" thickBot="1">
      <c r="A56" s="10"/>
      <c r="B56" s="2" t="s">
        <v>64</v>
      </c>
      <c r="C56" s="2"/>
      <c r="D56" s="30" t="str">
        <f t="shared" ref="D56:L56" si="4">IF(SUM(D53:D55)=0,"",SUM(D53:D55))</f>
        <v/>
      </c>
      <c r="E56" s="30" t="str">
        <f t="shared" si="4"/>
        <v/>
      </c>
      <c r="F56" s="30" t="str">
        <f t="shared" si="4"/>
        <v/>
      </c>
      <c r="G56" s="30" t="str">
        <f t="shared" si="4"/>
        <v/>
      </c>
      <c r="H56" s="30" t="str">
        <f t="shared" si="4"/>
        <v/>
      </c>
      <c r="I56" s="30"/>
      <c r="J56" s="30"/>
      <c r="K56" s="30"/>
      <c r="L56" s="30" t="str">
        <f t="shared" si="4"/>
        <v/>
      </c>
      <c r="M56" s="26"/>
      <c r="N56" s="30" t="str">
        <f>IF(SUM(N53:N55)=0,"",SUM(N53:N55))</f>
        <v/>
      </c>
      <c r="O56" s="26"/>
      <c r="P56" s="38" t="str">
        <f>IF(SUM(P53:P55)=0,"",SUM(P53:P55))</f>
        <v/>
      </c>
    </row>
    <row r="57" spans="1:16" ht="15.75" thickTop="1">
      <c r="A57" s="10"/>
      <c r="B57" s="2"/>
      <c r="C57" s="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>
      <c r="A58" s="14">
        <f>A52+1</f>
        <v>9</v>
      </c>
      <c r="B58" s="15" t="s">
        <v>10</v>
      </c>
      <c r="C58" s="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>
      <c r="A59" s="10"/>
      <c r="B59" s="2" t="s">
        <v>10</v>
      </c>
      <c r="C59" s="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6"/>
      <c r="P59" s="37"/>
    </row>
    <row r="60" spans="1:16">
      <c r="A60" s="10"/>
      <c r="B60" s="2" t="s">
        <v>110</v>
      </c>
      <c r="C60" s="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6"/>
      <c r="P60" s="37"/>
    </row>
    <row r="61" spans="1:16" ht="15.75" thickBot="1">
      <c r="A61" s="10"/>
      <c r="B61" s="2" t="s">
        <v>66</v>
      </c>
      <c r="C61" s="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30" t="str">
        <f>IF(SUM(N59:N60)=0,"",SUM(N59:N60))</f>
        <v/>
      </c>
      <c r="O61" s="26"/>
      <c r="P61" s="38" t="str">
        <f>IF(SUM(P59:P60)=0,"",SUM(P59:P60))</f>
        <v/>
      </c>
    </row>
    <row r="62" spans="1:16" ht="15.75" thickTop="1">
      <c r="A62" s="10"/>
      <c r="B62" s="2"/>
      <c r="C62" s="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>
      <c r="A63" s="14">
        <f>A58+1</f>
        <v>10</v>
      </c>
      <c r="B63" s="15" t="s">
        <v>86</v>
      </c>
      <c r="C63" s="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>
      <c r="A64" s="10"/>
      <c r="B64" s="2" t="s">
        <v>128</v>
      </c>
      <c r="C64" s="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6"/>
      <c r="P64" s="37"/>
    </row>
    <row r="65" spans="1:16">
      <c r="A65" s="21"/>
      <c r="B65" s="2" t="s">
        <v>15</v>
      </c>
      <c r="C65" s="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6"/>
      <c r="P65" s="37"/>
    </row>
    <row r="66" spans="1:16">
      <c r="A66" s="10"/>
      <c r="B66" s="2" t="s">
        <v>17</v>
      </c>
      <c r="C66" s="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6"/>
      <c r="P66" s="37"/>
    </row>
    <row r="67" spans="1:16">
      <c r="A67" s="10"/>
      <c r="B67" s="2" t="s">
        <v>16</v>
      </c>
      <c r="C67" s="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6"/>
      <c r="P67" s="37"/>
    </row>
    <row r="68" spans="1:16">
      <c r="A68" s="10"/>
      <c r="B68" s="2" t="s">
        <v>123</v>
      </c>
      <c r="C68" s="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6"/>
      <c r="P68" s="37"/>
    </row>
    <row r="69" spans="1:16">
      <c r="A69" s="10"/>
      <c r="B69" s="2" t="s">
        <v>28</v>
      </c>
      <c r="C69" s="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6"/>
      <c r="P69" s="37"/>
    </row>
    <row r="70" spans="1:16">
      <c r="A70" s="10"/>
      <c r="B70" s="2" t="s">
        <v>29</v>
      </c>
      <c r="C70" s="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6"/>
      <c r="P70" s="37"/>
    </row>
    <row r="71" spans="1:16">
      <c r="A71" s="10"/>
      <c r="B71" s="2" t="s">
        <v>37</v>
      </c>
      <c r="C71" s="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6"/>
      <c r="P71" s="37"/>
    </row>
    <row r="72" spans="1:16">
      <c r="A72" s="10"/>
      <c r="B72" s="2" t="s">
        <v>19</v>
      </c>
      <c r="C72" s="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6"/>
      <c r="P72" s="37"/>
    </row>
    <row r="73" spans="1:16">
      <c r="A73" s="10"/>
      <c r="B73" s="2" t="s">
        <v>44</v>
      </c>
      <c r="C73" s="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6"/>
      <c r="P73" s="37"/>
    </row>
    <row r="74" spans="1:16" ht="15.75" thickBot="1">
      <c r="A74" s="10"/>
      <c r="B74" s="2" t="s">
        <v>67</v>
      </c>
      <c r="C74" s="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0" t="str">
        <f>IF(SUM(N64:N73)=0,"",SUM(N64:N73))</f>
        <v/>
      </c>
      <c r="O74" s="26"/>
      <c r="P74" s="38" t="str">
        <f>IF(SUM(P64:P73)=0,"",SUM(P64:P73))</f>
        <v/>
      </c>
    </row>
    <row r="75" spans="1:16" ht="15.75" thickTop="1">
      <c r="A75" s="10"/>
      <c r="B75" s="2"/>
      <c r="C75" s="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>
      <c r="A76" s="14">
        <f>A63+1</f>
        <v>11</v>
      </c>
      <c r="B76" s="15" t="s">
        <v>111</v>
      </c>
      <c r="C76" s="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>
      <c r="A77" s="21"/>
      <c r="B77" s="2" t="s">
        <v>112</v>
      </c>
      <c r="C77" s="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6"/>
      <c r="P77" s="37"/>
    </row>
    <row r="78" spans="1:16" ht="15.75" thickBot="1">
      <c r="A78" s="21"/>
      <c r="B78" s="2" t="s">
        <v>113</v>
      </c>
      <c r="C78" s="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30" t="str">
        <f>IF(SUM(N77)=0,"",SUM(N77))</f>
        <v/>
      </c>
      <c r="O78" s="26"/>
      <c r="P78" s="38" t="str">
        <f>IF(SUM(P77)=0,"",SUM(P77))</f>
        <v/>
      </c>
    </row>
    <row r="79" spans="1:16" ht="15.75" thickTop="1">
      <c r="A79" s="21"/>
      <c r="B79" s="2"/>
      <c r="C79" s="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>
      <c r="A80" s="14">
        <f>A76+1</f>
        <v>12</v>
      </c>
      <c r="B80" s="15" t="s">
        <v>43</v>
      </c>
      <c r="C80" s="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>
      <c r="A81" s="10"/>
      <c r="B81" s="2" t="s">
        <v>103</v>
      </c>
      <c r="C81" s="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6"/>
      <c r="P81" s="37"/>
    </row>
    <row r="82" spans="1:16">
      <c r="A82" s="10"/>
      <c r="B82" s="2" t="s">
        <v>42</v>
      </c>
      <c r="C82" s="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6"/>
      <c r="P82" s="37"/>
    </row>
    <row r="83" spans="1:16" ht="15.75" thickBot="1">
      <c r="A83" s="10"/>
      <c r="B83" s="2" t="s">
        <v>68</v>
      </c>
      <c r="C83" s="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30" t="str">
        <f>IF(SUM(N81:N82)=0,"",SUM(N81:N82))</f>
        <v/>
      </c>
      <c r="O83" s="26"/>
      <c r="P83" s="38" t="str">
        <f>IF(SUM(P81:P82)=0,"",SUM(P81:P82))</f>
        <v/>
      </c>
    </row>
    <row r="84" spans="1:16" ht="15.75" thickTop="1">
      <c r="A84" s="10"/>
      <c r="B84" s="2"/>
      <c r="C84" s="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ht="15.75">
      <c r="A85" s="58" t="s">
        <v>23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</row>
    <row r="86" spans="1:16" s="7" customFormat="1">
      <c r="A86" s="14"/>
      <c r="B86" s="15"/>
      <c r="C86" s="15"/>
      <c r="D86" s="26"/>
      <c r="E86" s="26"/>
      <c r="F86" s="26"/>
      <c r="G86" s="26"/>
      <c r="H86" s="26"/>
      <c r="I86" s="26"/>
      <c r="J86" s="26"/>
      <c r="K86" s="26"/>
      <c r="L86" s="26"/>
      <c r="M86" s="29"/>
      <c r="N86" s="26"/>
      <c r="O86" s="29"/>
      <c r="P86" s="29"/>
    </row>
    <row r="87" spans="1:16" s="7" customFormat="1">
      <c r="A87" s="14">
        <f>A80+1</f>
        <v>13</v>
      </c>
      <c r="B87" s="15" t="s">
        <v>119</v>
      </c>
      <c r="C87" s="15"/>
      <c r="D87" s="26"/>
      <c r="E87" s="26"/>
      <c r="F87" s="26"/>
      <c r="G87" s="26"/>
      <c r="H87" s="26"/>
      <c r="I87" s="26"/>
      <c r="J87" s="26"/>
      <c r="K87" s="26"/>
      <c r="L87" s="26"/>
      <c r="M87" s="29"/>
      <c r="N87" s="26"/>
      <c r="O87" s="29"/>
      <c r="P87" s="29"/>
    </row>
    <row r="88" spans="1:16">
      <c r="A88" s="10"/>
      <c r="B88" s="2" t="s">
        <v>129</v>
      </c>
      <c r="C88" s="2"/>
      <c r="D88" s="29"/>
      <c r="E88" s="29"/>
      <c r="F88" s="29"/>
      <c r="G88" s="29"/>
      <c r="H88" s="29"/>
      <c r="I88" s="29"/>
      <c r="J88" s="29"/>
      <c r="K88" s="29"/>
      <c r="L88" s="29"/>
      <c r="M88" s="26"/>
      <c r="N88" s="27"/>
      <c r="O88" s="26"/>
      <c r="P88" s="37"/>
    </row>
    <row r="89" spans="1:16">
      <c r="A89" s="10"/>
      <c r="B89" s="2" t="s">
        <v>140</v>
      </c>
      <c r="C89" s="2"/>
      <c r="D89" s="29"/>
      <c r="E89" s="29"/>
      <c r="F89" s="29"/>
      <c r="G89" s="29"/>
      <c r="H89" s="29"/>
      <c r="I89" s="29"/>
      <c r="J89" s="29"/>
      <c r="K89" s="29"/>
      <c r="L89" s="29"/>
      <c r="M89" s="26"/>
      <c r="N89" s="27"/>
      <c r="O89" s="26"/>
      <c r="P89" s="37"/>
    </row>
    <row r="90" spans="1:16" ht="15.75" thickBot="1">
      <c r="A90" s="10"/>
      <c r="B90" s="2" t="s">
        <v>116</v>
      </c>
      <c r="C90" s="2"/>
      <c r="D90" s="29"/>
      <c r="E90" s="29"/>
      <c r="F90" s="29"/>
      <c r="G90" s="29"/>
      <c r="H90" s="29"/>
      <c r="I90" s="29"/>
      <c r="J90" s="29"/>
      <c r="K90" s="29"/>
      <c r="L90" s="29"/>
      <c r="M90" s="26"/>
      <c r="N90" s="30" t="str">
        <f>IF(SUM(N88:N89)=0,"",SUM(N88:N89))</f>
        <v/>
      </c>
      <c r="O90" s="26"/>
      <c r="P90" s="38" t="str">
        <f>IF(SUM(P88:P89)=0,"",SUM(P88:P89))</f>
        <v/>
      </c>
    </row>
    <row r="91" spans="1:16" ht="15.75" thickTop="1">
      <c r="A91" s="10"/>
      <c r="B91" s="2"/>
      <c r="C91" s="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spans="1:16" s="7" customFormat="1">
      <c r="A92" s="14">
        <f>A87+1</f>
        <v>14</v>
      </c>
      <c r="B92" s="15" t="s">
        <v>117</v>
      </c>
      <c r="C92" s="15"/>
      <c r="D92" s="26"/>
      <c r="E92" s="26"/>
      <c r="F92" s="26"/>
      <c r="G92" s="26"/>
      <c r="H92" s="26"/>
      <c r="I92" s="26"/>
      <c r="J92" s="26"/>
      <c r="K92" s="26"/>
      <c r="L92" s="26"/>
      <c r="M92" s="29"/>
      <c r="N92" s="26"/>
      <c r="O92" s="29"/>
      <c r="P92" s="29"/>
    </row>
    <row r="93" spans="1:16">
      <c r="A93" s="10"/>
      <c r="B93" s="2" t="s">
        <v>46</v>
      </c>
      <c r="C93" s="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6"/>
      <c r="P93" s="37"/>
    </row>
    <row r="94" spans="1:16">
      <c r="A94" s="10"/>
      <c r="B94" s="2" t="s">
        <v>47</v>
      </c>
      <c r="C94" s="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6"/>
      <c r="P94" s="37"/>
    </row>
    <row r="95" spans="1:16" ht="15.75" thickBot="1">
      <c r="A95" s="10"/>
      <c r="B95" s="2" t="s">
        <v>118</v>
      </c>
      <c r="C95" s="2"/>
      <c r="D95" s="29"/>
      <c r="E95" s="29"/>
      <c r="F95" s="29"/>
      <c r="G95" s="29"/>
      <c r="H95" s="29"/>
      <c r="I95" s="29"/>
      <c r="J95" s="29"/>
      <c r="K95" s="29"/>
      <c r="L95" s="29"/>
      <c r="M95" s="26"/>
      <c r="N95" s="30" t="str">
        <f>IF(SUM(N93:N94)=0,"",SUM(N93:N94))</f>
        <v/>
      </c>
      <c r="O95" s="26"/>
      <c r="P95" s="38" t="str">
        <f>IF(SUM(P93:P94)=0,"",SUM(P93:P94))</f>
        <v/>
      </c>
    </row>
    <row r="96" spans="1:16" ht="15.75" thickTop="1">
      <c r="A96" s="10"/>
      <c r="B96" s="2"/>
      <c r="C96" s="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spans="1:17" s="7" customFormat="1">
      <c r="A97" s="14">
        <f>A92+1</f>
        <v>15</v>
      </c>
      <c r="B97" s="15" t="s">
        <v>120</v>
      </c>
      <c r="C97" s="15"/>
      <c r="D97" s="26"/>
      <c r="E97" s="26"/>
      <c r="F97" s="26"/>
      <c r="G97" s="26"/>
      <c r="H97" s="26"/>
      <c r="I97" s="26"/>
      <c r="J97" s="26"/>
      <c r="K97" s="26"/>
      <c r="L97" s="26"/>
      <c r="M97" s="29"/>
      <c r="N97" s="29"/>
      <c r="O97" s="29"/>
      <c r="P97" s="29"/>
    </row>
    <row r="98" spans="1:17" s="7" customFormat="1">
      <c r="A98" s="14"/>
      <c r="B98" s="16" t="s">
        <v>49</v>
      </c>
      <c r="C98" s="15"/>
      <c r="D98" s="26"/>
      <c r="E98" s="26"/>
      <c r="F98" s="26"/>
      <c r="G98" s="26"/>
      <c r="H98" s="26"/>
      <c r="I98" s="26"/>
      <c r="J98" s="26"/>
      <c r="K98" s="26"/>
      <c r="L98" s="26"/>
      <c r="M98" s="29"/>
      <c r="N98" s="27"/>
      <c r="O98" s="29"/>
      <c r="P98" s="37"/>
      <c r="Q98" s="8"/>
    </row>
    <row r="99" spans="1:17" s="7" customFormat="1">
      <c r="A99" s="14"/>
      <c r="B99" s="2" t="s">
        <v>48</v>
      </c>
      <c r="C99" s="15"/>
      <c r="D99" s="26"/>
      <c r="E99" s="26"/>
      <c r="F99" s="26"/>
      <c r="G99" s="26"/>
      <c r="H99" s="26"/>
      <c r="I99" s="26"/>
      <c r="J99" s="26"/>
      <c r="K99" s="26"/>
      <c r="L99" s="26"/>
      <c r="M99" s="29"/>
      <c r="N99" s="27"/>
      <c r="O99" s="29"/>
      <c r="P99" s="37"/>
      <c r="Q99" s="8"/>
    </row>
    <row r="100" spans="1:17" s="7" customFormat="1" ht="15.75" thickBot="1">
      <c r="A100" s="14"/>
      <c r="B100" s="22" t="s">
        <v>70</v>
      </c>
      <c r="C100" s="15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0" t="str">
        <f>IF(SUM(N98:N99)=0,"",SUM(N98:N99))</f>
        <v/>
      </c>
      <c r="O100" s="29"/>
      <c r="P100" s="38" t="str">
        <f>IF(SUM(P98:P99)=0,"",SUM(P98:P99))</f>
        <v/>
      </c>
    </row>
    <row r="101" spans="1:17" s="7" customFormat="1" ht="15.75" thickTop="1">
      <c r="A101" s="14"/>
      <c r="B101" s="15"/>
      <c r="C101" s="15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spans="1:17" s="7" customFormat="1" ht="15.75">
      <c r="A102" s="57" t="s">
        <v>24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</row>
    <row r="103" spans="1:17" s="7" customFormat="1">
      <c r="A103" s="14">
        <f>A97+1</f>
        <v>16</v>
      </c>
      <c r="B103" s="15" t="s">
        <v>25</v>
      </c>
      <c r="C103" s="15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spans="1:17">
      <c r="A104" s="10"/>
      <c r="B104" s="2" t="s">
        <v>51</v>
      </c>
      <c r="C104" s="2"/>
      <c r="D104" s="29"/>
      <c r="E104" s="29"/>
      <c r="F104" s="29"/>
      <c r="G104" s="29"/>
      <c r="H104" s="29"/>
      <c r="I104" s="29"/>
      <c r="J104" s="29"/>
      <c r="K104" s="29"/>
      <c r="L104" s="29"/>
      <c r="M104" s="26"/>
      <c r="N104" s="27"/>
      <c r="O104" s="26"/>
      <c r="P104" s="37"/>
    </row>
    <row r="105" spans="1:17" ht="15.75">
      <c r="A105" s="10"/>
      <c r="B105" s="2" t="s">
        <v>50</v>
      </c>
      <c r="C105" s="2"/>
      <c r="D105" s="41"/>
      <c r="E105" s="41"/>
      <c r="F105" s="41"/>
      <c r="G105" s="41"/>
      <c r="H105" s="41"/>
      <c r="I105" s="41"/>
      <c r="J105" s="41"/>
      <c r="K105" s="41"/>
      <c r="L105" s="41"/>
      <c r="M105" s="26"/>
      <c r="N105" s="27"/>
      <c r="O105" s="26"/>
      <c r="P105" s="37"/>
    </row>
    <row r="106" spans="1:17">
      <c r="A106" s="10"/>
      <c r="B106" s="2" t="s">
        <v>52</v>
      </c>
      <c r="C106" s="2"/>
      <c r="D106" s="29"/>
      <c r="E106" s="29"/>
      <c r="F106" s="29"/>
      <c r="G106" s="29"/>
      <c r="H106" s="29"/>
      <c r="I106" s="29"/>
      <c r="J106" s="29"/>
      <c r="K106" s="29"/>
      <c r="L106" s="29"/>
      <c r="M106" s="26"/>
      <c r="N106" s="27"/>
      <c r="O106" s="26"/>
      <c r="P106" s="37"/>
    </row>
    <row r="107" spans="1:17" ht="15.75" thickBot="1">
      <c r="A107" s="10"/>
      <c r="B107" s="2" t="s">
        <v>71</v>
      </c>
      <c r="C107" s="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30" t="str">
        <f>IF(SUM(N104:N106)=0,"",SUM(N104:N106))</f>
        <v/>
      </c>
      <c r="O107" s="26"/>
      <c r="P107" s="38" t="str">
        <f>IF(SUM(P104:P106)=0,"",SUM(P104:P106))</f>
        <v/>
      </c>
    </row>
    <row r="108" spans="1:17" ht="15.75" thickTop="1">
      <c r="A108" s="10"/>
      <c r="B108" s="2"/>
      <c r="C108" s="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 spans="1:17" s="7" customFormat="1">
      <c r="A109" s="14">
        <f>A103+1</f>
        <v>17</v>
      </c>
      <c r="B109" s="15" t="s">
        <v>30</v>
      </c>
      <c r="C109" s="15"/>
      <c r="D109" s="26"/>
      <c r="E109" s="26"/>
      <c r="F109" s="26"/>
      <c r="G109" s="26"/>
      <c r="H109" s="26"/>
      <c r="I109" s="26"/>
      <c r="J109" s="26"/>
      <c r="K109" s="26"/>
      <c r="L109" s="26"/>
      <c r="M109" s="29"/>
      <c r="N109" s="29"/>
      <c r="O109" s="29"/>
      <c r="P109" s="29"/>
    </row>
    <row r="110" spans="1:17" s="7" customFormat="1">
      <c r="A110" s="14"/>
      <c r="B110" s="2" t="s">
        <v>56</v>
      </c>
      <c r="C110" s="15"/>
      <c r="D110" s="26"/>
      <c r="E110" s="26"/>
      <c r="F110" s="26"/>
      <c r="G110" s="26"/>
      <c r="H110" s="26"/>
      <c r="I110" s="26"/>
      <c r="J110" s="26"/>
      <c r="K110" s="26"/>
      <c r="L110" s="26"/>
      <c r="M110" s="29"/>
      <c r="N110" s="27"/>
      <c r="O110" s="29"/>
      <c r="P110" s="37"/>
    </row>
    <row r="111" spans="1:17" s="7" customFormat="1" ht="15.75" thickBot="1">
      <c r="A111" s="14"/>
      <c r="B111" s="2" t="s">
        <v>72</v>
      </c>
      <c r="C111" s="15"/>
      <c r="D111" s="26"/>
      <c r="E111" s="26"/>
      <c r="F111" s="26"/>
      <c r="G111" s="26"/>
      <c r="H111" s="26"/>
      <c r="I111" s="26"/>
      <c r="J111" s="26"/>
      <c r="K111" s="26"/>
      <c r="L111" s="26"/>
      <c r="M111" s="29"/>
      <c r="N111" s="30" t="str">
        <f>IF(SUM(N110)=0,"",SUM(N110))</f>
        <v/>
      </c>
      <c r="O111" s="29"/>
      <c r="P111" s="38" t="str">
        <f>IF(SUM(P110)=0,"",SUM(P110))</f>
        <v/>
      </c>
    </row>
    <row r="112" spans="1:17" s="7" customFormat="1" ht="15.75" thickTop="1">
      <c r="A112" s="14"/>
      <c r="B112" s="16"/>
      <c r="C112" s="15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spans="1:16" s="7" customFormat="1">
      <c r="A113" s="14">
        <f>A109+1</f>
        <v>18</v>
      </c>
      <c r="B113" s="15" t="s">
        <v>53</v>
      </c>
      <c r="C113" s="15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spans="1:16">
      <c r="A114" s="10"/>
      <c r="B114" s="2" t="s">
        <v>83</v>
      </c>
      <c r="C114" s="2"/>
      <c r="D114" s="29"/>
      <c r="E114" s="29"/>
      <c r="F114" s="29"/>
      <c r="G114" s="29"/>
      <c r="H114" s="29"/>
      <c r="I114" s="29"/>
      <c r="J114" s="29"/>
      <c r="K114" s="29"/>
      <c r="L114" s="29"/>
      <c r="M114" s="26"/>
      <c r="N114" s="27"/>
      <c r="O114" s="26"/>
      <c r="P114" s="37"/>
    </row>
    <row r="115" spans="1:16" ht="15.75" thickBot="1">
      <c r="A115" s="10"/>
      <c r="B115" s="2" t="s">
        <v>73</v>
      </c>
      <c r="C115" s="2"/>
      <c r="D115" s="29"/>
      <c r="E115" s="29"/>
      <c r="F115" s="29"/>
      <c r="G115" s="29"/>
      <c r="H115" s="29"/>
      <c r="I115" s="29"/>
      <c r="J115" s="29"/>
      <c r="K115" s="29"/>
      <c r="L115" s="29"/>
      <c r="M115" s="26"/>
      <c r="N115" s="30" t="str">
        <f>IF(SUM(N114:N114)=0,"",SUM(N114:N114))</f>
        <v/>
      </c>
      <c r="O115" s="26"/>
      <c r="P115" s="38" t="str">
        <f>IF(SUM(P114:P114)=0,"",SUM(P114:P114))</f>
        <v/>
      </c>
    </row>
    <row r="116" spans="1:16" ht="15.75" thickTop="1">
      <c r="A116" s="10"/>
      <c r="B116" s="2"/>
      <c r="C116" s="2"/>
      <c r="D116" s="29"/>
      <c r="E116" s="29"/>
      <c r="F116" s="29"/>
      <c r="G116" s="29"/>
      <c r="H116" s="29"/>
      <c r="I116" s="29"/>
      <c r="J116" s="29"/>
      <c r="K116" s="29"/>
      <c r="L116" s="29"/>
      <c r="M116" s="26"/>
      <c r="N116" s="26"/>
      <c r="O116" s="26"/>
      <c r="P116" s="26"/>
    </row>
    <row r="117" spans="1:16">
      <c r="A117" s="14">
        <f>A113+1</f>
        <v>19</v>
      </c>
      <c r="B117" s="15" t="s">
        <v>54</v>
      </c>
      <c r="C117" s="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  <row r="118" spans="1:16">
      <c r="A118" s="10"/>
      <c r="B118" s="2" t="s">
        <v>108</v>
      </c>
      <c r="C118" s="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6"/>
      <c r="P118" s="37"/>
    </row>
    <row r="119" spans="1:16">
      <c r="A119" s="21"/>
      <c r="B119" s="2" t="s">
        <v>139</v>
      </c>
      <c r="C119" s="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6"/>
      <c r="P119" s="37"/>
    </row>
    <row r="120" spans="1:16">
      <c r="A120" s="10"/>
      <c r="B120" s="2" t="s">
        <v>57</v>
      </c>
      <c r="C120" s="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6"/>
      <c r="P120" s="37"/>
    </row>
    <row r="121" spans="1:16" ht="15.75" thickBot="1">
      <c r="A121" s="10"/>
      <c r="B121" s="2" t="s">
        <v>74</v>
      </c>
      <c r="C121" s="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30" t="str">
        <f>IF(SUM(N118:N120)=0,"",SUM(N118:N120))</f>
        <v/>
      </c>
      <c r="O121" s="26"/>
      <c r="P121" s="38" t="str">
        <f>IF(SUM(P118:P120)=0,"",SUM(P118:P120))</f>
        <v/>
      </c>
    </row>
    <row r="122" spans="1:16" ht="15.75" thickTop="1">
      <c r="A122" s="10"/>
      <c r="B122" s="10"/>
      <c r="C122" s="10"/>
      <c r="D122" s="26"/>
      <c r="E122" s="26"/>
      <c r="F122" s="26"/>
      <c r="G122" s="26"/>
      <c r="H122" s="26"/>
      <c r="I122" s="26"/>
      <c r="J122" s="26"/>
      <c r="K122" s="26"/>
      <c r="L122" s="26"/>
      <c r="M122" s="25"/>
      <c r="N122" s="25"/>
      <c r="O122" s="25"/>
      <c r="P122" s="26"/>
    </row>
    <row r="123" spans="1:16">
      <c r="A123" s="14">
        <f>A117+1</f>
        <v>20</v>
      </c>
      <c r="B123" s="17" t="s">
        <v>27</v>
      </c>
      <c r="C123" s="10"/>
      <c r="D123" s="26"/>
      <c r="E123" s="26"/>
      <c r="F123" s="26"/>
      <c r="G123" s="26"/>
      <c r="H123" s="26"/>
      <c r="I123" s="26"/>
      <c r="J123" s="26"/>
      <c r="K123" s="26"/>
      <c r="L123" s="26"/>
      <c r="M123" s="25"/>
      <c r="N123" s="25"/>
      <c r="O123" s="25"/>
      <c r="P123" s="25"/>
    </row>
    <row r="124" spans="1:16">
      <c r="A124" s="10"/>
      <c r="B124" s="12" t="s">
        <v>114</v>
      </c>
      <c r="C124" s="10"/>
      <c r="D124" s="26"/>
      <c r="E124" s="26"/>
      <c r="F124" s="26"/>
      <c r="G124" s="26"/>
      <c r="H124" s="26"/>
      <c r="I124" s="26"/>
      <c r="J124" s="26"/>
      <c r="K124" s="26"/>
      <c r="L124" s="26"/>
      <c r="M124" s="25"/>
      <c r="N124" s="25"/>
      <c r="O124" s="25"/>
      <c r="P124" s="25"/>
    </row>
    <row r="125" spans="1:16">
      <c r="A125" s="21"/>
      <c r="B125" s="12" t="s">
        <v>87</v>
      </c>
      <c r="C125" s="21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7"/>
      <c r="O125" s="25"/>
      <c r="P125" s="37"/>
    </row>
    <row r="126" spans="1:16">
      <c r="A126" s="21"/>
      <c r="B126" s="12" t="s">
        <v>88</v>
      </c>
      <c r="C126" s="21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7"/>
      <c r="O126" s="25"/>
      <c r="P126" s="37"/>
    </row>
    <row r="127" spans="1:16">
      <c r="A127" s="21"/>
      <c r="B127" s="12" t="s">
        <v>89</v>
      </c>
      <c r="C127" s="21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7"/>
      <c r="O127" s="25"/>
      <c r="P127" s="37"/>
    </row>
    <row r="128" spans="1:16">
      <c r="A128" s="21"/>
      <c r="B128" s="12" t="s">
        <v>90</v>
      </c>
      <c r="C128" s="21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7"/>
      <c r="O128" s="25"/>
      <c r="P128" s="37"/>
    </row>
    <row r="129" spans="1:16">
      <c r="A129" s="21"/>
      <c r="B129" s="12" t="s">
        <v>91</v>
      </c>
      <c r="C129" s="21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7"/>
      <c r="O129" s="25"/>
      <c r="P129" s="37"/>
    </row>
    <row r="130" spans="1:16" ht="15.75" thickBot="1">
      <c r="A130" s="10"/>
      <c r="B130" s="12" t="s">
        <v>69</v>
      </c>
      <c r="C130" s="10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30" t="str">
        <f>IF(SUM(N125:N129)=0,"",SUM(N125:N129))</f>
        <v/>
      </c>
      <c r="O130" s="25" t="str">
        <f>IF(SUM(O125:O129)=0,"",SUM(O125:O129))</f>
        <v/>
      </c>
      <c r="P130" s="38" t="str">
        <f>IF(SUM(P125:P129)=0,"",SUM(P125:P129))</f>
        <v/>
      </c>
    </row>
    <row r="131" spans="1:16" ht="15.75" thickTop="1">
      <c r="A131" s="10"/>
      <c r="B131" s="10"/>
      <c r="C131" s="10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1:16">
      <c r="A132" s="10"/>
      <c r="B132" s="10"/>
      <c r="C132" s="10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1:16">
      <c r="A133" s="10"/>
      <c r="B133" s="10"/>
      <c r="C133" s="10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1:16">
      <c r="A134" s="2"/>
      <c r="B134" s="2"/>
      <c r="C134" s="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</sheetData>
  <mergeCells count="5">
    <mergeCell ref="A102:P102"/>
    <mergeCell ref="A85:P85"/>
    <mergeCell ref="A1:P1"/>
    <mergeCell ref="A3:P3"/>
    <mergeCell ref="A24:P24"/>
  </mergeCells>
  <pageMargins left="0.70866141732283472" right="0.70866141732283472" top="0.74803149606299213" bottom="0.74803149606299213" header="0.31496062992125984" footer="0.31496062992125984"/>
  <pageSetup paperSize="9" scale="90" fitToHeight="7" orientation="landscape" r:id="rId1"/>
  <headerFooter>
    <oddHeader xml:space="preserve">&amp;C&amp;18&amp;K00-048Regnskabsmodel - Noter </oddHeader>
    <oddFooter>&amp;R&amp;P</oddFooter>
  </headerFooter>
  <rowBreaks count="3" manualBreakCount="3">
    <brk id="34" max="12" man="1"/>
    <brk id="62" max="12" man="1"/>
    <brk id="9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Forside</vt:lpstr>
      <vt:lpstr>Ledelsespåtegning</vt:lpstr>
      <vt:lpstr>Resultatopgørelse</vt:lpstr>
      <vt:lpstr>Balance</vt:lpstr>
      <vt:lpstr>Noter</vt:lpstr>
      <vt:lpstr>Ledelsespåtegning!_Toc251576535</vt:lpstr>
      <vt:lpstr>Forside!Print_Area</vt:lpstr>
      <vt:lpstr>Noter!Print_Area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chvass</dc:creator>
  <cp:lastModifiedBy>chvass</cp:lastModifiedBy>
  <cp:lastPrinted>2011-05-26T12:32:04Z</cp:lastPrinted>
  <dcterms:created xsi:type="dcterms:W3CDTF">2011-03-09T14:04:49Z</dcterms:created>
  <dcterms:modified xsi:type="dcterms:W3CDTF">2011-05-26T12:43:54Z</dcterms:modified>
</cp:coreProperties>
</file>