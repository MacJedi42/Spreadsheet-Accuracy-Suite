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120" yWindow="216" windowWidth="9552" windowHeight="819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Sheet1!$A$1:$D$55</definedName>
  </definedNames>
  <calcPr calcId="145621"/>
</workbook>
</file>

<file path=xl/calcChain.xml><?xml version="1.0" encoding="utf-8"?>
<calcChain xmlns="http://schemas.openxmlformats.org/spreadsheetml/2006/main">
  <c r="D45" i="1"/>
  <c r="D44"/>
  <c r="D43"/>
  <c r="D42"/>
  <c r="D41"/>
  <c r="D40"/>
  <c r="D39"/>
</calcChain>
</file>

<file path=xl/sharedStrings.xml><?xml version="1.0" encoding="utf-8"?>
<sst xmlns="http://schemas.openxmlformats.org/spreadsheetml/2006/main" count="61" uniqueCount="50">
  <si>
    <t>Implementation</t>
  </si>
  <si>
    <t>5000 Endpoints</t>
  </si>
  <si>
    <t>Price</t>
  </si>
  <si>
    <t>Section 1.1 - New Installations</t>
  </si>
  <si>
    <t>Section 1.2 - Exiting Installations</t>
  </si>
  <si>
    <t>Section 1.4 - Implementation</t>
  </si>
  <si>
    <t>Base Price
Per Seat</t>
  </si>
  <si>
    <t>ITSW002 - Desktop Management
Pricing Clarification</t>
  </si>
  <si>
    <t>Product</t>
  </si>
  <si>
    <t>Purchase Point</t>
  </si>
  <si>
    <t>Months 1-18</t>
  </si>
  <si>
    <t>Months 19-60</t>
  </si>
  <si>
    <t>Product Proposed</t>
  </si>
  <si>
    <t>Quantity</t>
  </si>
  <si>
    <t>Altiris - 104 hours</t>
  </si>
  <si>
    <t xml:space="preserve">1,250 Endpoints - Pilot </t>
  </si>
  <si>
    <t>$165/hr</t>
  </si>
  <si>
    <t>Altiris - 240 hours</t>
  </si>
  <si>
    <t>5,000 Endpoints</t>
  </si>
  <si>
    <t>Altiris - 360 hours</t>
  </si>
  <si>
    <t>10,000 Endpoints</t>
  </si>
  <si>
    <t>30,000 Endpoints</t>
  </si>
  <si>
    <t>(Travel &amp; Expense will be estimated at $2,000/week, we bill actuals.)</t>
  </si>
  <si>
    <t xml:space="preserve">We also noticed an error in the table below, on which our pricing is calculated. 
The number of hours for 30,000 endpoints should be 440, not 40. </t>
  </si>
  <si>
    <r>
      <t xml:space="preserve">Altiris - </t>
    </r>
    <r>
      <rPr>
        <sz val="10"/>
        <color rgb="FFFF0000"/>
        <rFont val="Arial"/>
        <family val="2"/>
      </rPr>
      <t>40</t>
    </r>
    <r>
      <rPr>
        <sz val="10"/>
        <color theme="1"/>
        <rFont val="Arial"/>
        <family val="2"/>
      </rPr>
      <t xml:space="preserve"> hours &gt; </t>
    </r>
    <r>
      <rPr>
        <sz val="10"/>
        <color rgb="FFFF0000"/>
        <rFont val="Arial"/>
        <family val="2"/>
      </rPr>
      <t>440 not 40</t>
    </r>
  </si>
  <si>
    <t>12-Month Maintenance Price
Per Seat</t>
  </si>
  <si>
    <t>Part No.</t>
  </si>
  <si>
    <t>Description</t>
  </si>
  <si>
    <t>Y1KNXZF0-EI1GS</t>
  </si>
  <si>
    <t>ALTIRIS ASSET MANAGEMENT SUITE 7.1 XPLAT PER CONCURR USER BNDL STD LIC GOV BAND S ESSENTIAL 12 MONTHS</t>
  </si>
  <si>
    <t>7ZUWXZF0-PI1GS</t>
  </si>
  <si>
    <t>EIPOWER SAVER SOLUTION 7.1 XPLAT PER NODE BNDL STD LIC GOV BAND S PREMIUM 12 MONTHS</t>
  </si>
  <si>
    <t>SYMC SERVICEDESK ANALYST 7.1 WIN PER CONCURR USER BNDL STD LIC GOV BAND S ESSENTIAL 12 MONTHS</t>
  </si>
  <si>
    <t>SYMC SERVICEDESK BASE 7.1 WIN PER ENTERPRISE BNDL STD LIC GOV BAND S ESSENTIAL 12 MONTHS</t>
  </si>
  <si>
    <t>OCIFXZF0-EI1GS</t>
  </si>
  <si>
    <t>ALTIRIS IT MANAGEMENT SUITE 7.1 XPLAT PER NODE BNDL STD LIC GOV BAND S ESSENTIAL 12 MONTHS</t>
  </si>
  <si>
    <t>D048XZF0-EI1GS</t>
  </si>
  <si>
    <t>ALTIRIS SERVER MANAGEMENT SUITE 7.1 XPLAT PER NODE BNDL STD LIC GOV BAND S ESSENTIAL 12 MONTHS</t>
  </si>
  <si>
    <t>Q296OZF0-EI1GS</t>
  </si>
  <si>
    <t>SYMC MOBILE MANAGEMENT 7.1 PER NODE BNDL STD LIC GOV BAND S ESSENTIAL 12 MONTHS</t>
  </si>
  <si>
    <t>Maintenance-Year 2</t>
  </si>
  <si>
    <t>Desktop Management-Add-On to Altiris Framework</t>
  </si>
  <si>
    <t>Norman, OK - Warehouse Services</t>
  </si>
  <si>
    <t>Receive/Stage</t>
  </si>
  <si>
    <t>Image</t>
  </si>
  <si>
    <t xml:space="preserve">Asset Tag </t>
  </si>
  <si>
    <t>Deliver</t>
  </si>
  <si>
    <t>(single delivery location)</t>
  </si>
  <si>
    <t>Total: $45 per device</t>
  </si>
  <si>
    <t>PC Provisioning Services</t>
  </si>
</sst>
</file>

<file path=xl/styles.xml><?xml version="1.0" encoding="utf-8"?>
<styleSheet xmlns="http://schemas.openxmlformats.org/spreadsheetml/2006/main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FF0000"/>
      <name val="Arial"/>
      <family val="2"/>
    </font>
    <font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5373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1" fillId="2" borderId="2" xfId="0" applyFont="1" applyFill="1" applyBorder="1" applyAlignment="1">
      <alignment horizontal="center"/>
    </xf>
    <xf numFmtId="0" fontId="0" fillId="0" borderId="5" xfId="0" applyBorder="1"/>
    <xf numFmtId="0" fontId="0" fillId="0" borderId="8" xfId="0" applyBorder="1"/>
    <xf numFmtId="0" fontId="1" fillId="0" borderId="9" xfId="0" applyFont="1" applyBorder="1"/>
    <xf numFmtId="0" fontId="1" fillId="2" borderId="10" xfId="0" applyFont="1" applyFill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0" fillId="0" borderId="0" xfId="0" applyFont="1" applyAlignment="1">
      <alignment horizontal="left" wrapText="1"/>
    </xf>
    <xf numFmtId="0" fontId="2" fillId="0" borderId="0" xfId="0" applyFont="1"/>
    <xf numFmtId="0" fontId="0" fillId="0" borderId="12" xfId="0" applyBorder="1"/>
    <xf numFmtId="0" fontId="1" fillId="2" borderId="10" xfId="0" applyFont="1" applyFill="1" applyBorder="1" applyAlignment="1">
      <alignment horizontal="center" wrapText="1"/>
    </xf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44" fontId="0" fillId="0" borderId="11" xfId="1" applyFont="1" applyBorder="1"/>
    <xf numFmtId="44" fontId="0" fillId="0" borderId="3" xfId="1" applyFont="1" applyBorder="1"/>
    <xf numFmtId="6" fontId="0" fillId="0" borderId="2" xfId="0" applyNumberFormat="1" applyBorder="1"/>
    <xf numFmtId="0" fontId="6" fillId="0" borderId="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7" fillId="0" borderId="0" xfId="0" applyFont="1" applyAlignment="1">
      <alignment horizontal="left" vertical="center" indent="1"/>
    </xf>
    <xf numFmtId="0" fontId="1" fillId="0" borderId="0" xfId="0" applyFont="1" applyAlignment="1">
      <alignment wrapText="1"/>
    </xf>
    <xf numFmtId="8" fontId="0" fillId="0" borderId="5" xfId="0" applyNumberFormat="1" applyBorder="1"/>
    <xf numFmtId="8" fontId="0" fillId="0" borderId="1" xfId="0" applyNumberFormat="1" applyBorder="1"/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44" fontId="0" fillId="0" borderId="0" xfId="1" applyFont="1" applyBorder="1" applyAlignment="1">
      <alignment vertical="center" wrapText="1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54"/>
  <sheetViews>
    <sheetView tabSelected="1" workbookViewId="0">
      <selection sqref="A1:D55"/>
    </sheetView>
  </sheetViews>
  <sheetFormatPr defaultRowHeight="14.4"/>
  <cols>
    <col min="1" max="1" width="27.44140625" style="2" customWidth="1"/>
    <col min="2" max="2" width="45.44140625" customWidth="1"/>
    <col min="3" max="4" width="18.5546875" customWidth="1"/>
  </cols>
  <sheetData>
    <row r="1" spans="1:4" ht="44.25" customHeight="1">
      <c r="A1" s="46" t="s">
        <v>7</v>
      </c>
      <c r="B1" s="46"/>
      <c r="C1" s="46"/>
      <c r="D1" s="46"/>
    </row>
    <row r="2" spans="1:4" ht="15" customHeight="1">
      <c r="A2" s="14"/>
      <c r="B2" s="14"/>
      <c r="C2" s="14"/>
      <c r="D2" s="14"/>
    </row>
    <row r="3" spans="1:4" ht="18">
      <c r="A3" s="15" t="s">
        <v>3</v>
      </c>
    </row>
    <row r="4" spans="1:4" ht="15" customHeight="1" thickBot="1">
      <c r="A4" s="45"/>
      <c r="B4" s="45"/>
      <c r="C4" s="45"/>
      <c r="D4" s="45"/>
    </row>
    <row r="5" spans="1:4" s="1" customFormat="1" ht="42.75" customHeight="1" thickBot="1">
      <c r="A5" s="7" t="s">
        <v>8</v>
      </c>
      <c r="B5" s="11" t="s">
        <v>9</v>
      </c>
      <c r="C5" s="17" t="s">
        <v>6</v>
      </c>
      <c r="D5" s="17" t="s">
        <v>25</v>
      </c>
    </row>
    <row r="6" spans="1:4" ht="15" thickBot="1">
      <c r="A6" s="10"/>
      <c r="B6" s="18" t="s">
        <v>10</v>
      </c>
      <c r="C6" s="21">
        <v>15.61</v>
      </c>
      <c r="D6" s="31">
        <v>2.92</v>
      </c>
    </row>
    <row r="7" spans="1:4" ht="15" thickBot="1">
      <c r="A7" s="10"/>
      <c r="B7" s="19" t="s">
        <v>11</v>
      </c>
      <c r="C7" s="22">
        <v>15.61</v>
      </c>
      <c r="D7" s="32">
        <v>2.92</v>
      </c>
    </row>
    <row r="8" spans="1:4" ht="15" thickBot="1">
      <c r="A8" s="10"/>
      <c r="B8" s="19"/>
      <c r="C8" s="6"/>
      <c r="D8" s="4"/>
    </row>
    <row r="9" spans="1:4" ht="15" thickBot="1">
      <c r="A9" s="10"/>
      <c r="B9" s="20"/>
      <c r="C9" s="16"/>
      <c r="D9" s="9"/>
    </row>
    <row r="12" spans="1:4" ht="18">
      <c r="A12" s="15" t="s">
        <v>4</v>
      </c>
    </row>
    <row r="13" spans="1:4" ht="15" thickBot="1">
      <c r="A13" s="3"/>
    </row>
    <row r="14" spans="1:4" ht="43.8" thickBot="1">
      <c r="A14" s="7" t="s">
        <v>8</v>
      </c>
      <c r="B14" s="11" t="s">
        <v>9</v>
      </c>
      <c r="C14" s="17" t="s">
        <v>6</v>
      </c>
      <c r="D14" s="17" t="s">
        <v>25</v>
      </c>
    </row>
    <row r="15" spans="1:4" ht="15" thickBot="1">
      <c r="A15" s="10"/>
      <c r="B15" s="18" t="s">
        <v>10</v>
      </c>
      <c r="C15" s="21">
        <v>8.59</v>
      </c>
      <c r="D15" s="8">
        <v>2.92</v>
      </c>
    </row>
    <row r="16" spans="1:4" ht="15" thickBot="1">
      <c r="A16" s="10"/>
      <c r="B16" s="19" t="s">
        <v>11</v>
      </c>
      <c r="C16" s="22">
        <v>8.59</v>
      </c>
      <c r="D16" s="4">
        <v>2.92</v>
      </c>
    </row>
    <row r="17" spans="1:4" ht="15" thickBot="1">
      <c r="A17" s="10"/>
      <c r="B17" s="19"/>
      <c r="C17" s="6"/>
      <c r="D17" s="4"/>
    </row>
    <row r="18" spans="1:4" ht="15" thickBot="1">
      <c r="A18" s="10"/>
      <c r="B18" s="20"/>
      <c r="C18" s="16"/>
      <c r="D18" s="9"/>
    </row>
    <row r="19" spans="1:4">
      <c r="A19" s="12"/>
      <c r="B19" s="13"/>
      <c r="C19" s="13"/>
      <c r="D19" s="13"/>
    </row>
    <row r="20" spans="1:4">
      <c r="A20" s="12"/>
      <c r="B20" s="13"/>
      <c r="D20" s="13"/>
    </row>
    <row r="21" spans="1:4" ht="18">
      <c r="A21" s="15" t="s">
        <v>5</v>
      </c>
      <c r="B21" s="13"/>
    </row>
    <row r="22" spans="1:4" ht="15" thickBot="1"/>
    <row r="23" spans="1:4" ht="15" thickBot="1">
      <c r="A23" s="7" t="s">
        <v>0</v>
      </c>
      <c r="B23" s="7" t="s">
        <v>2</v>
      </c>
    </row>
    <row r="24" spans="1:4" ht="15" thickBot="1">
      <c r="A24" s="5" t="s">
        <v>1</v>
      </c>
      <c r="B24" s="23">
        <v>39600</v>
      </c>
    </row>
    <row r="27" spans="1:4" ht="87" thickBot="1">
      <c r="A27" s="30" t="s">
        <v>23</v>
      </c>
    </row>
    <row r="28" spans="1:4" ht="15" thickBot="1">
      <c r="A28" s="24" t="s">
        <v>12</v>
      </c>
      <c r="B28" s="25" t="s">
        <v>13</v>
      </c>
      <c r="C28" s="25" t="s">
        <v>2</v>
      </c>
    </row>
    <row r="29" spans="1:4" ht="15" thickBot="1">
      <c r="A29" s="26" t="s">
        <v>14</v>
      </c>
      <c r="B29" s="27" t="s">
        <v>15</v>
      </c>
      <c r="C29" s="28" t="s">
        <v>16</v>
      </c>
    </row>
    <row r="30" spans="1:4" ht="15" thickBot="1">
      <c r="A30" s="26" t="s">
        <v>17</v>
      </c>
      <c r="B30" s="27" t="s">
        <v>18</v>
      </c>
      <c r="C30" s="28" t="s">
        <v>16</v>
      </c>
    </row>
    <row r="31" spans="1:4" ht="15" thickBot="1">
      <c r="A31" s="26" t="s">
        <v>19</v>
      </c>
      <c r="B31" s="27" t="s">
        <v>20</v>
      </c>
      <c r="C31" s="28" t="s">
        <v>16</v>
      </c>
    </row>
    <row r="32" spans="1:4" ht="15" thickBot="1">
      <c r="A32" s="26" t="s">
        <v>24</v>
      </c>
      <c r="B32" s="27" t="s">
        <v>21</v>
      </c>
      <c r="C32" s="28" t="s">
        <v>16</v>
      </c>
    </row>
    <row r="33" spans="1:4">
      <c r="A33" s="29" t="s">
        <v>22</v>
      </c>
    </row>
    <row r="35" spans="1:4" s="33" customFormat="1">
      <c r="A35" s="2"/>
    </row>
    <row r="36" spans="1:4" s="33" customFormat="1">
      <c r="A36" s="2"/>
    </row>
    <row r="37" spans="1:4">
      <c r="A37" s="2" t="s">
        <v>41</v>
      </c>
    </row>
    <row r="38" spans="1:4">
      <c r="A38" s="34" t="s">
        <v>26</v>
      </c>
      <c r="B38" s="35" t="s">
        <v>27</v>
      </c>
      <c r="C38" s="35" t="s">
        <v>2</v>
      </c>
      <c r="D38" s="34" t="s">
        <v>40</v>
      </c>
    </row>
    <row r="39" spans="1:4" ht="51" customHeight="1">
      <c r="A39" s="36" t="s">
        <v>28</v>
      </c>
      <c r="B39" s="37" t="s">
        <v>29</v>
      </c>
      <c r="C39" s="38">
        <v>10898.15</v>
      </c>
      <c r="D39" s="38">
        <f t="shared" ref="D39:D45" si="0">C39*0.28</f>
        <v>3051.482</v>
      </c>
    </row>
    <row r="40" spans="1:4" ht="36" customHeight="1">
      <c r="A40" s="36" t="s">
        <v>30</v>
      </c>
      <c r="B40" s="37" t="s">
        <v>31</v>
      </c>
      <c r="C40" s="38">
        <v>16.16</v>
      </c>
      <c r="D40" s="38">
        <f t="shared" si="0"/>
        <v>4.5248000000000008</v>
      </c>
    </row>
    <row r="41" spans="1:4" ht="46.5" customHeight="1">
      <c r="A41" s="36">
        <v>21062872</v>
      </c>
      <c r="B41" s="37" t="s">
        <v>32</v>
      </c>
      <c r="C41" s="38">
        <v>3671.56</v>
      </c>
      <c r="D41" s="38">
        <f t="shared" si="0"/>
        <v>1028.0368000000001</v>
      </c>
    </row>
    <row r="42" spans="1:4" ht="36" customHeight="1">
      <c r="A42" s="36">
        <v>21063081</v>
      </c>
      <c r="B42" s="37" t="s">
        <v>33</v>
      </c>
      <c r="C42" s="38">
        <v>19232.04</v>
      </c>
      <c r="D42" s="38">
        <f t="shared" si="0"/>
        <v>5384.9712000000009</v>
      </c>
    </row>
    <row r="43" spans="1:4" ht="44.25" customHeight="1">
      <c r="A43" s="36" t="s">
        <v>34</v>
      </c>
      <c r="B43" s="37" t="s">
        <v>35</v>
      </c>
      <c r="C43" s="38">
        <v>143.77000000000001</v>
      </c>
      <c r="D43" s="38">
        <f t="shared" si="0"/>
        <v>40.255600000000008</v>
      </c>
    </row>
    <row r="44" spans="1:4" ht="48" customHeight="1">
      <c r="A44" s="36" t="s">
        <v>36</v>
      </c>
      <c r="B44" s="37" t="s">
        <v>37</v>
      </c>
      <c r="C44" s="38">
        <v>255.81</v>
      </c>
      <c r="D44" s="38">
        <f t="shared" si="0"/>
        <v>71.626800000000003</v>
      </c>
    </row>
    <row r="45" spans="1:4" ht="36" customHeight="1">
      <c r="A45" s="36" t="s">
        <v>38</v>
      </c>
      <c r="B45" s="37" t="s">
        <v>39</v>
      </c>
      <c r="C45" s="38">
        <v>38.61</v>
      </c>
      <c r="D45" s="38">
        <f t="shared" si="0"/>
        <v>10.8108</v>
      </c>
    </row>
    <row r="46" spans="1:4" s="33" customFormat="1" ht="36" customHeight="1">
      <c r="A46" s="42"/>
      <c r="B46" s="43"/>
      <c r="C46" s="44"/>
      <c r="D46" s="44"/>
    </row>
    <row r="47" spans="1:4" ht="15" thickBot="1">
      <c r="A47" s="2" t="s">
        <v>49</v>
      </c>
    </row>
    <row r="48" spans="1:4" ht="31.8" thickBot="1">
      <c r="A48" s="41" t="s">
        <v>42</v>
      </c>
    </row>
    <row r="49" spans="1:1">
      <c r="A49" s="39" t="s">
        <v>43</v>
      </c>
    </row>
    <row r="50" spans="1:1">
      <c r="A50" s="39" t="s">
        <v>44</v>
      </c>
    </row>
    <row r="51" spans="1:1">
      <c r="A51" s="39" t="s">
        <v>45</v>
      </c>
    </row>
    <row r="52" spans="1:1">
      <c r="A52" s="39" t="s">
        <v>46</v>
      </c>
    </row>
    <row r="53" spans="1:1" ht="15" thickBot="1">
      <c r="A53" s="39" t="s">
        <v>47</v>
      </c>
    </row>
    <row r="54" spans="1:1" ht="15" thickBot="1">
      <c r="A54" s="40" t="s">
        <v>48</v>
      </c>
    </row>
  </sheetData>
  <mergeCells count="2">
    <mergeCell ref="A4:D4"/>
    <mergeCell ref="A1:D1"/>
  </mergeCells>
  <pageMargins left="0.7" right="0.7" top="0.75" bottom="0.75" header="0.3" footer="0.3"/>
  <pageSetup scale="82" fitToHeight="2" orientation="portrait" copies="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Wallace</dc:creator>
  <cp:lastModifiedBy>Gary Rowland</cp:lastModifiedBy>
  <cp:lastPrinted>2012-03-15T14:34:59Z</cp:lastPrinted>
  <dcterms:created xsi:type="dcterms:W3CDTF">2012-02-17T16:16:58Z</dcterms:created>
  <dcterms:modified xsi:type="dcterms:W3CDTF">2012-03-15T14:35:46Z</dcterms:modified>
</cp:coreProperties>
</file>