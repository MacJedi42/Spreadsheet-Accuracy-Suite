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320" windowHeight="95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8" i="1" l="1"/>
  <c r="E9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8" i="1"/>
</calcChain>
</file>

<file path=xl/comments1.xml><?xml version="1.0" encoding="utf-8"?>
<comments xmlns="http://schemas.openxmlformats.org/spreadsheetml/2006/main">
  <authors>
    <author>mvolpe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 xml:space="preserve">Mike Volpe (CMO @ HubSpot): 
</t>
        </r>
        <r>
          <rPr>
            <sz val="9"/>
            <color indexed="81"/>
            <rFont val="Tahoma"/>
            <family val="2"/>
          </rPr>
          <t>Type in your number of sales reps, leads goal and the length of the month here.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 xml:space="preserve">Mike Volpe (CMO @ HubSpot):
</t>
        </r>
        <r>
          <rPr>
            <sz val="9"/>
            <color indexed="81"/>
            <rFont val="Tahoma"/>
            <family val="2"/>
          </rPr>
          <t>Type in your leads each day in this column, the graph should update automatically</t>
        </r>
      </text>
    </comment>
  </commentList>
</comments>
</file>

<file path=xl/sharedStrings.xml><?xml version="1.0" encoding="utf-8"?>
<sst xmlns="http://schemas.openxmlformats.org/spreadsheetml/2006/main" count="8" uniqueCount="8">
  <si>
    <t>Number of Sales Reps</t>
  </si>
  <si>
    <t>Goal of Leads per Sales Rep</t>
  </si>
  <si>
    <t>Days This Month</t>
  </si>
  <si>
    <t>Day of the Month</t>
  </si>
  <si>
    <t>Actual Leads</t>
  </si>
  <si>
    <t>Goal %</t>
  </si>
  <si>
    <t>Actual Leads %</t>
  </si>
  <si>
    <t>Leads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</si>
</sst>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164" fontId="0" fillId="0" borderId="0" xfId="1" applyNumberFormat="1" applyFont="1"/>
    <xf numFmtId="1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Leads Waterfall Graph</a:t>
            </a:r>
          </a:p>
          <a:p>
            <a:pPr>
              <a:defRPr/>
            </a:pPr>
            <a:r>
              <a:rPr lang="en-US"/>
              <a:t>(% of Leads Goal)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Goal %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Sheet1!$D$8:$D$38</c:f>
              <c:numCache>
                <c:formatCode>0.0%</c:formatCode>
                <c:ptCount val="31"/>
                <c:pt idx="0">
                  <c:v>3.2258064516129031E-2</c:v>
                </c:pt>
                <c:pt idx="1">
                  <c:v>6.4516129032258063E-2</c:v>
                </c:pt>
                <c:pt idx="2">
                  <c:v>9.6774193548387094E-2</c:v>
                </c:pt>
                <c:pt idx="3">
                  <c:v>0.12903225806451613</c:v>
                </c:pt>
                <c:pt idx="4">
                  <c:v>0.16129032258064516</c:v>
                </c:pt>
                <c:pt idx="5">
                  <c:v>0.19354838709677419</c:v>
                </c:pt>
                <c:pt idx="6">
                  <c:v>0.22580645161290322</c:v>
                </c:pt>
                <c:pt idx="7">
                  <c:v>0.25806451612903225</c:v>
                </c:pt>
                <c:pt idx="8">
                  <c:v>0.29032258064516131</c:v>
                </c:pt>
                <c:pt idx="9">
                  <c:v>0.32258064516129031</c:v>
                </c:pt>
                <c:pt idx="10">
                  <c:v>0.35483870967741937</c:v>
                </c:pt>
                <c:pt idx="11">
                  <c:v>0.38709677419354838</c:v>
                </c:pt>
                <c:pt idx="12">
                  <c:v>0.41935483870967744</c:v>
                </c:pt>
                <c:pt idx="13">
                  <c:v>0.45161290322580644</c:v>
                </c:pt>
                <c:pt idx="14">
                  <c:v>0.4838709677419355</c:v>
                </c:pt>
                <c:pt idx="15">
                  <c:v>0.5161290322580645</c:v>
                </c:pt>
                <c:pt idx="16">
                  <c:v>0.54838709677419351</c:v>
                </c:pt>
                <c:pt idx="17">
                  <c:v>0.58064516129032262</c:v>
                </c:pt>
                <c:pt idx="18">
                  <c:v>0.61290322580645162</c:v>
                </c:pt>
                <c:pt idx="19">
                  <c:v>0.64516129032258063</c:v>
                </c:pt>
                <c:pt idx="20">
                  <c:v>0.67741935483870963</c:v>
                </c:pt>
                <c:pt idx="21">
                  <c:v>0.70967741935483875</c:v>
                </c:pt>
                <c:pt idx="22">
                  <c:v>0.74193548387096775</c:v>
                </c:pt>
                <c:pt idx="23">
                  <c:v>0.77419354838709675</c:v>
                </c:pt>
                <c:pt idx="24">
                  <c:v>0.80645161290322576</c:v>
                </c:pt>
                <c:pt idx="25">
                  <c:v>0.83870967741935487</c:v>
                </c:pt>
                <c:pt idx="26">
                  <c:v>0.87096774193548387</c:v>
                </c:pt>
                <c:pt idx="27">
                  <c:v>0.90322580645161288</c:v>
                </c:pt>
                <c:pt idx="28">
                  <c:v>0.93548387096774188</c:v>
                </c:pt>
                <c:pt idx="29">
                  <c:v>0.967741935483871</c:v>
                </c:pt>
                <c:pt idx="3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Sheet1!$E$7</c:f>
              <c:strCache>
                <c:ptCount val="1"/>
                <c:pt idx="0">
                  <c:v>Actual Leads %</c:v>
                </c:pt>
              </c:strCache>
            </c:strRef>
          </c:tx>
          <c:spPr>
            <a:ln w="762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Sheet1!$E$8:$E$38</c:f>
              <c:numCache>
                <c:formatCode>0.0%</c:formatCode>
                <c:ptCount val="31"/>
                <c:pt idx="0">
                  <c:v>2.2857142857142857E-2</c:v>
                </c:pt>
                <c:pt idx="1">
                  <c:v>4.642857142857143E-2</c:v>
                </c:pt>
                <c:pt idx="2">
                  <c:v>7.0000000000000007E-2</c:v>
                </c:pt>
                <c:pt idx="3">
                  <c:v>9.2142857142857137E-2</c:v>
                </c:pt>
                <c:pt idx="4">
                  <c:v>0.11357142857142857</c:v>
                </c:pt>
                <c:pt idx="5">
                  <c:v>0.13428571428571429</c:v>
                </c:pt>
                <c:pt idx="6">
                  <c:v>0.17499999999999999</c:v>
                </c:pt>
                <c:pt idx="7">
                  <c:v>0.185</c:v>
                </c:pt>
                <c:pt idx="8">
                  <c:v>0.18928571428571428</c:v>
                </c:pt>
                <c:pt idx="9">
                  <c:v>0.23214285714285715</c:v>
                </c:pt>
                <c:pt idx="10">
                  <c:v>0.24285714285714285</c:v>
                </c:pt>
                <c:pt idx="11">
                  <c:v>0.25357142857142856</c:v>
                </c:pt>
                <c:pt idx="12">
                  <c:v>0.3</c:v>
                </c:pt>
                <c:pt idx="13">
                  <c:v>0.31357142857142856</c:v>
                </c:pt>
                <c:pt idx="14">
                  <c:v>0.35714285714285715</c:v>
                </c:pt>
                <c:pt idx="15">
                  <c:v>0.37857142857142856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98432"/>
        <c:axId val="60146816"/>
      </c:lineChart>
      <c:catAx>
        <c:axId val="9089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Day of the Month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0146816"/>
        <c:crosses val="autoZero"/>
        <c:auto val="1"/>
        <c:lblAlgn val="ctr"/>
        <c:lblOffset val="100"/>
        <c:noMultiLvlLbl val="0"/>
      </c:catAx>
      <c:valAx>
        <c:axId val="60146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% of Leads Goal</a:t>
                </a:r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90898432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390524</xdr:colOff>
      <xdr:row>6</xdr:row>
      <xdr:rowOff>133350</xdr:rowOff>
    </xdr:from>
    <xdr:to>
      <xdr:col>15</xdr:col>
      <xdr:colOff>142875</xdr:colOff>
      <xdr:row>28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8"/>
  <sheetViews>
    <sheetView tabSelected="1" workbookViewId="0">
      <selection activeCell="A6" sqref="A6"/>
    </sheetView>
  </sheetViews>
  <sheetFormatPr defaultRowHeight="15" x14ac:dyDescent="0.25"/>
  <cols>
    <col min="1" max="1" width="25.5703125" bestFit="1" customWidth="1"/>
    <col min="2" max="4" width="12.7109375" customWidth="1"/>
    <col min="5" max="5" width="14.140625" bestFit="1" customWidth="1"/>
  </cols>
  <sheetData>
    <row r="2" spans="1:5" x14ac:dyDescent="0.25">
      <c r="A2" s="1" t="s">
        <v>0</v>
      </c>
      <c r="B2" s="2">
        <v>7</v>
      </c>
    </row>
    <row r="3" spans="1:5" x14ac:dyDescent="0.25">
      <c r="A3" s="1" t="s">
        <v>1</v>
      </c>
      <c r="B3" s="2">
        <v>200</v>
      </c>
    </row>
    <row r="4" spans="1:5" x14ac:dyDescent="0.25">
      <c r="A4" s="1" t="s">
        <v>2</v>
      </c>
      <c r="B4" s="2">
        <v>31</v>
      </c>
    </row>
    <row r="7" spans="1:5" x14ac:dyDescent="0.25">
      <c r="A7" s="6" t="s">
        <v>3</v>
      </c>
      <c r="B7" s="6" t="s">
        <v>7</v>
      </c>
      <c r="C7" s="6" t="s">
        <v>4</v>
      </c>
      <c r="D7" s="6" t="s">
        <v>5</v>
      </c>
      <c r="E7" s="6" t="s">
        <v>6</v>
      </c>
    </row>
    <row r="8" spans="1:5" x14ac:dyDescent="0.25">
      <c r="A8">
        <v>1</v>
      </c>
      <c r="B8" s="4">
        <f>($B$2*$B$3)/$B$4*A8</f>
        <v>45.161290322580648</v>
      </c>
      <c r="C8" s="5">
        <v>32</v>
      </c>
      <c r="D8" s="3">
        <f>A8/$B$4</f>
        <v>3.2258064516129031E-2</v>
      </c>
      <c r="E8" s="3">
        <f>C8/($B$3*$B$2)</f>
        <v>2.2857142857142857E-2</v>
      </c>
    </row>
    <row r="9" spans="1:5" x14ac:dyDescent="0.25">
      <c r="A9">
        <v>2</v>
      </c>
      <c r="B9" s="4">
        <f t="shared" ref="B9:B38" si="0">($B$2*$B$3)/$B$4*A9</f>
        <v>90.322580645161295</v>
      </c>
      <c r="C9" s="5">
        <v>65</v>
      </c>
      <c r="D9" s="3">
        <f t="shared" ref="D9:D38" si="1">A9/$B$4</f>
        <v>6.4516129032258063E-2</v>
      </c>
      <c r="E9" s="3">
        <f t="shared" ref="E9:E23" si="2">C9/($B$3*$B$2)</f>
        <v>4.642857142857143E-2</v>
      </c>
    </row>
    <row r="10" spans="1:5" x14ac:dyDescent="0.25">
      <c r="A10">
        <v>3</v>
      </c>
      <c r="B10" s="4">
        <f t="shared" si="0"/>
        <v>135.48387096774195</v>
      </c>
      <c r="C10" s="5">
        <v>98</v>
      </c>
      <c r="D10" s="3">
        <f t="shared" si="1"/>
        <v>9.6774193548387094E-2</v>
      </c>
      <c r="E10" s="3">
        <f t="shared" si="2"/>
        <v>7.0000000000000007E-2</v>
      </c>
    </row>
    <row r="11" spans="1:5" x14ac:dyDescent="0.25">
      <c r="A11">
        <v>4</v>
      </c>
      <c r="B11" s="4">
        <f t="shared" si="0"/>
        <v>180.64516129032259</v>
      </c>
      <c r="C11" s="5">
        <v>129</v>
      </c>
      <c r="D11" s="3">
        <f t="shared" si="1"/>
        <v>0.12903225806451613</v>
      </c>
      <c r="E11" s="3">
        <f t="shared" si="2"/>
        <v>9.2142857142857137E-2</v>
      </c>
    </row>
    <row r="12" spans="1:5" x14ac:dyDescent="0.25">
      <c r="A12">
        <v>5</v>
      </c>
      <c r="B12" s="4">
        <f t="shared" si="0"/>
        <v>225.80645161290323</v>
      </c>
      <c r="C12" s="5">
        <v>159</v>
      </c>
      <c r="D12" s="3">
        <f t="shared" si="1"/>
        <v>0.16129032258064516</v>
      </c>
      <c r="E12" s="3">
        <f t="shared" si="2"/>
        <v>0.11357142857142857</v>
      </c>
    </row>
    <row r="13" spans="1:5" x14ac:dyDescent="0.25">
      <c r="A13">
        <v>6</v>
      </c>
      <c r="B13" s="4">
        <f t="shared" si="0"/>
        <v>270.9677419354839</v>
      </c>
      <c r="C13" s="5">
        <v>188</v>
      </c>
      <c r="D13" s="3">
        <f t="shared" si="1"/>
        <v>0.19354838709677419</v>
      </c>
      <c r="E13" s="3">
        <f t="shared" si="2"/>
        <v>0.13428571428571429</v>
      </c>
    </row>
    <row r="14" spans="1:5" x14ac:dyDescent="0.25">
      <c r="A14">
        <v>7</v>
      </c>
      <c r="B14" s="4">
        <f t="shared" si="0"/>
        <v>316.12903225806451</v>
      </c>
      <c r="C14" s="5">
        <v>245</v>
      </c>
      <c r="D14" s="3">
        <f t="shared" si="1"/>
        <v>0.22580645161290322</v>
      </c>
      <c r="E14" s="3">
        <f t="shared" si="2"/>
        <v>0.17499999999999999</v>
      </c>
    </row>
    <row r="15" spans="1:5" x14ac:dyDescent="0.25">
      <c r="A15">
        <v>8</v>
      </c>
      <c r="B15" s="4">
        <f t="shared" si="0"/>
        <v>361.29032258064518</v>
      </c>
      <c r="C15" s="5">
        <v>259</v>
      </c>
      <c r="D15" s="3">
        <f t="shared" si="1"/>
        <v>0.25806451612903225</v>
      </c>
      <c r="E15" s="3">
        <f t="shared" si="2"/>
        <v>0.185</v>
      </c>
    </row>
    <row r="16" spans="1:5" x14ac:dyDescent="0.25">
      <c r="A16">
        <v>9</v>
      </c>
      <c r="B16" s="4">
        <f t="shared" si="0"/>
        <v>406.45161290322585</v>
      </c>
      <c r="C16" s="5">
        <v>265</v>
      </c>
      <c r="D16" s="3">
        <f t="shared" si="1"/>
        <v>0.29032258064516131</v>
      </c>
      <c r="E16" s="3">
        <f t="shared" si="2"/>
        <v>0.18928571428571428</v>
      </c>
    </row>
    <row r="17" spans="1:5" x14ac:dyDescent="0.25">
      <c r="A17">
        <v>10</v>
      </c>
      <c r="B17" s="4">
        <f t="shared" si="0"/>
        <v>451.61290322580646</v>
      </c>
      <c r="C17" s="5">
        <v>325</v>
      </c>
      <c r="D17" s="3">
        <f t="shared" si="1"/>
        <v>0.32258064516129031</v>
      </c>
      <c r="E17" s="3">
        <f t="shared" si="2"/>
        <v>0.23214285714285715</v>
      </c>
    </row>
    <row r="18" spans="1:5" x14ac:dyDescent="0.25">
      <c r="A18">
        <v>11</v>
      </c>
      <c r="B18" s="4">
        <f t="shared" si="0"/>
        <v>496.77419354838713</v>
      </c>
      <c r="C18" s="5">
        <v>340</v>
      </c>
      <c r="D18" s="3">
        <f t="shared" si="1"/>
        <v>0.35483870967741937</v>
      </c>
      <c r="E18" s="3">
        <f t="shared" si="2"/>
        <v>0.24285714285714285</v>
      </c>
    </row>
    <row r="19" spans="1:5" x14ac:dyDescent="0.25">
      <c r="A19">
        <v>12</v>
      </c>
      <c r="B19" s="4">
        <f t="shared" si="0"/>
        <v>541.9354838709678</v>
      </c>
      <c r="C19" s="5">
        <v>355</v>
      </c>
      <c r="D19" s="3">
        <f t="shared" si="1"/>
        <v>0.38709677419354838</v>
      </c>
      <c r="E19" s="3">
        <f t="shared" si="2"/>
        <v>0.25357142857142856</v>
      </c>
    </row>
    <row r="20" spans="1:5" x14ac:dyDescent="0.25">
      <c r="A20">
        <v>13</v>
      </c>
      <c r="B20" s="4">
        <f t="shared" si="0"/>
        <v>587.09677419354841</v>
      </c>
      <c r="C20" s="5">
        <v>420</v>
      </c>
      <c r="D20" s="3">
        <f t="shared" si="1"/>
        <v>0.41935483870967744</v>
      </c>
      <c r="E20" s="3">
        <f t="shared" si="2"/>
        <v>0.3</v>
      </c>
    </row>
    <row r="21" spans="1:5" x14ac:dyDescent="0.25">
      <c r="A21">
        <v>14</v>
      </c>
      <c r="B21" s="4">
        <f t="shared" si="0"/>
        <v>632.25806451612902</v>
      </c>
      <c r="C21" s="5">
        <v>439</v>
      </c>
      <c r="D21" s="3">
        <f t="shared" si="1"/>
        <v>0.45161290322580644</v>
      </c>
      <c r="E21" s="3">
        <f t="shared" si="2"/>
        <v>0.31357142857142856</v>
      </c>
    </row>
    <row r="22" spans="1:5" x14ac:dyDescent="0.25">
      <c r="A22">
        <v>15</v>
      </c>
      <c r="B22" s="4">
        <f t="shared" si="0"/>
        <v>677.41935483870975</v>
      </c>
      <c r="C22" s="5">
        <v>500</v>
      </c>
      <c r="D22" s="3">
        <f t="shared" si="1"/>
        <v>0.4838709677419355</v>
      </c>
      <c r="E22" s="3">
        <f t="shared" si="2"/>
        <v>0.35714285714285715</v>
      </c>
    </row>
    <row r="23" spans="1:5" x14ac:dyDescent="0.25">
      <c r="A23">
        <v>16</v>
      </c>
      <c r="B23" s="4">
        <f t="shared" si="0"/>
        <v>722.58064516129036</v>
      </c>
      <c r="C23" s="5">
        <v>530</v>
      </c>
      <c r="D23" s="3">
        <f t="shared" si="1"/>
        <v>0.5161290322580645</v>
      </c>
      <c r="E23" s="3">
        <f t="shared" si="2"/>
        <v>0.37857142857142856</v>
      </c>
    </row>
    <row r="24" spans="1:5" x14ac:dyDescent="0.25">
      <c r="A24">
        <v>17</v>
      </c>
      <c r="B24" s="4">
        <f t="shared" si="0"/>
        <v>767.74193548387098</v>
      </c>
      <c r="C24" s="5"/>
      <c r="D24" s="3">
        <f t="shared" si="1"/>
        <v>0.54838709677419351</v>
      </c>
      <c r="E24" s="3"/>
    </row>
    <row r="25" spans="1:5" x14ac:dyDescent="0.25">
      <c r="A25">
        <v>18</v>
      </c>
      <c r="B25" s="4">
        <f t="shared" si="0"/>
        <v>812.9032258064517</v>
      </c>
      <c r="C25" s="5"/>
      <c r="D25" s="3">
        <f t="shared" si="1"/>
        <v>0.58064516129032262</v>
      </c>
      <c r="E25" s="3"/>
    </row>
    <row r="26" spans="1:5" x14ac:dyDescent="0.25">
      <c r="A26">
        <v>19</v>
      </c>
      <c r="B26" s="4">
        <f t="shared" si="0"/>
        <v>858.06451612903231</v>
      </c>
      <c r="C26" s="5"/>
      <c r="D26" s="3">
        <f t="shared" si="1"/>
        <v>0.61290322580645162</v>
      </c>
      <c r="E26" s="3"/>
    </row>
    <row r="27" spans="1:5" x14ac:dyDescent="0.25">
      <c r="A27">
        <v>20</v>
      </c>
      <c r="B27" s="4">
        <f t="shared" si="0"/>
        <v>903.22580645161293</v>
      </c>
      <c r="C27" s="5"/>
      <c r="D27" s="3">
        <f t="shared" si="1"/>
        <v>0.64516129032258063</v>
      </c>
      <c r="E27" s="3"/>
    </row>
    <row r="28" spans="1:5" x14ac:dyDescent="0.25">
      <c r="A28">
        <v>21</v>
      </c>
      <c r="B28" s="4">
        <f t="shared" si="0"/>
        <v>948.38709677419365</v>
      </c>
      <c r="C28" s="5"/>
      <c r="D28" s="3">
        <f t="shared" si="1"/>
        <v>0.67741935483870963</v>
      </c>
      <c r="E28" s="3"/>
    </row>
    <row r="29" spans="1:5" x14ac:dyDescent="0.25">
      <c r="A29">
        <v>22</v>
      </c>
      <c r="B29" s="4">
        <f t="shared" si="0"/>
        <v>993.54838709677426</v>
      </c>
      <c r="C29" s="5"/>
      <c r="D29" s="3">
        <f t="shared" si="1"/>
        <v>0.70967741935483875</v>
      </c>
      <c r="E29" s="3"/>
    </row>
    <row r="30" spans="1:5" x14ac:dyDescent="0.25">
      <c r="A30">
        <v>23</v>
      </c>
      <c r="B30" s="4">
        <f t="shared" si="0"/>
        <v>1038.7096774193549</v>
      </c>
      <c r="C30" s="5"/>
      <c r="D30" s="3">
        <f t="shared" si="1"/>
        <v>0.74193548387096775</v>
      </c>
      <c r="E30" s="3"/>
    </row>
    <row r="31" spans="1:5" x14ac:dyDescent="0.25">
      <c r="A31">
        <v>24</v>
      </c>
      <c r="B31" s="4">
        <f t="shared" si="0"/>
        <v>1083.8709677419356</v>
      </c>
      <c r="C31" s="5"/>
      <c r="D31" s="3">
        <f t="shared" si="1"/>
        <v>0.77419354838709675</v>
      </c>
      <c r="E31" s="3"/>
    </row>
    <row r="32" spans="1:5" x14ac:dyDescent="0.25">
      <c r="A32">
        <v>25</v>
      </c>
      <c r="B32" s="4">
        <f t="shared" si="0"/>
        <v>1129.0322580645161</v>
      </c>
      <c r="C32" s="5"/>
      <c r="D32" s="3">
        <f t="shared" si="1"/>
        <v>0.80645161290322576</v>
      </c>
      <c r="E32" s="3"/>
    </row>
    <row r="33" spans="1:5" x14ac:dyDescent="0.25">
      <c r="A33">
        <v>26</v>
      </c>
      <c r="B33" s="4">
        <f t="shared" si="0"/>
        <v>1174.1935483870968</v>
      </c>
      <c r="C33" s="5"/>
      <c r="D33" s="3">
        <f t="shared" si="1"/>
        <v>0.83870967741935487</v>
      </c>
      <c r="E33" s="3"/>
    </row>
    <row r="34" spans="1:5" x14ac:dyDescent="0.25">
      <c r="A34">
        <v>27</v>
      </c>
      <c r="B34" s="4">
        <f t="shared" si="0"/>
        <v>1219.3548387096776</v>
      </c>
      <c r="C34" s="5"/>
      <c r="D34" s="3">
        <f t="shared" si="1"/>
        <v>0.87096774193548387</v>
      </c>
      <c r="E34" s="3"/>
    </row>
    <row r="35" spans="1:5" x14ac:dyDescent="0.25">
      <c r="A35">
        <v>28</v>
      </c>
      <c r="B35" s="4">
        <f t="shared" si="0"/>
        <v>1264.516129032258</v>
      </c>
      <c r="C35" s="5"/>
      <c r="D35" s="3">
        <f t="shared" si="1"/>
        <v>0.90322580645161288</v>
      </c>
      <c r="E35" s="3"/>
    </row>
    <row r="36" spans="1:5" x14ac:dyDescent="0.25">
      <c r="A36">
        <v>29</v>
      </c>
      <c r="B36" s="4">
        <f t="shared" si="0"/>
        <v>1309.6774193548388</v>
      </c>
      <c r="C36" s="5"/>
      <c r="D36" s="3">
        <f t="shared" si="1"/>
        <v>0.93548387096774188</v>
      </c>
      <c r="E36" s="3"/>
    </row>
    <row r="37" spans="1:5" x14ac:dyDescent="0.25">
      <c r="A37">
        <v>30</v>
      </c>
      <c r="B37" s="4">
        <f t="shared" si="0"/>
        <v>1354.8387096774195</v>
      </c>
      <c r="C37" s="5"/>
      <c r="D37" s="3">
        <f t="shared" si="1"/>
        <v>0.967741935483871</v>
      </c>
      <c r="E37" s="3"/>
    </row>
    <row r="38" spans="1:5" x14ac:dyDescent="0.25">
      <c r="A38">
        <v>31</v>
      </c>
      <c r="B38" s="4">
        <f t="shared" si="0"/>
        <v>1400</v>
      </c>
      <c r="C38" s="5"/>
      <c r="D38" s="3">
        <f t="shared" si="1"/>
        <v>1</v>
      </c>
      <c r="E38" s="3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mvolpe</dc:creator>
  <cp:lastModifiedBy>Corey Eridon</cp:lastModifiedBy>
  <dcterms:created xsi:type="dcterms:W3CDTF">2011-05-13T17:24:54Z</dcterms:created>
  <dcterms:modified xsi:type="dcterms:W3CDTF">2012-05-14T15:16:16Z</dcterms:modified>
</cp:coreProperties>
</file>