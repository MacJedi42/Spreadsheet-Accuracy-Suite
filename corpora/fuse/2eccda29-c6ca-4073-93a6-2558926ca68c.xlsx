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ate1904="1" showInkAnnotation="0" autoCompressPictures="0"/>
  <bookViews>
    <workbookView xWindow="-15" yWindow="-15" windowWidth="15375" windowHeight="7830" tabRatio="500"/>
  </bookViews>
  <sheets>
    <sheet name="TITLE PAGE" sheetId="6" r:id="rId1"/>
    <sheet name="1) Full Survey" sheetId="4" r:id="rId2"/>
    <sheet name="2) Building-Site Inventory" sheetId="8" r:id="rId3"/>
    <sheet name="3) Funding Source Key" sheetId="2" r:id="rId4"/>
    <sheet name="4) Pull-Down Options" sheetId="5" r:id="rId5"/>
  </sheets>
  <calcPr calcId="145621"/>
</workbook>
</file>

<file path=xl/calcChain.xml><?xml version="1.0" encoding="utf-8"?>
<calcChain xmlns="http://schemas.openxmlformats.org/spreadsheetml/2006/main">
  <c r="B59" i="8" l="1"/>
  <c r="B72" i="4"/>
  <c r="D73" i="4" s="1"/>
  <c r="B76" i="4"/>
  <c r="I77" i="4" s="1"/>
  <c r="B68" i="4"/>
  <c r="I69" i="4" s="1"/>
  <c r="K69" i="4"/>
  <c r="G69" i="4"/>
  <c r="E69" i="4"/>
  <c r="J69" i="4"/>
  <c r="B63" i="8"/>
  <c r="H77" i="4" l="1"/>
  <c r="E77" i="4"/>
  <c r="K73" i="4"/>
  <c r="E73" i="4"/>
  <c r="H73" i="4"/>
  <c r="I73" i="4"/>
  <c r="C69" i="4"/>
  <c r="H69" i="4"/>
  <c r="D69" i="4"/>
  <c r="F77" i="4"/>
  <c r="J77" i="4"/>
  <c r="F73" i="4"/>
  <c r="J73" i="4"/>
  <c r="C77" i="4"/>
  <c r="G77" i="4"/>
  <c r="K77" i="4"/>
  <c r="F69" i="4"/>
  <c r="C73" i="4"/>
  <c r="G73" i="4"/>
  <c r="D77" i="4"/>
  <c r="B86" i="8"/>
  <c r="F87" i="8" s="1"/>
  <c r="B82" i="8"/>
  <c r="H83" i="8" s="1"/>
  <c r="K64" i="8"/>
  <c r="J60" i="8"/>
  <c r="B55" i="8"/>
  <c r="G56" i="8" s="1"/>
  <c r="L77" i="4" l="1"/>
  <c r="L73" i="4"/>
  <c r="L69" i="4"/>
  <c r="I83" i="8"/>
  <c r="K60" i="8"/>
  <c r="H64" i="8"/>
  <c r="E60" i="8"/>
  <c r="G60" i="8"/>
  <c r="I64" i="8"/>
  <c r="C60" i="8"/>
  <c r="H60" i="8"/>
  <c r="D64" i="8"/>
  <c r="D60" i="8"/>
  <c r="I60" i="8"/>
  <c r="E64" i="8"/>
  <c r="E83" i="8"/>
  <c r="F56" i="8"/>
  <c r="J56" i="8"/>
  <c r="J87" i="8"/>
  <c r="C56" i="8"/>
  <c r="K56" i="8"/>
  <c r="F83" i="8"/>
  <c r="J83" i="8"/>
  <c r="C87" i="8"/>
  <c r="G87" i="8"/>
  <c r="K87" i="8"/>
  <c r="D56" i="8"/>
  <c r="H56" i="8"/>
  <c r="F64" i="8"/>
  <c r="J64" i="8"/>
  <c r="C83" i="8"/>
  <c r="G83" i="8"/>
  <c r="K83" i="8"/>
  <c r="D87" i="8"/>
  <c r="H87" i="8"/>
  <c r="E56" i="8"/>
  <c r="I56" i="8"/>
  <c r="F60" i="8"/>
  <c r="C64" i="8"/>
  <c r="G64" i="8"/>
  <c r="D83" i="8"/>
  <c r="E87" i="8"/>
  <c r="I87" i="8"/>
  <c r="L60" i="8" l="1"/>
  <c r="L87" i="8"/>
  <c r="L64" i="8"/>
  <c r="L83" i="8"/>
  <c r="L56" i="8"/>
  <c r="B131" i="4"/>
  <c r="J132" i="4" s="1"/>
  <c r="B127" i="4"/>
  <c r="I128" i="4" s="1"/>
  <c r="C132" i="4" l="1"/>
  <c r="C128" i="4"/>
  <c r="F128" i="4"/>
  <c r="F132" i="4"/>
  <c r="I132" i="4"/>
  <c r="H132" i="4"/>
  <c r="J128" i="4"/>
  <c r="E132" i="4"/>
  <c r="H128" i="4"/>
  <c r="D128" i="4"/>
  <c r="K132" i="4"/>
  <c r="K128" i="4"/>
  <c r="D132" i="4"/>
  <c r="E128" i="4"/>
  <c r="G128" i="4"/>
  <c r="G132" i="4"/>
  <c r="L132" i="4" l="1"/>
  <c r="L128" i="4"/>
</calcChain>
</file>

<file path=xl/comments1.xml><?xml version="1.0" encoding="utf-8"?>
<comments xmlns="http://schemas.openxmlformats.org/spreadsheetml/2006/main">
  <authors>
    <author>Heier, Ed</author>
  </authors>
  <commentList>
    <comment ref="A9" authorId="0">
      <text>
        <r>
          <rPr>
            <sz val="9"/>
            <color indexed="81"/>
            <rFont val="Tahoma"/>
            <family val="2"/>
          </rPr>
          <t xml:space="preserve">Please enter the total number of classrooms for your entire site/program.  A classroom is defined as any space used for instruction to students.
</t>
        </r>
      </text>
    </comment>
    <comment ref="A10" authorId="0">
      <text>
        <r>
          <rPr>
            <sz val="9"/>
            <color indexed="81"/>
            <rFont val="Tahoma"/>
            <family val="2"/>
          </rPr>
          <t xml:space="preserve">Please enter the total number of classrooms for your entire site/program.  A classroom is defined as any space used for instruction to students.
</t>
        </r>
      </text>
    </comment>
    <comment ref="A11" authorId="0">
      <text>
        <r>
          <rPr>
            <sz val="9"/>
            <color indexed="81"/>
            <rFont val="Tahoma"/>
            <family val="2"/>
          </rPr>
          <t xml:space="preserve">Please enter the total number of classrooms for your entire site/program.  A classroom is defined as any space used for instruction to students.
</t>
        </r>
      </text>
    </comment>
    <comment ref="A15" authorId="0">
      <text>
        <r>
          <rPr>
            <sz val="9"/>
            <color indexed="81"/>
            <rFont val="Tahoma"/>
            <family val="2"/>
          </rPr>
          <t xml:space="preserve">Please include only computers that are primarily dedicated for student use in which they have an opportunity to physically access on any given day.  Do NOT include computers primarily dedicated to a projector and/or teacher in which students may occasionally access for presentation purposes or simply used for demonstration purposes.
</t>
        </r>
      </text>
    </comment>
    <comment ref="A16" authorId="0">
      <text>
        <r>
          <rPr>
            <sz val="9"/>
            <color indexed="81"/>
            <rFont val="Tahoma"/>
            <family val="2"/>
          </rPr>
          <t xml:space="preserve">Please include only computers that are primarily dedicated for student use in which they have an opportunity to physically access on any given day.  Do NOT include computers primarily dedicated to a projector and/or teacher in which students may occasionally access for presentation purposes or simply used for demonstration purposes.
</t>
        </r>
      </text>
    </comment>
    <comment ref="A17" authorId="0">
      <text>
        <r>
          <rPr>
            <sz val="9"/>
            <color indexed="81"/>
            <rFont val="Tahoma"/>
            <family val="2"/>
          </rPr>
          <t xml:space="preserve">Please include only computers that are primarily dedicated for student use in which they have an opportunity to physically access on any given day.  Do NOT include computers primarily dedicated to a projector and/or teacher in which students may occasionally access for presentation purposes or simply used for demonstration purposes.
</t>
        </r>
      </text>
    </comment>
    <comment ref="A18" authorId="0">
      <text>
        <r>
          <rPr>
            <sz val="9"/>
            <color indexed="81"/>
            <rFont val="Tahoma"/>
            <family val="2"/>
          </rPr>
          <t xml:space="preserve">Please include only computers that are primarily dedicated for student use in which they have an opportunity to physically access on any given day.  Do NOT include computers primarily dedicated to a projector and/or teacher in which students may occasionally access for presentation purposes or simply used for demonstration purposes.
</t>
        </r>
      </text>
    </comment>
    <comment ref="A19" authorId="0">
      <text>
        <r>
          <rPr>
            <sz val="9"/>
            <color indexed="81"/>
            <rFont val="Tahoma"/>
            <family val="2"/>
          </rPr>
          <t xml:space="preserve">Please include only computers that are primarily dedicated for student use in which they have an opportunity to physically access on any given day.  Do NOT include computers primarily dedicated to a projector and/or teacher in which students may occasionally access for presentation purposes or simply used for demonstration purposes.
</t>
        </r>
      </text>
    </comment>
    <comment ref="A20" authorId="0">
      <text>
        <r>
          <rPr>
            <sz val="9"/>
            <color indexed="81"/>
            <rFont val="Tahoma"/>
            <family val="2"/>
          </rPr>
          <t xml:space="preserve">Please include only computers that are primarily dedicated for student use in which they have an opportunity to physically access on any given day.  Do NOT include computers primarily dedicated to a projector and/or teacher in which students may occasionally access for presentation purposes or simply used for demonstration purposes.
</t>
        </r>
      </text>
    </comment>
    <comment ref="A21" authorId="0">
      <text>
        <r>
          <rPr>
            <sz val="9"/>
            <color indexed="81"/>
            <rFont val="Tahoma"/>
            <family val="2"/>
          </rPr>
          <t xml:space="preserve">Please include only computers that are primarily dedicated for student use in which they have an opportunity to physically access on any given day.  Do NOT include computers primarily dedicated to a projector and/or teacher in which students may occasionally access for presentation purposes or simply used for demonstration purposes.
</t>
        </r>
      </text>
    </comment>
    <comment ref="A22" authorId="0">
      <text>
        <r>
          <rPr>
            <sz val="9"/>
            <color indexed="81"/>
            <rFont val="Tahoma"/>
            <family val="2"/>
          </rPr>
          <t xml:space="preserve">Please include only computers that are primarily dedicated for teacher use including computers connected to a projector primarily used for instructional purposes with the students.  Do NOT include computers primarily dedicated to students in which a teacher may occasionally access.
</t>
        </r>
      </text>
    </comment>
    <comment ref="A23" authorId="0">
      <text>
        <r>
          <rPr>
            <sz val="9"/>
            <color indexed="81"/>
            <rFont val="Tahoma"/>
            <family val="2"/>
          </rPr>
          <t xml:space="preserve">Please include only computers that are primarily dedicated for teacher use including computers connected to a projector primarily used for instructional purposes with the students.  Do NOT include computers primarily dedicated to students in which a teacher may occasionally access.
</t>
        </r>
      </text>
    </comment>
    <comment ref="A24" authorId="0">
      <text>
        <r>
          <rPr>
            <sz val="9"/>
            <color indexed="81"/>
            <rFont val="Tahoma"/>
            <family val="2"/>
          </rPr>
          <t xml:space="preserve">Please include only computers that are primarily dedicated for teacher use including computers connected to a projector primarily used for instructional purposes with the students.  Do NOT include computers primarily dedicated to students in which a teacher may occasionally access.
</t>
        </r>
      </text>
    </comment>
    <comment ref="A25" authorId="0">
      <text>
        <r>
          <rPr>
            <sz val="9"/>
            <color indexed="81"/>
            <rFont val="Tahoma"/>
            <family val="2"/>
          </rPr>
          <t xml:space="preserve">Please include only computers that are primarily dedicated for teacher use including computers connected to a projector primarily used for instructional purposes with the students.  Do NOT include computers primarily dedicated to students in which a teacher may occasionally access.
</t>
        </r>
      </text>
    </comment>
    <comment ref="A26" authorId="0">
      <text>
        <r>
          <rPr>
            <sz val="9"/>
            <color indexed="81"/>
            <rFont val="Tahoma"/>
            <family val="2"/>
          </rPr>
          <t xml:space="preserve">Please include only computers that are primarily dedicated for teacher use including computers connected to a projector primarily used for instructional purposes with the students.  Do NOT include computers primarily dedicated to students in which a teacher may occasionally access.
</t>
        </r>
      </text>
    </comment>
    <comment ref="A27" authorId="0">
      <text>
        <r>
          <rPr>
            <sz val="9"/>
            <color indexed="81"/>
            <rFont val="Tahoma"/>
            <family val="2"/>
          </rPr>
          <t xml:space="preserve">Please include only computers that are primarily dedicated for teacher use including computers connected to a projector primarily used for instructional purposes with the students.  Do NOT include computers primarily dedicated to students in which a teacher may occasionally access.
</t>
        </r>
      </text>
    </comment>
    <comment ref="A28" authorId="0">
      <text>
        <r>
          <rPr>
            <sz val="9"/>
            <color indexed="81"/>
            <rFont val="Tahoma"/>
            <family val="2"/>
          </rPr>
          <t xml:space="preserve">Please include only computers that are primarily dedicated for teacher use including computers connected to a projector primarily used for instructional purposes with the students.  Do NOT include computers primarily dedicated to students in which a teacher may occasionally access.
</t>
        </r>
      </text>
    </comment>
    <comment ref="A29" authorId="0">
      <text>
        <r>
          <rPr>
            <sz val="9"/>
            <color indexed="81"/>
            <rFont val="Tahoma"/>
            <family val="2"/>
          </rPr>
          <t xml:space="preserve">Please include any non-instructional computers not included in the student and teacher inventories.  (e.g. Administrator, secretary, custodian, etc.)
</t>
        </r>
      </text>
    </comment>
    <comment ref="A30" authorId="0">
      <text>
        <r>
          <rPr>
            <sz val="9"/>
            <color indexed="81"/>
            <rFont val="Tahoma"/>
            <family val="2"/>
          </rPr>
          <t xml:space="preserve">Please include any non-instructional computers not included in the student and teacher inventories.  (e.g. Administrator, secretary, custodian, etc.)
</t>
        </r>
      </text>
    </comment>
    <comment ref="A31" authorId="0">
      <text>
        <r>
          <rPr>
            <sz val="9"/>
            <color indexed="81"/>
            <rFont val="Tahoma"/>
            <family val="2"/>
          </rPr>
          <t xml:space="preserve">Please include any non-instructional computers not included in the student and teacher inventories.  (e.g. Administrator, secretary, custodian, etc.)
</t>
        </r>
      </text>
    </comment>
    <comment ref="A32" authorId="0">
      <text>
        <r>
          <rPr>
            <sz val="9"/>
            <color indexed="81"/>
            <rFont val="Tahoma"/>
            <family val="2"/>
          </rPr>
          <t xml:space="preserve">Please include any non-instructional computers not included in the student and teacher inventories.  (e.g. Administrator, secretary, custodian, etc.)
</t>
        </r>
      </text>
    </comment>
    <comment ref="A33" authorId="0">
      <text>
        <r>
          <rPr>
            <sz val="9"/>
            <color indexed="81"/>
            <rFont val="Tahoma"/>
            <family val="2"/>
          </rPr>
          <t xml:space="preserve">Please include any non-instructional computers not included in the student and teacher inventories.  (e.g. Administrator, secretary, custodian, etc.)
</t>
        </r>
      </text>
    </comment>
    <comment ref="A34" authorId="0">
      <text>
        <r>
          <rPr>
            <sz val="9"/>
            <color indexed="81"/>
            <rFont val="Tahoma"/>
            <family val="2"/>
          </rPr>
          <t xml:space="preserve">Please include any non-instructional computers not included in the student and teacher inventories.  (e.g. Administrator, secretary, custodian, etc.)
</t>
        </r>
      </text>
    </comment>
    <comment ref="A35" authorId="0">
      <text>
        <r>
          <rPr>
            <sz val="9"/>
            <color indexed="81"/>
            <rFont val="Tahoma"/>
            <family val="2"/>
          </rPr>
          <t xml:space="preserve">Please include any non-instructional computers not included in the student and teacher inventories.  (e.g. Administrator, secretary, custodian, etc.)
</t>
        </r>
      </text>
    </comment>
    <comment ref="A36" authorId="0">
      <text>
        <r>
          <rPr>
            <sz val="9"/>
            <color indexed="81"/>
            <rFont val="Tahoma"/>
            <family val="2"/>
          </rPr>
          <t xml:space="preserve">Please enter in the correct column by age of device the number of netbooks owned.
</t>
        </r>
      </text>
    </comment>
    <comment ref="A42" authorId="0">
      <text>
        <r>
          <rPr>
            <sz val="9"/>
            <color indexed="81"/>
            <rFont val="Tahoma"/>
            <family val="2"/>
          </rPr>
          <t xml:space="preserve">This would include any "district-owned" SmartPhones such as iPhones, Blackberries, etc. that have data capabilities.  This number should be quite small or non-existent given the district's new cell-phone policy.
</t>
        </r>
      </text>
    </comment>
    <comment ref="A43" authorId="0">
      <text>
        <r>
          <rPr>
            <sz val="9"/>
            <color indexed="81"/>
            <rFont val="Tahoma"/>
            <family val="2"/>
          </rPr>
          <t xml:space="preserve">Please enter in the correct column by age of device the number of keyboarding devices owned.
</t>
        </r>
      </text>
    </comment>
    <comment ref="A44" authorId="0">
      <text>
        <r>
          <rPr>
            <sz val="9"/>
            <color indexed="81"/>
            <rFont val="Tahoma"/>
            <family val="2"/>
          </rPr>
          <t xml:space="preserve">Indicate how many "fixed" computer labs you have with 10 or more stations.  This does NOT include portable labs.
</t>
        </r>
      </text>
    </comment>
    <comment ref="A45" authorId="0">
      <text>
        <r>
          <rPr>
            <sz val="9"/>
            <color indexed="81"/>
            <rFont val="Tahoma"/>
            <family val="2"/>
          </rPr>
          <t xml:space="preserve">Indicate how many classrooms have 4 or more computers connected to the network within a single classroom.  This does NOT include any shared labs.
</t>
        </r>
      </text>
    </comment>
    <comment ref="A46" authorId="0">
      <text>
        <r>
          <rPr>
            <sz val="9"/>
            <color indexed="81"/>
            <rFont val="Tahoma"/>
            <family val="2"/>
          </rPr>
          <t xml:space="preserve">Indicate how many mobile labs of 5 or more stations that are available for instruction.
</t>
        </r>
      </text>
    </comment>
    <comment ref="A47" authorId="0">
      <text>
        <r>
          <rPr>
            <sz val="9"/>
            <color indexed="81"/>
            <rFont val="Tahoma"/>
            <family val="2"/>
          </rPr>
          <t xml:space="preserve">From the options available, select the one that best represents your districts "goal" for a computer replacement cycle.
</t>
        </r>
      </text>
    </comment>
    <comment ref="B47" authorId="0">
      <text>
        <r>
          <rPr>
            <sz val="9"/>
            <color indexed="81"/>
            <rFont val="Tahoma"/>
            <family val="2"/>
          </rPr>
          <t xml:space="preserve">Please reference the Pull-Down Options tab for a list of options for this question.
</t>
        </r>
      </text>
    </comment>
    <comment ref="A48" authorId="0">
      <text>
        <r>
          <rPr>
            <sz val="9"/>
            <color indexed="81"/>
            <rFont val="Tahoma"/>
            <family val="2"/>
          </rPr>
          <t xml:space="preserve">From the options available, select the one that best represents your districts "actual" computer replacement cycle.
</t>
        </r>
      </text>
    </comment>
    <comment ref="B48" authorId="0">
      <text>
        <r>
          <rPr>
            <sz val="9"/>
            <color indexed="81"/>
            <rFont val="Tahoma"/>
            <family val="2"/>
          </rPr>
          <t xml:space="preserve">Please reference the Pull-Down Options tab for a list of options for this question.
</t>
        </r>
      </text>
    </comment>
    <comment ref="A61" authorId="0">
      <text>
        <r>
          <rPr>
            <sz val="9"/>
            <color indexed="81"/>
            <rFont val="Tahoma"/>
            <family val="2"/>
          </rPr>
          <t xml:space="preserve">Enter the total number of labs of 10 or more stations reserved at some point throughout the year to conduct either state or local computerized testing (required and optional).
</t>
        </r>
      </text>
    </comment>
    <comment ref="A62" authorId="0">
      <text>
        <r>
          <rPr>
            <sz val="9"/>
            <color indexed="81"/>
            <rFont val="Tahoma"/>
            <family val="2"/>
          </rPr>
          <t xml:space="preserve">Of the total number of labs reserved in the previous question, how many total days in aggregate are those labs reserved for all or part of a day for </t>
        </r>
        <r>
          <rPr>
            <b/>
            <u/>
            <sz val="9"/>
            <color indexed="81"/>
            <rFont val="Tahoma"/>
            <family val="2"/>
          </rPr>
          <t>REQUIRED</t>
        </r>
        <r>
          <rPr>
            <sz val="9"/>
            <color indexed="81"/>
            <rFont val="Tahoma"/>
            <family val="2"/>
          </rPr>
          <t xml:space="preserve"> testing? 
EXAMPLE:  4 total labs used throughout the year.
   Lab 1 = 15 full or partial-day use
   Lab 2 = 15 full or partial-day use
   Lab 3 = 10 full or partial-day use
   Lab 4 = 8 full or partial-day use
TOTAL = </t>
        </r>
        <r>
          <rPr>
            <b/>
            <sz val="9"/>
            <color indexed="81"/>
            <rFont val="Tahoma"/>
            <family val="2"/>
          </rPr>
          <t>48</t>
        </r>
        <r>
          <rPr>
            <sz val="9"/>
            <color indexed="81"/>
            <rFont val="Tahoma"/>
            <family val="2"/>
          </rPr>
          <t xml:space="preserve"> days (entered into the appropriate cell</t>
        </r>
      </text>
    </comment>
    <comment ref="A63" authorId="0">
      <text>
        <r>
          <rPr>
            <sz val="9"/>
            <color indexed="81"/>
            <rFont val="Tahoma"/>
            <family val="2"/>
          </rPr>
          <t xml:space="preserve">Of the total number of labs reserved in the previous question, how many total days in aggregate are those labs reserved for all or part of a day for </t>
        </r>
        <r>
          <rPr>
            <b/>
            <u/>
            <sz val="9"/>
            <color indexed="81"/>
            <rFont val="Tahoma"/>
            <family val="2"/>
          </rPr>
          <t>OPTIONAL</t>
        </r>
        <r>
          <rPr>
            <sz val="9"/>
            <color indexed="81"/>
            <rFont val="Tahoma"/>
            <family val="2"/>
          </rPr>
          <t xml:space="preserve"> testing? 
EXAMPLE:  4 total labs used throughout the year.
   Lab 1 = 15 full or partial-day use
   Lab 2 = 15 full or partial-day use
   Lab 3 = 10 full or partial-day use
   Lab 4 = 8 full or partial-day use
TOTAL = </t>
        </r>
        <r>
          <rPr>
            <b/>
            <sz val="9"/>
            <color indexed="81"/>
            <rFont val="Tahoma"/>
            <family val="2"/>
          </rPr>
          <t>48</t>
        </r>
        <r>
          <rPr>
            <sz val="9"/>
            <color indexed="81"/>
            <rFont val="Tahoma"/>
            <family val="2"/>
          </rPr>
          <t xml:space="preserve"> days (entered into the appropriate cell</t>
        </r>
      </text>
    </comment>
    <comment ref="A68" authorId="0">
      <text>
        <r>
          <rPr>
            <sz val="9"/>
            <color indexed="81"/>
            <rFont val="Tahoma"/>
            <family val="2"/>
          </rPr>
          <t>Includes only computers regularly available to students for "hands-on" use.  It does NOT include computers connected to a projector for classroom instruction.  Hover over individual cells to the right for further explanation of funding sources.</t>
        </r>
      </text>
    </comment>
    <comment ref="B68" authorId="0">
      <text>
        <r>
          <rPr>
            <sz val="9"/>
            <color indexed="81"/>
            <rFont val="Tahoma"/>
            <family val="2"/>
          </rPr>
          <t xml:space="preserve">This sum is auto-calculated from entries in questions 4-7 and represents ALL student desktops.
</t>
        </r>
      </text>
    </comment>
    <comment ref="C68" authorId="0">
      <text>
        <r>
          <rPr>
            <sz val="9"/>
            <color indexed="81"/>
            <rFont val="Tahoma"/>
            <family val="2"/>
          </rPr>
          <t xml:space="preserve">Of the total number of computers, how many were purchased using "General" funds.  Please refer to the Funding Source Key tab for further explanation of each funding source.
</t>
        </r>
      </text>
    </comment>
    <comment ref="D68" authorId="0">
      <text>
        <r>
          <rPr>
            <sz val="9"/>
            <color indexed="81"/>
            <rFont val="Tahoma"/>
            <family val="2"/>
          </rPr>
          <t xml:space="preserve">Of the total number of computers, how many were purchased using "Capital" funds.  Please refer to the Funding Source Key tab for further explanation of each funding source.
</t>
        </r>
      </text>
    </comment>
    <comment ref="E68" authorId="0">
      <text>
        <r>
          <rPr>
            <sz val="9"/>
            <color indexed="81"/>
            <rFont val="Tahoma"/>
            <family val="2"/>
          </rPr>
          <t xml:space="preserve">Of the total number of computers, how many were purchased using "Levy/Bond" funds.  Please refer to the Funding Source Key tab for further explanation of each funding source.
</t>
        </r>
      </text>
    </comment>
    <comment ref="F68" authorId="0">
      <text>
        <r>
          <rPr>
            <sz val="9"/>
            <color indexed="81"/>
            <rFont val="Tahoma"/>
            <family val="2"/>
          </rPr>
          <t xml:space="preserve">Of the total number of computers, how many were purchased using "Grants/Award" funds.  Please refer to the Funding Source Key tab for further explanation of each funding source.
</t>
        </r>
      </text>
    </comment>
    <comment ref="G68" authorId="0">
      <text>
        <r>
          <rPr>
            <sz val="9"/>
            <color indexed="81"/>
            <rFont val="Tahoma"/>
            <family val="2"/>
          </rPr>
          <t xml:space="preserve">Of the total number of computers, how many were purchased using "Microsoft CyPres" funds.  Please refer to the Funding Source Key tab for further explanation of each funding source.
</t>
        </r>
      </text>
    </comment>
    <comment ref="H68" authorId="0">
      <text>
        <r>
          <rPr>
            <sz val="9"/>
            <color indexed="81"/>
            <rFont val="Tahoma"/>
            <family val="2"/>
          </rPr>
          <t xml:space="preserve">Of the total number of computers, how many were purchased using "Fundraising" funds.  Please refer to the Funding Source Key tab for further explanation of each funding source.
</t>
        </r>
      </text>
    </comment>
    <comment ref="I68" authorId="0">
      <text>
        <r>
          <rPr>
            <sz val="9"/>
            <color indexed="81"/>
            <rFont val="Tahoma"/>
            <family val="2"/>
          </rPr>
          <t xml:space="preserve">Of the total number of computers, how many were donated.  Please refer to the Funding Source Key tab for further explanation of each funding source.
</t>
        </r>
      </text>
    </comment>
    <comment ref="J68" authorId="0">
      <text>
        <r>
          <rPr>
            <sz val="9"/>
            <color indexed="81"/>
            <rFont val="Tahoma"/>
            <family val="2"/>
          </rPr>
          <t xml:space="preserve">Of the total number of computers, how many were purchased using "State" provided funds.  Please refer to the Funding Source Key tab for further explanation of each funding source.
</t>
        </r>
      </text>
    </comment>
    <comment ref="K68" authorId="0">
      <text>
        <r>
          <rPr>
            <sz val="9"/>
            <color indexed="81"/>
            <rFont val="Tahoma"/>
            <family val="2"/>
          </rPr>
          <t xml:space="preserve">Of the total number of computers, how many were purchased using "Federal" funds.  Please refer to the Funding Source Key tab for further explanation of each funding source.
</t>
        </r>
      </text>
    </comment>
    <comment ref="L69" authorId="0">
      <text>
        <r>
          <rPr>
            <sz val="9"/>
            <color indexed="81"/>
            <rFont val="Tahoma"/>
            <family val="2"/>
          </rPr>
          <t>Should equal 100% when completed.</t>
        </r>
      </text>
    </comment>
    <comment ref="A72" authorId="0">
      <text>
        <r>
          <rPr>
            <sz val="9"/>
            <color indexed="81"/>
            <rFont val="Tahoma"/>
            <family val="2"/>
          </rPr>
          <t xml:space="preserve">Includes only computers regularly available to students for "hands-on" use.  It does NOT include computers connected to a projector for classroom instruction.  Hover over individual cells to the right for further explanation of funding sources.
</t>
        </r>
      </text>
    </comment>
    <comment ref="B72" authorId="0">
      <text>
        <r>
          <rPr>
            <sz val="9"/>
            <color indexed="81"/>
            <rFont val="Tahoma"/>
            <family val="2"/>
          </rPr>
          <t xml:space="preserve">This sum is auto-calculated from entries in questions 8-10, 25 and 30 and represents ALL student laptops.
</t>
        </r>
      </text>
    </comment>
    <comment ref="C72" authorId="0">
      <text>
        <r>
          <rPr>
            <sz val="9"/>
            <color indexed="81"/>
            <rFont val="Tahoma"/>
            <family val="2"/>
          </rPr>
          <t xml:space="preserve">Of the total number of computers, how many were purchased using "General" funds.  Please refer to the Funding Source Key tab for further explanation of each funding source.
</t>
        </r>
      </text>
    </comment>
    <comment ref="D72" authorId="0">
      <text>
        <r>
          <rPr>
            <sz val="9"/>
            <color indexed="81"/>
            <rFont val="Tahoma"/>
            <family val="2"/>
          </rPr>
          <t xml:space="preserve">Of the total number of computers, how many were purchased using "Capital" funds.  Please refer to the Funding Source Key tab for further explanation of each funding source.
</t>
        </r>
      </text>
    </comment>
    <comment ref="E72" authorId="0">
      <text>
        <r>
          <rPr>
            <sz val="9"/>
            <color indexed="81"/>
            <rFont val="Tahoma"/>
            <family val="2"/>
          </rPr>
          <t xml:space="preserve">Of the total number of computers, how many were purchased using "Levy/Bond" funds.  Please refer to the Funding Source Key tab for further explanation of each funding source.
</t>
        </r>
      </text>
    </comment>
    <comment ref="F72" authorId="0">
      <text>
        <r>
          <rPr>
            <sz val="9"/>
            <color indexed="81"/>
            <rFont val="Tahoma"/>
            <family val="2"/>
          </rPr>
          <t xml:space="preserve">Of the total number of computers, how many were purchased using "Grants/Award" funds.  Please refer to the Funding Source Key tab for further explanation of each funding source.
</t>
        </r>
      </text>
    </comment>
    <comment ref="G72" authorId="0">
      <text>
        <r>
          <rPr>
            <sz val="9"/>
            <color indexed="81"/>
            <rFont val="Tahoma"/>
            <family val="2"/>
          </rPr>
          <t xml:space="preserve">Of the total number of computers, how many were purchased using "Microsoft CyPres" funds.  Please refer to the Funding Source Key tab for further explanation of each funding source.
</t>
        </r>
      </text>
    </comment>
    <comment ref="H72" authorId="0">
      <text>
        <r>
          <rPr>
            <sz val="9"/>
            <color indexed="81"/>
            <rFont val="Tahoma"/>
            <family val="2"/>
          </rPr>
          <t xml:space="preserve">Of the total number of computers, how many were purchased using "Fundraising" funds.  Please refer to the Funding Source Key tab for further explanation of each funding source.
</t>
        </r>
      </text>
    </comment>
    <comment ref="I72" authorId="0">
      <text>
        <r>
          <rPr>
            <sz val="9"/>
            <color indexed="81"/>
            <rFont val="Tahoma"/>
            <family val="2"/>
          </rPr>
          <t xml:space="preserve">Of the total number of computers, how many were donated.  Please refer to the Funding Source Key tab for further explanation of each funding source.
</t>
        </r>
      </text>
    </comment>
    <comment ref="J72" authorId="0">
      <text>
        <r>
          <rPr>
            <sz val="9"/>
            <color indexed="81"/>
            <rFont val="Tahoma"/>
            <family val="2"/>
          </rPr>
          <t xml:space="preserve">Of the total number of computers, how many were purchased using "State" provided funds.  Please refer to the Funding Source Key tab for further explanation of each funding source.
</t>
        </r>
      </text>
    </comment>
    <comment ref="K72" authorId="0">
      <text>
        <r>
          <rPr>
            <sz val="9"/>
            <color indexed="81"/>
            <rFont val="Tahoma"/>
            <family val="2"/>
          </rPr>
          <t xml:space="preserve">Of the total number of computers, how many were purchased using "Federal" funds.  Please refer to the Funding Source Key tab for further explanation of each funding source.
</t>
        </r>
      </text>
    </comment>
    <comment ref="L73" authorId="0">
      <text>
        <r>
          <rPr>
            <sz val="9"/>
            <color indexed="81"/>
            <rFont val="Tahoma"/>
            <family val="2"/>
          </rPr>
          <t>Should equal 100% when completed.</t>
        </r>
      </text>
    </comment>
    <comment ref="A76" authorId="0">
      <text>
        <r>
          <rPr>
            <sz val="9"/>
            <color indexed="81"/>
            <rFont val="Tahoma"/>
            <family val="2"/>
          </rPr>
          <t xml:space="preserve">Includes only computers regularly available to students for "hands-on" use.  It does NOT include computers connected to a projector for classroom instruction.  Hover over individual cells to the right for further explanation of funding sources.
</t>
        </r>
      </text>
    </comment>
    <comment ref="B76" authorId="0">
      <text>
        <r>
          <rPr>
            <sz val="9"/>
            <color indexed="81"/>
            <rFont val="Tahoma"/>
            <family val="2"/>
          </rPr>
          <t xml:space="preserve">This sum is auto-calculated from entries in questions 26-29 and represents ALL tablet-based devices.
</t>
        </r>
      </text>
    </comment>
    <comment ref="C76" authorId="0">
      <text>
        <r>
          <rPr>
            <sz val="9"/>
            <color indexed="81"/>
            <rFont val="Tahoma"/>
            <family val="2"/>
          </rPr>
          <t xml:space="preserve">Of the total number of computers, how many were purchased using "General" funds.  Please refer to the Funding Source Key tab for further explanation of each funding source.
</t>
        </r>
      </text>
    </comment>
    <comment ref="D76" authorId="0">
      <text>
        <r>
          <rPr>
            <sz val="9"/>
            <color indexed="81"/>
            <rFont val="Tahoma"/>
            <family val="2"/>
          </rPr>
          <t xml:space="preserve">Of the total number of computers, how many were purchased using "Capital" funds.  Please refer to the Funding Source Key tab for further explanation of each funding source.
</t>
        </r>
      </text>
    </comment>
    <comment ref="E76" authorId="0">
      <text>
        <r>
          <rPr>
            <sz val="9"/>
            <color indexed="81"/>
            <rFont val="Tahoma"/>
            <family val="2"/>
          </rPr>
          <t xml:space="preserve">Of the total number of computers, how many were purchased using "Levy/Bond" funds.  Please refer to the Funding Source Key tab for further explanation of each funding source.
</t>
        </r>
      </text>
    </comment>
    <comment ref="F76" authorId="0">
      <text>
        <r>
          <rPr>
            <sz val="9"/>
            <color indexed="81"/>
            <rFont val="Tahoma"/>
            <family val="2"/>
          </rPr>
          <t xml:space="preserve">Of the total number of computers, how many were purchased using "Grants/Award" funds.  Please refer to the Funding Source Key tab for further explanation of each funding source.
</t>
        </r>
      </text>
    </comment>
    <comment ref="G76" authorId="0">
      <text>
        <r>
          <rPr>
            <sz val="9"/>
            <color indexed="81"/>
            <rFont val="Tahoma"/>
            <family val="2"/>
          </rPr>
          <t xml:space="preserve">Of the total number of computers, how many were purchased using "Microsoft CyPres" funds.  Please refer to the Funding Source Key tab for further explanation of each funding source.
</t>
        </r>
      </text>
    </comment>
    <comment ref="H76" authorId="0">
      <text>
        <r>
          <rPr>
            <sz val="9"/>
            <color indexed="81"/>
            <rFont val="Tahoma"/>
            <family val="2"/>
          </rPr>
          <t xml:space="preserve">Of the total number of computers, how many were purchased using "Fundraising" funds.  Please refer to the Funding Source Key tab for further explanation of each funding source.
</t>
        </r>
      </text>
    </comment>
    <comment ref="I76" authorId="0">
      <text>
        <r>
          <rPr>
            <sz val="9"/>
            <color indexed="81"/>
            <rFont val="Tahoma"/>
            <family val="2"/>
          </rPr>
          <t xml:space="preserve">Of the total number of computers, how many were donated.  Please refer to the Funding Source Key tab for further explanation of each funding source.
</t>
        </r>
      </text>
    </comment>
    <comment ref="J76" authorId="0">
      <text>
        <r>
          <rPr>
            <sz val="9"/>
            <color indexed="81"/>
            <rFont val="Tahoma"/>
            <family val="2"/>
          </rPr>
          <t xml:space="preserve">Of the total number of computers, how many were purchased using "State" provided funds.  Please refer to the Funding Source Key tab for further explanation of each funding source.
</t>
        </r>
      </text>
    </comment>
    <comment ref="K76" authorId="0">
      <text>
        <r>
          <rPr>
            <sz val="9"/>
            <color indexed="81"/>
            <rFont val="Tahoma"/>
            <family val="2"/>
          </rPr>
          <t xml:space="preserve">Of the total number of computers, how many were purchased using "Federal" funds.  Please refer to the Funding Source Key tab for further explanation of each funding source.
</t>
        </r>
      </text>
    </comment>
    <comment ref="L77" authorId="0">
      <text>
        <r>
          <rPr>
            <sz val="9"/>
            <color indexed="81"/>
            <rFont val="Tahoma"/>
            <family val="2"/>
          </rPr>
          <t>Should equal 100% when completed.</t>
        </r>
      </text>
    </comment>
    <comment ref="A80" authorId="0">
      <text>
        <r>
          <rPr>
            <sz val="9"/>
            <color indexed="81"/>
            <rFont val="Tahoma"/>
            <family val="2"/>
          </rPr>
          <t xml:space="preserve">Please enter in the correct column by age of device the number of physical servers providing core services to the district.  Core services is defined as file storage and application services serving a majority of the district.  
</t>
        </r>
      </text>
    </comment>
    <comment ref="A86" authorId="0">
      <text>
        <r>
          <rPr>
            <sz val="9"/>
            <color indexed="81"/>
            <rFont val="Tahoma"/>
            <family val="2"/>
          </rPr>
          <t xml:space="preserve">Multi-function devices typically include printer, fax, copier, and scanner capabilities.
</t>
        </r>
      </text>
    </comment>
    <comment ref="A88" authorId="0">
      <text>
        <r>
          <rPr>
            <sz val="9"/>
            <color indexed="81"/>
            <rFont val="Tahoma"/>
            <family val="2"/>
          </rPr>
          <t xml:space="preserve">Please indicate in TeraBytes (TB) unless less than 1TB, then indicate in MegaBytes (MB).
</t>
        </r>
      </text>
    </comment>
    <comment ref="B90" authorId="0">
      <text>
        <r>
          <rPr>
            <sz val="9"/>
            <color indexed="81"/>
            <rFont val="Tahoma"/>
            <family val="2"/>
          </rPr>
          <t xml:space="preserve">Please reference the Pull-Down Options tab for a list of options for this question.
</t>
        </r>
      </text>
    </comment>
    <comment ref="A91" authorId="0">
      <text>
        <r>
          <rPr>
            <sz val="9"/>
            <color indexed="81"/>
            <rFont val="Tahoma"/>
            <family val="2"/>
          </rPr>
          <t xml:space="preserve">Please indicate in TeraBytes (TB) unless less than 1TB, then indicate in MegaBytes (MB).
</t>
        </r>
      </text>
    </comment>
    <comment ref="A92" authorId="0">
      <text>
        <r>
          <rPr>
            <sz val="9"/>
            <color indexed="81"/>
            <rFont val="Tahoma"/>
            <family val="2"/>
          </rPr>
          <t xml:space="preserve">Indicate if your district depends on cloud storage services for at least some of your district staff/student files storage needs.
</t>
        </r>
      </text>
    </comment>
    <comment ref="A94" authorId="0">
      <text>
        <r>
          <rPr>
            <sz val="9"/>
            <color indexed="81"/>
            <rFont val="Tahoma"/>
            <family val="2"/>
          </rPr>
          <t xml:space="preserve">The primary technology leader is the person who deals with all things technology on a day-to-day basis where it is their primary area of responsibility.
</t>
        </r>
      </text>
    </comment>
    <comment ref="B95" authorId="0">
      <text>
        <r>
          <rPr>
            <sz val="9"/>
            <color indexed="81"/>
            <rFont val="Tahoma"/>
            <family val="2"/>
          </rPr>
          <t xml:space="preserve">District-level staff are defined as reporting directly to the head of the district technology department even if housed at a building.
</t>
        </r>
      </text>
    </comment>
    <comment ref="C95" authorId="0">
      <text>
        <r>
          <rPr>
            <sz val="9"/>
            <color indexed="81"/>
            <rFont val="Tahoma"/>
            <family val="2"/>
          </rPr>
          <t xml:space="preserve">Building-level support is defined as staff who report directly to the building principal with no direct ties to the central technology department.
</t>
        </r>
      </text>
    </comment>
    <comment ref="D95" authorId="0">
      <text>
        <r>
          <rPr>
            <sz val="9"/>
            <color indexed="81"/>
            <rFont val="Tahoma"/>
            <family val="2"/>
          </rPr>
          <t xml:space="preserve">Calculate FTEs for outsourced services by dividing the amount paid to the service provider by the average salary for the position that would normally handle these tasks.
</t>
        </r>
      </text>
    </comment>
    <comment ref="A103" authorId="0">
      <text>
        <r>
          <rPr>
            <sz val="9"/>
            <color indexed="81"/>
            <rFont val="Tahoma"/>
            <family val="2"/>
          </rPr>
          <t xml:space="preserve">Please include even if this position doesn't report to the technology department.
</t>
        </r>
      </text>
    </comment>
    <comment ref="A109" authorId="0">
      <text>
        <r>
          <rPr>
            <sz val="9"/>
            <color indexed="81"/>
            <rFont val="Tahoma"/>
            <family val="2"/>
          </rPr>
          <t xml:space="preserve">Position(s) dedicated to the helpdesk role.
</t>
        </r>
      </text>
    </comment>
    <comment ref="A112" authorId="0">
      <text>
        <r>
          <rPr>
            <sz val="9"/>
            <color indexed="81"/>
            <rFont val="Tahoma"/>
            <family val="2"/>
          </rPr>
          <t xml:space="preserve">Include both mounted and not mounted interactive whiteboards primarily intended for use in classrooms.
</t>
        </r>
      </text>
    </comment>
    <comment ref="A113" authorId="0">
      <text>
        <r>
          <rPr>
            <sz val="9"/>
            <color indexed="81"/>
            <rFont val="Tahoma"/>
            <family val="2"/>
          </rPr>
          <t xml:space="preserve">Include interactive "slates" primarily intended for use in classrooms.  (e.g.  Airliner, Mobi, etc.)
</t>
        </r>
      </text>
    </comment>
    <comment ref="A114" authorId="0">
      <text>
        <r>
          <rPr>
            <sz val="9"/>
            <color indexed="81"/>
            <rFont val="Tahoma"/>
            <family val="2"/>
          </rPr>
          <t xml:space="preserve">Include both mounted and not mounted projectors primarily intended for use in classrooms.
</t>
        </r>
      </text>
    </comment>
    <comment ref="A115" authorId="0">
      <text>
        <r>
          <rPr>
            <b/>
            <sz val="9"/>
            <color indexed="81"/>
            <rFont val="Tahoma"/>
            <family val="2"/>
          </rPr>
          <t>Heier, Ed:</t>
        </r>
        <r>
          <rPr>
            <sz val="9"/>
            <color indexed="81"/>
            <rFont val="Tahoma"/>
            <family val="2"/>
          </rPr>
          <t xml:space="preserve">
Please enter the  number of classroom set </t>
        </r>
        <r>
          <rPr>
            <b/>
            <u/>
            <sz val="9"/>
            <color indexed="81"/>
            <rFont val="Tahoma"/>
            <family val="2"/>
          </rPr>
          <t>RECEIVERS.</t>
        </r>
        <r>
          <rPr>
            <sz val="9"/>
            <color indexed="81"/>
            <rFont val="Tahoma"/>
            <family val="2"/>
          </rPr>
          <t xml:space="preserve">  Not the number of actual hand-held devices (clickers).</t>
        </r>
      </text>
    </comment>
    <comment ref="A116" authorId="0">
      <text>
        <r>
          <rPr>
            <sz val="9"/>
            <color indexed="81"/>
            <rFont val="Tahoma"/>
            <family val="2"/>
          </rPr>
          <t xml:space="preserve">Include all document cameras primarily intended for use in classrooms.
</t>
        </r>
      </text>
    </comment>
    <comment ref="A117" authorId="0">
      <text>
        <r>
          <rPr>
            <sz val="9"/>
            <color indexed="81"/>
            <rFont val="Tahoma"/>
            <family val="2"/>
          </rPr>
          <t xml:space="preserve">Include the number of dedicated speaker systems installed to enhance audio for electronic devices.  Do NOT include general purpose external computer speakers or projector built-in speakers.
</t>
        </r>
      </text>
    </comment>
    <comment ref="A118" authorId="0">
      <text>
        <r>
          <rPr>
            <sz val="9"/>
            <color indexed="81"/>
            <rFont val="Tahoma"/>
            <family val="2"/>
          </rPr>
          <t xml:space="preserve">Include the number of classrooms that have voice amplification systems installed including the wireless microphone.
</t>
        </r>
      </text>
    </comment>
    <comment ref="A119" authorId="0">
      <text>
        <r>
          <rPr>
            <sz val="9"/>
            <color indexed="81"/>
            <rFont val="Tahoma"/>
            <family val="2"/>
          </rPr>
          <t>Includes equipment utilizing ISDN and H.323 protocol (Polycom, LifeSize, Tandberg, etc.)</t>
        </r>
      </text>
    </comment>
    <comment ref="A121" authorId="0">
      <text>
        <r>
          <rPr>
            <sz val="9"/>
            <color indexed="81"/>
            <rFont val="Tahoma"/>
            <family val="2"/>
          </rPr>
          <t xml:space="preserve">Of the quantity entered in question 64 above, enter how many classrooms have a projector "dedicated" to that classroom whether it is mounted or not.  Do NOT include projectors that are shared between classrooms.
</t>
        </r>
      </text>
    </comment>
    <comment ref="A122" authorId="0">
      <text>
        <r>
          <rPr>
            <sz val="9"/>
            <color indexed="81"/>
            <rFont val="Tahoma"/>
            <family val="2"/>
          </rPr>
          <t xml:space="preserve">Of the quantities entered in questions 62-64 above, enter how many classrooms have a BOTH a projector AND interactive whiteboard or slate "dedicated" to that classroom whether  mounted or not.  Do NOT include projectors and/or interactive whiteboards or slates that are shared between classrooms.
</t>
        </r>
      </text>
    </comment>
    <comment ref="A127" authorId="0">
      <text>
        <r>
          <rPr>
            <sz val="9"/>
            <color indexed="81"/>
            <rFont val="Tahoma"/>
            <family val="2"/>
          </rPr>
          <t xml:space="preserve">Hover over individual cells to the right for further explanation.
</t>
        </r>
      </text>
    </comment>
    <comment ref="B127" authorId="0">
      <text>
        <r>
          <rPr>
            <sz val="9"/>
            <color indexed="81"/>
            <rFont val="Tahoma"/>
            <family val="2"/>
          </rPr>
          <t xml:space="preserve">This sum is auto-calculated from question 64 and represents ALL projectors (mounted &amp; not mounted) used for instructional purposes.
</t>
        </r>
      </text>
    </comment>
    <comment ref="C127" authorId="0">
      <text>
        <r>
          <rPr>
            <sz val="9"/>
            <color indexed="81"/>
            <rFont val="Tahoma"/>
            <family val="2"/>
          </rPr>
          <t xml:space="preserve">Of the total number of projectors, how many were purchased using "General" funds.  Please refer to the Funding Source Key tab for further explanation of each funding source.
</t>
        </r>
      </text>
    </comment>
    <comment ref="D127" authorId="0">
      <text>
        <r>
          <rPr>
            <sz val="9"/>
            <color indexed="81"/>
            <rFont val="Tahoma"/>
            <family val="2"/>
          </rPr>
          <t xml:space="preserve">Of the total number of projectors, how many were purchased using "Capital" funds.  Please refer to the Funding Source Key tab for further explanation of each funding source.
</t>
        </r>
      </text>
    </comment>
    <comment ref="E127" authorId="0">
      <text>
        <r>
          <rPr>
            <sz val="9"/>
            <color indexed="81"/>
            <rFont val="Tahoma"/>
            <family val="2"/>
          </rPr>
          <t xml:space="preserve">Of the total number of projectors, how many were purchased using "Levy/Bond" funds.  Please refer to the Funding Source Key tab for further explanation of each funding source.
</t>
        </r>
      </text>
    </comment>
    <comment ref="F127" authorId="0">
      <text>
        <r>
          <rPr>
            <sz val="9"/>
            <color indexed="81"/>
            <rFont val="Tahoma"/>
            <family val="2"/>
          </rPr>
          <t xml:space="preserve">Of the total number of projectors, how many were purchased using "Grants/Award" funds.  Please refer to the Funding Source Key tab for further explanation of each funding source.
</t>
        </r>
      </text>
    </comment>
    <comment ref="G127" authorId="0">
      <text>
        <r>
          <rPr>
            <sz val="9"/>
            <color indexed="81"/>
            <rFont val="Tahoma"/>
            <family val="2"/>
          </rPr>
          <t xml:space="preserve">Of the total number of projectors, how many were purchased using "Microsoft CyPres" funds.  Please refer to the Funding Source Key tab for further explanation of each funding source.
</t>
        </r>
      </text>
    </comment>
    <comment ref="H127" authorId="0">
      <text>
        <r>
          <rPr>
            <sz val="9"/>
            <color indexed="81"/>
            <rFont val="Tahoma"/>
            <family val="2"/>
          </rPr>
          <t xml:space="preserve">Of the total number of projectors, how many were purchased using "Fundraising" funds.  Please refer to the Funding Source Key tab for further explanation of each funding source.
</t>
        </r>
      </text>
    </comment>
    <comment ref="I127" authorId="0">
      <text>
        <r>
          <rPr>
            <sz val="9"/>
            <color indexed="81"/>
            <rFont val="Tahoma"/>
            <family val="2"/>
          </rPr>
          <t xml:space="preserve">Of the total number of projectors, how many were donated.  Please refer to the Funding Source Key tab for further explanation of each funding source.
</t>
        </r>
      </text>
    </comment>
    <comment ref="J127" authorId="0">
      <text>
        <r>
          <rPr>
            <sz val="9"/>
            <color indexed="81"/>
            <rFont val="Tahoma"/>
            <family val="2"/>
          </rPr>
          <t xml:space="preserve">Of the total number of projectors, how many were purchased using "State" provided funds.  Please refer to the Funding Source Key tab for further explanation of each funding source.
</t>
        </r>
      </text>
    </comment>
    <comment ref="K127" authorId="0">
      <text>
        <r>
          <rPr>
            <sz val="9"/>
            <color indexed="81"/>
            <rFont val="Tahoma"/>
            <family val="2"/>
          </rPr>
          <t xml:space="preserve">Of the total number of projectors, how many were purchased using "Federal" funds.  Please refer to the Funding Source Key tab for further explanation of each funding source.
</t>
        </r>
      </text>
    </comment>
    <comment ref="L128" authorId="0">
      <text>
        <r>
          <rPr>
            <sz val="9"/>
            <color indexed="81"/>
            <rFont val="Tahoma"/>
            <family val="2"/>
          </rPr>
          <t>Should equal 100% when completed.</t>
        </r>
      </text>
    </comment>
    <comment ref="A131" authorId="0">
      <text>
        <r>
          <rPr>
            <sz val="9"/>
            <color indexed="81"/>
            <rFont val="Tahoma"/>
            <family val="2"/>
          </rPr>
          <t xml:space="preserve">Hover over individual cells to the right for further explanation.
</t>
        </r>
      </text>
    </comment>
    <comment ref="B131" authorId="0">
      <text>
        <r>
          <rPr>
            <sz val="9"/>
            <color indexed="81"/>
            <rFont val="Tahoma"/>
            <family val="2"/>
          </rPr>
          <t xml:space="preserve">This sum is auto-calculated from question 62 and represents ALL interactive whiteboards (mounted &amp; not mounted) used for instructional purposes.
</t>
        </r>
      </text>
    </comment>
    <comment ref="C131" authorId="0">
      <text>
        <r>
          <rPr>
            <sz val="9"/>
            <color indexed="81"/>
            <rFont val="Tahoma"/>
            <family val="2"/>
          </rPr>
          <t xml:space="preserve">Of the total number of interactive whiteboards, how many were purchased using "General" funds.  Please refer to the Funding Source Key tab for further explanation of each funding source.
</t>
        </r>
      </text>
    </comment>
    <comment ref="D131" authorId="0">
      <text>
        <r>
          <rPr>
            <sz val="9"/>
            <color indexed="81"/>
            <rFont val="Tahoma"/>
            <family val="2"/>
          </rPr>
          <t xml:space="preserve">Of the total number of interactive whiteboards, how many were purchased using "Capital" funds.  Please refer to the Funding Source Key tab for further explanation of each funding source.
</t>
        </r>
      </text>
    </comment>
    <comment ref="E131" authorId="0">
      <text>
        <r>
          <rPr>
            <sz val="9"/>
            <color indexed="81"/>
            <rFont val="Tahoma"/>
            <family val="2"/>
          </rPr>
          <t xml:space="preserve">Of the total number of interactive whiteboards, how many were purchased using "Levy/Bond" funds.  Please refer to the Funding Source Key tab for further explanation of each funding source.
</t>
        </r>
      </text>
    </comment>
    <comment ref="F131" authorId="0">
      <text>
        <r>
          <rPr>
            <sz val="9"/>
            <color indexed="81"/>
            <rFont val="Tahoma"/>
            <family val="2"/>
          </rPr>
          <t xml:space="preserve">Of the total number of interactive whiteboards, how many were purchased using "Grants/Award" funds.  Please refer to the Funding Source Key tab for further explanation of each funding source.
</t>
        </r>
      </text>
    </comment>
    <comment ref="G131" authorId="0">
      <text>
        <r>
          <rPr>
            <sz val="9"/>
            <color indexed="81"/>
            <rFont val="Tahoma"/>
            <family val="2"/>
          </rPr>
          <t xml:space="preserve">Of the total number of interactive whiteboards, how many were purchased using "Microsoft CyPres" funds.  Please refer to the Funding Source Key tab for further explanation of each funding source.
</t>
        </r>
      </text>
    </comment>
    <comment ref="H131" authorId="0">
      <text>
        <r>
          <rPr>
            <sz val="9"/>
            <color indexed="81"/>
            <rFont val="Tahoma"/>
            <family val="2"/>
          </rPr>
          <t xml:space="preserve">Of the total number of interactive whiteboards, how many were purchased using "Fundraising" funds.  Please refer to the Funding Source Key tab for further explanation of each funding source.
</t>
        </r>
      </text>
    </comment>
    <comment ref="I131" authorId="0">
      <text>
        <r>
          <rPr>
            <sz val="9"/>
            <color indexed="81"/>
            <rFont val="Tahoma"/>
            <family val="2"/>
          </rPr>
          <t xml:space="preserve">Of the total number of interactive whiteboards, how many were donated.  Please refer to the Funding Source Key tab for further explanation of each funding source.
</t>
        </r>
      </text>
    </comment>
    <comment ref="J131" authorId="0">
      <text>
        <r>
          <rPr>
            <sz val="9"/>
            <color indexed="81"/>
            <rFont val="Tahoma"/>
            <family val="2"/>
          </rPr>
          <t xml:space="preserve">Of the total number of interactive whiteboards, how many were purchased using "State" provided funds.  Please refer to the Funding Source Key tab for further explanation of each funding source.
</t>
        </r>
      </text>
    </comment>
    <comment ref="K131" authorId="0">
      <text>
        <r>
          <rPr>
            <sz val="9"/>
            <color indexed="81"/>
            <rFont val="Tahoma"/>
            <family val="2"/>
          </rPr>
          <t xml:space="preserve">Of the total number of interactive whiteboards, how many were purchased using "Federal" funds.  Please refer to the Funding Source Key tab for further explanation of each funding source.
</t>
        </r>
      </text>
    </comment>
    <comment ref="L132" authorId="0">
      <text>
        <r>
          <rPr>
            <sz val="9"/>
            <color indexed="81"/>
            <rFont val="Tahoma"/>
            <family val="2"/>
          </rPr>
          <t>Should equal 100% when completed.</t>
        </r>
      </text>
    </comment>
    <comment ref="A137" authorId="0">
      <text>
        <r>
          <rPr>
            <sz val="9"/>
            <color indexed="81"/>
            <rFont val="Tahoma"/>
            <family val="2"/>
          </rPr>
          <t xml:space="preserve">Enter the number of buildings that use surveillance cameras in all or part of the building.
</t>
        </r>
      </text>
    </comment>
    <comment ref="A140" authorId="0">
      <text>
        <r>
          <rPr>
            <sz val="9"/>
            <color indexed="81"/>
            <rFont val="Tahoma"/>
            <family val="2"/>
          </rPr>
          <t xml:space="preserve">This is for district-level communication only.  Do NOT include if only used at the building level.
</t>
        </r>
      </text>
    </comment>
    <comment ref="A141" authorId="0">
      <text>
        <r>
          <rPr>
            <sz val="9"/>
            <color indexed="81"/>
            <rFont val="Tahoma"/>
            <family val="2"/>
          </rPr>
          <t xml:space="preserve">This is for district-level communication only.  Do NOT include if only used at the building level.
</t>
        </r>
      </text>
    </comment>
    <comment ref="A142" authorId="0">
      <text>
        <r>
          <rPr>
            <sz val="9"/>
            <color indexed="81"/>
            <rFont val="Tahoma"/>
            <family val="2"/>
          </rPr>
          <t xml:space="preserve">This is for district-level communication only.  Do NOT include if only used at the building level.
</t>
        </r>
      </text>
    </comment>
    <comment ref="A143" authorId="0">
      <text>
        <r>
          <rPr>
            <sz val="9"/>
            <color indexed="81"/>
            <rFont val="Tahoma"/>
            <family val="2"/>
          </rPr>
          <t xml:space="preserve">This is for district-level communication only.  Do NOT include if only used at the building level.
</t>
        </r>
      </text>
    </comment>
    <comment ref="A144" authorId="0">
      <text>
        <r>
          <rPr>
            <sz val="9"/>
            <color indexed="81"/>
            <rFont val="Tahoma"/>
            <family val="2"/>
          </rPr>
          <t xml:space="preserve">This is for district-level communication only.  Do NOT include if only used at the building level.
</t>
        </r>
      </text>
    </comment>
    <comment ref="A145" authorId="0">
      <text>
        <r>
          <rPr>
            <sz val="9"/>
            <color indexed="81"/>
            <rFont val="Tahoma"/>
            <family val="2"/>
          </rPr>
          <t xml:space="preserve">This is for district-level communication only.  Do NOT include if only used at the building level.
</t>
        </r>
      </text>
    </comment>
    <comment ref="A146" authorId="0">
      <text>
        <r>
          <rPr>
            <sz val="9"/>
            <color indexed="81"/>
            <rFont val="Tahoma"/>
            <family val="2"/>
          </rPr>
          <t xml:space="preserve">Please indicate if your district utilizes an automated messaging system typically used for emergency and announcement notifications via phone call, email and/or text messaging.
</t>
        </r>
      </text>
    </comment>
    <comment ref="E170" authorId="0">
      <text>
        <r>
          <rPr>
            <sz val="9"/>
            <color indexed="81"/>
            <rFont val="Tahoma"/>
            <family val="2"/>
          </rPr>
          <t xml:space="preserve">Please reference the Pull-Down Options tab for a list of options for this question.
</t>
        </r>
      </text>
    </comment>
    <comment ref="E171" authorId="0">
      <text>
        <r>
          <rPr>
            <sz val="9"/>
            <color indexed="81"/>
            <rFont val="Tahoma"/>
            <family val="2"/>
          </rPr>
          <t xml:space="preserve">Please reference the Pull-Down Options tab for a list of options for this question.
</t>
        </r>
      </text>
    </comment>
    <comment ref="D213" authorId="0">
      <text>
        <r>
          <rPr>
            <sz val="9"/>
            <color indexed="81"/>
            <rFont val="Tahoma"/>
            <family val="2"/>
          </rPr>
          <t xml:space="preserve">Please reference the Pull-Down Options tab for a list of options for this question.
</t>
        </r>
      </text>
    </comment>
    <comment ref="D214" authorId="0">
      <text>
        <r>
          <rPr>
            <sz val="9"/>
            <color indexed="81"/>
            <rFont val="Tahoma"/>
            <family val="2"/>
          </rPr>
          <t xml:space="preserve">Please reference the Pull-Down Options tab for a list of options for this question.
</t>
        </r>
      </text>
    </comment>
    <comment ref="D215" authorId="0">
      <text>
        <r>
          <rPr>
            <sz val="9"/>
            <color indexed="81"/>
            <rFont val="Tahoma"/>
            <family val="2"/>
          </rPr>
          <t xml:space="preserve">Please reference the Pull-Down Options tab for a list of options for this question.
</t>
        </r>
      </text>
    </comment>
    <comment ref="D216" authorId="0">
      <text>
        <r>
          <rPr>
            <sz val="9"/>
            <color indexed="81"/>
            <rFont val="Tahoma"/>
            <family val="2"/>
          </rPr>
          <t xml:space="preserve">Please reference the Pull-Down Options tab for a list of options for this question.
</t>
        </r>
      </text>
    </comment>
    <comment ref="D217" authorId="0">
      <text>
        <r>
          <rPr>
            <sz val="9"/>
            <color indexed="81"/>
            <rFont val="Tahoma"/>
            <family val="2"/>
          </rPr>
          <t xml:space="preserve">Please reference the Pull-Down Options tab for a list of options for this question.
</t>
        </r>
      </text>
    </comment>
    <comment ref="D218" authorId="0">
      <text>
        <r>
          <rPr>
            <sz val="9"/>
            <color indexed="81"/>
            <rFont val="Tahoma"/>
            <family val="2"/>
          </rPr>
          <t xml:space="preserve">Please reference the Pull-Down Options tab for a list of options for this question.
</t>
        </r>
      </text>
    </comment>
    <comment ref="D219" authorId="0">
      <text>
        <r>
          <rPr>
            <sz val="9"/>
            <color indexed="81"/>
            <rFont val="Tahoma"/>
            <family val="2"/>
          </rPr>
          <t xml:space="preserve">Please reference the Pull-Down Options tab for a list of options for this question.
</t>
        </r>
      </text>
    </comment>
    <comment ref="D220" authorId="0">
      <text>
        <r>
          <rPr>
            <sz val="9"/>
            <color indexed="81"/>
            <rFont val="Tahoma"/>
            <family val="2"/>
          </rPr>
          <t xml:space="preserve">Please reference the Pull-Down Options tab for a list of options for this question.
</t>
        </r>
      </text>
    </comment>
    <comment ref="D224" authorId="0">
      <text>
        <r>
          <rPr>
            <sz val="9"/>
            <color indexed="81"/>
            <rFont val="Tahoma"/>
            <family val="2"/>
          </rPr>
          <t xml:space="preserve">Please reference the Pull-Down Options tab for a list of options for this question.
</t>
        </r>
      </text>
    </comment>
    <comment ref="D225" authorId="0">
      <text>
        <r>
          <rPr>
            <sz val="9"/>
            <color indexed="81"/>
            <rFont val="Tahoma"/>
            <family val="2"/>
          </rPr>
          <t xml:space="preserve">Please reference the Pull-Down Options tab for a list of options for this question.
</t>
        </r>
      </text>
    </comment>
    <comment ref="D226" authorId="0">
      <text>
        <r>
          <rPr>
            <sz val="9"/>
            <color indexed="81"/>
            <rFont val="Tahoma"/>
            <family val="2"/>
          </rPr>
          <t xml:space="preserve">Please reference the Pull-Down Options tab for a list of options for this question.
</t>
        </r>
      </text>
    </comment>
    <comment ref="D227" authorId="0">
      <text>
        <r>
          <rPr>
            <sz val="9"/>
            <color indexed="81"/>
            <rFont val="Tahoma"/>
            <family val="2"/>
          </rPr>
          <t xml:space="preserve">Please reference the Pull-Down Options tab for a list of options for this question.
</t>
        </r>
      </text>
    </comment>
    <comment ref="D228" authorId="0">
      <text>
        <r>
          <rPr>
            <sz val="9"/>
            <color indexed="81"/>
            <rFont val="Tahoma"/>
            <family val="2"/>
          </rPr>
          <t xml:space="preserve">Please reference the Pull-Down Options tab for a list of options for this question.
</t>
        </r>
      </text>
    </comment>
    <comment ref="D229" authorId="0">
      <text>
        <r>
          <rPr>
            <sz val="9"/>
            <color indexed="81"/>
            <rFont val="Tahoma"/>
            <family val="2"/>
          </rPr>
          <t xml:space="preserve">Please reference the Pull-Down Options tab for a list of options for this question.
</t>
        </r>
      </text>
    </comment>
    <comment ref="D230" authorId="0">
      <text>
        <r>
          <rPr>
            <sz val="9"/>
            <color indexed="81"/>
            <rFont val="Tahoma"/>
            <family val="2"/>
          </rPr>
          <t xml:space="preserve">Please reference the Pull-Down Options tab for a list of options for this question.
</t>
        </r>
      </text>
    </comment>
    <comment ref="D231" authorId="0">
      <text>
        <r>
          <rPr>
            <sz val="9"/>
            <color indexed="81"/>
            <rFont val="Tahoma"/>
            <family val="2"/>
          </rPr>
          <t xml:space="preserve">Please reference the Pull-Down Options tab for a list of options for this question.
</t>
        </r>
      </text>
    </comment>
    <comment ref="D232" authorId="0">
      <text>
        <r>
          <rPr>
            <sz val="9"/>
            <color indexed="81"/>
            <rFont val="Tahoma"/>
            <family val="2"/>
          </rPr>
          <t xml:space="preserve">Please reference the Pull-Down Options tab for a list of options for this question.
</t>
        </r>
      </text>
    </comment>
    <comment ref="D234" authorId="0">
      <text>
        <r>
          <rPr>
            <sz val="9"/>
            <color indexed="81"/>
            <rFont val="Tahoma"/>
            <family val="2"/>
          </rPr>
          <t xml:space="preserve">Please reference the Pull-Down Options tab for a list of options for this question.
</t>
        </r>
      </text>
    </comment>
    <comment ref="D235" authorId="0">
      <text>
        <r>
          <rPr>
            <sz val="9"/>
            <color indexed="81"/>
            <rFont val="Tahoma"/>
            <family val="2"/>
          </rPr>
          <t xml:space="preserve">Please reference the Pull-Down Options tab for a list of options for this question.
</t>
        </r>
      </text>
    </comment>
    <comment ref="D236" authorId="0">
      <text>
        <r>
          <rPr>
            <sz val="9"/>
            <color indexed="81"/>
            <rFont val="Tahoma"/>
            <family val="2"/>
          </rPr>
          <t xml:space="preserve">Please reference the Pull-Down Options tab for a list of options for this question.
</t>
        </r>
      </text>
    </comment>
    <comment ref="B252" authorId="0">
      <text>
        <r>
          <rPr>
            <sz val="9"/>
            <color indexed="81"/>
            <rFont val="Tahoma"/>
            <family val="2"/>
          </rPr>
          <t xml:space="preserve">Please reference the Pull-Down Options tab for a list of options for this question.
</t>
        </r>
      </text>
    </comment>
    <comment ref="B253" authorId="0">
      <text>
        <r>
          <rPr>
            <sz val="9"/>
            <color indexed="81"/>
            <rFont val="Tahoma"/>
            <family val="2"/>
          </rPr>
          <t xml:space="preserve">Please reference the Pull-Down Options tab for a list of options for this question.
</t>
        </r>
      </text>
    </comment>
    <comment ref="B254" authorId="0">
      <text>
        <r>
          <rPr>
            <sz val="9"/>
            <color indexed="81"/>
            <rFont val="Tahoma"/>
            <family val="2"/>
          </rPr>
          <t xml:space="preserve">Please reference the Pull-Down Options tab for a list of options for this question.
</t>
        </r>
      </text>
    </comment>
  </commentList>
</comments>
</file>

<file path=xl/comments2.xml><?xml version="1.0" encoding="utf-8"?>
<comments xmlns="http://schemas.openxmlformats.org/spreadsheetml/2006/main">
  <authors>
    <author>Heier, Ed</author>
  </authors>
  <commentList>
    <comment ref="A5" authorId="0">
      <text>
        <r>
          <rPr>
            <sz val="9"/>
            <color indexed="81"/>
            <rFont val="Tahoma"/>
            <family val="2"/>
          </rPr>
          <t xml:space="preserve">Please enter the total number of classrooms for your entire site/program.  A classroom is defined as any space used for instruction to students.
</t>
        </r>
      </text>
    </comment>
    <comment ref="A6" authorId="0">
      <text>
        <r>
          <rPr>
            <sz val="9"/>
            <color indexed="81"/>
            <rFont val="Tahoma"/>
            <family val="2"/>
          </rPr>
          <t xml:space="preserve">Please enter the total number of classrooms for your entire site/program.  A classroom is defined as any space used for instruction to students.
</t>
        </r>
      </text>
    </comment>
    <comment ref="A7" authorId="0">
      <text>
        <r>
          <rPr>
            <sz val="9"/>
            <color indexed="81"/>
            <rFont val="Tahoma"/>
            <family val="2"/>
          </rPr>
          <t xml:space="preserve">Please enter the total number of classrooms for your entire site/program.  A classroom is defined as any space used for instruction to students.
</t>
        </r>
      </text>
    </comment>
    <comment ref="A11" authorId="0">
      <text>
        <r>
          <rPr>
            <sz val="9"/>
            <color indexed="81"/>
            <rFont val="Tahoma"/>
            <family val="2"/>
          </rPr>
          <t xml:space="preserve">Please include only computers that are primarily dedicated for student use in which they have an opportunity to physically access on any given day.  Do NOT include computers primarily dedicated to a projector and/or teacher in which students may occasionally access for presentation purposes or simply used for demonstration purposes.
</t>
        </r>
      </text>
    </comment>
    <comment ref="A12" authorId="0">
      <text>
        <r>
          <rPr>
            <sz val="9"/>
            <color indexed="81"/>
            <rFont val="Tahoma"/>
            <family val="2"/>
          </rPr>
          <t xml:space="preserve">Please include only computers that are primarily dedicated for student use in which they have an opportunity to physically access on any given day.  Do NOT include computers primarily dedicated to a projector and/or teacher in which students may occasionally access for presentation purposes or simply used for demonstration purposes.
</t>
        </r>
      </text>
    </comment>
    <comment ref="A13" authorId="0">
      <text>
        <r>
          <rPr>
            <sz val="9"/>
            <color indexed="81"/>
            <rFont val="Tahoma"/>
            <family val="2"/>
          </rPr>
          <t xml:space="preserve">Please include only computers that are primarily dedicated for student use in which they have an opportunity to physically access on any given day.  Do NOT include computers primarily dedicated to a projector and/or teacher in which students may occasionally access for presentation purposes or simply used for demonstration purposes.
</t>
        </r>
      </text>
    </comment>
    <comment ref="A14" authorId="0">
      <text>
        <r>
          <rPr>
            <sz val="9"/>
            <color indexed="81"/>
            <rFont val="Tahoma"/>
            <family val="2"/>
          </rPr>
          <t xml:space="preserve">Please include only computers that are primarily dedicated for student use in which they have an opportunity to physically access on any given day.  Do NOT include computers primarily dedicated to a projector and/or teacher in which students may occasionally access for presentation purposes or simply used for demonstration purposes.
</t>
        </r>
      </text>
    </comment>
    <comment ref="A15" authorId="0">
      <text>
        <r>
          <rPr>
            <sz val="9"/>
            <color indexed="81"/>
            <rFont val="Tahoma"/>
            <family val="2"/>
          </rPr>
          <t xml:space="preserve">Please include only computers that are primarily dedicated for student use in which they have an opportunity to physically access on any given day.  Do NOT include computers primarily dedicated to a projector and/or teacher in which students may occasionally access for presentation purposes or simply used for demonstration purposes.
</t>
        </r>
      </text>
    </comment>
    <comment ref="A16" authorId="0">
      <text>
        <r>
          <rPr>
            <sz val="9"/>
            <color indexed="81"/>
            <rFont val="Tahoma"/>
            <family val="2"/>
          </rPr>
          <t xml:space="preserve">Please include only computers that are primarily dedicated for student use in which they have an opportunity to physically access on any given day.  Do NOT include computers primarily dedicated to a projector and/or teacher in which students may occasionally access for presentation purposes or simply used for demonstration purposes.
</t>
        </r>
      </text>
    </comment>
    <comment ref="A17" authorId="0">
      <text>
        <r>
          <rPr>
            <sz val="9"/>
            <color indexed="81"/>
            <rFont val="Tahoma"/>
            <family val="2"/>
          </rPr>
          <t xml:space="preserve">Please include only computers that are primarily dedicated for student use in which they have an opportunity to physically access on any given day.  Do NOT include computers primarily dedicated to a projector and/or teacher in which students may occasionally access for presentation purposes or simply used for demonstration purposes.
</t>
        </r>
      </text>
    </comment>
    <comment ref="A18" authorId="0">
      <text>
        <r>
          <rPr>
            <sz val="9"/>
            <color indexed="81"/>
            <rFont val="Tahoma"/>
            <family val="2"/>
          </rPr>
          <t xml:space="preserve">Please include only computers that are primarily dedicated for teacher use including computers connected to a projector primarily used for instructional purposes with the students.  Do NOT include computers primarily dedicated to students in which a teacher may occasionally access.
</t>
        </r>
      </text>
    </comment>
    <comment ref="A19" authorId="0">
      <text>
        <r>
          <rPr>
            <sz val="9"/>
            <color indexed="81"/>
            <rFont val="Tahoma"/>
            <family val="2"/>
          </rPr>
          <t xml:space="preserve">Please include only computers that are primarily dedicated for teacher use including computers connected to a projector primarily used for instructional purposes with the students.  Do NOT include computers primarily dedicated to students in which a teacher may occasionally access.
</t>
        </r>
      </text>
    </comment>
    <comment ref="A20" authorId="0">
      <text>
        <r>
          <rPr>
            <sz val="9"/>
            <color indexed="81"/>
            <rFont val="Tahoma"/>
            <family val="2"/>
          </rPr>
          <t xml:space="preserve">Please include only computers that are primarily dedicated for teacher use including computers connected to a projector primarily used for instructional purposes with the students.  Do NOT include computers primarily dedicated to students in which a teacher may occasionally access.
</t>
        </r>
      </text>
    </comment>
    <comment ref="A21" authorId="0">
      <text>
        <r>
          <rPr>
            <sz val="9"/>
            <color indexed="81"/>
            <rFont val="Tahoma"/>
            <family val="2"/>
          </rPr>
          <t xml:space="preserve">Please include only computers that are primarily dedicated for teacher use including computers connected to a projector primarily used for instructional purposes with the students.  Do NOT include computers primarily dedicated to students in which a teacher may occasionally access.
</t>
        </r>
      </text>
    </comment>
    <comment ref="A22" authorId="0">
      <text>
        <r>
          <rPr>
            <sz val="9"/>
            <color indexed="81"/>
            <rFont val="Tahoma"/>
            <family val="2"/>
          </rPr>
          <t xml:space="preserve">Please include only computers that are primarily dedicated for teacher use including computers connected to a projector primarily used for instructional purposes with the students.  Do NOT include computers primarily dedicated to students in which a teacher may occasionally access.
</t>
        </r>
      </text>
    </comment>
    <comment ref="A23" authorId="0">
      <text>
        <r>
          <rPr>
            <sz val="9"/>
            <color indexed="81"/>
            <rFont val="Tahoma"/>
            <family val="2"/>
          </rPr>
          <t xml:space="preserve">Please include only computers that are primarily dedicated for teacher use including computers connected to a projector primarily used for instructional purposes with the students.  Do NOT include computers primarily dedicated to students in which a teacher may occasionally access.
</t>
        </r>
      </text>
    </comment>
    <comment ref="A24" authorId="0">
      <text>
        <r>
          <rPr>
            <sz val="9"/>
            <color indexed="81"/>
            <rFont val="Tahoma"/>
            <family val="2"/>
          </rPr>
          <t xml:space="preserve">Please include only computers that are primarily dedicated for teacher use including computers connected to a projector primarily used for instructional purposes with the students.  Do NOT include computers primarily dedicated to students in which a teacher may occasionally access.
</t>
        </r>
      </text>
    </comment>
    <comment ref="A25" authorId="0">
      <text>
        <r>
          <rPr>
            <sz val="9"/>
            <color indexed="81"/>
            <rFont val="Tahoma"/>
            <family val="2"/>
          </rPr>
          <t xml:space="preserve">Please include any non-instructional computers not included in the student and teacher inventories.  (e.g. Administrator, secretary, custodian, etc.)
</t>
        </r>
      </text>
    </comment>
    <comment ref="A26" authorId="0">
      <text>
        <r>
          <rPr>
            <sz val="9"/>
            <color indexed="81"/>
            <rFont val="Tahoma"/>
            <family val="2"/>
          </rPr>
          <t xml:space="preserve">Please include any non-instructional computers not included in the student and teacher inventories.  (e.g. Administrator, secretary, custodian, etc.)
</t>
        </r>
      </text>
    </comment>
    <comment ref="A27" authorId="0">
      <text>
        <r>
          <rPr>
            <sz val="9"/>
            <color indexed="81"/>
            <rFont val="Tahoma"/>
            <family val="2"/>
          </rPr>
          <t xml:space="preserve">Please include any non-instructional computers not included in the student and teacher inventories.  (e.g. Administrator, secretary, custodian, etc.)
</t>
        </r>
      </text>
    </comment>
    <comment ref="A28" authorId="0">
      <text>
        <r>
          <rPr>
            <sz val="9"/>
            <color indexed="81"/>
            <rFont val="Tahoma"/>
            <family val="2"/>
          </rPr>
          <t xml:space="preserve">Please include any non-instructional computers not included in the student and teacher inventories.  (e.g. Administrator, secretary, custodian, etc.)
</t>
        </r>
      </text>
    </comment>
    <comment ref="A29" authorId="0">
      <text>
        <r>
          <rPr>
            <sz val="9"/>
            <color indexed="81"/>
            <rFont val="Tahoma"/>
            <family val="2"/>
          </rPr>
          <t xml:space="preserve">Please include any non-instructional computers not included in the student and teacher inventories.  (e.g. Administrator, secretary, custodian, etc.)
</t>
        </r>
      </text>
    </comment>
    <comment ref="A30" authorId="0">
      <text>
        <r>
          <rPr>
            <sz val="9"/>
            <color indexed="81"/>
            <rFont val="Tahoma"/>
            <family val="2"/>
          </rPr>
          <t xml:space="preserve">Please include any non-instructional computers not included in the student and teacher inventories.  (e.g. Administrator, secretary, custodian, etc.)
</t>
        </r>
      </text>
    </comment>
    <comment ref="A31" authorId="0">
      <text>
        <r>
          <rPr>
            <sz val="9"/>
            <color indexed="81"/>
            <rFont val="Tahoma"/>
            <family val="2"/>
          </rPr>
          <t xml:space="preserve">Please include any non-instructional computers not included in the student and teacher inventories.  (e.g. Administrator, secretary, custodian, etc.)
</t>
        </r>
      </text>
    </comment>
    <comment ref="A32" authorId="0">
      <text>
        <r>
          <rPr>
            <sz val="9"/>
            <color indexed="81"/>
            <rFont val="Tahoma"/>
            <family val="2"/>
          </rPr>
          <t xml:space="preserve">Please enter in the correct column by age of device the number of netbooks owned.
</t>
        </r>
      </text>
    </comment>
    <comment ref="A38" authorId="0">
      <text>
        <r>
          <rPr>
            <sz val="9"/>
            <color indexed="81"/>
            <rFont val="Tahoma"/>
            <family val="2"/>
          </rPr>
          <t xml:space="preserve">This would include any "district-owned" SmartPhones such as iPhones, Blackberries, etc. that have data capabilities.  This number should be quite small or non-existent given the district's new cell-phone policy.
</t>
        </r>
      </text>
    </comment>
    <comment ref="A39" authorId="0">
      <text>
        <r>
          <rPr>
            <sz val="9"/>
            <color indexed="81"/>
            <rFont val="Tahoma"/>
            <family val="2"/>
          </rPr>
          <t xml:space="preserve">Please enter in the correct column by age of device the number of keyboarding devices owned.
</t>
        </r>
      </text>
    </comment>
    <comment ref="A40" authorId="0">
      <text>
        <r>
          <rPr>
            <sz val="9"/>
            <color indexed="81"/>
            <rFont val="Tahoma"/>
            <family val="2"/>
          </rPr>
          <t xml:space="preserve">Indicate how many "fixed" computer labs you have with 10 or more stations.  This does NOT include portable labs.
</t>
        </r>
      </text>
    </comment>
    <comment ref="A41" authorId="0">
      <text>
        <r>
          <rPr>
            <sz val="9"/>
            <color indexed="81"/>
            <rFont val="Tahoma"/>
            <family val="2"/>
          </rPr>
          <t xml:space="preserve">Indicate how many classrooms have 4 or more computers connected to the network within a single classroom.  This does NOT include any shared labs.
</t>
        </r>
      </text>
    </comment>
    <comment ref="A42" authorId="0">
      <text>
        <r>
          <rPr>
            <sz val="9"/>
            <color indexed="81"/>
            <rFont val="Tahoma"/>
            <family val="2"/>
          </rPr>
          <t xml:space="preserve">Indicate how many mobile labs of 5 or more stations that are available for instruction.
</t>
        </r>
      </text>
    </comment>
    <comment ref="A43" authorId="0">
      <text>
        <r>
          <rPr>
            <sz val="9"/>
            <color indexed="81"/>
            <rFont val="Tahoma"/>
            <family val="2"/>
          </rPr>
          <t xml:space="preserve">From the options available, select the one that best represents your districts "goal" for a computer replacement cycle.
</t>
        </r>
      </text>
    </comment>
    <comment ref="B43" authorId="0">
      <text>
        <r>
          <rPr>
            <sz val="9"/>
            <color indexed="81"/>
            <rFont val="Tahoma"/>
            <family val="2"/>
          </rPr>
          <t xml:space="preserve">Please reference the Pull-Down Options tab for a list of options for this question.
</t>
        </r>
      </text>
    </comment>
    <comment ref="A44" authorId="0">
      <text>
        <r>
          <rPr>
            <sz val="9"/>
            <color indexed="81"/>
            <rFont val="Tahoma"/>
            <family val="2"/>
          </rPr>
          <t xml:space="preserve">From the options available, select the one that best represents your districts "actual" computer replacement cycle.
</t>
        </r>
      </text>
    </comment>
    <comment ref="B44" authorId="0">
      <text>
        <r>
          <rPr>
            <sz val="9"/>
            <color indexed="81"/>
            <rFont val="Tahoma"/>
            <family val="2"/>
          </rPr>
          <t xml:space="preserve">Please reference the Pull-Down Options tab for a list of options for this question.
</t>
        </r>
      </text>
    </comment>
    <comment ref="A48" authorId="0">
      <text>
        <r>
          <rPr>
            <sz val="9"/>
            <color indexed="81"/>
            <rFont val="Tahoma"/>
            <family val="2"/>
          </rPr>
          <t xml:space="preserve">Enter the total number of labs of 10 or more stations reserved at some point throughout the year to conduct either state or local computerized testing (required and optional).
</t>
        </r>
      </text>
    </comment>
    <comment ref="A49" authorId="0">
      <text>
        <r>
          <rPr>
            <sz val="9"/>
            <color indexed="81"/>
            <rFont val="Tahoma"/>
            <family val="2"/>
          </rPr>
          <t xml:space="preserve">Of the total number of labs reserved in the previous question, how many total days in aggregate are those labs reserved for all or part of a day for </t>
        </r>
        <r>
          <rPr>
            <b/>
            <u/>
            <sz val="9"/>
            <color indexed="81"/>
            <rFont val="Tahoma"/>
            <family val="2"/>
          </rPr>
          <t>REQUIRED</t>
        </r>
        <r>
          <rPr>
            <sz val="9"/>
            <color indexed="81"/>
            <rFont val="Tahoma"/>
            <family val="2"/>
          </rPr>
          <t xml:space="preserve"> testing? 
EXAMPLE:  4 total labs used throughout the year.
   Lab 1 = 15 full or partial-day use
   Lab 2 = 15 full or partial-day use
   Lab 3 = 10 full or partial-day use
   Lab 4 = 8 full or partial-day use
TOTAL = </t>
        </r>
        <r>
          <rPr>
            <b/>
            <sz val="9"/>
            <color indexed="81"/>
            <rFont val="Tahoma"/>
            <family val="2"/>
          </rPr>
          <t>48</t>
        </r>
        <r>
          <rPr>
            <sz val="9"/>
            <color indexed="81"/>
            <rFont val="Tahoma"/>
            <family val="2"/>
          </rPr>
          <t xml:space="preserve"> days (entered into the appropriate cell</t>
        </r>
      </text>
    </comment>
    <comment ref="A50" authorId="0">
      <text>
        <r>
          <rPr>
            <sz val="9"/>
            <color indexed="81"/>
            <rFont val="Tahoma"/>
            <family val="2"/>
          </rPr>
          <t xml:space="preserve">Of the total number of labs reserved in the previous question, how many total days in aggregate are those labs reserved for all or part of a day for </t>
        </r>
        <r>
          <rPr>
            <b/>
            <u/>
            <sz val="9"/>
            <color indexed="81"/>
            <rFont val="Tahoma"/>
            <family val="2"/>
          </rPr>
          <t>OPTIONAL</t>
        </r>
        <r>
          <rPr>
            <sz val="9"/>
            <color indexed="81"/>
            <rFont val="Tahoma"/>
            <family val="2"/>
          </rPr>
          <t xml:space="preserve"> testing? 
EXAMPLE:  4 total labs used throughout the year.
   Lab 1 = 15 full or partial-day use
   Lab 2 = 15 full or partial-day use
   Lab 3 = 10 full or partial-day use
   Lab 4 = 8 full or partial-day use
TOTAL = </t>
        </r>
        <r>
          <rPr>
            <b/>
            <sz val="9"/>
            <color indexed="81"/>
            <rFont val="Tahoma"/>
            <family val="2"/>
          </rPr>
          <t>48</t>
        </r>
        <r>
          <rPr>
            <sz val="9"/>
            <color indexed="81"/>
            <rFont val="Tahoma"/>
            <family val="2"/>
          </rPr>
          <t xml:space="preserve"> days (entered into the appropriate cell</t>
        </r>
      </text>
    </comment>
    <comment ref="A55" authorId="0">
      <text>
        <r>
          <rPr>
            <sz val="9"/>
            <color indexed="81"/>
            <rFont val="Tahoma"/>
            <family val="2"/>
          </rPr>
          <t>Includes only computers regularly available to students for "hands-on" use.  It does NOT include computers connected to a projector for classroom instruction.  Hover over individual cells to the right for further explanation of funding sources.</t>
        </r>
      </text>
    </comment>
    <comment ref="B55" authorId="0">
      <text>
        <r>
          <rPr>
            <sz val="9"/>
            <color indexed="81"/>
            <rFont val="Tahoma"/>
            <family val="2"/>
          </rPr>
          <t xml:space="preserve">This sum is auto-calculated from entries in questions 4-7 and represents ALL student desktops.
</t>
        </r>
      </text>
    </comment>
    <comment ref="C55" authorId="0">
      <text>
        <r>
          <rPr>
            <sz val="9"/>
            <color indexed="81"/>
            <rFont val="Tahoma"/>
            <family val="2"/>
          </rPr>
          <t xml:space="preserve">Of the total number of computers, how many were purchased using "General" funds.  Please refer to the Funding Source Key tab for further explanation of each funding source.
</t>
        </r>
      </text>
    </comment>
    <comment ref="D55" authorId="0">
      <text>
        <r>
          <rPr>
            <sz val="9"/>
            <color indexed="81"/>
            <rFont val="Tahoma"/>
            <family val="2"/>
          </rPr>
          <t xml:space="preserve">Of the total number of computers, how many were purchased using "Capital" funds.  Please refer to the Funding Source Key tab for further explanation of each funding source.
</t>
        </r>
      </text>
    </comment>
    <comment ref="E55" authorId="0">
      <text>
        <r>
          <rPr>
            <sz val="9"/>
            <color indexed="81"/>
            <rFont val="Tahoma"/>
            <family val="2"/>
          </rPr>
          <t xml:space="preserve">Of the total number of computers, how many were purchased using "Levy/Bond" funds.  Please refer to the Funding Source Key tab for further explanation of each funding source.
</t>
        </r>
      </text>
    </comment>
    <comment ref="F55" authorId="0">
      <text>
        <r>
          <rPr>
            <sz val="9"/>
            <color indexed="81"/>
            <rFont val="Tahoma"/>
            <family val="2"/>
          </rPr>
          <t xml:space="preserve">Of the total number of computers, how many were purchased using "Grants/Award" funds.  Please refer to the Funding Source Key tab for further explanation of each funding source.
</t>
        </r>
      </text>
    </comment>
    <comment ref="G55" authorId="0">
      <text>
        <r>
          <rPr>
            <sz val="9"/>
            <color indexed="81"/>
            <rFont val="Tahoma"/>
            <family val="2"/>
          </rPr>
          <t xml:space="preserve">Of the total number of computers, how many were purchased using "Microsoft CyPres" funds.  Please refer to the Funding Source Key tab for further explanation of each funding source.
</t>
        </r>
      </text>
    </comment>
    <comment ref="H55" authorId="0">
      <text>
        <r>
          <rPr>
            <sz val="9"/>
            <color indexed="81"/>
            <rFont val="Tahoma"/>
            <family val="2"/>
          </rPr>
          <t xml:space="preserve">Of the total number of computers, how many were purchased using "Fundraising" funds.  Please refer to the Funding Source Key tab for further explanation of each funding source.
</t>
        </r>
      </text>
    </comment>
    <comment ref="I55" authorId="0">
      <text>
        <r>
          <rPr>
            <sz val="9"/>
            <color indexed="81"/>
            <rFont val="Tahoma"/>
            <family val="2"/>
          </rPr>
          <t xml:space="preserve">Of the total number of computers, how many were donated.  Please refer to the Funding Source Key tab for further explanation of each funding source.
</t>
        </r>
      </text>
    </comment>
    <comment ref="J55" authorId="0">
      <text>
        <r>
          <rPr>
            <sz val="9"/>
            <color indexed="81"/>
            <rFont val="Tahoma"/>
            <family val="2"/>
          </rPr>
          <t xml:space="preserve">Of the total number of computers, how many were purchased using "State" provided funds.  Please refer to the Funding Source Key tab for further explanation of each funding source.
</t>
        </r>
      </text>
    </comment>
    <comment ref="K55" authorId="0">
      <text>
        <r>
          <rPr>
            <sz val="9"/>
            <color indexed="81"/>
            <rFont val="Tahoma"/>
            <family val="2"/>
          </rPr>
          <t xml:space="preserve">Of the total number of computers, how many were purchased using "Federal" funds.  Please refer to the Funding Source Key tab for further explanation of each funding source.
</t>
        </r>
      </text>
    </comment>
    <comment ref="L56" authorId="0">
      <text>
        <r>
          <rPr>
            <sz val="9"/>
            <color indexed="81"/>
            <rFont val="Tahoma"/>
            <family val="2"/>
          </rPr>
          <t>Should equal 100% when completed.</t>
        </r>
      </text>
    </comment>
    <comment ref="A59" authorId="0">
      <text>
        <r>
          <rPr>
            <sz val="9"/>
            <color indexed="81"/>
            <rFont val="Tahoma"/>
            <family val="2"/>
          </rPr>
          <t xml:space="preserve">Includes only computers regularly available to students for "hands-on" use.  It does NOT include computers connected to a projector for classroom instruction.  Hover over individual cells to the right for further explanation of funding sources.
</t>
        </r>
      </text>
    </comment>
    <comment ref="B59" authorId="0">
      <text>
        <r>
          <rPr>
            <sz val="9"/>
            <color indexed="81"/>
            <rFont val="Tahoma"/>
            <family val="2"/>
          </rPr>
          <t xml:space="preserve">This sum is auto-calculated from entries in questions 8-10, 25 and 30 and represents ALL student laptops.
</t>
        </r>
      </text>
    </comment>
    <comment ref="C59" authorId="0">
      <text>
        <r>
          <rPr>
            <sz val="9"/>
            <color indexed="81"/>
            <rFont val="Tahoma"/>
            <family val="2"/>
          </rPr>
          <t xml:space="preserve">Of the total number of computers, how many were purchased using "General" funds.  Please refer to the Funding Source Key tab for further explanation of each funding source.
</t>
        </r>
      </text>
    </comment>
    <comment ref="D59" authorId="0">
      <text>
        <r>
          <rPr>
            <sz val="9"/>
            <color indexed="81"/>
            <rFont val="Tahoma"/>
            <family val="2"/>
          </rPr>
          <t xml:space="preserve">Of the total number of computers, how many were purchased using "Capital" funds.  Please refer to the Funding Source Key tab for further explanation of each funding source.
</t>
        </r>
      </text>
    </comment>
    <comment ref="E59" authorId="0">
      <text>
        <r>
          <rPr>
            <sz val="9"/>
            <color indexed="81"/>
            <rFont val="Tahoma"/>
            <family val="2"/>
          </rPr>
          <t xml:space="preserve">Of the total number of computers, how many were purchased using "Levy/Bond" funds.  Please refer to the Funding Source Key tab for further explanation of each funding source.
</t>
        </r>
      </text>
    </comment>
    <comment ref="F59" authorId="0">
      <text>
        <r>
          <rPr>
            <sz val="9"/>
            <color indexed="81"/>
            <rFont val="Tahoma"/>
            <family val="2"/>
          </rPr>
          <t xml:space="preserve">Of the total number of computers, how many were purchased using "Grants/Award" funds.  Please refer to the Funding Source Key tab for further explanation of each funding source.
</t>
        </r>
      </text>
    </comment>
    <comment ref="G59" authorId="0">
      <text>
        <r>
          <rPr>
            <sz val="9"/>
            <color indexed="81"/>
            <rFont val="Tahoma"/>
            <family val="2"/>
          </rPr>
          <t xml:space="preserve">Of the total number of computers, how many were purchased using "Microsoft CyPres" funds.  Please refer to the Funding Source Key tab for further explanation of each funding source.
</t>
        </r>
      </text>
    </comment>
    <comment ref="H59" authorId="0">
      <text>
        <r>
          <rPr>
            <sz val="9"/>
            <color indexed="81"/>
            <rFont val="Tahoma"/>
            <family val="2"/>
          </rPr>
          <t xml:space="preserve">Of the total number of computers, how many were purchased using "Fundraising" funds.  Please refer to the Funding Source Key tab for further explanation of each funding source.
</t>
        </r>
      </text>
    </comment>
    <comment ref="I59" authorId="0">
      <text>
        <r>
          <rPr>
            <sz val="9"/>
            <color indexed="81"/>
            <rFont val="Tahoma"/>
            <family val="2"/>
          </rPr>
          <t xml:space="preserve">Of the total number of computers, how many were donated.  Please refer to the Funding Source Key tab for further explanation of each funding source.
</t>
        </r>
      </text>
    </comment>
    <comment ref="J59" authorId="0">
      <text>
        <r>
          <rPr>
            <sz val="9"/>
            <color indexed="81"/>
            <rFont val="Tahoma"/>
            <family val="2"/>
          </rPr>
          <t xml:space="preserve">Of the total number of computers, how many were purchased using "State" provided funds.  Please refer to the Funding Source Key tab for further explanation of each funding source.
</t>
        </r>
      </text>
    </comment>
    <comment ref="K59" authorId="0">
      <text>
        <r>
          <rPr>
            <sz val="9"/>
            <color indexed="81"/>
            <rFont val="Tahoma"/>
            <family val="2"/>
          </rPr>
          <t xml:space="preserve">Of the total number of computers, how many were purchased using "Federal" funds.  Please refer to the Funding Source Key tab for further explanation of each funding source.
</t>
        </r>
      </text>
    </comment>
    <comment ref="L60" authorId="0">
      <text>
        <r>
          <rPr>
            <sz val="9"/>
            <color indexed="81"/>
            <rFont val="Tahoma"/>
            <family val="2"/>
          </rPr>
          <t>Should equal 100% when completed.</t>
        </r>
      </text>
    </comment>
    <comment ref="A63" authorId="0">
      <text>
        <r>
          <rPr>
            <sz val="9"/>
            <color indexed="81"/>
            <rFont val="Tahoma"/>
            <family val="2"/>
          </rPr>
          <t xml:space="preserve">Includes only computers regularly available to students for "hands-on" use.  It does NOT include computers connected to a projector for classroom instruction.  Hover over individual cells to the right for further explanation of funding sources.
</t>
        </r>
      </text>
    </comment>
    <comment ref="B63" authorId="0">
      <text>
        <r>
          <rPr>
            <sz val="9"/>
            <color indexed="81"/>
            <rFont val="Tahoma"/>
            <family val="2"/>
          </rPr>
          <t xml:space="preserve">This sum is auto-calculated from entries in questions 26-29 and represents ALL tablet-based devices.
</t>
        </r>
      </text>
    </comment>
    <comment ref="C63" authorId="0">
      <text>
        <r>
          <rPr>
            <sz val="9"/>
            <color indexed="81"/>
            <rFont val="Tahoma"/>
            <family val="2"/>
          </rPr>
          <t xml:space="preserve">Of the total number of computers, how many were purchased using "General" funds.  Please refer to the Funding Source Key tab for further explanation of each funding source.
</t>
        </r>
      </text>
    </comment>
    <comment ref="D63" authorId="0">
      <text>
        <r>
          <rPr>
            <sz val="9"/>
            <color indexed="81"/>
            <rFont val="Tahoma"/>
            <family val="2"/>
          </rPr>
          <t xml:space="preserve">Of the total number of computers, how many were purchased using "Capital" funds.  Please refer to the Funding Source Key tab for further explanation of each funding source.
</t>
        </r>
      </text>
    </comment>
    <comment ref="E63" authorId="0">
      <text>
        <r>
          <rPr>
            <sz val="9"/>
            <color indexed="81"/>
            <rFont val="Tahoma"/>
            <family val="2"/>
          </rPr>
          <t xml:space="preserve">Of the total number of computers, how many were purchased using "Levy/Bond" funds.  Please refer to the Funding Source Key tab for further explanation of each funding source.
</t>
        </r>
      </text>
    </comment>
    <comment ref="F63" authorId="0">
      <text>
        <r>
          <rPr>
            <sz val="9"/>
            <color indexed="81"/>
            <rFont val="Tahoma"/>
            <family val="2"/>
          </rPr>
          <t xml:space="preserve">Of the total number of computers, how many were purchased using "Grants/Award" funds.  Please refer to the Funding Source Key tab for further explanation of each funding source.
</t>
        </r>
      </text>
    </comment>
    <comment ref="G63" authorId="0">
      <text>
        <r>
          <rPr>
            <sz val="9"/>
            <color indexed="81"/>
            <rFont val="Tahoma"/>
            <family val="2"/>
          </rPr>
          <t xml:space="preserve">Of the total number of computers, how many were purchased using "Microsoft CyPres" funds.  Please refer to the Funding Source Key tab for further explanation of each funding source.
</t>
        </r>
      </text>
    </comment>
    <comment ref="H63" authorId="0">
      <text>
        <r>
          <rPr>
            <sz val="9"/>
            <color indexed="81"/>
            <rFont val="Tahoma"/>
            <family val="2"/>
          </rPr>
          <t xml:space="preserve">Of the total number of computers, how many were purchased using "Fundraising" funds.  Please refer to the Funding Source Key tab for further explanation of each funding source.
</t>
        </r>
      </text>
    </comment>
    <comment ref="I63" authorId="0">
      <text>
        <r>
          <rPr>
            <sz val="9"/>
            <color indexed="81"/>
            <rFont val="Tahoma"/>
            <family val="2"/>
          </rPr>
          <t xml:space="preserve">Of the total number of computers, how many were donated.  Please refer to the Funding Source Key tab for further explanation of each funding source.
</t>
        </r>
      </text>
    </comment>
    <comment ref="J63" authorId="0">
      <text>
        <r>
          <rPr>
            <sz val="9"/>
            <color indexed="81"/>
            <rFont val="Tahoma"/>
            <family val="2"/>
          </rPr>
          <t xml:space="preserve">Of the total number of computers, how many were purchased using "State" provided funds.  Please refer to the Funding Source Key tab for further explanation of each funding source.
</t>
        </r>
      </text>
    </comment>
    <comment ref="K63" authorId="0">
      <text>
        <r>
          <rPr>
            <sz val="9"/>
            <color indexed="81"/>
            <rFont val="Tahoma"/>
            <family val="2"/>
          </rPr>
          <t xml:space="preserve">Of the total number of computers, how many were purchased using "Federal" funds.  Please refer to the Funding Source Key tab for further explanation of each funding source.
</t>
        </r>
      </text>
    </comment>
    <comment ref="L64" authorId="0">
      <text>
        <r>
          <rPr>
            <sz val="9"/>
            <color indexed="81"/>
            <rFont val="Tahoma"/>
            <family val="2"/>
          </rPr>
          <t>Should equal 100% when completed.</t>
        </r>
      </text>
    </comment>
    <comment ref="A67" authorId="0">
      <text>
        <r>
          <rPr>
            <sz val="9"/>
            <color indexed="81"/>
            <rFont val="Tahoma"/>
            <family val="2"/>
          </rPr>
          <t xml:space="preserve">Include both mounted and not mounted interactive whiteboards primarily intended for use in classrooms.
</t>
        </r>
      </text>
    </comment>
    <comment ref="A68" authorId="0">
      <text>
        <r>
          <rPr>
            <sz val="9"/>
            <color indexed="81"/>
            <rFont val="Tahoma"/>
            <family val="2"/>
          </rPr>
          <t xml:space="preserve">Include interactive "slates" primarily intended for use in classrooms.  (e.g.  Airliner, Mobi, etc.)
</t>
        </r>
      </text>
    </comment>
    <comment ref="A69" authorId="0">
      <text>
        <r>
          <rPr>
            <sz val="9"/>
            <color indexed="81"/>
            <rFont val="Tahoma"/>
            <family val="2"/>
          </rPr>
          <t xml:space="preserve">Include both mounted and not mounted projectors primarily intended for use in classrooms.
</t>
        </r>
      </text>
    </comment>
    <comment ref="A70" authorId="0">
      <text>
        <r>
          <rPr>
            <b/>
            <sz val="9"/>
            <color indexed="81"/>
            <rFont val="Tahoma"/>
            <family val="2"/>
          </rPr>
          <t>Heier, Ed:</t>
        </r>
        <r>
          <rPr>
            <sz val="9"/>
            <color indexed="81"/>
            <rFont val="Tahoma"/>
            <family val="2"/>
          </rPr>
          <t xml:space="preserve">
Please enter the  number of classroom set </t>
        </r>
        <r>
          <rPr>
            <b/>
            <u/>
            <sz val="9"/>
            <color indexed="81"/>
            <rFont val="Tahoma"/>
            <family val="2"/>
          </rPr>
          <t>RECEIVERS.</t>
        </r>
        <r>
          <rPr>
            <sz val="9"/>
            <color indexed="81"/>
            <rFont val="Tahoma"/>
            <family val="2"/>
          </rPr>
          <t xml:space="preserve">  Not the number of actual hand-held devices (clickers).</t>
        </r>
      </text>
    </comment>
    <comment ref="A71" authorId="0">
      <text>
        <r>
          <rPr>
            <sz val="9"/>
            <color indexed="81"/>
            <rFont val="Tahoma"/>
            <family val="2"/>
          </rPr>
          <t xml:space="preserve">Include all document cameras primarily intended for use in classrooms.
</t>
        </r>
      </text>
    </comment>
    <comment ref="A72" authorId="0">
      <text>
        <r>
          <rPr>
            <sz val="9"/>
            <color indexed="81"/>
            <rFont val="Tahoma"/>
            <family val="2"/>
          </rPr>
          <t xml:space="preserve">Include the number of dedicated speaker systems installed to enhance audio for electronic devices.  Do NOT include general purpose external computer speakers or projector built-in speakers.
</t>
        </r>
      </text>
    </comment>
    <comment ref="A73" authorId="0">
      <text>
        <r>
          <rPr>
            <sz val="9"/>
            <color indexed="81"/>
            <rFont val="Tahoma"/>
            <family val="2"/>
          </rPr>
          <t xml:space="preserve">Include the number of classrooms that have voice amplification systems installed including the wireless microphone.
</t>
        </r>
      </text>
    </comment>
    <comment ref="A74" authorId="0">
      <text>
        <r>
          <rPr>
            <sz val="9"/>
            <color indexed="81"/>
            <rFont val="Tahoma"/>
            <family val="2"/>
          </rPr>
          <t>Includes equipment utilizing ISDN and H.323 protocol (Polycom, LifeSize, Tandberg, etc.)</t>
        </r>
      </text>
    </comment>
    <comment ref="A76" authorId="0">
      <text>
        <r>
          <rPr>
            <sz val="9"/>
            <color indexed="81"/>
            <rFont val="Tahoma"/>
            <family val="2"/>
          </rPr>
          <t xml:space="preserve">Of the quantity entered in question 64 above, enter how many classrooms have a projector "dedicated" to that classroom whether it is mounted or not.  Do NOT include projectors that are shared between classrooms.
</t>
        </r>
      </text>
    </comment>
    <comment ref="A77" authorId="0">
      <text>
        <r>
          <rPr>
            <sz val="9"/>
            <color indexed="81"/>
            <rFont val="Tahoma"/>
            <family val="2"/>
          </rPr>
          <t xml:space="preserve">Of the quantities entered in questions 62-64 above, enter how many classrooms have a BOTH a projector AND interactive whiteboard or slate "dedicated" to that classroom whether  mounted or not.  Do NOT include projectors and/or interactive whiteboards or slates that are shared between classrooms.
</t>
        </r>
      </text>
    </comment>
    <comment ref="A82" authorId="0">
      <text>
        <r>
          <rPr>
            <sz val="9"/>
            <color indexed="81"/>
            <rFont val="Tahoma"/>
            <family val="2"/>
          </rPr>
          <t xml:space="preserve">Hover over individual cells to the right for further explanation.
</t>
        </r>
      </text>
    </comment>
    <comment ref="B82" authorId="0">
      <text>
        <r>
          <rPr>
            <sz val="9"/>
            <color indexed="81"/>
            <rFont val="Tahoma"/>
            <family val="2"/>
          </rPr>
          <t xml:space="preserve">This sum is auto-calculated from question 64 and represents ALL projectors (mounted &amp; not mounted) used for instructional purposes.
</t>
        </r>
      </text>
    </comment>
    <comment ref="C82" authorId="0">
      <text>
        <r>
          <rPr>
            <sz val="9"/>
            <color indexed="81"/>
            <rFont val="Tahoma"/>
            <family val="2"/>
          </rPr>
          <t xml:space="preserve">Of the total number of projectors, how many were purchased using "General" funds.  Please refer to the Funding Source Key tab for further explanation of each funding source.
</t>
        </r>
      </text>
    </comment>
    <comment ref="D82" authorId="0">
      <text>
        <r>
          <rPr>
            <sz val="9"/>
            <color indexed="81"/>
            <rFont val="Tahoma"/>
            <family val="2"/>
          </rPr>
          <t xml:space="preserve">Of the total number of projectors, how many were purchased using "Capital" funds.  Please refer to the Funding Source Key tab for further explanation of each funding source.
</t>
        </r>
      </text>
    </comment>
    <comment ref="E82" authorId="0">
      <text>
        <r>
          <rPr>
            <sz val="9"/>
            <color indexed="81"/>
            <rFont val="Tahoma"/>
            <family val="2"/>
          </rPr>
          <t xml:space="preserve">Of the total number of projectors, how many were purchased using "Levy/Bond" funds.  Please refer to the Funding Source Key tab for further explanation of each funding source.
</t>
        </r>
      </text>
    </comment>
    <comment ref="F82" authorId="0">
      <text>
        <r>
          <rPr>
            <sz val="9"/>
            <color indexed="81"/>
            <rFont val="Tahoma"/>
            <family val="2"/>
          </rPr>
          <t xml:space="preserve">Of the total number of projectors, how many were purchased using "Grants/Award" funds.  Please refer to the Funding Source Key tab for further explanation of each funding source.
</t>
        </r>
      </text>
    </comment>
    <comment ref="G82" authorId="0">
      <text>
        <r>
          <rPr>
            <sz val="9"/>
            <color indexed="81"/>
            <rFont val="Tahoma"/>
            <family val="2"/>
          </rPr>
          <t xml:space="preserve">Of the total number of projectors, how many were purchased using "Microsoft CyPres" funds.  Please refer to the Funding Source Key tab for further explanation of each funding source.
</t>
        </r>
      </text>
    </comment>
    <comment ref="H82" authorId="0">
      <text>
        <r>
          <rPr>
            <sz val="9"/>
            <color indexed="81"/>
            <rFont val="Tahoma"/>
            <family val="2"/>
          </rPr>
          <t xml:space="preserve">Of the total number of projectors, how many were purchased using "Fundraising" funds.  Please refer to the Funding Source Key tab for further explanation of each funding source.
</t>
        </r>
      </text>
    </comment>
    <comment ref="I82" authorId="0">
      <text>
        <r>
          <rPr>
            <sz val="9"/>
            <color indexed="81"/>
            <rFont val="Tahoma"/>
            <family val="2"/>
          </rPr>
          <t xml:space="preserve">Of the total number of projectors, how many were donated.  Please refer to the Funding Source Key tab for further explanation of each funding source.
</t>
        </r>
      </text>
    </comment>
    <comment ref="J82" authorId="0">
      <text>
        <r>
          <rPr>
            <sz val="9"/>
            <color indexed="81"/>
            <rFont val="Tahoma"/>
            <family val="2"/>
          </rPr>
          <t xml:space="preserve">Of the total number of projectors, how many were purchased using "State" provided funds.  Please refer to the Funding Source Key tab for further explanation of each funding source.
</t>
        </r>
      </text>
    </comment>
    <comment ref="K82" authorId="0">
      <text>
        <r>
          <rPr>
            <sz val="9"/>
            <color indexed="81"/>
            <rFont val="Tahoma"/>
            <family val="2"/>
          </rPr>
          <t xml:space="preserve">Of the total number of projectors, how many were purchased using "Federal" funds.  Please refer to the Funding Source Key tab for further explanation of each funding source.
</t>
        </r>
      </text>
    </comment>
    <comment ref="L83" authorId="0">
      <text>
        <r>
          <rPr>
            <sz val="9"/>
            <color indexed="81"/>
            <rFont val="Tahoma"/>
            <family val="2"/>
          </rPr>
          <t>Should equal 100% when completed.</t>
        </r>
      </text>
    </comment>
    <comment ref="A86" authorId="0">
      <text>
        <r>
          <rPr>
            <sz val="9"/>
            <color indexed="81"/>
            <rFont val="Tahoma"/>
            <family val="2"/>
          </rPr>
          <t xml:space="preserve">Hover over individual cells to the right for further explanation.
</t>
        </r>
      </text>
    </comment>
    <comment ref="B86" authorId="0">
      <text>
        <r>
          <rPr>
            <sz val="9"/>
            <color indexed="81"/>
            <rFont val="Tahoma"/>
            <family val="2"/>
          </rPr>
          <t xml:space="preserve">This sum is auto-calculated from question 62 and represents ALL interactive whiteboards (mounted &amp; not mounted) used for instructional purposes.
</t>
        </r>
      </text>
    </comment>
    <comment ref="C86" authorId="0">
      <text>
        <r>
          <rPr>
            <sz val="9"/>
            <color indexed="81"/>
            <rFont val="Tahoma"/>
            <family val="2"/>
          </rPr>
          <t xml:space="preserve">Of the total number of interactive whiteboards, how many were purchased using "General" funds.  Please refer to the Funding Source Key tab for further explanation of each funding source.
</t>
        </r>
      </text>
    </comment>
    <comment ref="D86" authorId="0">
      <text>
        <r>
          <rPr>
            <sz val="9"/>
            <color indexed="81"/>
            <rFont val="Tahoma"/>
            <family val="2"/>
          </rPr>
          <t xml:space="preserve">Of the total number of interactive whiteboards, how many were purchased using "Capital" funds.  Please refer to the Funding Source Key tab for further explanation of each funding source.
</t>
        </r>
      </text>
    </comment>
    <comment ref="E86" authorId="0">
      <text>
        <r>
          <rPr>
            <sz val="9"/>
            <color indexed="81"/>
            <rFont val="Tahoma"/>
            <family val="2"/>
          </rPr>
          <t xml:space="preserve">Of the total number of interactive whiteboards, how many were purchased using "Levy/Bond" funds.  Please refer to the Funding Source Key tab for further explanation of each funding source.
</t>
        </r>
      </text>
    </comment>
    <comment ref="F86" authorId="0">
      <text>
        <r>
          <rPr>
            <sz val="9"/>
            <color indexed="81"/>
            <rFont val="Tahoma"/>
            <family val="2"/>
          </rPr>
          <t xml:space="preserve">Of the total number of interactive whiteboards, how many were purchased using "Grants/Award" funds.  Please refer to the Funding Source Key tab for further explanation of each funding source.
</t>
        </r>
      </text>
    </comment>
    <comment ref="G86" authorId="0">
      <text>
        <r>
          <rPr>
            <sz val="9"/>
            <color indexed="81"/>
            <rFont val="Tahoma"/>
            <family val="2"/>
          </rPr>
          <t xml:space="preserve">Of the total number of interactive whiteboards, how many were purchased using "Microsoft CyPres" funds.  Please refer to the Funding Source Key tab for further explanation of each funding source.
</t>
        </r>
      </text>
    </comment>
    <comment ref="H86" authorId="0">
      <text>
        <r>
          <rPr>
            <sz val="9"/>
            <color indexed="81"/>
            <rFont val="Tahoma"/>
            <family val="2"/>
          </rPr>
          <t xml:space="preserve">Of the total number of interactive whiteboards, how many were purchased using "Fundraising" funds.  Please refer to the Funding Source Key tab for further explanation of each funding source.
</t>
        </r>
      </text>
    </comment>
    <comment ref="I86" authorId="0">
      <text>
        <r>
          <rPr>
            <sz val="9"/>
            <color indexed="81"/>
            <rFont val="Tahoma"/>
            <family val="2"/>
          </rPr>
          <t xml:space="preserve">Of the total number of interactive whiteboards, how many were donated.  Please refer to the Funding Source Key tab for further explanation of each funding source.
</t>
        </r>
      </text>
    </comment>
    <comment ref="J86" authorId="0">
      <text>
        <r>
          <rPr>
            <sz val="9"/>
            <color indexed="81"/>
            <rFont val="Tahoma"/>
            <family val="2"/>
          </rPr>
          <t xml:space="preserve">Of the total number of interactive whiteboards, how many were purchased using "State" provided funds.  Please refer to the Funding Source Key tab for further explanation of each funding source.
</t>
        </r>
      </text>
    </comment>
    <comment ref="K86" authorId="0">
      <text>
        <r>
          <rPr>
            <sz val="9"/>
            <color indexed="81"/>
            <rFont val="Tahoma"/>
            <family val="2"/>
          </rPr>
          <t xml:space="preserve">Of the total number of interactive whiteboards, how many were purchased using "Federal" funds.  Please refer to the Funding Source Key tab for further explanation of each funding source.
</t>
        </r>
      </text>
    </comment>
    <comment ref="L87" authorId="0">
      <text>
        <r>
          <rPr>
            <sz val="9"/>
            <color indexed="81"/>
            <rFont val="Tahoma"/>
            <family val="2"/>
          </rPr>
          <t>Should equal 100% when completed.</t>
        </r>
      </text>
    </comment>
  </commentList>
</comments>
</file>

<file path=xl/sharedStrings.xml><?xml version="1.0" encoding="utf-8"?>
<sst xmlns="http://schemas.openxmlformats.org/spreadsheetml/2006/main" count="984" uniqueCount="535">
  <si>
    <t>Grants/</t>
  </si>
  <si>
    <t>Awards</t>
  </si>
  <si>
    <t>Microsoft</t>
  </si>
  <si>
    <t>Settlement</t>
  </si>
  <si>
    <t>Fundraising</t>
  </si>
  <si>
    <t>Donations</t>
  </si>
  <si>
    <t>State</t>
  </si>
  <si>
    <t>Federal</t>
  </si>
  <si>
    <t>Total #</t>
  </si>
  <si>
    <t>General</t>
  </si>
  <si>
    <t>Capital</t>
  </si>
  <si>
    <t>Levy/Bond</t>
  </si>
  <si>
    <t>Total % Allocation</t>
    <phoneticPr fontId="9" type="noConversion"/>
  </si>
  <si>
    <r>
      <t xml:space="preserve">General </t>
    </r>
    <r>
      <rPr>
        <sz val="14"/>
        <rFont val="Calibri"/>
        <family val="2"/>
      </rPr>
      <t>= Items that can use this budget are less than $500. There should be very few desktops, laptops, interactive whiteboards and projectors that use this budget source</t>
    </r>
  </si>
  <si>
    <r>
      <t xml:space="preserve">Capital </t>
    </r>
    <r>
      <rPr>
        <sz val="14"/>
        <rFont val="Calibri"/>
        <family val="2"/>
      </rPr>
      <t>= Desktops, Laptops, Interactive Whiteboards and Projectors that are over $500</t>
    </r>
  </si>
  <si>
    <r>
      <t>Levy/Bond</t>
    </r>
    <r>
      <rPr>
        <sz val="14"/>
        <rFont val="Calibri"/>
        <family val="2"/>
      </rPr>
      <t xml:space="preserve"> = Desktops, Laptops, Interactive Whiteboards and Projectors that were purchased using levy funds</t>
    </r>
  </si>
  <si>
    <r>
      <t>Grants/Awards</t>
    </r>
    <r>
      <rPr>
        <sz val="14"/>
        <rFont val="Calibri"/>
        <family val="2"/>
      </rPr>
      <t xml:space="preserve"> = Desktops, Laptops, Interactive Whiteboards and Projectors that were purchased with a Grant/Award</t>
    </r>
  </si>
  <si>
    <r>
      <t xml:space="preserve">Fundraising </t>
    </r>
    <r>
      <rPr>
        <sz val="14"/>
        <rFont val="Calibri"/>
        <family val="2"/>
      </rPr>
      <t>=  Desktops, Laptops, Interactive Whiteboards and Projectors that were purchased with Fundraising dollars</t>
    </r>
  </si>
  <si>
    <r>
      <t xml:space="preserve">Donations </t>
    </r>
    <r>
      <rPr>
        <sz val="14"/>
        <rFont val="Calibri"/>
        <family val="2"/>
      </rPr>
      <t>= Desktops, Laptops, Interactive Whiteboards and Projectors that were donated to a building</t>
    </r>
  </si>
  <si>
    <r>
      <t xml:space="preserve">State </t>
    </r>
    <r>
      <rPr>
        <sz val="14"/>
        <rFont val="Calibri"/>
        <family val="2"/>
      </rPr>
      <t>=  Desktops, Laptops, Interactive Whiteboards and Projectors that were purchased with State dollars i.e. Compensatory Education Dollars (Comp. Ed), Targeted Services Dollars, Integration Revenue (Student Service Dollars)  </t>
    </r>
  </si>
  <si>
    <r>
      <t xml:space="preserve">Federal </t>
    </r>
    <r>
      <rPr>
        <sz val="14"/>
        <rFont val="Calibri"/>
        <family val="2"/>
      </rPr>
      <t>=  Desktops, Laptops, Interactive Whiteboards and Projectors that were purchased with Federal dollars. i.e. Title I dollars</t>
    </r>
  </si>
  <si>
    <t>BUILDING/SITE:</t>
  </si>
  <si>
    <t>Of the quantities provided above, how many classrooms have:</t>
  </si>
  <si>
    <t>Please indicate the quantity of each item below (shared or dedicated) intended for use in classrooms (defined as any space used for instruction) at each level.</t>
  </si>
  <si>
    <t xml:space="preserve">General Demographics Information </t>
  </si>
  <si>
    <t>2. Total number of classrooms at the middle school level (6-8)</t>
  </si>
  <si>
    <t>3. Total number of classrooms at the high school level (9-12)</t>
  </si>
  <si>
    <t>1. Total number of classrooms at the elementary level (K-5)</t>
  </si>
  <si>
    <t>Identify the total number of district-owned workstations and peripherals in your district by age</t>
  </si>
  <si>
    <t>0-36 Months</t>
  </si>
  <si>
    <t>37-72 Months</t>
  </si>
  <si>
    <t>73+ Months</t>
  </si>
  <si>
    <t>4. Total number of Windows desktops primarily dedicated to students</t>
  </si>
  <si>
    <t>5. Total number of Macintosh desktops primarily dedicated to students</t>
  </si>
  <si>
    <t>6. Total number of Linux desktops primarily dedicated to students</t>
  </si>
  <si>
    <t>7. Total number of thin client/VDI desktops primarily dedicated to students</t>
  </si>
  <si>
    <t>8. Total number of Windows laptops primarily dedicated to students</t>
  </si>
  <si>
    <t>9. Total number of Macintosh laptops primarily dedicated to students</t>
  </si>
  <si>
    <t>10. Total number of Linux laptops primarily dedicated to students</t>
  </si>
  <si>
    <t>11. Total number of Windows desktops primarily dedicated to teachers</t>
  </si>
  <si>
    <t>12. Total number of Macintosh desktops primarily dedicated to teachers</t>
  </si>
  <si>
    <t>13. Total number of Linux desktops primarily dedicated to teachers</t>
  </si>
  <si>
    <t>14. Total number of thin client/VDI desktops primarily dedicated to teachers</t>
  </si>
  <si>
    <t>15. Total number of Windows laptops primarily dedicated to teachers</t>
  </si>
  <si>
    <t>16. Total number of Macintosh laptops primarily dedicated to teachers</t>
  </si>
  <si>
    <t>17. Total number of Linux laptops primarily dedicated to teachers</t>
  </si>
  <si>
    <t>18. Total number of Windows desktops primarily dedicated to admin/support staff</t>
  </si>
  <si>
    <t>19. Total number of Macintosh desktops primarily dedicated to admin/support staff</t>
  </si>
  <si>
    <t>20. Total number of Linux desktops primarily dedicated to admin/support staff</t>
  </si>
  <si>
    <t>21. Total number of thin client/VDI desktops primarily dedicated to admin/support staff</t>
  </si>
  <si>
    <t>22. Total number of Windows laptops primarily dedicated to admin/support staff</t>
  </si>
  <si>
    <t>23. Total number of Macintosh OS laptops primarily dedicated to admin/support staff</t>
  </si>
  <si>
    <t>25. Total number of netbooks (10" screen or less)</t>
  </si>
  <si>
    <t>Pull-Down</t>
  </si>
  <si>
    <t>Total % Allocation</t>
  </si>
  <si>
    <t>Head-End/Infrastructure Technologies</t>
  </si>
  <si>
    <t>Technical Staff Support</t>
  </si>
  <si>
    <t>Classroom Digital Tools</t>
  </si>
  <si>
    <t>Physical Building Safety Technology</t>
  </si>
  <si>
    <t>Section C - Data Practices</t>
  </si>
  <si>
    <t>Technical Security</t>
  </si>
  <si>
    <t>Section D - Enterprise Data Management</t>
  </si>
  <si>
    <t>Section E - Physical Facilities Infrastructure</t>
  </si>
  <si>
    <t>Physical Environment</t>
  </si>
  <si>
    <t>Functionality Servers, Services and Security</t>
  </si>
  <si>
    <t>10 Mb</t>
  </si>
  <si>
    <t>100 Mb</t>
  </si>
  <si>
    <t>1 gig</t>
  </si>
  <si>
    <t>&lt;1 Mb</t>
  </si>
  <si>
    <t>1-4 Mb</t>
  </si>
  <si>
    <t>5-9 Mb</t>
  </si>
  <si>
    <t>10 gig</t>
  </si>
  <si>
    <t>Other</t>
  </si>
  <si>
    <t>24. Total number of Linux OS laptops primarily dedicated to admin/support staff</t>
  </si>
  <si>
    <t>Yes</t>
  </si>
  <si>
    <t>No</t>
  </si>
  <si>
    <t>Please indicate how many FTEs your district has at each of the following positions. If any staff person covers more than one of these positions, enter a decimal value reflecting the approximate proportion of the full FTE each area consumes. One staff person should not be counted as more than one FTE. For contracted services, include only if used for day-to-day operations. Do NOT include if used only for special projects.</t>
  </si>
  <si>
    <t>Building 
Level</t>
  </si>
  <si>
    <t>Contracted
Services</t>
  </si>
  <si>
    <t>District 
Level</t>
  </si>
  <si>
    <t>Grades
K-5</t>
  </si>
  <si>
    <t>Grades
6-8</t>
  </si>
  <si>
    <t>Grades
9-12</t>
  </si>
  <si>
    <t>Please indicate the number of buildings equipped with the items below at each level.</t>
  </si>
  <si>
    <t>District-Level Electronic Communications Solutions</t>
  </si>
  <si>
    <r>
      <t>Funding Sources for Projectors &amp; Interactive Whiteboards</t>
    </r>
    <r>
      <rPr>
        <sz val="12"/>
        <rFont val="Calibri"/>
        <family val="2"/>
      </rPr>
      <t xml:space="preserve"> </t>
    </r>
  </si>
  <si>
    <t xml:space="preserve">Listed below is the total number of mounted or dedicated projectors and interactive whiteboards.  Please indicate the funding source(s) used to purchase them by entering the total purchased in each of the funding categories provided. </t>
  </si>
  <si>
    <t>Data Practices focus on technical security including firewalls, secure data transmissions, web filtering, disaster recovery; data privacy including secure access authorization policies, acceptable use policies and encryption of e-mail and secure data; internet safety including policies, training and web filtering. Indicate if your district uses the following to enforce technical security across the district.</t>
  </si>
  <si>
    <t>Enterprise data management focuses on systems and standards for horizontal and vertical interoperability within and between schools, districts and the state. It provides efficient real-time-operational and analytical processing; it meets all state data exchange standards, all state data security practices and policies, and is aligned to current and future capacity requirements. Indicate which of the following interoperable options are used in your district.</t>
  </si>
  <si>
    <t>Facilities infrastructure focuses on electrical, cooling and wiring to support labs, servers and data centers capacity, bandwidth capacity to support data exchange and multi-media on-line content delivery, and the capacity for multi-purpose technology facilities for instruction and assessment.</t>
  </si>
  <si>
    <t xml:space="preserve">Network Appliances, Software Services and Security </t>
  </si>
  <si>
    <t>Indicate whether or not your district uses the following software and server/desktop devices to maintain security in your district. Select the manufacturers name in the drop down cell or if not listed select "Other".</t>
  </si>
  <si>
    <t>Identify the Operational telecommunications capacity to support multi-media educational content, computer-based assessment, data transfer, communication, and distance learning at the international, state, regional, and local level by the level of bandwidth available in your district.</t>
  </si>
  <si>
    <t xml:space="preserve">Non-Staff Technology and Services Purchases </t>
  </si>
  <si>
    <t>Appendix for Dropdown Selections for METT Survey questions with drop-down option</t>
  </si>
  <si>
    <t>Survey Question #:</t>
  </si>
  <si>
    <t>Interval</t>
  </si>
  <si>
    <t>Network Intrusion Protection System</t>
  </si>
  <si>
    <t>Web Content Filter</t>
  </si>
  <si>
    <t>E-Mail Content Filter</t>
  </si>
  <si>
    <t>Anti-Virus /Malware Protection</t>
  </si>
  <si>
    <t>Bandwidth Management</t>
  </si>
  <si>
    <t>Identity Management</t>
  </si>
  <si>
    <t>Authentication Solutions</t>
  </si>
  <si>
    <t>Network Data Storage Solutions</t>
  </si>
  <si>
    <t>Staff/Student E-Mail Solutions</t>
  </si>
  <si>
    <t>E-Mail Archiving Solutions</t>
  </si>
  <si>
    <t>Email Archiving Duration</t>
  </si>
  <si>
    <t>Web Content Management Solutions</t>
  </si>
  <si>
    <t>Data Backup</t>
  </si>
  <si>
    <t>Video Streaming Solutions</t>
  </si>
  <si>
    <t>Video Conferencing Solutions</t>
  </si>
  <si>
    <t>Web Conferencing</t>
  </si>
  <si>
    <t>WAN to Internet</t>
  </si>
  <si>
    <t>Primary Internet Connection</t>
  </si>
  <si>
    <t>Secondary Internet Connection</t>
  </si>
  <si>
    <t>Less than 3 years</t>
  </si>
  <si>
    <t>Astaro</t>
  </si>
  <si>
    <t>Cisco</t>
  </si>
  <si>
    <t>Aladdin Knowledge Systems</t>
  </si>
  <si>
    <t>Aladdin</t>
  </si>
  <si>
    <t>Avast</t>
  </si>
  <si>
    <t>Allot</t>
  </si>
  <si>
    <t>BMC Identity Management Suite</t>
  </si>
  <si>
    <t>Active Directory</t>
  </si>
  <si>
    <t xml:space="preserve">Compellent </t>
  </si>
  <si>
    <t>FirstClass</t>
  </si>
  <si>
    <t>Archive One</t>
  </si>
  <si>
    <t>Less than 1 year</t>
  </si>
  <si>
    <t>Avenet</t>
  </si>
  <si>
    <t>Atempo Time Navigator</t>
  </si>
  <si>
    <t>Discovery Education</t>
  </si>
  <si>
    <t>Lifesize</t>
  </si>
  <si>
    <t>Adobe Acrobat Connect Pro</t>
  </si>
  <si>
    <t>Dial-up</t>
  </si>
  <si>
    <t>None</t>
  </si>
  <si>
    <t>Every 3 years</t>
  </si>
  <si>
    <t>Check Point Software Technologies</t>
  </si>
  <si>
    <t>IBM</t>
  </si>
  <si>
    <t>Blue Coat Systems ProxySG</t>
  </si>
  <si>
    <t>Barracuda</t>
  </si>
  <si>
    <t>AVG</t>
  </si>
  <si>
    <t>Bandwidth Manager</t>
  </si>
  <si>
    <t>CA Embedded Entitlements Manager</t>
  </si>
  <si>
    <t>E-Directory</t>
  </si>
  <si>
    <t>Cybernetics</t>
  </si>
  <si>
    <t>Gaggle</t>
  </si>
  <si>
    <t>DataCove</t>
  </si>
  <si>
    <t>12 to 18 months</t>
  </si>
  <si>
    <t>Drupal</t>
  </si>
  <si>
    <t>BakBone Software NetVault</t>
  </si>
  <si>
    <t>Learn360</t>
  </si>
  <si>
    <t>Lightspeed</t>
  </si>
  <si>
    <t>AT&amp;T Connect</t>
  </si>
  <si>
    <t>DSL</t>
  </si>
  <si>
    <t>Every 4 years</t>
  </si>
  <si>
    <t>Juniper Networks</t>
  </si>
  <si>
    <t>CyberPatrol</t>
  </si>
  <si>
    <t>BitDefender</t>
  </si>
  <si>
    <t>Barracuda Networks</t>
  </si>
  <si>
    <t>Blue Coat</t>
  </si>
  <si>
    <t xml:space="preserve">HP Select Identity </t>
  </si>
  <si>
    <t>Open Directory</t>
  </si>
  <si>
    <t>Dell</t>
  </si>
  <si>
    <t>Google Gmail</t>
  </si>
  <si>
    <t>Defender</t>
  </si>
  <si>
    <t>19-24 months</t>
  </si>
  <si>
    <t>Echalk</t>
  </si>
  <si>
    <t>CA Recovery Management</t>
  </si>
  <si>
    <t>Phoenix Learning Group</t>
  </si>
  <si>
    <t>Polycom</t>
  </si>
  <si>
    <t>Cisco Unified MeetingPlace, WebEx</t>
  </si>
  <si>
    <t>Cable</t>
  </si>
  <si>
    <t>Every 5 years</t>
  </si>
  <si>
    <t>Fortinet</t>
  </si>
  <si>
    <t>McAfee</t>
  </si>
  <si>
    <t>FaceTime Communications</t>
  </si>
  <si>
    <t>Brightmail</t>
  </si>
  <si>
    <t>BigFix</t>
  </si>
  <si>
    <t>EdgeXOS</t>
  </si>
  <si>
    <t>IBM Tivoli Identity Manager</t>
  </si>
  <si>
    <t>Open LDAP</t>
  </si>
  <si>
    <t xml:space="preserve">EMC </t>
  </si>
  <si>
    <t>IBM Lotus Notes</t>
  </si>
  <si>
    <t>E-Mail Archiver</t>
  </si>
  <si>
    <t>25-30 months</t>
  </si>
  <si>
    <t>Edline</t>
  </si>
  <si>
    <t xml:space="preserve">CommVault Simpana </t>
  </si>
  <si>
    <t>Safari Montage</t>
  </si>
  <si>
    <t>Tanberg</t>
  </si>
  <si>
    <t>Citrix GoToMeeting, GoToWebinar</t>
  </si>
  <si>
    <t>10-19 Mb</t>
  </si>
  <si>
    <t>Wireless</t>
  </si>
  <si>
    <t>Every 6 years</t>
  </si>
  <si>
    <t>Intel/McAfee</t>
  </si>
  <si>
    <t>Nagios</t>
  </si>
  <si>
    <t>Finjan</t>
  </si>
  <si>
    <t xml:space="preserve">Microsoft Identity Integration Server </t>
  </si>
  <si>
    <t xml:space="preserve">HP </t>
  </si>
  <si>
    <t>Microsoft Exchange</t>
  </si>
  <si>
    <t>EmailXtender</t>
  </si>
  <si>
    <t>31-36 months</t>
  </si>
  <si>
    <t>ePoweredSchools</t>
  </si>
  <si>
    <t>EMC Avamar</t>
  </si>
  <si>
    <t>IBM Lotus Sametime</t>
  </si>
  <si>
    <t>20-29 Mb</t>
  </si>
  <si>
    <t>Dedicated Network Connection (e.g. T-1)</t>
  </si>
  <si>
    <t>Every 7 years</t>
  </si>
  <si>
    <t>Reflex Security</t>
  </si>
  <si>
    <t>IronPort Systems (Cisco)</t>
  </si>
  <si>
    <t>Google</t>
  </si>
  <si>
    <t>Central Command</t>
  </si>
  <si>
    <t>Network Composer</t>
  </si>
  <si>
    <t>Novell Identity Manager</t>
  </si>
  <si>
    <t>Microsoft Live@EDU</t>
  </si>
  <si>
    <t>Enterprise Vault</t>
  </si>
  <si>
    <t>More than 36 months</t>
  </si>
  <si>
    <t>Final Site</t>
  </si>
  <si>
    <t>HP Data Protector</t>
  </si>
  <si>
    <t>iLinc 10.</t>
  </si>
  <si>
    <t>30-39 Mb</t>
  </si>
  <si>
    <t>Sattelite</t>
  </si>
  <si>
    <t>Over 7 years</t>
  </si>
  <si>
    <t>Every 8 years</t>
  </si>
  <si>
    <t>Microsoft Forefront</t>
  </si>
  <si>
    <t>Sentriant</t>
  </si>
  <si>
    <t>Marshall M86 (8e6)</t>
  </si>
  <si>
    <t>Etrust</t>
  </si>
  <si>
    <t>Packet Hound</t>
  </si>
  <si>
    <t>Oracle Identity Manager</t>
  </si>
  <si>
    <t>NetApp</t>
  </si>
  <si>
    <t>Mirapoint</t>
  </si>
  <si>
    <t>FreeGuard Capture</t>
  </si>
  <si>
    <t>Joomla</t>
  </si>
  <si>
    <t>Sepseam</t>
  </si>
  <si>
    <t>Microsoft Office Live Meeting</t>
  </si>
  <si>
    <t>40-49 Mb</t>
  </si>
  <si>
    <t>Frame Relay</t>
  </si>
  <si>
    <t>Every 9 years</t>
  </si>
  <si>
    <t>NETASQ</t>
  </si>
  <si>
    <t>Snort</t>
  </si>
  <si>
    <t>McAfee SmartFilter</t>
  </si>
  <si>
    <t>MailFoundry</t>
  </si>
  <si>
    <t>Cisco/IronPort</t>
  </si>
  <si>
    <t>Packeteer</t>
  </si>
  <si>
    <t>OpenFiler</t>
  </si>
  <si>
    <t>Novell Groupwise</t>
  </si>
  <si>
    <t>Moodle</t>
  </si>
  <si>
    <t>IBM Tivoli Storage Manager, Express</t>
  </si>
  <si>
    <t>Saba Centra Suite</t>
  </si>
  <si>
    <t>50-59 Mb</t>
  </si>
  <si>
    <t>Fiber Optic</t>
  </si>
  <si>
    <t>Every 10 years</t>
  </si>
  <si>
    <t>NetGear</t>
  </si>
  <si>
    <t>Sourcefire</t>
  </si>
  <si>
    <t>MessageLabs</t>
  </si>
  <si>
    <t>CLAM</t>
  </si>
  <si>
    <t>WebCBQ</t>
  </si>
  <si>
    <t xml:space="preserve">Xiotech </t>
  </si>
  <si>
    <t>Novell NetMail</t>
  </si>
  <si>
    <t>InBoxer</t>
  </si>
  <si>
    <t>PowerIT</t>
  </si>
  <si>
    <t xml:space="preserve">Symantec Veritas NetBackup, Backup Exec </t>
  </si>
  <si>
    <t>60-69 Mb</t>
  </si>
  <si>
    <t>Other (e.g. power company)</t>
  </si>
  <si>
    <t>Over 10 years</t>
  </si>
  <si>
    <t>SonicWALL</t>
  </si>
  <si>
    <t>TippingPoint (3COM)</t>
  </si>
  <si>
    <t>Mi5 Networks</t>
  </si>
  <si>
    <t>Comodo</t>
  </si>
  <si>
    <t>Xandros/Scalix</t>
  </si>
  <si>
    <t>Intradyn</t>
  </si>
  <si>
    <t>rSchoolToday</t>
  </si>
  <si>
    <t>Syncsort Backup Express Promising</t>
  </si>
  <si>
    <t>70-79 Mb</t>
  </si>
  <si>
    <t>No Replacement Plan</t>
  </si>
  <si>
    <t>Stonesoft</t>
  </si>
  <si>
    <t>Top Layer Networks</t>
  </si>
  <si>
    <t>F-Secure</t>
  </si>
  <si>
    <t>Yahoo/Zimbra</t>
  </si>
  <si>
    <t>Plug n Comply</t>
  </si>
  <si>
    <t>SchoolCenter</t>
  </si>
  <si>
    <t>80-89 Mb</t>
  </si>
  <si>
    <t xml:space="preserve">WatchGuard </t>
  </si>
  <si>
    <t>OpenDNS</t>
  </si>
  <si>
    <t>ProofPoint</t>
  </si>
  <si>
    <t>Google/Postini</t>
  </si>
  <si>
    <t>Open-Xchange</t>
  </si>
  <si>
    <t>SchoolCMS</t>
  </si>
  <si>
    <t>90-99 Mb</t>
  </si>
  <si>
    <t>ScanSafe</t>
  </si>
  <si>
    <t>Secure Computing</t>
  </si>
  <si>
    <t>IBM ISS</t>
  </si>
  <si>
    <t xml:space="preserve">Unlimited Mailbox </t>
  </si>
  <si>
    <t>Schoolwires, Inc.</t>
  </si>
  <si>
    <t>100-249 Mb</t>
  </si>
  <si>
    <t>Squid</t>
  </si>
  <si>
    <t>Sendio</t>
  </si>
  <si>
    <t>Kaspersky</t>
  </si>
  <si>
    <t>SchoolWorld</t>
  </si>
  <si>
    <t>250-500 Mb</t>
  </si>
  <si>
    <t>Trend Micro</t>
  </si>
  <si>
    <t>LANDesk</t>
  </si>
  <si>
    <t>SharpSchool</t>
  </si>
  <si>
    <t>500+ Mb</t>
  </si>
  <si>
    <t>WatchGuard</t>
  </si>
  <si>
    <t>Sophos</t>
  </si>
  <si>
    <t>Urban Planet</t>
  </si>
  <si>
    <t>Websense</t>
  </si>
  <si>
    <t>Symantec</t>
  </si>
  <si>
    <t>Microsoft Security Essentials</t>
  </si>
  <si>
    <t>Panda Security</t>
  </si>
  <si>
    <t>Proofpoint</t>
  </si>
  <si>
    <t>Age of Device</t>
  </si>
  <si>
    <t xml:space="preserve">Listed below is the total number of student-use desktops and laptops entered in the previous section.  Please indicate the funding source(s) used to purchase each total by entering the total purchased in each of the funding categories provided. </t>
  </si>
  <si>
    <t>Funding Sources for Student-Use Computers</t>
  </si>
  <si>
    <t>Section A - Technology Tools</t>
  </si>
  <si>
    <t>Minnesota Education Technology Task Force (METT)</t>
  </si>
  <si>
    <t>&amp;</t>
  </si>
  <si>
    <t>Available in this tool:  (Click on title to go to that tab)</t>
  </si>
  <si>
    <t>Funding Source Key</t>
  </si>
  <si>
    <t>A brief definition of each funding source requested for the funding of student computers, projectors, and interactive whiteboards.</t>
  </si>
  <si>
    <t>Pull-Down Options</t>
  </si>
  <si>
    <t>The online survey contains several questions in which a pull-down menu appears from which a selection will be made.  For this collection tool, these options are listed on a separate tab since it is not available as a pull-down list within the survey itself.  The questions each list pertains to is indicated at the top of each column.</t>
  </si>
  <si>
    <t>Full Technology Infrastructure Inventory Collection Tool</t>
  </si>
  <si>
    <t>Technology Infrastructure Inventory Collection Tool</t>
  </si>
  <si>
    <t>Cells highlighted in this color require a response</t>
  </si>
  <si>
    <t>SAMPLE</t>
  </si>
  <si>
    <t>This section focuses on accessibility to Technology Tools for students and teachers in instructional settings to support on-line assessments, digital content, and software licenses. If a section or question does not apply, please enter "0".</t>
  </si>
  <si>
    <t>Please enter the requested information below to the best of your ability regarding computer lab usage dedicated to computerized testing.</t>
  </si>
  <si>
    <t>Computer Lab Usage for Online Testing</t>
  </si>
  <si>
    <t>Building/Site-Level Technology Infrastructure Inventory Collection Tool</t>
  </si>
  <si>
    <t>A subset of questions from the full online Infrastructure Inventory Survey most likely needing to be answered by building-level staff.  The questions in this tool may need to be adjusted to meet your specific district's needs.</t>
  </si>
  <si>
    <t>A list of all questions in the full online Infrastructure Inventory Survey with helpful tips on many items by hovering over those cells.</t>
  </si>
  <si>
    <t>Back to Main Menu</t>
  </si>
  <si>
    <r>
      <t>Funding Source Key</t>
    </r>
    <r>
      <rPr>
        <sz val="18"/>
        <rFont val="Calibri"/>
        <family val="2"/>
      </rPr>
      <t>:</t>
    </r>
  </si>
  <si>
    <t xml:space="preserve">Please use this tool to gather all of the information prior to submitting the final information in the online survey located on MDE's website at:   </t>
  </si>
  <si>
    <t>Technology directors may use this technology inventory collection tool to collect their district’s technology inventory data, which will help districts meet the state planning requirements for funding opportunities. The questions collect information about district technology tools, shared services, and data practices.</t>
  </si>
  <si>
    <t>Firewall</t>
  </si>
  <si>
    <t>VPN</t>
  </si>
  <si>
    <t>Shared</t>
  </si>
  <si>
    <t>Local</t>
  </si>
  <si>
    <t>"District-Owned" Workstations, Laptops, and Other Devices</t>
  </si>
  <si>
    <t>26. Total number of iPod devices</t>
  </si>
  <si>
    <t>Learning Management System</t>
  </si>
  <si>
    <t>Collaboration Tools</t>
  </si>
  <si>
    <t>Edmodo</t>
  </si>
  <si>
    <t>Blackboard</t>
  </si>
  <si>
    <t>Cornerstone</t>
  </si>
  <si>
    <t>Schoology</t>
  </si>
  <si>
    <t>Desire2Learn</t>
  </si>
  <si>
    <t>Skillsoft</t>
  </si>
  <si>
    <t>Canvas (Instructure)</t>
  </si>
  <si>
    <t>SharePoint</t>
  </si>
  <si>
    <t>Google Docs</t>
  </si>
  <si>
    <t>Zoho</t>
  </si>
  <si>
    <t>Office 365</t>
  </si>
  <si>
    <t>Buzzword</t>
  </si>
  <si>
    <t>Etherpad</t>
  </si>
  <si>
    <t>Peepel</t>
  </si>
  <si>
    <t>OpenGoo</t>
  </si>
  <si>
    <t>27. Total number of iPad tablet devices (7" or 10" screen size)</t>
  </si>
  <si>
    <t>28. Total number of Android-based tablet devices</t>
  </si>
  <si>
    <t>29. Total number of Windows-based tablet devices</t>
  </si>
  <si>
    <t>30.  Total number of Chromebook/Chromebox devices</t>
  </si>
  <si>
    <t>31. Total number of district-owned handheld devices with Wi-Fi/cellular capability</t>
  </si>
  <si>
    <t>32. Total number of keyboarding specific devices (e.g. Alpha Smart/Neo)</t>
  </si>
  <si>
    <t>33. Total number of fixed computer labs of 10 stations or more</t>
  </si>
  <si>
    <t>34. Total number of classrooms with 4 or more clustered computers</t>
  </si>
  <si>
    <t>35. Total number of mobile labs with 5 or more stations</t>
  </si>
  <si>
    <t>36. Identify the GOAL interval for the district’s computer replacement cycle</t>
  </si>
  <si>
    <t>37. Identify the ACTUAL interval for the district’s computer replacement cycle</t>
  </si>
  <si>
    <r>
      <t xml:space="preserve">A shared service is defined as your district purchasing services through a group </t>
    </r>
    <r>
      <rPr>
        <u/>
        <sz val="12"/>
        <color indexed="8"/>
        <rFont val="Calibri"/>
        <family val="2"/>
      </rPr>
      <t>larger than your district or outsourced</t>
    </r>
    <r>
      <rPr>
        <sz val="12"/>
        <color indexed="8"/>
        <rFont val="Calibri"/>
        <family val="2"/>
      </rPr>
      <t xml:space="preserve"> (not provided by employees or contractors working for your district). Organizational support for shared services includes administration of networks and network utilities, administration of data and information systems, communication systems, workstations, technical staffing and training, and data collection-submission processes and systems.  Please indicate if your district utilizes each item below by purchasing through a shared purchasing collaborative (Shared), negotiated by your district and purchased directly from a vendor not part of a larger contract (Local), or not currently purchased (None) by selecting the correct option below.</t>
    </r>
  </si>
  <si>
    <t>Bring Your Own Device/Technology (BYOD/BYOT)</t>
  </si>
  <si>
    <t>38. Does your district allow personally-owned devices on the district network?</t>
  </si>
  <si>
    <t>6-8</t>
  </si>
  <si>
    <t>9-12</t>
  </si>
  <si>
    <t>K-5</t>
  </si>
  <si>
    <t>40. Does your district have a formal policy in place specifically for your BYOD/BYOT initiative?</t>
  </si>
  <si>
    <t>41. Has your district formed a partnership with a vendor(s) to provide devices at a discount for your students?</t>
  </si>
  <si>
    <t>42. Are all students allowed to bring a device?  (No restrictions on which students are granted access in a controlled rollout environment.)</t>
  </si>
  <si>
    <t>Added</t>
  </si>
  <si>
    <r>
      <t xml:space="preserve">39. Indicate which levels are allowed to bring their own device: </t>
    </r>
    <r>
      <rPr>
        <sz val="10"/>
        <rFont val="Calibri"/>
        <family val="2"/>
      </rPr>
      <t>(select options that best match your program)</t>
    </r>
  </si>
  <si>
    <t>43. Total # of fixed computer labs of 10 stations or more used for either state or local computerized testing (including NWEA, MCA, etc.)</t>
  </si>
  <si>
    <r>
      <t xml:space="preserve">44. Total # of days these labs as a whole are dedicated to </t>
    </r>
    <r>
      <rPr>
        <b/>
        <u/>
        <sz val="12"/>
        <rFont val="Calibri"/>
        <family val="2"/>
      </rPr>
      <t>REQUIRED</t>
    </r>
    <r>
      <rPr>
        <b/>
        <sz val="12"/>
        <rFont val="Calibri"/>
        <family val="2"/>
      </rPr>
      <t xml:space="preserve"> </t>
    </r>
    <r>
      <rPr>
        <sz val="12"/>
        <rFont val="Calibri"/>
        <family val="2"/>
      </rPr>
      <t>state or local computerized testing</t>
    </r>
  </si>
  <si>
    <r>
      <t xml:space="preserve">45. Total # of days these labs as a whole are dedicated to </t>
    </r>
    <r>
      <rPr>
        <b/>
        <u/>
        <sz val="12"/>
        <rFont val="Calibri"/>
        <family val="2"/>
      </rPr>
      <t>OPTIONAL</t>
    </r>
    <r>
      <rPr>
        <b/>
        <sz val="12"/>
        <rFont val="Calibri"/>
        <family val="2"/>
      </rPr>
      <t xml:space="preserve"> </t>
    </r>
    <r>
      <rPr>
        <sz val="12"/>
        <rFont val="Calibri"/>
        <family val="2"/>
      </rPr>
      <t>state or local computerized testing</t>
    </r>
  </si>
  <si>
    <r>
      <t xml:space="preserve">46. </t>
    </r>
    <r>
      <rPr>
        <b/>
        <sz val="12"/>
        <rFont val="Calibri"/>
        <family val="2"/>
      </rPr>
      <t>Student Desktops</t>
    </r>
    <r>
      <rPr>
        <sz val="12"/>
        <rFont val="Calibri"/>
        <family val="2"/>
      </rPr>
      <t xml:space="preserve"> (Sum of Questions 4-7)</t>
    </r>
  </si>
  <si>
    <r>
      <t xml:space="preserve">48. </t>
    </r>
    <r>
      <rPr>
        <b/>
        <sz val="12"/>
        <rFont val="Calibri"/>
        <family val="2"/>
      </rPr>
      <t xml:space="preserve">Tablet-Based Devices </t>
    </r>
    <r>
      <rPr>
        <sz val="12"/>
        <rFont val="Calibri"/>
        <family val="2"/>
      </rPr>
      <t>(Sum of Questions 26-29)</t>
    </r>
  </si>
  <si>
    <t>49. Total number of physical servers (servers providing core services to the district)</t>
  </si>
  <si>
    <t>50. Total number of virtual server instances</t>
  </si>
  <si>
    <t>51. Total number of analog/digital phones</t>
  </si>
  <si>
    <t>52. Total number of VoIP phones</t>
  </si>
  <si>
    <t>53. Total number of soft-phones (software-based)</t>
  </si>
  <si>
    <t>54. Total number of network-attached printers</t>
  </si>
  <si>
    <t>55. Total number of network-attached multi-function devices (printer or copier based)</t>
  </si>
  <si>
    <t>56. Does your district have Network Attached Storage (NAS)?</t>
  </si>
  <si>
    <t xml:space="preserve">58. Does your district have a Storage Area Network (SAN)? </t>
  </si>
  <si>
    <t>61. Does your district use cloud-based storage services in lieu of at least some local storage?</t>
  </si>
  <si>
    <t>59. If yes on #58, please indicate your estimated SAN replacement cycle</t>
  </si>
  <si>
    <t>60. If yes on #58, please indicate the total amount of usable storage in the SAN</t>
  </si>
  <si>
    <t>57. If yes on #56, please indicate the amount of usable storage in the NAS device(s)</t>
  </si>
  <si>
    <t>62. Is your district’s primary technology leader responsible for day-to-day operations a member of the superintendent’s cabinet?</t>
  </si>
  <si>
    <t>63. Director/Coordinator</t>
  </si>
  <si>
    <t>64. Network Specialist</t>
  </si>
  <si>
    <t>65. Desktop Support</t>
  </si>
  <si>
    <t>66. Integrationist/Trainer</t>
  </si>
  <si>
    <t>67. Programmer/Database Administrator</t>
  </si>
  <si>
    <t>68. Information Systems</t>
  </si>
  <si>
    <t>69. Communication Systems (e.g. phone system, email)</t>
  </si>
  <si>
    <t>70. Communication/Public Relations</t>
  </si>
  <si>
    <t>71. Media Specialist</t>
  </si>
  <si>
    <t>72. Audio/Visual Support</t>
  </si>
  <si>
    <t>73. Webmaster</t>
  </si>
  <si>
    <t>74. Paraprofessional</t>
  </si>
  <si>
    <t>75. Research/Evaluation/Testing</t>
  </si>
  <si>
    <t>76. Community Helpdesk Staff</t>
  </si>
  <si>
    <t>77. Interactive Whiteboards</t>
  </si>
  <si>
    <t>78. Interactive Slates</t>
  </si>
  <si>
    <t>79. Projectors (LCD/DLP/LED)</t>
  </si>
  <si>
    <r>
      <t xml:space="preserve">80. Student Response System </t>
    </r>
    <r>
      <rPr>
        <u/>
        <sz val="12"/>
        <rFont val="Calibri"/>
        <family val="2"/>
      </rPr>
      <t>RECEIVERS</t>
    </r>
    <r>
      <rPr>
        <sz val="12"/>
        <rFont val="Calibri"/>
        <family val="2"/>
      </rPr>
      <t xml:space="preserve"> (not actual clickers)</t>
    </r>
  </si>
  <si>
    <t>81. Document Cameras</t>
  </si>
  <si>
    <t>82. Classroom Audio Amplification (speakers installed to enhance computer, DVD, etc.)</t>
  </si>
  <si>
    <t>83. Classroom Voice Amplification (wireless microphone)</t>
  </si>
  <si>
    <t>84. ITV classrooms and/or video conference equipment</t>
  </si>
  <si>
    <t>85. A mounted or dedicated projector only</t>
  </si>
  <si>
    <t>86. A mounted or dedicated projector AND interactive whiteboard</t>
  </si>
  <si>
    <r>
      <rPr>
        <sz val="12"/>
        <rFont val="Calibri"/>
        <family val="2"/>
      </rPr>
      <t xml:space="preserve">87. </t>
    </r>
    <r>
      <rPr>
        <b/>
        <sz val="12"/>
        <rFont val="Calibri"/>
        <family val="2"/>
      </rPr>
      <t>Projectors</t>
    </r>
    <r>
      <rPr>
        <sz val="12"/>
        <rFont val="Calibri"/>
        <family val="2"/>
      </rPr>
      <t xml:space="preserve"> (From Question 79)</t>
    </r>
  </si>
  <si>
    <r>
      <rPr>
        <sz val="12"/>
        <rFont val="Calibri"/>
        <family val="2"/>
      </rPr>
      <t xml:space="preserve"> 88. </t>
    </r>
    <r>
      <rPr>
        <b/>
        <sz val="12"/>
        <rFont val="Calibri"/>
        <family val="2"/>
      </rPr>
      <t>Interactive Whiteboard</t>
    </r>
    <r>
      <rPr>
        <sz val="12"/>
        <rFont val="Calibri"/>
        <family val="2"/>
      </rPr>
      <t xml:space="preserve"> (From Question 77)</t>
    </r>
  </si>
  <si>
    <t>89. How many buildings use keyless entry for external doors?</t>
  </si>
  <si>
    <t>90. How many buildings use an electronic visitor sign-in for guests?</t>
  </si>
  <si>
    <t>91. How many buildings use surveillance cameras?</t>
  </si>
  <si>
    <t>92. How many buildings use a digital messaging/signage system?</t>
  </si>
  <si>
    <t xml:space="preserve">93. Does your district use Facebook or similar social networking solution as a communication tool? </t>
  </si>
  <si>
    <t xml:space="preserve">94. Does your district use Twitter as a communication tool? </t>
  </si>
  <si>
    <t>95. Does your district use YouTube/TeacherTube as a communication tool?</t>
  </si>
  <si>
    <t xml:space="preserve">96. Does your district use RSS feeds as a communication tool?  </t>
  </si>
  <si>
    <t xml:space="preserve">97. Does your district use podcasting as a communication tool?  </t>
  </si>
  <si>
    <t xml:space="preserve">98. Does your district use an email list server as a communication tool?  </t>
  </si>
  <si>
    <t xml:space="preserve">99. Does your district use an automated messaging system?  </t>
  </si>
  <si>
    <t xml:space="preserve">100. Does your district have an intranet/or internal portal?  </t>
  </si>
  <si>
    <t xml:space="preserve">101. Does your district have a secure external portal for parents?  </t>
  </si>
  <si>
    <r>
      <t xml:space="preserve">102. End-user devices - </t>
    </r>
    <r>
      <rPr>
        <sz val="10"/>
        <rFont val="Calibri"/>
        <family val="2"/>
      </rPr>
      <t>e.g. computers, laptops, tablets, etc.</t>
    </r>
  </si>
  <si>
    <t>103. Servers/storage</t>
  </si>
  <si>
    <r>
      <t xml:space="preserve">104. Network electronics - </t>
    </r>
    <r>
      <rPr>
        <sz val="10"/>
        <rFont val="Calibri"/>
        <family val="2"/>
      </rPr>
      <t>e.g. switches, wireless access points, etc.</t>
    </r>
  </si>
  <si>
    <t xml:space="preserve">105. Telecommunications  </t>
  </si>
  <si>
    <t xml:space="preserve">106. Internet Access  </t>
  </si>
  <si>
    <t xml:space="preserve">107. Spam and content filtering services  </t>
  </si>
  <si>
    <t xml:space="preserve">108. Server management services  </t>
  </si>
  <si>
    <t xml:space="preserve">109. Distance learning services such as ITV  </t>
  </si>
  <si>
    <t xml:space="preserve">110. Data and systems support services  </t>
  </si>
  <si>
    <t xml:space="preserve">111. Backup, Restore and Recovery  </t>
  </si>
  <si>
    <r>
      <t xml:space="preserve">112. Continuity of Operations Services - </t>
    </r>
    <r>
      <rPr>
        <sz val="10"/>
        <rFont val="Calibri"/>
        <family val="2"/>
      </rPr>
      <t>preparations providing for survival of district operations in the case of catastrophic events</t>
    </r>
  </si>
  <si>
    <r>
      <t xml:space="preserve">113. Disaster Recovery Services - </t>
    </r>
    <r>
      <rPr>
        <sz val="10"/>
        <rFont val="Calibri"/>
        <family val="2"/>
      </rPr>
      <t xml:space="preserve">services designed to meet the objectives of the Continuity of Operations Plan  </t>
    </r>
  </si>
  <si>
    <t xml:space="preserve">114. Email services for students  </t>
  </si>
  <si>
    <t xml:space="preserve">115. Email services for staff  </t>
  </si>
  <si>
    <t>116. Email archiving services</t>
  </si>
  <si>
    <r>
      <t xml:space="preserve">117. Web Conferencing – </t>
    </r>
    <r>
      <rPr>
        <sz val="10"/>
        <rFont val="Calibri"/>
        <family val="2"/>
      </rPr>
      <t>WebEx, Go to Meeting, Adobe Connect</t>
    </r>
  </si>
  <si>
    <r>
      <t xml:space="preserve">118. Interactive Voice Response (IVR) - </t>
    </r>
    <r>
      <rPr>
        <sz val="10"/>
        <rFont val="Calibri"/>
        <family val="2"/>
      </rPr>
      <t>technology that allows a computer to detect voice and keypad inputs</t>
    </r>
  </si>
  <si>
    <t xml:space="preserve">119. On-Line Learning  </t>
  </si>
  <si>
    <r>
      <t xml:space="preserve">120. Learning Management System - </t>
    </r>
    <r>
      <rPr>
        <sz val="10"/>
        <rFont val="Calibri"/>
        <family val="2"/>
      </rPr>
      <t>select your system from the pull-down menu</t>
    </r>
  </si>
  <si>
    <r>
      <t xml:space="preserve">121. Collaboration Tool Services - </t>
    </r>
    <r>
      <rPr>
        <sz val="10"/>
        <rFont val="Calibri"/>
        <family val="2"/>
      </rPr>
      <t>select your system from the pull-down menu</t>
    </r>
  </si>
  <si>
    <t xml:space="preserve">122. List serves  </t>
  </si>
  <si>
    <r>
      <t xml:space="preserve">123. Discussion groups – </t>
    </r>
    <r>
      <rPr>
        <sz val="10"/>
        <rFont val="Calibri"/>
        <family val="2"/>
      </rPr>
      <t>Managed discussion tool for 2-way communication with community</t>
    </r>
  </si>
  <si>
    <t xml:space="preserve">124. Streaming Video  </t>
  </si>
  <si>
    <t>125. Electronic data can be transmitted securely using https or equivalent encryption technology.</t>
  </si>
  <si>
    <t>126. Core systems/servers are physically secured from general access. (e.g. locked/card-key access)</t>
  </si>
  <si>
    <t>127. Centralized Identity management is used to streamline process and protect sensitive data.</t>
  </si>
  <si>
    <r>
      <t xml:space="preserve">128. Incident management and escalation policies and practices for security incidents are used. – </t>
    </r>
    <r>
      <rPr>
        <sz val="10"/>
        <rFont val="Calibri"/>
        <family val="2"/>
      </rPr>
      <t xml:space="preserve">Formal security incident management policies and practices are in place and understood by district personnel in the event security incidents occur. </t>
    </r>
    <r>
      <rPr>
        <sz val="12"/>
        <rFont val="Calibri"/>
        <family val="2"/>
      </rPr>
      <t xml:space="preserve"> </t>
    </r>
  </si>
  <si>
    <t>36/59</t>
  </si>
  <si>
    <r>
      <t xml:space="preserve">129. Individual workstation security practices and security training programs are used. – </t>
    </r>
    <r>
      <rPr>
        <sz val="10"/>
        <rFont val="Calibri"/>
        <family val="2"/>
      </rPr>
      <t>District personnel have been trained in effective workstation security protocol including such things as password sharing, auto locking of desktops, strong passwords and other types of security protocols.</t>
    </r>
  </si>
  <si>
    <r>
      <t xml:space="preserve">130. Automatic system security patch management policy and practice are used. – </t>
    </r>
    <r>
      <rPr>
        <sz val="10"/>
        <rFont val="Calibri"/>
        <family val="2"/>
      </rPr>
      <t xml:space="preserve">A security patch management system is in place that automatically installs patches on a regular and frequent basis according to district security policy.  </t>
    </r>
  </si>
  <si>
    <t>131. Educational (operational &amp; user) data has a documented disaster recovery plan.</t>
  </si>
  <si>
    <t xml:space="preserve">132. Backup information is stored off site.  </t>
  </si>
  <si>
    <t xml:space="preserve">133. Off-site backup information is encrypted.  </t>
  </si>
  <si>
    <t xml:space="preserve">134. Off-site backup information is stored in a certified secure location.  </t>
  </si>
  <si>
    <t xml:space="preserve">135. You have a local "Data Practices Acceptable Use" policy is required for all data users.  </t>
  </si>
  <si>
    <t xml:space="preserve">136. You require a signature for compliance to the Data Practices Acceptable Use policy.  </t>
  </si>
  <si>
    <t xml:space="preserve">137. Non-public data exchanges outside the secure enterprise network are securely encrypted.  </t>
  </si>
  <si>
    <t xml:space="preserve">138. The district has had a security audit in the past year.  </t>
  </si>
  <si>
    <t xml:space="preserve">139. District has a data retention policy that is school board approved  </t>
  </si>
  <si>
    <t xml:space="preserve">140. Your student information system is SIF compliant.  </t>
  </si>
  <si>
    <t xml:space="preserve">141. Your district utilizes SIF with a zone integration server (ZIF).  </t>
  </si>
  <si>
    <t xml:space="preserve">142. Data warehouse/analytic systems  </t>
  </si>
  <si>
    <t xml:space="preserve">143. Your district’s analytic system uses data dashboards.  </t>
  </si>
  <si>
    <t>144. HVAC capacity for all data center(s) is adequate (temperature stays within hardware recommended ranges)</t>
  </si>
  <si>
    <t>145. HVAC capacity for all wiring closets is adequate (temperature stays within hardware recommended ranges)</t>
  </si>
  <si>
    <t>146. HVAC capacity for all computer labs is adequate (temperature stays within hardware recommended ranges)</t>
  </si>
  <si>
    <t xml:space="preserve">147. Fire suppression in data center is adequate  </t>
  </si>
  <si>
    <t xml:space="preserve">148. Low Voltage data capacity is primarily category 5e or better  </t>
  </si>
  <si>
    <t xml:space="preserve">149. Electrical capacity for student-use portable devices is adequate  </t>
  </si>
  <si>
    <t xml:space="preserve">150. Surge/UPS protection is adequate  </t>
  </si>
  <si>
    <t xml:space="preserve">151. Physical space for computer labs is adequate  </t>
  </si>
  <si>
    <t>152. Workstation privacy for testing - The district’s testing environments have provisions for workstation privacy through the use of physical barriers or technology solutions (screen devices etc).</t>
  </si>
  <si>
    <r>
      <t xml:space="preserve">153. Network Firewall - </t>
    </r>
    <r>
      <rPr>
        <sz val="10"/>
        <rFont val="Calibri"/>
        <family val="2"/>
      </rPr>
      <t>The district or its service provider has a firewall  solution in place to provide network policy enforcement and intrusion prevention at trusted boundary points to protect the district’s computers and network appliances.</t>
    </r>
  </si>
  <si>
    <r>
      <t xml:space="preserve">154. Network intrusion prevention system - </t>
    </r>
    <r>
      <rPr>
        <sz val="10"/>
        <rFont val="Calibri"/>
        <family val="2"/>
      </rPr>
      <t>The district or its service provider has a network intrusion prevention system in use to perform full-stream assembly and deep inspection of network traffic, providing detection using several methods, including signatures, protocol anomaly detection and behavioral or heuristics detection system to protect the district’s technology computers and network appliances</t>
    </r>
  </si>
  <si>
    <r>
      <t xml:space="preserve">155. Web Content Filter (meet CIPA requirements) - </t>
    </r>
    <r>
      <rPr>
        <sz val="10"/>
        <rFont val="Calibri"/>
        <family val="2"/>
      </rPr>
      <t>The district orits service provider has a facility that filters unwanted software/malware from user-initiated Web/Internet traffic and enforces district and regulatory policy compliance. This facility at a minimum includes URL filtering, malicious code detection and filtering, and application controls for popular Web-based applications, such as instant messaging (IM) and Skype.</t>
    </r>
  </si>
  <si>
    <r>
      <t xml:space="preserve">156. E-Mail Content Filter - </t>
    </r>
    <r>
      <rPr>
        <sz val="10"/>
        <rFont val="Calibri"/>
        <family val="2"/>
      </rPr>
      <t>The district or its service provider has a facility in place to provide protection against inbound e-mail threats such as spam, spyware, phishing, malware.</t>
    </r>
  </si>
  <si>
    <r>
      <t xml:space="preserve">157. Anti-Virus protection - </t>
    </r>
    <r>
      <rPr>
        <sz val="10"/>
        <rFont val="Calibri"/>
        <family val="2"/>
      </rPr>
      <t>The district or its service provider has a facility in place to detect viruses to protect the district’s computers and servers.</t>
    </r>
  </si>
  <si>
    <r>
      <t xml:space="preserve">158. Anti-Malware protection - </t>
    </r>
    <r>
      <rPr>
        <sz val="10"/>
        <rFont val="Calibri"/>
        <family val="2"/>
      </rPr>
      <t>The district or its service provider has a facility in place to detect malware to protect the district’s computers and servers.</t>
    </r>
  </si>
  <si>
    <r>
      <t xml:space="preserve">159. Bandwidth management - </t>
    </r>
    <r>
      <rPr>
        <sz val="10"/>
        <rFont val="Calibri"/>
        <family val="2"/>
      </rPr>
      <t>The district or its service provider has a bandwidth management system in place to measure and control the communications (traffic, packets) on their network to avoid filling any network link to capacity or overfilling a link, which would result in network congestion and poor performance.</t>
    </r>
  </si>
  <si>
    <r>
      <t xml:space="preserve">160. Virtual private network (VPN) - </t>
    </r>
    <r>
      <rPr>
        <sz val="10"/>
        <rFont val="Calibri"/>
        <family val="2"/>
      </rPr>
      <t>The district or its service provider has a virtual private network in place to ensure that only authorized users can access the network and that the data cannot be intercepted.</t>
    </r>
  </si>
  <si>
    <r>
      <t xml:space="preserve">161. An uninterruptible power supply (UPS) system - </t>
    </r>
    <r>
      <rPr>
        <sz val="10"/>
        <rFont val="Calibri"/>
        <family val="2"/>
      </rPr>
      <t>An uninterruptible power supply (UPS) system is in place for protection from unacceptable voltage changes and to allow the orderly shutdown of the district’s core infrastructure.</t>
    </r>
  </si>
  <si>
    <r>
      <t xml:space="preserve">162. A backup generator - </t>
    </r>
    <r>
      <rPr>
        <sz val="10"/>
        <rFont val="Calibri"/>
        <family val="2"/>
      </rPr>
      <t>A backup generator is used in conjunction with an UPS for continued operation of the district’s core infrastructure.</t>
    </r>
  </si>
  <si>
    <r>
      <t xml:space="preserve">163. Identity Management – </t>
    </r>
    <r>
      <rPr>
        <sz val="10"/>
        <rFont val="Calibri"/>
        <family val="2"/>
      </rPr>
      <t>The district or its service provider has a facility to allow for a single sign-on to disparate systems.</t>
    </r>
  </si>
  <si>
    <r>
      <t xml:space="preserve">164. Authentication Solution – </t>
    </r>
    <r>
      <rPr>
        <sz val="10"/>
        <rFont val="Calibri"/>
        <family val="2"/>
      </rPr>
      <t>The district or its service provider has a facility to identify individuals accessing computers, usually based on a username and password.</t>
    </r>
  </si>
  <si>
    <r>
      <t xml:space="preserve">165. Network data storage – </t>
    </r>
    <r>
      <rPr>
        <sz val="10"/>
        <rFont val="Calibri"/>
        <family val="2"/>
      </rPr>
      <t>The district or its service provider uses a centralized and network based data storage solution.</t>
    </r>
  </si>
  <si>
    <r>
      <t xml:space="preserve">166. Staff e-mail solution – </t>
    </r>
    <r>
      <rPr>
        <sz val="10"/>
        <rFont val="Calibri"/>
        <family val="2"/>
      </rPr>
      <t>The district or its service provider has an E-mail system available to district staff.</t>
    </r>
  </si>
  <si>
    <r>
      <t xml:space="preserve">167. Student e-mail solution – </t>
    </r>
    <r>
      <rPr>
        <sz val="10"/>
        <rFont val="Calibri"/>
        <family val="2"/>
      </rPr>
      <t>The district or its service provider has an E-mail system available to district students.</t>
    </r>
  </si>
  <si>
    <r>
      <t>168. E-mail archiving solution –</t>
    </r>
    <r>
      <rPr>
        <sz val="10"/>
        <rFont val="Calibri"/>
        <family val="2"/>
      </rPr>
      <t xml:space="preserve"> The district or its service provider has a solution in place to archive all staff email for a pre-determined period of time. This does NOT include regular daily/weekly backups.</t>
    </r>
  </si>
  <si>
    <r>
      <t xml:space="preserve">169. E-mail archive duration – </t>
    </r>
    <r>
      <rPr>
        <sz val="10"/>
        <rFont val="Calibri"/>
        <family val="2"/>
      </rPr>
      <t>If you answered yes to the previous question, please indicate the duration of time for which all staff email is archived.</t>
    </r>
  </si>
  <si>
    <r>
      <t xml:space="preserve">170. Web Content Management Solution (Dreamweaver, rSchoolToday, etc.) – </t>
    </r>
    <r>
      <rPr>
        <sz val="10"/>
        <rFont val="Calibri"/>
        <family val="2"/>
      </rPr>
      <t>The district or its service provider has a web server(s) in use to support a district website.</t>
    </r>
  </si>
  <si>
    <r>
      <t xml:space="preserve">171. Data backup – </t>
    </r>
    <r>
      <rPr>
        <sz val="10"/>
        <rFont val="Calibri"/>
        <family val="2"/>
      </rPr>
      <t>The district or its service provider has in place a data backup process to make copies of data to restore the original data after a data loss event.</t>
    </r>
  </si>
  <si>
    <r>
      <t>172. Offsite backup –</t>
    </r>
    <r>
      <rPr>
        <sz val="10"/>
        <rFont val="Calibri"/>
        <family val="2"/>
      </rPr>
      <t xml:space="preserve"> Includes in the "cloud" and/or a geographical separate location from the source server(s).  </t>
    </r>
  </si>
  <si>
    <r>
      <t xml:space="preserve">173. Video streaming solution – </t>
    </r>
    <r>
      <rPr>
        <sz val="10"/>
        <rFont val="Calibri"/>
        <family val="2"/>
      </rPr>
      <t>The district or its provider has in place a streaming media service to allow the receipt of multimedia that is constantly received by district staff while it is being delivered by a streaming provider.</t>
    </r>
  </si>
  <si>
    <r>
      <t xml:space="preserve">174. Video conferencing (Polycom, Lifesize, Tanberg…using H.323 protocol) – </t>
    </r>
    <r>
      <rPr>
        <sz val="10"/>
        <rFont val="Calibri"/>
        <family val="2"/>
      </rPr>
      <t>The district or its provider has in place a service to allow two or more locations to interact via two-way video and audio transmissions simultaneously.</t>
    </r>
  </si>
  <si>
    <r>
      <t xml:space="preserve">175. Web conferencing solution – </t>
    </r>
    <r>
      <rPr>
        <sz val="10"/>
        <rFont val="Calibri"/>
        <family val="2"/>
      </rPr>
      <t>The district or its provider has in place Web-conferencing products to support real-time collaboration interactions over a network between participants in multiple meeting formats</t>
    </r>
  </si>
  <si>
    <t xml:space="preserve">176. Is your district connected to Internet2?  </t>
  </si>
  <si>
    <t>177. Indicate the number of buildings that have the options below as the primary connection speed between the desktop and the data closet.</t>
  </si>
  <si>
    <t>178. Indicate the number of buildings that have the options below as the primary connection speed to the Wide Area Network (between buildings within your district).</t>
  </si>
  <si>
    <t>179. WAN to Internet (ISP Connection) Select...</t>
  </si>
  <si>
    <t>180. Indicate which type of connection to your Internet Service Provider is used in your district for your PRIMARY connection.</t>
  </si>
  <si>
    <t>181. Indicate which type of connection to your Internet Service Provider, if any, is used in your district as your SECONDARY (redundant) connection.</t>
  </si>
  <si>
    <r>
      <t xml:space="preserve">Section B - Consolidated Processes - </t>
    </r>
    <r>
      <rPr>
        <b/>
        <i/>
        <sz val="10"/>
        <color rgb="FFFF0000"/>
        <rFont val="Verdana"/>
        <family val="2"/>
      </rPr>
      <t>Shared Services Only</t>
    </r>
  </si>
  <si>
    <t>157/158</t>
  </si>
  <si>
    <t>166-167</t>
  </si>
  <si>
    <t>Updated - January 2014</t>
  </si>
  <si>
    <t>https://collaboration.education.state.mn.us/TechInv/</t>
  </si>
  <si>
    <t>1)</t>
  </si>
  <si>
    <t>2)</t>
  </si>
  <si>
    <t>3)</t>
  </si>
  <si>
    <t>4)</t>
  </si>
  <si>
    <t>8. Total number of Windows laptops primarily dedicated to students (greater than 10" screen)</t>
  </si>
  <si>
    <t>10. Total number of Linux laptops primarily dedicated to students (greater than 10" screen)</t>
  </si>
  <si>
    <r>
      <t xml:space="preserve">47. </t>
    </r>
    <r>
      <rPr>
        <b/>
        <sz val="12"/>
        <rFont val="Calibri"/>
        <family val="2"/>
      </rPr>
      <t xml:space="preserve">Student Laptops </t>
    </r>
    <r>
      <rPr>
        <sz val="12"/>
        <rFont val="Calibri"/>
        <family val="2"/>
      </rPr>
      <t>(Sum of Questions 8-10, 25 and 30)</t>
    </r>
  </si>
  <si>
    <t>Building/Site-Level Inventory Collection Tool</t>
  </si>
</sst>
</file>

<file path=xl/styles.xml><?xml version="1.0" encoding="utf-8"?>
<styleSheet xmlns="http://schemas.openxmlformats.org/spreadsheetml/2006/main" xmlns:mc="http://schemas.openxmlformats.org/markup-compatibility/2006" xmlns:x14ac="http://schemas.microsoft.com/office/spreadsheetml/2009/9/ac" mc:Ignorable="x14ac">
  <fonts count="60" x14ac:knownFonts="1">
    <font>
      <sz val="11"/>
      <name val="Century Gothic"/>
    </font>
    <font>
      <sz val="11"/>
      <color theme="1"/>
      <name val="Calibri"/>
      <family val="2"/>
      <scheme val="minor"/>
    </font>
    <font>
      <sz val="11"/>
      <color theme="1"/>
      <name val="Calibri"/>
      <family val="2"/>
      <scheme val="minor"/>
    </font>
    <font>
      <b/>
      <sz val="11"/>
      <name val="Century Gothic"/>
      <family val="2"/>
    </font>
    <font>
      <sz val="12"/>
      <name val="Times New Roman"/>
      <family val="1"/>
    </font>
    <font>
      <sz val="12"/>
      <name val="Calibri"/>
      <family val="2"/>
    </font>
    <font>
      <b/>
      <sz val="12"/>
      <name val="Calibri"/>
      <family val="2"/>
    </font>
    <font>
      <sz val="11"/>
      <name val="Calibri"/>
      <family val="2"/>
    </font>
    <font>
      <b/>
      <sz val="9"/>
      <name val="Calibri"/>
      <family val="2"/>
    </font>
    <font>
      <sz val="8"/>
      <name val="Century Gothic"/>
      <family val="2"/>
    </font>
    <font>
      <sz val="11"/>
      <name val="Century Gothic"/>
      <family val="2"/>
    </font>
    <font>
      <b/>
      <sz val="12"/>
      <name val="Calibri"/>
      <family val="2"/>
    </font>
    <font>
      <sz val="9"/>
      <color indexed="81"/>
      <name val="Tahoma"/>
      <family val="2"/>
    </font>
    <font>
      <b/>
      <sz val="9"/>
      <color indexed="81"/>
      <name val="Tahoma"/>
      <family val="2"/>
    </font>
    <font>
      <sz val="12"/>
      <name val="Calibri"/>
      <family val="2"/>
    </font>
    <font>
      <b/>
      <sz val="9"/>
      <name val="Calibri"/>
      <family val="2"/>
    </font>
    <font>
      <b/>
      <sz val="12"/>
      <name val="Century Gothic"/>
      <family val="2"/>
    </font>
    <font>
      <sz val="14"/>
      <name val="Calibri"/>
      <family val="2"/>
    </font>
    <font>
      <sz val="12"/>
      <color indexed="8"/>
      <name val="Calibri"/>
      <family val="2"/>
    </font>
    <font>
      <sz val="10"/>
      <name val="Calibri"/>
      <family val="2"/>
    </font>
    <font>
      <b/>
      <sz val="18"/>
      <name val="Century Gothic"/>
      <family val="2"/>
    </font>
    <font>
      <u/>
      <sz val="12"/>
      <color indexed="8"/>
      <name val="Calibri"/>
      <family val="2"/>
    </font>
    <font>
      <b/>
      <sz val="16"/>
      <name val="Calibri"/>
      <family val="2"/>
    </font>
    <font>
      <b/>
      <sz val="48"/>
      <name val="Century Gothic"/>
      <family val="2"/>
    </font>
    <font>
      <b/>
      <sz val="16"/>
      <name val="Century Gothic"/>
      <family val="2"/>
    </font>
    <font>
      <b/>
      <i/>
      <sz val="12"/>
      <name val="Calibri"/>
      <family val="2"/>
    </font>
    <font>
      <sz val="18"/>
      <name val="Calibri"/>
      <family val="2"/>
    </font>
    <font>
      <sz val="11"/>
      <color theme="1"/>
      <name val="Calibri"/>
      <family val="2"/>
      <scheme val="minor"/>
    </font>
    <font>
      <u/>
      <sz val="11"/>
      <color theme="10"/>
      <name val="Century Gothic"/>
      <family val="2"/>
    </font>
    <font>
      <b/>
      <sz val="11"/>
      <color theme="1"/>
      <name val="Calibri"/>
      <family val="2"/>
      <scheme val="minor"/>
    </font>
    <font>
      <b/>
      <sz val="14"/>
      <name val="Calibri"/>
      <family val="2"/>
      <scheme val="minor"/>
    </font>
    <font>
      <sz val="14"/>
      <name val="Calibri"/>
      <family val="2"/>
      <scheme val="minor"/>
    </font>
    <font>
      <sz val="12"/>
      <color theme="1"/>
      <name val="Calibri"/>
      <family val="2"/>
      <scheme val="minor"/>
    </font>
    <font>
      <sz val="12"/>
      <color theme="1"/>
      <name val="Symbol"/>
      <family val="1"/>
      <charset val="2"/>
    </font>
    <font>
      <b/>
      <sz val="11"/>
      <color theme="1"/>
      <name val="Calibri"/>
      <family val="2"/>
    </font>
    <font>
      <sz val="10"/>
      <color theme="1"/>
      <name val="Times New Roman"/>
      <family val="1"/>
    </font>
    <font>
      <b/>
      <sz val="14"/>
      <color rgb="FF0070C0"/>
      <name val="Calibri"/>
      <family val="2"/>
      <scheme val="minor"/>
    </font>
    <font>
      <sz val="12"/>
      <color theme="1"/>
      <name val="Calibri"/>
      <family val="2"/>
    </font>
    <font>
      <sz val="11"/>
      <color theme="1"/>
      <name val="Calibri"/>
      <family val="2"/>
    </font>
    <font>
      <i/>
      <sz val="18"/>
      <color theme="0"/>
      <name val="Century Gothic"/>
      <family val="2"/>
    </font>
    <font>
      <b/>
      <i/>
      <sz val="12"/>
      <name val="Calibri"/>
      <family val="2"/>
      <scheme val="minor"/>
    </font>
    <font>
      <sz val="12"/>
      <color rgb="FF000000"/>
      <name val="Calibri"/>
      <family val="2"/>
      <scheme val="minor"/>
    </font>
    <font>
      <b/>
      <u/>
      <sz val="12"/>
      <color theme="10"/>
      <name val="Calibri"/>
      <family val="2"/>
      <scheme val="minor"/>
    </font>
    <font>
      <b/>
      <sz val="18"/>
      <name val="Calibri"/>
      <family val="2"/>
      <scheme val="minor"/>
    </font>
    <font>
      <b/>
      <sz val="16"/>
      <name val="Calibri"/>
      <family val="2"/>
      <scheme val="minor"/>
    </font>
    <font>
      <b/>
      <i/>
      <sz val="22"/>
      <color theme="0"/>
      <name val="Century Gothic"/>
      <family val="2"/>
    </font>
    <font>
      <b/>
      <u/>
      <sz val="18"/>
      <color theme="10"/>
      <name val="Calibri"/>
      <family val="2"/>
      <scheme val="minor"/>
    </font>
    <font>
      <b/>
      <i/>
      <sz val="20"/>
      <name val="Calibri"/>
      <family val="2"/>
      <scheme val="minor"/>
    </font>
    <font>
      <b/>
      <sz val="12"/>
      <color theme="1"/>
      <name val="Calibri"/>
      <family val="2"/>
      <scheme val="minor"/>
    </font>
    <font>
      <sz val="12"/>
      <color indexed="8"/>
      <name val="Calibri"/>
      <family val="2"/>
      <scheme val="minor"/>
    </font>
    <font>
      <b/>
      <sz val="16"/>
      <color theme="1"/>
      <name val="Calibri"/>
      <family val="2"/>
    </font>
    <font>
      <b/>
      <u/>
      <sz val="9"/>
      <color indexed="81"/>
      <name val="Tahoma"/>
      <family val="2"/>
    </font>
    <font>
      <b/>
      <u/>
      <sz val="12"/>
      <name val="Calibri"/>
      <family val="2"/>
    </font>
    <font>
      <u/>
      <sz val="12"/>
      <name val="Calibri"/>
      <family val="2"/>
    </font>
    <font>
      <b/>
      <sz val="11"/>
      <name val="Calibri"/>
      <family val="2"/>
    </font>
    <font>
      <b/>
      <i/>
      <sz val="10"/>
      <color rgb="FFFF0000"/>
      <name val="Verdana"/>
      <family val="2"/>
    </font>
    <font>
      <b/>
      <i/>
      <sz val="11"/>
      <color theme="0" tint="-0.499984740745262"/>
      <name val="Century Gothic"/>
      <family val="2"/>
    </font>
    <font>
      <b/>
      <u/>
      <sz val="18"/>
      <color theme="10"/>
      <name val="Century Gothic"/>
      <family val="2"/>
    </font>
    <font>
      <b/>
      <sz val="18"/>
      <color rgb="FF3333FF"/>
      <name val="Calibri"/>
      <family val="2"/>
      <scheme val="minor"/>
    </font>
    <font>
      <b/>
      <u/>
      <sz val="18"/>
      <color rgb="FF3333FF"/>
      <name val="Calibri"/>
      <family val="2"/>
      <scheme val="minor"/>
    </font>
  </fonts>
  <fills count="10">
    <fill>
      <patternFill patternType="none"/>
    </fill>
    <fill>
      <patternFill patternType="gray125"/>
    </fill>
    <fill>
      <patternFill patternType="solid">
        <fgColor indexed="51"/>
        <bgColor indexed="64"/>
      </patternFill>
    </fill>
    <fill>
      <patternFill patternType="solid">
        <fgColor indexed="44"/>
        <bgColor indexed="64"/>
      </patternFill>
    </fill>
    <fill>
      <patternFill patternType="solid">
        <fgColor indexed="22"/>
        <bgColor indexed="64"/>
      </patternFill>
    </fill>
    <fill>
      <patternFill patternType="solid">
        <fgColor theme="3"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499984740745262"/>
        <bgColor indexed="64"/>
      </patternFill>
    </fill>
    <fill>
      <patternFill patternType="solid">
        <fgColor theme="6" tint="0.59999389629810485"/>
        <bgColor indexed="64"/>
      </patternFill>
    </fill>
  </fills>
  <borders count="20">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style="medium">
        <color indexed="64"/>
      </left>
      <right style="medium">
        <color indexed="64"/>
      </right>
      <top/>
      <bottom style="double">
        <color indexed="64"/>
      </bottom>
      <diagonal/>
    </border>
    <border>
      <left style="medium">
        <color indexed="64"/>
      </left>
      <right/>
      <top/>
      <bottom/>
      <diagonal/>
    </border>
    <border>
      <left style="medium">
        <color indexed="64"/>
      </left>
      <right style="medium">
        <color indexed="64"/>
      </right>
      <top style="medium">
        <color indexed="64"/>
      </top>
      <bottom style="thick">
        <color indexed="64"/>
      </bottom>
      <diagonal/>
    </border>
  </borders>
  <cellStyleXfs count="4">
    <xf numFmtId="0" fontId="0" fillId="0" borderId="0"/>
    <xf numFmtId="0" fontId="28" fillId="0" borderId="0" applyNumberFormat="0" applyFill="0" applyBorder="0" applyAlignment="0" applyProtection="0"/>
    <xf numFmtId="0" fontId="10" fillId="0" borderId="0"/>
    <xf numFmtId="0" fontId="27" fillId="0" borderId="0"/>
  </cellStyleXfs>
  <cellXfs count="150">
    <xf numFmtId="0" fontId="0" fillId="0" borderId="0" xfId="0"/>
    <xf numFmtId="0" fontId="6" fillId="0" borderId="0" xfId="0" applyFont="1"/>
    <xf numFmtId="0" fontId="7" fillId="0" borderId="0" xfId="0" applyFont="1" applyBorder="1" applyAlignment="1">
      <alignment vertical="top" wrapText="1"/>
    </xf>
    <xf numFmtId="0" fontId="0" fillId="2" borderId="0" xfId="0" applyFill="1"/>
    <xf numFmtId="0" fontId="3" fillId="2" borderId="1" xfId="0" applyFont="1" applyFill="1" applyBorder="1"/>
    <xf numFmtId="0" fontId="15" fillId="0" borderId="3" xfId="0" applyFont="1" applyBorder="1" applyAlignment="1">
      <alignment horizontal="center" vertical="top" wrapText="1"/>
    </xf>
    <xf numFmtId="0" fontId="15" fillId="0" borderId="4" xfId="0" applyFont="1" applyBorder="1" applyAlignment="1">
      <alignment horizontal="center" vertical="top" wrapText="1"/>
    </xf>
    <xf numFmtId="0" fontId="11" fillId="0" borderId="4" xfId="0" applyFont="1" applyBorder="1" applyAlignment="1">
      <alignment horizontal="center" vertical="center" wrapText="1"/>
    </xf>
    <xf numFmtId="10" fontId="7" fillId="4" borderId="1" xfId="0" applyNumberFormat="1" applyFont="1" applyFill="1" applyBorder="1" applyAlignment="1">
      <alignment horizontal="center" vertical="top" wrapText="1"/>
    </xf>
    <xf numFmtId="10" fontId="16" fillId="2" borderId="0" xfId="0" applyNumberFormat="1" applyFont="1" applyFill="1" applyAlignment="1">
      <alignment horizontal="center"/>
    </xf>
    <xf numFmtId="0" fontId="0" fillId="2" borderId="0" xfId="0" applyFill="1" applyBorder="1" applyAlignment="1">
      <alignment horizontal="center"/>
    </xf>
    <xf numFmtId="0" fontId="0" fillId="0" borderId="0" xfId="0" applyAlignment="1">
      <alignment wrapText="1"/>
    </xf>
    <xf numFmtId="0" fontId="30" fillId="0" borderId="0" xfId="0" applyFont="1" applyAlignment="1">
      <alignment wrapText="1"/>
    </xf>
    <xf numFmtId="0" fontId="31" fillId="0" borderId="0" xfId="0" applyFont="1" applyAlignment="1">
      <alignment wrapText="1"/>
    </xf>
    <xf numFmtId="0" fontId="27" fillId="0" borderId="0" xfId="3"/>
    <xf numFmtId="0" fontId="10" fillId="0" borderId="0" xfId="2"/>
    <xf numFmtId="0" fontId="6" fillId="0" borderId="0" xfId="2" applyFont="1"/>
    <xf numFmtId="0" fontId="5" fillId="0" borderId="2" xfId="2" applyFont="1" applyFill="1" applyBorder="1" applyAlignment="1">
      <alignment horizontal="left" vertical="top" wrapText="1" indent="1"/>
    </xf>
    <xf numFmtId="0" fontId="5" fillId="0" borderId="1" xfId="2" applyFont="1" applyFill="1" applyBorder="1" applyAlignment="1">
      <alignment horizontal="left" vertical="top" wrapText="1" indent="1"/>
    </xf>
    <xf numFmtId="0" fontId="7" fillId="0" borderId="0" xfId="2" applyFont="1" applyBorder="1" applyAlignment="1">
      <alignment vertical="top" wrapText="1"/>
    </xf>
    <xf numFmtId="0" fontId="10" fillId="2" borderId="0" xfId="2" applyFill="1"/>
    <xf numFmtId="0" fontId="3" fillId="2" borderId="1" xfId="2" applyFont="1" applyFill="1" applyBorder="1"/>
    <xf numFmtId="0" fontId="8" fillId="0" borderId="3" xfId="2" applyFont="1" applyBorder="1" applyAlignment="1">
      <alignment horizontal="center" vertical="top" wrapText="1"/>
    </xf>
    <xf numFmtId="0" fontId="8" fillId="0" borderId="4" xfId="2" applyFont="1" applyBorder="1" applyAlignment="1">
      <alignment horizontal="center" vertical="top" wrapText="1"/>
    </xf>
    <xf numFmtId="0" fontId="6" fillId="0" borderId="4" xfId="2" applyFont="1" applyBorder="1" applyAlignment="1">
      <alignment horizontal="center" vertical="center" wrapText="1"/>
    </xf>
    <xf numFmtId="10" fontId="10" fillId="2" borderId="0" xfId="2" applyNumberFormat="1" applyFill="1" applyAlignment="1">
      <alignment horizontal="center"/>
    </xf>
    <xf numFmtId="10" fontId="16" fillId="2" borderId="0" xfId="2" applyNumberFormat="1" applyFont="1" applyFill="1" applyAlignment="1">
      <alignment horizontal="center"/>
    </xf>
    <xf numFmtId="0" fontId="6" fillId="0" borderId="5" xfId="2" applyFont="1" applyBorder="1" applyAlignment="1">
      <alignment horizontal="center" vertical="top" wrapText="1"/>
    </xf>
    <xf numFmtId="0" fontId="6" fillId="0" borderId="1" xfId="2" applyFont="1" applyFill="1" applyBorder="1" applyAlignment="1">
      <alignment horizontal="center" wrapText="1"/>
    </xf>
    <xf numFmtId="10" fontId="7" fillId="0" borderId="0" xfId="0" applyNumberFormat="1" applyFont="1" applyFill="1" applyBorder="1" applyAlignment="1">
      <alignment horizontal="center" vertical="top" wrapText="1"/>
    </xf>
    <xf numFmtId="10" fontId="16" fillId="0" borderId="0" xfId="0" applyNumberFormat="1" applyFont="1" applyFill="1" applyAlignment="1">
      <alignment horizontal="center"/>
    </xf>
    <xf numFmtId="0" fontId="6" fillId="0" borderId="0" xfId="2" applyFont="1" applyFill="1" applyBorder="1" applyAlignment="1"/>
    <xf numFmtId="0" fontId="0" fillId="0" borderId="0" xfId="0" applyAlignment="1">
      <alignment horizontal="center"/>
    </xf>
    <xf numFmtId="0" fontId="5" fillId="0" borderId="1" xfId="2" applyFont="1" applyFill="1" applyBorder="1" applyAlignment="1">
      <alignment horizontal="left" vertical="top" wrapText="1" indent="5"/>
    </xf>
    <xf numFmtId="0" fontId="33" fillId="0" borderId="0" xfId="0" applyFont="1" applyAlignment="1">
      <alignment horizontal="center" vertical="center"/>
    </xf>
    <xf numFmtId="0" fontId="34" fillId="0" borderId="7" xfId="0" applyFont="1" applyBorder="1" applyAlignment="1">
      <alignment horizontal="center" vertical="center" wrapText="1"/>
    </xf>
    <xf numFmtId="0" fontId="34" fillId="0" borderId="8" xfId="0" applyFont="1" applyBorder="1" applyAlignment="1">
      <alignment horizontal="center" vertical="center" wrapText="1"/>
    </xf>
    <xf numFmtId="0" fontId="34" fillId="0" borderId="8" xfId="0" applyFont="1" applyFill="1" applyBorder="1" applyAlignment="1">
      <alignment horizontal="center" vertical="center" wrapText="1"/>
    </xf>
    <xf numFmtId="0" fontId="34" fillId="0" borderId="7" xfId="0" applyFont="1" applyFill="1" applyBorder="1" applyAlignment="1">
      <alignment horizontal="center" vertical="center" wrapText="1"/>
    </xf>
    <xf numFmtId="0" fontId="0" fillId="0" borderId="0" xfId="0" applyFill="1"/>
    <xf numFmtId="0" fontId="35" fillId="0" borderId="0" xfId="0" applyFont="1" applyAlignment="1">
      <alignment horizontal="center" vertical="center" wrapText="1"/>
    </xf>
    <xf numFmtId="0" fontId="36" fillId="0" borderId="0" xfId="0" applyFont="1" applyAlignment="1">
      <alignment horizontal="center"/>
    </xf>
    <xf numFmtId="0" fontId="36" fillId="0" borderId="0" xfId="0" applyFont="1" applyFill="1" applyAlignment="1">
      <alignment horizontal="center"/>
    </xf>
    <xf numFmtId="0" fontId="22" fillId="0" borderId="0" xfId="2" applyFont="1" applyFill="1" applyBorder="1" applyAlignment="1"/>
    <xf numFmtId="0" fontId="0" fillId="5" borderId="0" xfId="0" applyFill="1"/>
    <xf numFmtId="0" fontId="0" fillId="6" borderId="0" xfId="0" applyFill="1"/>
    <xf numFmtId="0" fontId="23" fillId="6" borderId="0" xfId="0" applyFont="1" applyFill="1" applyAlignment="1">
      <alignment horizontal="center" vertical="center"/>
    </xf>
    <xf numFmtId="0" fontId="20" fillId="6" borderId="0" xfId="0" applyFont="1" applyFill="1" applyAlignment="1"/>
    <xf numFmtId="0" fontId="34" fillId="7" borderId="8" xfId="0" applyFont="1" applyFill="1" applyBorder="1" applyAlignment="1">
      <alignment vertical="center" wrapText="1"/>
    </xf>
    <xf numFmtId="0" fontId="35" fillId="7" borderId="8" xfId="0" applyFont="1" applyFill="1" applyBorder="1" applyAlignment="1">
      <alignment vertical="center" wrapText="1"/>
    </xf>
    <xf numFmtId="0" fontId="37" fillId="7" borderId="8" xfId="0" applyFont="1" applyFill="1" applyBorder="1" applyAlignment="1">
      <alignment vertical="center"/>
    </xf>
    <xf numFmtId="0" fontId="0" fillId="7" borderId="8" xfId="0" applyFill="1" applyBorder="1"/>
    <xf numFmtId="0" fontId="34" fillId="7" borderId="8" xfId="0" applyFont="1" applyFill="1" applyBorder="1" applyAlignment="1">
      <alignment horizontal="center" vertical="center" wrapText="1"/>
    </xf>
    <xf numFmtId="0" fontId="35" fillId="7" borderId="8" xfId="0" applyFont="1" applyFill="1" applyBorder="1" applyAlignment="1">
      <alignment horizontal="center" vertical="center" wrapText="1"/>
    </xf>
    <xf numFmtId="0" fontId="37" fillId="7" borderId="8" xfId="0" applyFont="1" applyFill="1" applyBorder="1" applyAlignment="1">
      <alignment horizontal="center" vertical="center"/>
    </xf>
    <xf numFmtId="0" fontId="0" fillId="7" borderId="8" xfId="0" applyFill="1" applyBorder="1" applyAlignment="1">
      <alignment horizontal="center"/>
    </xf>
    <xf numFmtId="0" fontId="38" fillId="7" borderId="8" xfId="0" applyFont="1" applyFill="1" applyBorder="1" applyAlignment="1">
      <alignment horizontal="center" vertical="center" wrapText="1"/>
    </xf>
    <xf numFmtId="0" fontId="29" fillId="0" borderId="1" xfId="3" applyFont="1" applyFill="1" applyBorder="1" applyAlignment="1">
      <alignment horizontal="center"/>
    </xf>
    <xf numFmtId="0" fontId="6" fillId="0" borderId="1" xfId="2" applyFont="1" applyFill="1" applyBorder="1" applyAlignment="1">
      <alignment horizontal="center" vertical="center" wrapText="1"/>
    </xf>
    <xf numFmtId="0" fontId="39" fillId="8" borderId="0" xfId="0" applyFont="1" applyFill="1"/>
    <xf numFmtId="0" fontId="40" fillId="0" borderId="0" xfId="0" applyFont="1" applyAlignment="1">
      <alignment horizontal="right"/>
    </xf>
    <xf numFmtId="0" fontId="25" fillId="5" borderId="1" xfId="2" applyFont="1" applyFill="1" applyBorder="1" applyAlignment="1">
      <alignment horizontal="center" vertical="center" wrapText="1"/>
    </xf>
    <xf numFmtId="0" fontId="0" fillId="9" borderId="0" xfId="0" applyFill="1"/>
    <xf numFmtId="0" fontId="42" fillId="9" borderId="0" xfId="1" applyFont="1" applyFill="1"/>
    <xf numFmtId="0" fontId="43" fillId="9" borderId="0" xfId="0" applyFont="1" applyFill="1" applyAlignment="1">
      <alignment wrapText="1"/>
    </xf>
    <xf numFmtId="0" fontId="0" fillId="9" borderId="0" xfId="0" applyFill="1" applyAlignment="1">
      <alignment horizontal="center"/>
    </xf>
    <xf numFmtId="0" fontId="44" fillId="7" borderId="5" xfId="0" applyFont="1" applyFill="1" applyBorder="1" applyAlignment="1">
      <alignment wrapText="1"/>
    </xf>
    <xf numFmtId="0" fontId="24" fillId="0" borderId="0" xfId="0" applyFont="1" applyFill="1" applyBorder="1" applyAlignment="1">
      <alignment horizontal="right"/>
    </xf>
    <xf numFmtId="0" fontId="45" fillId="5" borderId="0" xfId="0" applyFont="1" applyFill="1" applyAlignment="1">
      <alignment horizontal="left"/>
    </xf>
    <xf numFmtId="0" fontId="39" fillId="5" borderId="0" xfId="0" applyFont="1" applyFill="1"/>
    <xf numFmtId="0" fontId="5" fillId="6" borderId="14" xfId="2" applyFont="1" applyFill="1" applyBorder="1" applyAlignment="1">
      <alignment horizontal="center" vertical="center" wrapText="1"/>
    </xf>
    <xf numFmtId="0" fontId="5" fillId="6" borderId="13" xfId="2" applyFont="1" applyFill="1" applyBorder="1" applyAlignment="1">
      <alignment horizontal="center" vertical="center" wrapText="1"/>
    </xf>
    <xf numFmtId="0" fontId="5" fillId="6" borderId="18" xfId="2" applyFont="1" applyFill="1" applyBorder="1" applyAlignment="1">
      <alignment horizontal="center" vertical="center" wrapText="1"/>
    </xf>
    <xf numFmtId="0" fontId="36" fillId="0" borderId="0" xfId="0" applyFont="1" applyAlignment="1">
      <alignment horizontal="left"/>
    </xf>
    <xf numFmtId="0" fontId="42" fillId="9" borderId="0" xfId="1" applyFont="1" applyFill="1" applyAlignment="1">
      <alignment horizontal="left"/>
    </xf>
    <xf numFmtId="0" fontId="2" fillId="0" borderId="0" xfId="3" applyFont="1"/>
    <xf numFmtId="0" fontId="5" fillId="6" borderId="2" xfId="2" applyFont="1" applyFill="1" applyBorder="1" applyAlignment="1">
      <alignment horizontal="left" vertical="top" wrapText="1" indent="1"/>
    </xf>
    <xf numFmtId="0" fontId="4" fillId="6" borderId="6" xfId="2" applyFont="1" applyFill="1" applyBorder="1" applyAlignment="1">
      <alignment vertical="top" wrapText="1"/>
    </xf>
    <xf numFmtId="0" fontId="6" fillId="0" borderId="5" xfId="2" applyFont="1" applyBorder="1" applyAlignment="1">
      <alignment horizontal="center" vertical="top" wrapText="1"/>
    </xf>
    <xf numFmtId="0" fontId="15" fillId="0" borderId="3" xfId="0" applyFont="1" applyBorder="1" applyAlignment="1">
      <alignment horizontal="center" vertical="top" wrapText="1"/>
    </xf>
    <xf numFmtId="0" fontId="15" fillId="0" borderId="4" xfId="0" applyFont="1" applyBorder="1" applyAlignment="1">
      <alignment horizontal="center" vertical="top" wrapText="1"/>
    </xf>
    <xf numFmtId="0" fontId="6" fillId="0" borderId="0" xfId="2" applyFont="1" applyFill="1"/>
    <xf numFmtId="0" fontId="5" fillId="0" borderId="1" xfId="2" applyFont="1" applyBorder="1" applyAlignment="1">
      <alignment horizontal="left" vertical="top" wrapText="1" indent="1"/>
    </xf>
    <xf numFmtId="0" fontId="6" fillId="0" borderId="1" xfId="0" applyFont="1" applyBorder="1" applyAlignment="1">
      <alignment horizontal="left" vertical="top" wrapText="1" indent="1"/>
    </xf>
    <xf numFmtId="0" fontId="10" fillId="0" borderId="0" xfId="0" applyFont="1"/>
    <xf numFmtId="0" fontId="1" fillId="0" borderId="0" xfId="3" applyFont="1"/>
    <xf numFmtId="0" fontId="0" fillId="0" borderId="0" xfId="0" applyAlignment="1">
      <alignment vertical="center"/>
    </xf>
    <xf numFmtId="49" fontId="5" fillId="0" borderId="1" xfId="2" applyNumberFormat="1" applyFont="1" applyFill="1" applyBorder="1" applyAlignment="1">
      <alignment horizontal="left" vertical="top" wrapText="1" indent="5"/>
    </xf>
    <xf numFmtId="0" fontId="54" fillId="0" borderId="1" xfId="2" applyFont="1" applyFill="1" applyBorder="1" applyAlignment="1">
      <alignment horizontal="center" wrapText="1"/>
    </xf>
    <xf numFmtId="0" fontId="5" fillId="0" borderId="19" xfId="2" applyFont="1" applyFill="1" applyBorder="1" applyAlignment="1">
      <alignment horizontal="left" vertical="top" wrapText="1" indent="1"/>
    </xf>
    <xf numFmtId="0" fontId="56" fillId="5" borderId="0" xfId="0" applyFont="1" applyFill="1" applyAlignment="1">
      <alignment horizontal="left"/>
    </xf>
    <xf numFmtId="0" fontId="57" fillId="7" borderId="2" xfId="1" applyFont="1" applyFill="1" applyBorder="1" applyAlignment="1">
      <alignment vertical="center"/>
    </xf>
    <xf numFmtId="0" fontId="5" fillId="5" borderId="1" xfId="2" applyFont="1" applyFill="1" applyBorder="1" applyAlignment="1" applyProtection="1">
      <alignment vertical="center" wrapText="1"/>
      <protection locked="0"/>
    </xf>
    <xf numFmtId="0" fontId="5" fillId="5" borderId="2" xfId="2" applyFont="1" applyFill="1" applyBorder="1" applyAlignment="1" applyProtection="1">
      <alignment horizontal="center" vertical="center" wrapText="1"/>
      <protection locked="0"/>
    </xf>
    <xf numFmtId="0" fontId="5" fillId="5" borderId="1" xfId="2" applyFont="1" applyFill="1" applyBorder="1" applyAlignment="1" applyProtection="1">
      <alignment horizontal="center" vertical="center" wrapText="1"/>
      <protection locked="0"/>
    </xf>
    <xf numFmtId="0" fontId="5" fillId="5" borderId="9" xfId="2" applyFont="1" applyFill="1" applyBorder="1" applyAlignment="1" applyProtection="1">
      <alignment horizontal="center" vertical="center" wrapText="1"/>
      <protection locked="0"/>
    </xf>
    <xf numFmtId="0" fontId="5" fillId="5" borderId="4" xfId="2" applyFont="1" applyFill="1" applyBorder="1" applyAlignment="1" applyProtection="1">
      <alignment horizontal="center" vertical="center" wrapText="1"/>
      <protection locked="0"/>
    </xf>
    <xf numFmtId="0" fontId="5" fillId="5" borderId="19" xfId="2" applyFont="1" applyFill="1" applyBorder="1" applyAlignment="1" applyProtection="1">
      <alignment horizontal="center" vertical="center" wrapText="1"/>
      <protection locked="0"/>
    </xf>
    <xf numFmtId="0" fontId="5" fillId="5" borderId="2" xfId="2" applyFont="1" applyFill="1" applyBorder="1" applyAlignment="1" applyProtection="1">
      <alignment vertical="center" wrapText="1"/>
      <protection locked="0"/>
    </xf>
    <xf numFmtId="0" fontId="14" fillId="5" borderId="4" xfId="0" applyFont="1" applyFill="1" applyBorder="1" applyAlignment="1" applyProtection="1">
      <alignment horizontal="center" vertical="center" wrapText="1"/>
      <protection locked="0"/>
    </xf>
    <xf numFmtId="0" fontId="58" fillId="5" borderId="0" xfId="0" applyFont="1" applyFill="1" applyAlignment="1">
      <alignment horizontal="right"/>
    </xf>
    <xf numFmtId="0" fontId="47" fillId="6" borderId="0" xfId="0" applyFont="1" applyFill="1" applyAlignment="1">
      <alignment horizontal="center" vertical="top" wrapText="1"/>
    </xf>
    <xf numFmtId="0" fontId="3" fillId="5" borderId="0" xfId="0" applyFont="1" applyFill="1" applyAlignment="1">
      <alignment horizontal="left" wrapText="1"/>
    </xf>
    <xf numFmtId="0" fontId="59" fillId="5" borderId="0" xfId="1" applyFont="1" applyFill="1" applyAlignment="1">
      <alignment horizontal="left"/>
    </xf>
    <xf numFmtId="0" fontId="45" fillId="8" borderId="0" xfId="0" applyFont="1" applyFill="1" applyAlignment="1">
      <alignment horizontal="left"/>
    </xf>
    <xf numFmtId="0" fontId="16" fillId="5" borderId="0" xfId="0" applyFont="1" applyFill="1" applyAlignment="1">
      <alignment horizontal="left"/>
    </xf>
    <xf numFmtId="0" fontId="3" fillId="5" borderId="0" xfId="0" applyFont="1" applyFill="1" applyAlignment="1" applyProtection="1">
      <alignment horizontal="left" wrapText="1"/>
    </xf>
    <xf numFmtId="0" fontId="46" fillId="5" borderId="0" xfId="1" applyFont="1" applyFill="1" applyAlignment="1">
      <alignment horizontal="left"/>
    </xf>
    <xf numFmtId="0" fontId="6" fillId="0" borderId="16" xfId="2" applyFont="1" applyFill="1" applyBorder="1" applyAlignment="1">
      <alignment horizontal="left"/>
    </xf>
    <xf numFmtId="0" fontId="6" fillId="0" borderId="3" xfId="2" applyFont="1" applyFill="1" applyBorder="1" applyAlignment="1">
      <alignment horizontal="left"/>
    </xf>
    <xf numFmtId="0" fontId="49" fillId="0" borderId="0" xfId="0" applyFont="1" applyAlignment="1">
      <alignment horizontal="left" wrapText="1"/>
    </xf>
    <xf numFmtId="0" fontId="41" fillId="0" borderId="0" xfId="0" applyFont="1" applyFill="1" applyAlignment="1">
      <alignment horizontal="left" wrapText="1"/>
    </xf>
    <xf numFmtId="0" fontId="8" fillId="0" borderId="6" xfId="2" applyFont="1" applyBorder="1" applyAlignment="1">
      <alignment vertical="top" wrapText="1"/>
    </xf>
    <xf numFmtId="0" fontId="8" fillId="0" borderId="4" xfId="2" applyFont="1" applyBorder="1" applyAlignment="1">
      <alignment vertical="top" wrapText="1"/>
    </xf>
    <xf numFmtId="0" fontId="6" fillId="0" borderId="5" xfId="2" applyFont="1" applyBorder="1" applyAlignment="1">
      <alignment horizontal="center" vertical="top" wrapText="1"/>
    </xf>
    <xf numFmtId="0" fontId="6" fillId="0" borderId="2" xfId="2" applyFont="1" applyBorder="1" applyAlignment="1">
      <alignment horizontal="center" vertical="top" wrapText="1"/>
    </xf>
    <xf numFmtId="0" fontId="8" fillId="0" borderId="5" xfId="2" applyFont="1" applyBorder="1" applyAlignment="1">
      <alignment horizontal="center" vertical="top" wrapText="1"/>
    </xf>
    <xf numFmtId="0" fontId="8" fillId="0" borderId="2" xfId="2" applyFont="1" applyBorder="1" applyAlignment="1">
      <alignment horizontal="center" vertical="top" wrapText="1"/>
    </xf>
    <xf numFmtId="0" fontId="15" fillId="0" borderId="5" xfId="0" applyFont="1" applyBorder="1" applyAlignment="1">
      <alignment horizontal="center" vertical="top" wrapText="1"/>
    </xf>
    <xf numFmtId="0" fontId="15" fillId="0" borderId="2" xfId="0" applyFont="1" applyBorder="1" applyAlignment="1">
      <alignment horizontal="center" vertical="top" wrapText="1"/>
    </xf>
    <xf numFmtId="0" fontId="5" fillId="5" borderId="14" xfId="2" applyFont="1" applyFill="1" applyBorder="1" applyAlignment="1" applyProtection="1">
      <alignment horizontal="center" vertical="center" wrapText="1"/>
      <protection locked="0"/>
    </xf>
    <xf numFmtId="0" fontId="5" fillId="5" borderId="9" xfId="2" applyFont="1" applyFill="1" applyBorder="1" applyAlignment="1" applyProtection="1">
      <alignment horizontal="center" vertical="center" wrapText="1"/>
      <protection locked="0"/>
    </xf>
    <xf numFmtId="0" fontId="5" fillId="0" borderId="14" xfId="2" applyFont="1" applyFill="1" applyBorder="1" applyAlignment="1">
      <alignment horizontal="left" vertical="top" wrapText="1" indent="1"/>
    </xf>
    <xf numFmtId="0" fontId="5" fillId="0" borderId="15" xfId="2" applyFont="1" applyFill="1" applyBorder="1" applyAlignment="1">
      <alignment horizontal="left" vertical="top" wrapText="1" indent="1"/>
    </xf>
    <xf numFmtId="0" fontId="5" fillId="0" borderId="9" xfId="2" applyFont="1" applyFill="1" applyBorder="1" applyAlignment="1">
      <alignment horizontal="left" vertical="top" wrapText="1" indent="1"/>
    </xf>
    <xf numFmtId="0" fontId="32" fillId="0" borderId="0" xfId="3" applyFont="1" applyAlignment="1">
      <alignment horizontal="left" wrapText="1"/>
    </xf>
    <xf numFmtId="0" fontId="48" fillId="0" borderId="0" xfId="3" applyFont="1" applyAlignment="1">
      <alignment horizontal="left" wrapText="1"/>
    </xf>
    <xf numFmtId="0" fontId="8" fillId="0" borderId="0" xfId="0" applyFont="1" applyBorder="1" applyAlignment="1">
      <alignment vertical="top" wrapText="1"/>
    </xf>
    <xf numFmtId="0" fontId="11" fillId="0" borderId="5" xfId="0" applyFont="1" applyBorder="1" applyAlignment="1">
      <alignment horizontal="center" vertical="top" wrapText="1"/>
    </xf>
    <xf numFmtId="0" fontId="11" fillId="0" borderId="2" xfId="0" applyFont="1" applyBorder="1" applyAlignment="1">
      <alignment horizontal="center" vertical="top" wrapText="1"/>
    </xf>
    <xf numFmtId="0" fontId="48" fillId="0" borderId="0" xfId="3" applyFont="1" applyFill="1" applyBorder="1" applyAlignment="1">
      <alignment horizontal="center"/>
    </xf>
    <xf numFmtId="0" fontId="20" fillId="9" borderId="0" xfId="2" applyFont="1" applyFill="1" applyAlignment="1">
      <alignment horizontal="left" wrapText="1"/>
    </xf>
    <xf numFmtId="0" fontId="48" fillId="0" borderId="10" xfId="3" applyFont="1" applyFill="1" applyBorder="1" applyAlignment="1">
      <alignment horizontal="center"/>
    </xf>
    <xf numFmtId="0" fontId="48" fillId="0" borderId="11" xfId="3" applyFont="1" applyFill="1" applyBorder="1" applyAlignment="1">
      <alignment horizontal="center"/>
    </xf>
    <xf numFmtId="0" fontId="48" fillId="0" borderId="12" xfId="3" applyFont="1" applyFill="1" applyBorder="1" applyAlignment="1">
      <alignment horizontal="center"/>
    </xf>
    <xf numFmtId="0" fontId="32" fillId="0" borderId="5" xfId="3" applyFont="1" applyBorder="1" applyAlignment="1">
      <alignment horizontal="left"/>
    </xf>
    <xf numFmtId="0" fontId="32" fillId="0" borderId="2" xfId="3" applyFont="1" applyBorder="1" applyAlignment="1">
      <alignment horizontal="left"/>
    </xf>
    <xf numFmtId="0" fontId="5" fillId="5" borderId="15" xfId="2" applyFont="1" applyFill="1" applyBorder="1" applyAlignment="1" applyProtection="1">
      <alignment horizontal="center" vertical="center" wrapText="1"/>
      <protection locked="0"/>
    </xf>
    <xf numFmtId="0" fontId="41" fillId="0" borderId="0" xfId="0" applyFont="1" applyAlignment="1">
      <alignment horizontal="left" vertical="center" wrapText="1"/>
    </xf>
    <xf numFmtId="0" fontId="5" fillId="0" borderId="0" xfId="2" applyFont="1" applyAlignment="1">
      <alignment horizontal="left" wrapText="1"/>
    </xf>
    <xf numFmtId="0" fontId="5" fillId="0" borderId="14" xfId="2" applyFont="1" applyFill="1" applyBorder="1" applyAlignment="1">
      <alignment horizontal="center" vertical="center" wrapText="1"/>
    </xf>
    <xf numFmtId="0" fontId="5" fillId="0" borderId="9" xfId="2" applyFont="1" applyFill="1" applyBorder="1" applyAlignment="1">
      <alignment horizontal="center" vertical="center" wrapText="1"/>
    </xf>
    <xf numFmtId="0" fontId="6" fillId="3" borderId="14" xfId="0" applyFont="1" applyFill="1" applyBorder="1" applyAlignment="1" applyProtection="1">
      <alignment horizontal="left" vertical="center" wrapText="1"/>
      <protection locked="0"/>
    </xf>
    <xf numFmtId="0" fontId="6" fillId="3" borderId="15" xfId="0" applyFont="1" applyFill="1" applyBorder="1" applyAlignment="1" applyProtection="1">
      <alignment horizontal="left" vertical="center" wrapText="1"/>
      <protection locked="0"/>
    </xf>
    <xf numFmtId="0" fontId="6" fillId="3" borderId="9" xfId="0" applyFont="1" applyFill="1" applyBorder="1" applyAlignment="1" applyProtection="1">
      <alignment horizontal="left" vertical="center" wrapText="1"/>
      <protection locked="0"/>
    </xf>
    <xf numFmtId="0" fontId="34" fillId="5" borderId="5" xfId="0" applyFont="1" applyFill="1" applyBorder="1" applyAlignment="1">
      <alignment horizontal="center" vertical="center" wrapText="1"/>
    </xf>
    <xf numFmtId="0" fontId="34" fillId="5" borderId="17" xfId="0" applyFont="1" applyFill="1" applyBorder="1" applyAlignment="1">
      <alignment horizontal="center" vertical="center" wrapText="1"/>
    </xf>
    <xf numFmtId="0" fontId="50" fillId="9" borderId="0" xfId="0" applyFont="1" applyFill="1" applyAlignment="1">
      <alignment horizontal="left" vertical="center"/>
    </xf>
    <xf numFmtId="0" fontId="36" fillId="0" borderId="0" xfId="0" applyFont="1" applyAlignment="1">
      <alignment horizontal="left"/>
    </xf>
    <xf numFmtId="0" fontId="42" fillId="9" borderId="0" xfId="1" applyFont="1" applyFill="1" applyAlignment="1">
      <alignment horizontal="left"/>
    </xf>
  </cellXfs>
  <cellStyles count="4">
    <cellStyle name="Hyperlink" xfId="1" builtinId="8"/>
    <cellStyle name="Normal" xfId="0" builtinId="0"/>
    <cellStyle name="Normal 2" xfId="2"/>
    <cellStyle name="Normal 3" xfId="3"/>
  </cellStyles>
  <dxfs count="0"/>
  <tableStyles count="0" defaultTableStyle="TableStyleMedium9"/>
  <colors>
    <mruColors>
      <color rgb="FF3333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295275</xdr:colOff>
      <xdr:row>0</xdr:row>
      <xdr:rowOff>0</xdr:rowOff>
    </xdr:from>
    <xdr:to>
      <xdr:col>2</xdr:col>
      <xdr:colOff>495300</xdr:colOff>
      <xdr:row>1</xdr:row>
      <xdr:rowOff>762000</xdr:rowOff>
    </xdr:to>
    <xdr:pic>
      <xdr:nvPicPr>
        <xdr:cNvPr id="6175" name="Picture 3" descr="Minnesota Department of Education"/>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5275" y="0"/>
          <a:ext cx="157162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collaboration.education.state.mn.us/TechInv/"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8"/>
  <sheetViews>
    <sheetView showGridLines="0" tabSelected="1" workbookViewId="0">
      <selection activeCell="A5" sqref="A5:I5"/>
    </sheetView>
  </sheetViews>
  <sheetFormatPr defaultRowHeight="16.5" x14ac:dyDescent="0.3"/>
  <cols>
    <col min="1" max="16384" width="9" style="44"/>
  </cols>
  <sheetData>
    <row r="1" spans="1:12" s="45" customFormat="1" x14ac:dyDescent="0.3"/>
    <row r="2" spans="1:12" s="45" customFormat="1" ht="61.5" customHeight="1" x14ac:dyDescent="0.3">
      <c r="D2" s="46" t="s">
        <v>318</v>
      </c>
      <c r="E2" s="101" t="s">
        <v>317</v>
      </c>
      <c r="F2" s="101"/>
      <c r="G2" s="101"/>
      <c r="H2" s="101"/>
      <c r="I2" s="101"/>
      <c r="J2" s="47"/>
      <c r="K2" s="47"/>
      <c r="L2" s="47"/>
    </row>
    <row r="3" spans="1:12" s="59" customFormat="1" ht="28.5" x14ac:dyDescent="0.4">
      <c r="A3" s="104" t="s">
        <v>325</v>
      </c>
      <c r="B3" s="104"/>
      <c r="C3" s="104"/>
      <c r="D3" s="104"/>
      <c r="E3" s="104"/>
      <c r="F3" s="104"/>
      <c r="G3" s="104"/>
      <c r="H3" s="104"/>
      <c r="I3" s="104"/>
      <c r="J3" s="104"/>
      <c r="K3" s="104"/>
      <c r="L3" s="104"/>
    </row>
    <row r="4" spans="1:12" s="69" customFormat="1" ht="18.75" customHeight="1" x14ac:dyDescent="0.4">
      <c r="A4" s="90" t="s">
        <v>525</v>
      </c>
      <c r="B4" s="68"/>
      <c r="C4" s="68"/>
      <c r="D4" s="68"/>
      <c r="E4" s="68"/>
      <c r="F4" s="68"/>
      <c r="G4" s="68"/>
      <c r="H4" s="68"/>
      <c r="I4" s="68"/>
      <c r="J4" s="68"/>
      <c r="K4" s="68"/>
      <c r="L4" s="68"/>
    </row>
    <row r="5" spans="1:12" s="69" customFormat="1" ht="72" customHeight="1" x14ac:dyDescent="0.4">
      <c r="A5" s="106" t="s">
        <v>337</v>
      </c>
      <c r="B5" s="106"/>
      <c r="C5" s="106"/>
      <c r="D5" s="106"/>
      <c r="E5" s="106"/>
      <c r="F5" s="106"/>
      <c r="G5" s="106"/>
      <c r="H5" s="106"/>
      <c r="I5" s="106"/>
      <c r="J5" s="68"/>
      <c r="K5" s="68"/>
      <c r="L5" s="68"/>
    </row>
    <row r="6" spans="1:12" ht="21.75" customHeight="1" x14ac:dyDescent="0.3"/>
    <row r="7" spans="1:12" x14ac:dyDescent="0.3">
      <c r="A7" s="105" t="s">
        <v>319</v>
      </c>
      <c r="B7" s="105"/>
      <c r="C7" s="105"/>
      <c r="D7" s="105"/>
      <c r="E7" s="105"/>
      <c r="F7" s="105"/>
    </row>
    <row r="8" spans="1:12" ht="23.25" x14ac:dyDescent="0.35">
      <c r="A8" s="100" t="s">
        <v>527</v>
      </c>
      <c r="B8" s="103" t="s">
        <v>324</v>
      </c>
      <c r="C8" s="103"/>
      <c r="D8" s="103"/>
      <c r="E8" s="103"/>
      <c r="F8" s="103"/>
      <c r="G8" s="103"/>
      <c r="H8" s="103"/>
      <c r="I8" s="103"/>
    </row>
    <row r="9" spans="1:12" ht="32.25" customHeight="1" x14ac:dyDescent="0.3">
      <c r="C9" s="102" t="s">
        <v>333</v>
      </c>
      <c r="D9" s="102"/>
      <c r="E9" s="102"/>
      <c r="F9" s="102"/>
      <c r="G9" s="102"/>
      <c r="H9" s="102"/>
      <c r="I9" s="102"/>
    </row>
    <row r="11" spans="1:12" ht="23.25" x14ac:dyDescent="0.35">
      <c r="A11" s="100" t="s">
        <v>528</v>
      </c>
      <c r="B11" s="107" t="s">
        <v>331</v>
      </c>
      <c r="C11" s="107"/>
      <c r="D11" s="107"/>
      <c r="E11" s="107"/>
      <c r="F11" s="107"/>
      <c r="G11" s="107"/>
      <c r="H11" s="107"/>
      <c r="I11" s="107"/>
      <c r="J11" s="107"/>
      <c r="K11" s="107"/>
    </row>
    <row r="12" spans="1:12" ht="59.25" customHeight="1" x14ac:dyDescent="0.3">
      <c r="C12" s="102" t="s">
        <v>332</v>
      </c>
      <c r="D12" s="102"/>
      <c r="E12" s="102"/>
      <c r="F12" s="102"/>
      <c r="G12" s="102"/>
      <c r="H12" s="102"/>
      <c r="I12" s="102"/>
    </row>
    <row r="14" spans="1:12" ht="23.25" x14ac:dyDescent="0.35">
      <c r="A14" s="100" t="s">
        <v>529</v>
      </c>
      <c r="B14" s="107" t="s">
        <v>320</v>
      </c>
      <c r="C14" s="107"/>
      <c r="D14" s="107"/>
      <c r="E14" s="107"/>
      <c r="F14" s="107"/>
      <c r="G14" s="107"/>
      <c r="H14" s="107"/>
    </row>
    <row r="15" spans="1:12" ht="34.5" customHeight="1" x14ac:dyDescent="0.3">
      <c r="C15" s="102" t="s">
        <v>321</v>
      </c>
      <c r="D15" s="102"/>
      <c r="E15" s="102"/>
      <c r="F15" s="102"/>
      <c r="G15" s="102"/>
      <c r="H15" s="102"/>
      <c r="I15" s="102"/>
    </row>
    <row r="17" spans="1:9" ht="23.25" x14ac:dyDescent="0.35">
      <c r="A17" s="100" t="s">
        <v>530</v>
      </c>
      <c r="B17" s="107" t="s">
        <v>322</v>
      </c>
      <c r="C17" s="107"/>
      <c r="D17" s="107"/>
      <c r="E17" s="107"/>
      <c r="F17" s="107"/>
      <c r="G17" s="107"/>
      <c r="H17" s="107"/>
    </row>
    <row r="18" spans="1:9" ht="91.5" customHeight="1" x14ac:dyDescent="0.3">
      <c r="C18" s="102" t="s">
        <v>323</v>
      </c>
      <c r="D18" s="102"/>
      <c r="E18" s="102"/>
      <c r="F18" s="102"/>
      <c r="G18" s="102"/>
      <c r="H18" s="102"/>
      <c r="I18" s="102"/>
    </row>
  </sheetData>
  <sheetProtection password="8080" sheet="1" objects="1" scenarios="1"/>
  <mergeCells count="12">
    <mergeCell ref="B14:H14"/>
    <mergeCell ref="C15:I15"/>
    <mergeCell ref="B17:H17"/>
    <mergeCell ref="C18:I18"/>
    <mergeCell ref="B11:K11"/>
    <mergeCell ref="C12:I12"/>
    <mergeCell ref="E2:I2"/>
    <mergeCell ref="C9:I9"/>
    <mergeCell ref="B8:I8"/>
    <mergeCell ref="A3:L3"/>
    <mergeCell ref="A7:F7"/>
    <mergeCell ref="A5:I5"/>
  </mergeCells>
  <hyperlinks>
    <hyperlink ref="B8:F8" location="'Full Survey'!A1" display="Full METT Survey Collection Tool"/>
    <hyperlink ref="B11:F11" location="'Building-Site Inventory'!A1" display="Building/Site-Level METT Survey Collection Tool"/>
    <hyperlink ref="B14:H14" location="'3) Funding Source Key'!A1" display="Funding Source Key"/>
    <hyperlink ref="B17:H17" location="'4) Pull-Down Options'!A1" display="Pull-Down Options"/>
    <hyperlink ref="B8:I8" location="'1) Full Survey'!B9" display="Full Technology Infrastructure Inventory Collection Tool"/>
    <hyperlink ref="B11:K11" location="'2) Building-Site Inventory'!B3" display="Building/Site-Level Technology Infrastructure Inventory Collection Tool"/>
  </hyperlinks>
  <pageMargins left="0.7" right="0.7" top="0.75" bottom="0.75" header="0.3" footer="0.3"/>
  <pageSetup scale="77"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M255"/>
  <sheetViews>
    <sheetView showGridLines="0" zoomScaleNormal="100" workbookViewId="0">
      <pane ySplit="2" topLeftCell="A3" activePane="bottomLeft" state="frozen"/>
      <selection pane="bottomLeft" activeCell="A2" sqref="A2"/>
    </sheetView>
  </sheetViews>
  <sheetFormatPr defaultRowHeight="16.5" x14ac:dyDescent="0.3"/>
  <cols>
    <col min="1" max="1" width="89.75" customWidth="1"/>
    <col min="2" max="4" width="11.625" customWidth="1"/>
    <col min="5" max="5" width="10" bestFit="1" customWidth="1"/>
    <col min="6" max="6" width="7.375" bestFit="1" customWidth="1"/>
    <col min="7" max="7" width="10.125" bestFit="1" customWidth="1"/>
    <col min="8" max="8" width="10.875" bestFit="1" customWidth="1"/>
    <col min="9" max="9" width="9.5" bestFit="1" customWidth="1"/>
    <col min="10" max="10" width="7" customWidth="1"/>
    <col min="11" max="11" width="7.5" bestFit="1" customWidth="1"/>
    <col min="12" max="12" width="17.5" bestFit="1" customWidth="1"/>
  </cols>
  <sheetData>
    <row r="1" spans="1:4" s="62" customFormat="1" ht="22.5" x14ac:dyDescent="0.3">
      <c r="A1" s="131" t="s">
        <v>324</v>
      </c>
      <c r="B1" s="131"/>
      <c r="C1" s="131"/>
      <c r="D1" s="131"/>
    </row>
    <row r="2" spans="1:4" s="62" customFormat="1" ht="17.25" thickBot="1" x14ac:dyDescent="0.35">
      <c r="A2" s="63" t="s">
        <v>334</v>
      </c>
    </row>
    <row r="3" spans="1:4" ht="42" x14ac:dyDescent="0.35">
      <c r="A3" s="66" t="s">
        <v>336</v>
      </c>
    </row>
    <row r="4" spans="1:4" ht="23.25" thickBot="1" x14ac:dyDescent="0.35">
      <c r="A4" s="91" t="s">
        <v>526</v>
      </c>
    </row>
    <row r="5" spans="1:4" ht="17.25" thickBot="1" x14ac:dyDescent="0.35">
      <c r="A5" s="60" t="s">
        <v>326</v>
      </c>
      <c r="B5" s="61" t="s">
        <v>327</v>
      </c>
    </row>
    <row r="6" spans="1:4" ht="21" x14ac:dyDescent="0.35">
      <c r="A6" s="43" t="s">
        <v>316</v>
      </c>
    </row>
    <row r="7" spans="1:4" ht="38.25" customHeight="1" x14ac:dyDescent="0.3">
      <c r="A7" s="138" t="s">
        <v>328</v>
      </c>
      <c r="B7" s="138"/>
    </row>
    <row r="8" spans="1:4" ht="36" customHeight="1" thickBot="1" x14ac:dyDescent="0.35">
      <c r="A8" s="16" t="s">
        <v>24</v>
      </c>
      <c r="B8" s="15"/>
      <c r="C8" s="15"/>
      <c r="D8" s="15"/>
    </row>
    <row r="9" spans="1:4" ht="17.25" thickBot="1" x14ac:dyDescent="0.35">
      <c r="A9" s="18" t="s">
        <v>27</v>
      </c>
      <c r="B9" s="92"/>
      <c r="C9" s="15"/>
      <c r="D9" s="15"/>
    </row>
    <row r="10" spans="1:4" ht="17.25" thickBot="1" x14ac:dyDescent="0.35">
      <c r="A10" s="17" t="s">
        <v>25</v>
      </c>
      <c r="B10" s="92"/>
      <c r="C10" s="15"/>
      <c r="D10" s="15"/>
    </row>
    <row r="11" spans="1:4" ht="17.25" thickBot="1" x14ac:dyDescent="0.35">
      <c r="A11" s="17" t="s">
        <v>26</v>
      </c>
      <c r="B11" s="92"/>
      <c r="C11" s="15"/>
      <c r="D11" s="15"/>
    </row>
    <row r="12" spans="1:4" ht="36" customHeight="1" thickBot="1" x14ac:dyDescent="0.35">
      <c r="A12" s="81" t="s">
        <v>342</v>
      </c>
      <c r="B12" s="14"/>
      <c r="C12" s="14"/>
      <c r="D12" s="14"/>
    </row>
    <row r="13" spans="1:4" ht="17.25" thickBot="1" x14ac:dyDescent="0.35">
      <c r="A13" s="135" t="s">
        <v>28</v>
      </c>
      <c r="B13" s="132" t="s">
        <v>313</v>
      </c>
      <c r="C13" s="133"/>
      <c r="D13" s="134"/>
    </row>
    <row r="14" spans="1:4" ht="17.25" thickBot="1" x14ac:dyDescent="0.35">
      <c r="A14" s="136"/>
      <c r="B14" s="57" t="s">
        <v>29</v>
      </c>
      <c r="C14" s="57" t="s">
        <v>30</v>
      </c>
      <c r="D14" s="57" t="s">
        <v>31</v>
      </c>
    </row>
    <row r="15" spans="1:4" ht="17.25" thickBot="1" x14ac:dyDescent="0.35">
      <c r="A15" s="17" t="s">
        <v>32</v>
      </c>
      <c r="B15" s="93"/>
      <c r="C15" s="93"/>
      <c r="D15" s="93"/>
    </row>
    <row r="16" spans="1:4" ht="17.25" thickBot="1" x14ac:dyDescent="0.35">
      <c r="A16" s="17" t="s">
        <v>33</v>
      </c>
      <c r="B16" s="94"/>
      <c r="C16" s="94"/>
      <c r="D16" s="94"/>
    </row>
    <row r="17" spans="1:4" ht="17.25" thickBot="1" x14ac:dyDescent="0.35">
      <c r="A17" s="17" t="s">
        <v>34</v>
      </c>
      <c r="B17" s="94"/>
      <c r="C17" s="94"/>
      <c r="D17" s="94"/>
    </row>
    <row r="18" spans="1:4" ht="17.25" thickBot="1" x14ac:dyDescent="0.35">
      <c r="A18" s="17" t="s">
        <v>35</v>
      </c>
      <c r="B18" s="94"/>
      <c r="C18" s="94"/>
      <c r="D18" s="94"/>
    </row>
    <row r="19" spans="1:4" ht="17.25" thickBot="1" x14ac:dyDescent="0.35">
      <c r="A19" s="17" t="s">
        <v>531</v>
      </c>
      <c r="B19" s="94"/>
      <c r="C19" s="94"/>
      <c r="D19" s="94"/>
    </row>
    <row r="20" spans="1:4" ht="17.25" thickBot="1" x14ac:dyDescent="0.35">
      <c r="A20" s="17" t="s">
        <v>37</v>
      </c>
      <c r="B20" s="94"/>
      <c r="C20" s="94"/>
      <c r="D20" s="94"/>
    </row>
    <row r="21" spans="1:4" ht="17.25" thickBot="1" x14ac:dyDescent="0.35">
      <c r="A21" s="17" t="s">
        <v>532</v>
      </c>
      <c r="B21" s="94"/>
      <c r="C21" s="94"/>
      <c r="D21" s="94"/>
    </row>
    <row r="22" spans="1:4" ht="17.25" thickBot="1" x14ac:dyDescent="0.35">
      <c r="A22" s="17" t="s">
        <v>39</v>
      </c>
      <c r="B22" s="94"/>
      <c r="C22" s="94"/>
      <c r="D22" s="94"/>
    </row>
    <row r="23" spans="1:4" ht="17.25" thickBot="1" x14ac:dyDescent="0.35">
      <c r="A23" s="17" t="s">
        <v>40</v>
      </c>
      <c r="B23" s="94"/>
      <c r="C23" s="94"/>
      <c r="D23" s="94"/>
    </row>
    <row r="24" spans="1:4" ht="17.25" thickBot="1" x14ac:dyDescent="0.35">
      <c r="A24" s="17" t="s">
        <v>41</v>
      </c>
      <c r="B24" s="94"/>
      <c r="C24" s="94"/>
      <c r="D24" s="94"/>
    </row>
    <row r="25" spans="1:4" ht="17.25" thickBot="1" x14ac:dyDescent="0.35">
      <c r="A25" s="17" t="s">
        <v>42</v>
      </c>
      <c r="B25" s="94"/>
      <c r="C25" s="94"/>
      <c r="D25" s="94"/>
    </row>
    <row r="26" spans="1:4" ht="17.25" thickBot="1" x14ac:dyDescent="0.35">
      <c r="A26" s="17" t="s">
        <v>43</v>
      </c>
      <c r="B26" s="94"/>
      <c r="C26" s="94"/>
      <c r="D26" s="94"/>
    </row>
    <row r="27" spans="1:4" ht="17.25" thickBot="1" x14ac:dyDescent="0.35">
      <c r="A27" s="17" t="s">
        <v>44</v>
      </c>
      <c r="B27" s="94"/>
      <c r="C27" s="94"/>
      <c r="D27" s="94"/>
    </row>
    <row r="28" spans="1:4" ht="17.25" thickBot="1" x14ac:dyDescent="0.35">
      <c r="A28" s="17" t="s">
        <v>45</v>
      </c>
      <c r="B28" s="94"/>
      <c r="C28" s="94"/>
      <c r="D28" s="94"/>
    </row>
    <row r="29" spans="1:4" ht="17.25" thickBot="1" x14ac:dyDescent="0.35">
      <c r="A29" s="17" t="s">
        <v>46</v>
      </c>
      <c r="B29" s="94"/>
      <c r="C29" s="94"/>
      <c r="D29" s="94"/>
    </row>
    <row r="30" spans="1:4" ht="17.25" thickBot="1" x14ac:dyDescent="0.35">
      <c r="A30" s="17" t="s">
        <v>47</v>
      </c>
      <c r="B30" s="94"/>
      <c r="C30" s="94"/>
      <c r="D30" s="94"/>
    </row>
    <row r="31" spans="1:4" ht="17.25" thickBot="1" x14ac:dyDescent="0.35">
      <c r="A31" s="17" t="s">
        <v>48</v>
      </c>
      <c r="B31" s="94"/>
      <c r="C31" s="94"/>
      <c r="D31" s="94"/>
    </row>
    <row r="32" spans="1:4" ht="17.25" thickBot="1" x14ac:dyDescent="0.35">
      <c r="A32" s="17" t="s">
        <v>49</v>
      </c>
      <c r="B32" s="94"/>
      <c r="C32" s="94"/>
      <c r="D32" s="94"/>
    </row>
    <row r="33" spans="1:12" ht="17.25" thickBot="1" x14ac:dyDescent="0.35">
      <c r="A33" s="17" t="s">
        <v>50</v>
      </c>
      <c r="B33" s="94"/>
      <c r="C33" s="94"/>
      <c r="D33" s="94"/>
    </row>
    <row r="34" spans="1:12" ht="17.25" thickBot="1" x14ac:dyDescent="0.35">
      <c r="A34" s="17" t="s">
        <v>51</v>
      </c>
      <c r="B34" s="94"/>
      <c r="C34" s="94"/>
      <c r="D34" s="94"/>
    </row>
    <row r="35" spans="1:12" ht="17.25" thickBot="1" x14ac:dyDescent="0.35">
      <c r="A35" s="17" t="s">
        <v>73</v>
      </c>
      <c r="B35" s="94"/>
      <c r="C35" s="94"/>
      <c r="D35" s="94"/>
    </row>
    <row r="36" spans="1:12" ht="17.25" thickBot="1" x14ac:dyDescent="0.35">
      <c r="A36" s="76" t="s">
        <v>52</v>
      </c>
      <c r="B36" s="94"/>
      <c r="C36" s="94"/>
      <c r="D36" s="94"/>
      <c r="E36" s="75"/>
    </row>
    <row r="37" spans="1:12" ht="17.25" thickBot="1" x14ac:dyDescent="0.35">
      <c r="A37" s="17" t="s">
        <v>343</v>
      </c>
      <c r="B37" s="94"/>
      <c r="C37" s="94"/>
      <c r="D37" s="94"/>
      <c r="E37" s="84"/>
      <c r="F37" s="14"/>
      <c r="G37" s="14"/>
      <c r="H37" s="14"/>
      <c r="I37" s="14"/>
      <c r="J37" s="14"/>
      <c r="K37" s="14"/>
      <c r="L37" s="14"/>
    </row>
    <row r="38" spans="1:12" ht="17.25" thickBot="1" x14ac:dyDescent="0.35">
      <c r="A38" s="17" t="s">
        <v>361</v>
      </c>
      <c r="B38" s="94"/>
      <c r="C38" s="94"/>
      <c r="D38" s="94"/>
      <c r="E38" s="84"/>
      <c r="F38" s="14"/>
      <c r="G38" s="14"/>
      <c r="H38" s="14"/>
      <c r="I38" s="14"/>
      <c r="J38" s="14"/>
      <c r="K38" s="14"/>
      <c r="L38" s="14"/>
    </row>
    <row r="39" spans="1:12" ht="17.25" thickBot="1" x14ac:dyDescent="0.35">
      <c r="A39" s="17" t="s">
        <v>362</v>
      </c>
      <c r="B39" s="94"/>
      <c r="C39" s="94"/>
      <c r="D39" s="94"/>
      <c r="E39" s="84"/>
      <c r="F39" s="14"/>
      <c r="G39" s="14"/>
      <c r="H39" s="14"/>
      <c r="I39" s="14"/>
      <c r="J39" s="14"/>
      <c r="K39" s="14"/>
      <c r="L39" s="14"/>
    </row>
    <row r="40" spans="1:12" ht="17.25" thickBot="1" x14ac:dyDescent="0.35">
      <c r="A40" s="17" t="s">
        <v>363</v>
      </c>
      <c r="B40" s="94"/>
      <c r="C40" s="94"/>
      <c r="D40" s="94"/>
      <c r="E40" s="84"/>
      <c r="F40" s="14"/>
      <c r="G40" s="14"/>
      <c r="H40" s="14"/>
      <c r="I40" s="14"/>
      <c r="J40" s="14"/>
      <c r="K40" s="14"/>
      <c r="L40" s="14"/>
    </row>
    <row r="41" spans="1:12" ht="17.25" thickBot="1" x14ac:dyDescent="0.35">
      <c r="A41" s="17" t="s">
        <v>364</v>
      </c>
      <c r="B41" s="94"/>
      <c r="C41" s="94"/>
      <c r="D41" s="94"/>
      <c r="E41" s="84"/>
      <c r="F41" s="14"/>
      <c r="G41" s="14"/>
      <c r="H41" s="14"/>
      <c r="I41" s="14"/>
      <c r="J41" s="14"/>
      <c r="K41" s="14"/>
      <c r="L41" s="14"/>
    </row>
    <row r="42" spans="1:12" ht="17.25" thickBot="1" x14ac:dyDescent="0.35">
      <c r="A42" s="17" t="s">
        <v>365</v>
      </c>
      <c r="B42" s="94"/>
      <c r="C42" s="94"/>
      <c r="D42" s="94"/>
      <c r="E42" s="14"/>
      <c r="F42" s="14"/>
      <c r="G42" s="14"/>
      <c r="H42" s="14"/>
      <c r="I42" s="14"/>
      <c r="J42" s="14"/>
      <c r="K42" s="14"/>
      <c r="L42" s="14"/>
    </row>
    <row r="43" spans="1:12" ht="17.25" thickBot="1" x14ac:dyDescent="0.35">
      <c r="A43" s="17" t="s">
        <v>366</v>
      </c>
      <c r="B43" s="94"/>
      <c r="C43" s="94"/>
      <c r="D43" s="94"/>
      <c r="E43" s="14"/>
      <c r="F43" s="14"/>
      <c r="G43" s="14"/>
      <c r="H43" s="14"/>
      <c r="I43" s="14"/>
      <c r="J43" s="14"/>
      <c r="K43" s="14"/>
      <c r="L43" s="14"/>
    </row>
    <row r="44" spans="1:12" ht="17.25" thickBot="1" x14ac:dyDescent="0.35">
      <c r="A44" s="17" t="s">
        <v>367</v>
      </c>
      <c r="B44" s="94"/>
      <c r="C44" s="94"/>
      <c r="D44" s="94"/>
      <c r="E44" s="14"/>
      <c r="F44" s="14"/>
      <c r="G44" s="14"/>
      <c r="H44" s="14"/>
      <c r="I44" s="14"/>
      <c r="J44" s="14"/>
      <c r="K44" s="14"/>
      <c r="L44" s="14"/>
    </row>
    <row r="45" spans="1:12" ht="17.25" thickBot="1" x14ac:dyDescent="0.35">
      <c r="A45" s="17" t="s">
        <v>368</v>
      </c>
      <c r="B45" s="94"/>
      <c r="C45" s="94"/>
      <c r="D45" s="94"/>
      <c r="E45" s="14"/>
      <c r="F45" s="14"/>
      <c r="G45" s="14"/>
      <c r="H45" s="14"/>
      <c r="I45" s="14"/>
      <c r="J45" s="14"/>
      <c r="K45" s="14"/>
      <c r="L45" s="14"/>
    </row>
    <row r="46" spans="1:12" ht="17.25" thickBot="1" x14ac:dyDescent="0.35">
      <c r="A46" s="17" t="s">
        <v>369</v>
      </c>
      <c r="B46" s="94"/>
      <c r="C46" s="94"/>
      <c r="D46" s="94"/>
      <c r="E46" s="14"/>
      <c r="F46" s="14"/>
      <c r="G46" s="14"/>
      <c r="H46" s="14"/>
      <c r="I46" s="14"/>
      <c r="J46" s="14"/>
      <c r="K46" s="14"/>
      <c r="L46" s="14"/>
    </row>
    <row r="47" spans="1:12" ht="17.25" thickBot="1" x14ac:dyDescent="0.35">
      <c r="A47" s="17" t="s">
        <v>370</v>
      </c>
      <c r="B47" s="120" t="s">
        <v>53</v>
      </c>
      <c r="C47" s="137"/>
      <c r="D47" s="121"/>
      <c r="E47" s="14"/>
      <c r="F47" s="14"/>
      <c r="G47" s="14"/>
      <c r="H47" s="14"/>
      <c r="I47" s="14"/>
      <c r="J47" s="14"/>
      <c r="K47" s="14"/>
      <c r="L47" s="14"/>
    </row>
    <row r="48" spans="1:12" ht="17.25" thickBot="1" x14ac:dyDescent="0.35">
      <c r="A48" s="17" t="s">
        <v>371</v>
      </c>
      <c r="B48" s="120" t="s">
        <v>53</v>
      </c>
      <c r="C48" s="137"/>
      <c r="D48" s="121"/>
      <c r="E48" s="14"/>
      <c r="F48" s="14"/>
      <c r="G48" s="14"/>
      <c r="H48" s="14"/>
      <c r="I48" s="14"/>
      <c r="J48" s="14"/>
      <c r="K48" s="14"/>
      <c r="L48" s="14"/>
    </row>
    <row r="49" spans="1:12" ht="36" customHeight="1" thickBot="1" x14ac:dyDescent="0.35">
      <c r="A49" s="81" t="s">
        <v>373</v>
      </c>
      <c r="D49" s="84"/>
    </row>
    <row r="50" spans="1:12" ht="17.25" thickBot="1" x14ac:dyDescent="0.35">
      <c r="A50" s="18" t="s">
        <v>374</v>
      </c>
      <c r="B50" s="94" t="s">
        <v>74</v>
      </c>
      <c r="C50" s="94" t="s">
        <v>75</v>
      </c>
      <c r="D50" s="84"/>
    </row>
    <row r="51" spans="1:12" ht="17.25" thickBot="1" x14ac:dyDescent="0.35">
      <c r="A51" s="18" t="s">
        <v>382</v>
      </c>
      <c r="B51" s="140"/>
      <c r="C51" s="141"/>
      <c r="D51" s="84"/>
    </row>
    <row r="52" spans="1:12" ht="17.25" thickBot="1" x14ac:dyDescent="0.35">
      <c r="A52" s="33" t="s">
        <v>377</v>
      </c>
      <c r="B52" s="94" t="s">
        <v>74</v>
      </c>
      <c r="C52" s="94" t="s">
        <v>75</v>
      </c>
      <c r="D52" s="84"/>
    </row>
    <row r="53" spans="1:12" ht="17.25" thickBot="1" x14ac:dyDescent="0.35">
      <c r="A53" s="87" t="s">
        <v>375</v>
      </c>
      <c r="B53" s="94" t="s">
        <v>74</v>
      </c>
      <c r="C53" s="94" t="s">
        <v>75</v>
      </c>
      <c r="D53" s="84"/>
    </row>
    <row r="54" spans="1:12" ht="17.25" thickBot="1" x14ac:dyDescent="0.35">
      <c r="A54" s="87" t="s">
        <v>376</v>
      </c>
      <c r="B54" s="94" t="s">
        <v>74</v>
      </c>
      <c r="C54" s="94" t="s">
        <v>75</v>
      </c>
      <c r="D54" s="84"/>
    </row>
    <row r="55" spans="1:12" ht="17.25" thickBot="1" x14ac:dyDescent="0.35">
      <c r="A55" s="18" t="s">
        <v>378</v>
      </c>
      <c r="B55" s="94" t="s">
        <v>74</v>
      </c>
      <c r="C55" s="94" t="s">
        <v>75</v>
      </c>
      <c r="D55" s="84"/>
    </row>
    <row r="56" spans="1:12" ht="32.25" thickBot="1" x14ac:dyDescent="0.35">
      <c r="A56" s="18" t="s">
        <v>379</v>
      </c>
      <c r="B56" s="94" t="s">
        <v>74</v>
      </c>
      <c r="C56" s="94" t="s">
        <v>75</v>
      </c>
      <c r="D56" s="84"/>
    </row>
    <row r="57" spans="1:12" ht="32.25" thickBot="1" x14ac:dyDescent="0.35">
      <c r="A57" s="18" t="s">
        <v>380</v>
      </c>
      <c r="B57" s="94" t="s">
        <v>74</v>
      </c>
      <c r="C57" s="94" t="s">
        <v>75</v>
      </c>
      <c r="D57" s="84"/>
    </row>
    <row r="58" spans="1:12" ht="36" customHeight="1" x14ac:dyDescent="0.3">
      <c r="A58" s="16" t="s">
        <v>330</v>
      </c>
      <c r="B58" s="15"/>
      <c r="C58" s="15"/>
      <c r="D58" s="15"/>
      <c r="E58" s="15"/>
      <c r="F58" s="15"/>
      <c r="G58" s="15"/>
      <c r="H58" s="15"/>
      <c r="I58" s="15"/>
      <c r="J58" s="15"/>
      <c r="K58" s="15"/>
      <c r="L58" s="15"/>
    </row>
    <row r="59" spans="1:12" ht="17.25" thickBot="1" x14ac:dyDescent="0.35">
      <c r="A59" s="139" t="s">
        <v>329</v>
      </c>
      <c r="B59" s="139"/>
      <c r="C59" s="139"/>
      <c r="D59" s="15"/>
      <c r="E59" s="15"/>
      <c r="F59" s="15"/>
      <c r="G59" s="15"/>
      <c r="H59" s="15"/>
      <c r="I59" s="15"/>
      <c r="J59" s="15"/>
      <c r="K59" s="15"/>
      <c r="L59" s="15"/>
    </row>
    <row r="60" spans="1:12" ht="32.25" thickBot="1" x14ac:dyDescent="0.35">
      <c r="A60" s="77"/>
      <c r="B60" s="27" t="s">
        <v>80</v>
      </c>
      <c r="C60" s="27" t="s">
        <v>81</v>
      </c>
      <c r="D60" s="27" t="s">
        <v>82</v>
      </c>
      <c r="E60" s="15"/>
      <c r="F60" s="15"/>
      <c r="G60" s="15"/>
      <c r="H60" s="15"/>
      <c r="I60" s="15"/>
      <c r="J60" s="15"/>
      <c r="K60" s="15"/>
      <c r="L60" s="15"/>
    </row>
    <row r="61" spans="1:12" ht="32.25" thickBot="1" x14ac:dyDescent="0.35">
      <c r="A61" s="18" t="s">
        <v>383</v>
      </c>
      <c r="B61" s="94"/>
      <c r="C61" s="94"/>
      <c r="D61" s="95"/>
      <c r="E61" s="15"/>
      <c r="F61" s="15"/>
      <c r="G61" s="15"/>
      <c r="H61" s="15"/>
      <c r="I61" s="15"/>
      <c r="J61" s="15"/>
      <c r="K61" s="15"/>
      <c r="L61" s="15"/>
    </row>
    <row r="62" spans="1:12" ht="17.25" thickBot="1" x14ac:dyDescent="0.35">
      <c r="A62" s="17" t="s">
        <v>384</v>
      </c>
      <c r="B62" s="96"/>
      <c r="C62" s="96"/>
      <c r="D62" s="96"/>
      <c r="E62" s="84"/>
      <c r="F62" s="15"/>
      <c r="G62" s="15"/>
      <c r="H62" s="15"/>
      <c r="I62" s="15"/>
      <c r="J62" s="15"/>
      <c r="K62" s="15"/>
      <c r="L62" s="15"/>
    </row>
    <row r="63" spans="1:12" ht="17.25" thickBot="1" x14ac:dyDescent="0.35">
      <c r="A63" s="17" t="s">
        <v>385</v>
      </c>
      <c r="B63" s="96"/>
      <c r="C63" s="96"/>
      <c r="D63" s="96"/>
      <c r="E63" s="84"/>
      <c r="F63" s="15"/>
      <c r="G63" s="15"/>
      <c r="H63" s="15"/>
      <c r="I63" s="15"/>
      <c r="J63" s="15"/>
      <c r="K63" s="15"/>
      <c r="L63" s="15"/>
    </row>
    <row r="64" spans="1:12" ht="36" customHeight="1" x14ac:dyDescent="0.3">
      <c r="A64" s="16" t="s">
        <v>315</v>
      </c>
      <c r="B64" s="15"/>
      <c r="C64" s="15"/>
      <c r="D64" s="15"/>
      <c r="E64" s="15"/>
      <c r="F64" s="15"/>
      <c r="G64" s="15"/>
      <c r="H64" s="15"/>
      <c r="I64" s="15"/>
      <c r="J64" s="15"/>
      <c r="K64" s="15"/>
      <c r="L64" s="15"/>
    </row>
    <row r="65" spans="1:13" ht="36" customHeight="1" thickBot="1" x14ac:dyDescent="0.35">
      <c r="A65" s="139" t="s">
        <v>314</v>
      </c>
      <c r="B65" s="139"/>
      <c r="C65" s="139"/>
      <c r="D65" s="15"/>
      <c r="E65" s="15"/>
      <c r="F65" s="15"/>
      <c r="G65" s="15"/>
      <c r="H65" s="15"/>
      <c r="I65" s="15"/>
      <c r="J65" s="15"/>
      <c r="K65" s="15"/>
      <c r="L65" s="15"/>
    </row>
    <row r="66" spans="1:13" ht="17.25" thickBot="1" x14ac:dyDescent="0.35">
      <c r="A66" s="112"/>
      <c r="B66" s="114" t="s">
        <v>8</v>
      </c>
      <c r="C66" s="116" t="s">
        <v>9</v>
      </c>
      <c r="D66" s="116" t="s">
        <v>10</v>
      </c>
      <c r="E66" s="116" t="s">
        <v>11</v>
      </c>
      <c r="F66" s="22" t="s">
        <v>0</v>
      </c>
      <c r="G66" s="22" t="s">
        <v>2</v>
      </c>
      <c r="H66" s="116" t="s">
        <v>4</v>
      </c>
      <c r="I66" s="116" t="s">
        <v>5</v>
      </c>
      <c r="J66" s="116" t="s">
        <v>6</v>
      </c>
      <c r="K66" s="116" t="s">
        <v>7</v>
      </c>
      <c r="L66" s="21" t="s">
        <v>54</v>
      </c>
    </row>
    <row r="67" spans="1:13" ht="17.25" thickBot="1" x14ac:dyDescent="0.35">
      <c r="A67" s="113"/>
      <c r="B67" s="115"/>
      <c r="C67" s="117"/>
      <c r="D67" s="117"/>
      <c r="E67" s="117"/>
      <c r="F67" s="23" t="s">
        <v>1</v>
      </c>
      <c r="G67" s="23" t="s">
        <v>3</v>
      </c>
      <c r="H67" s="117"/>
      <c r="I67" s="117"/>
      <c r="J67" s="117"/>
      <c r="K67" s="117"/>
      <c r="L67" s="20"/>
    </row>
    <row r="68" spans="1:13" ht="17.25" thickBot="1" x14ac:dyDescent="0.35">
      <c r="A68" s="82" t="s">
        <v>386</v>
      </c>
      <c r="B68" s="24">
        <f>SUM(B15:D18)</f>
        <v>0</v>
      </c>
      <c r="C68" s="96">
        <v>0</v>
      </c>
      <c r="D68" s="96">
        <v>0</v>
      </c>
      <c r="E68" s="96">
        <v>0</v>
      </c>
      <c r="F68" s="96">
        <v>0</v>
      </c>
      <c r="G68" s="96">
        <v>0</v>
      </c>
      <c r="H68" s="96">
        <v>0</v>
      </c>
      <c r="I68" s="96">
        <v>0</v>
      </c>
      <c r="J68" s="96">
        <v>0</v>
      </c>
      <c r="K68" s="96">
        <v>0</v>
      </c>
      <c r="L68" s="25"/>
    </row>
    <row r="69" spans="1:13" ht="17.25" thickBot="1" x14ac:dyDescent="0.35">
      <c r="A69" s="15"/>
      <c r="B69" s="19"/>
      <c r="C69" s="8" t="str">
        <f>IF($B68=0,"0.00%",C68/$B68)</f>
        <v>0.00%</v>
      </c>
      <c r="D69" s="8" t="str">
        <f t="shared" ref="D69:K69" si="0">IF($B68=0,"0.00%",D68/$B68)</f>
        <v>0.00%</v>
      </c>
      <c r="E69" s="8" t="str">
        <f t="shared" si="0"/>
        <v>0.00%</v>
      </c>
      <c r="F69" s="8" t="str">
        <f t="shared" si="0"/>
        <v>0.00%</v>
      </c>
      <c r="G69" s="8" t="str">
        <f t="shared" si="0"/>
        <v>0.00%</v>
      </c>
      <c r="H69" s="8" t="str">
        <f t="shared" si="0"/>
        <v>0.00%</v>
      </c>
      <c r="I69" s="8" t="str">
        <f t="shared" si="0"/>
        <v>0.00%</v>
      </c>
      <c r="J69" s="8" t="str">
        <f t="shared" si="0"/>
        <v>0.00%</v>
      </c>
      <c r="K69" s="8" t="str">
        <f t="shared" si="0"/>
        <v>0.00%</v>
      </c>
      <c r="L69" s="26">
        <f>SUM(C69:K69)</f>
        <v>0</v>
      </c>
    </row>
    <row r="70" spans="1:13" x14ac:dyDescent="0.3">
      <c r="A70" s="112"/>
      <c r="B70" s="114" t="s">
        <v>8</v>
      </c>
      <c r="C70" s="116" t="s">
        <v>9</v>
      </c>
      <c r="D70" s="116" t="s">
        <v>10</v>
      </c>
      <c r="E70" s="116" t="s">
        <v>11</v>
      </c>
      <c r="F70" s="22" t="s">
        <v>0</v>
      </c>
      <c r="G70" s="22" t="s">
        <v>2</v>
      </c>
      <c r="H70" s="116" t="s">
        <v>4</v>
      </c>
      <c r="I70" s="116" t="s">
        <v>5</v>
      </c>
      <c r="J70" s="116" t="s">
        <v>6</v>
      </c>
      <c r="K70" s="116" t="s">
        <v>7</v>
      </c>
      <c r="L70" s="20"/>
    </row>
    <row r="71" spans="1:13" ht="17.25" thickBot="1" x14ac:dyDescent="0.35">
      <c r="A71" s="113"/>
      <c r="B71" s="115"/>
      <c r="C71" s="117"/>
      <c r="D71" s="117"/>
      <c r="E71" s="117"/>
      <c r="F71" s="23" t="s">
        <v>1</v>
      </c>
      <c r="G71" s="23" t="s">
        <v>3</v>
      </c>
      <c r="H71" s="117"/>
      <c r="I71" s="117"/>
      <c r="J71" s="117"/>
      <c r="K71" s="117"/>
      <c r="L71" s="20"/>
    </row>
    <row r="72" spans="1:13" ht="17.25" thickBot="1" x14ac:dyDescent="0.35">
      <c r="A72" s="18" t="s">
        <v>533</v>
      </c>
      <c r="B72" s="24">
        <f>SUM(B19:D21,B36:D36,B41:D41)</f>
        <v>0</v>
      </c>
      <c r="C72" s="96">
        <v>0</v>
      </c>
      <c r="D72" s="96">
        <v>0</v>
      </c>
      <c r="E72" s="96">
        <v>0</v>
      </c>
      <c r="F72" s="96">
        <v>0</v>
      </c>
      <c r="G72" s="96">
        <v>0</v>
      </c>
      <c r="H72" s="96">
        <v>0</v>
      </c>
      <c r="I72" s="96">
        <v>0</v>
      </c>
      <c r="J72" s="96">
        <v>0</v>
      </c>
      <c r="K72" s="96">
        <v>0</v>
      </c>
      <c r="L72" s="25"/>
    </row>
    <row r="73" spans="1:13" ht="17.25" thickBot="1" x14ac:dyDescent="0.35">
      <c r="A73" s="15"/>
      <c r="B73" s="19"/>
      <c r="C73" s="8" t="str">
        <f>IF($B72=0,"0.00%",C72/$B72)</f>
        <v>0.00%</v>
      </c>
      <c r="D73" s="8" t="str">
        <f t="shared" ref="D73:K73" si="1">IF($B72=0,"0.00%",D72/$B72)</f>
        <v>0.00%</v>
      </c>
      <c r="E73" s="8" t="str">
        <f t="shared" si="1"/>
        <v>0.00%</v>
      </c>
      <c r="F73" s="8" t="str">
        <f t="shared" si="1"/>
        <v>0.00%</v>
      </c>
      <c r="G73" s="8" t="str">
        <f t="shared" si="1"/>
        <v>0.00%</v>
      </c>
      <c r="H73" s="8" t="str">
        <f t="shared" si="1"/>
        <v>0.00%</v>
      </c>
      <c r="I73" s="8" t="str">
        <f t="shared" si="1"/>
        <v>0.00%</v>
      </c>
      <c r="J73" s="8" t="str">
        <f t="shared" si="1"/>
        <v>0.00%</v>
      </c>
      <c r="K73" s="8" t="str">
        <f t="shared" si="1"/>
        <v>0.00%</v>
      </c>
      <c r="L73" s="26">
        <f>SUM(C73:K73)</f>
        <v>0</v>
      </c>
    </row>
    <row r="74" spans="1:13" x14ac:dyDescent="0.3">
      <c r="A74" s="112"/>
      <c r="B74" s="114" t="s">
        <v>8</v>
      </c>
      <c r="C74" s="116" t="s">
        <v>9</v>
      </c>
      <c r="D74" s="116" t="s">
        <v>10</v>
      </c>
      <c r="E74" s="116" t="s">
        <v>11</v>
      </c>
      <c r="F74" s="22" t="s">
        <v>0</v>
      </c>
      <c r="G74" s="22" t="s">
        <v>2</v>
      </c>
      <c r="H74" s="116" t="s">
        <v>4</v>
      </c>
      <c r="I74" s="116" t="s">
        <v>5</v>
      </c>
      <c r="J74" s="116" t="s">
        <v>6</v>
      </c>
      <c r="K74" s="116" t="s">
        <v>7</v>
      </c>
      <c r="L74" s="20"/>
    </row>
    <row r="75" spans="1:13" ht="17.25" thickBot="1" x14ac:dyDescent="0.35">
      <c r="A75" s="113"/>
      <c r="B75" s="115"/>
      <c r="C75" s="117"/>
      <c r="D75" s="117"/>
      <c r="E75" s="117"/>
      <c r="F75" s="23" t="s">
        <v>1</v>
      </c>
      <c r="G75" s="23" t="s">
        <v>3</v>
      </c>
      <c r="H75" s="117"/>
      <c r="I75" s="117"/>
      <c r="J75" s="117"/>
      <c r="K75" s="117"/>
      <c r="L75" s="20"/>
    </row>
    <row r="76" spans="1:13" ht="17.25" thickBot="1" x14ac:dyDescent="0.35">
      <c r="A76" s="18" t="s">
        <v>387</v>
      </c>
      <c r="B76" s="24">
        <f>SUM(B37:D40)</f>
        <v>0</v>
      </c>
      <c r="C76" s="96">
        <v>0</v>
      </c>
      <c r="D76" s="96">
        <v>0</v>
      </c>
      <c r="E76" s="96">
        <v>0</v>
      </c>
      <c r="F76" s="96">
        <v>0</v>
      </c>
      <c r="G76" s="96">
        <v>0</v>
      </c>
      <c r="H76" s="96">
        <v>0</v>
      </c>
      <c r="I76" s="96">
        <v>0</v>
      </c>
      <c r="J76" s="96">
        <v>0</v>
      </c>
      <c r="K76" s="96">
        <v>0</v>
      </c>
      <c r="L76" s="25"/>
      <c r="M76" s="84" t="s">
        <v>381</v>
      </c>
    </row>
    <row r="77" spans="1:13" ht="17.25" thickBot="1" x14ac:dyDescent="0.35">
      <c r="A77" s="15"/>
      <c r="B77" s="19"/>
      <c r="C77" s="8" t="str">
        <f>IF($B76=0,"0.00%",C76/$B76)</f>
        <v>0.00%</v>
      </c>
      <c r="D77" s="8" t="str">
        <f t="shared" ref="D77:K77" si="2">IF($B76=0,"0.00%",D76/$B76)</f>
        <v>0.00%</v>
      </c>
      <c r="E77" s="8" t="str">
        <f t="shared" si="2"/>
        <v>0.00%</v>
      </c>
      <c r="F77" s="8" t="str">
        <f t="shared" si="2"/>
        <v>0.00%</v>
      </c>
      <c r="G77" s="8" t="str">
        <f t="shared" si="2"/>
        <v>0.00%</v>
      </c>
      <c r="H77" s="8" t="str">
        <f t="shared" si="2"/>
        <v>0.00%</v>
      </c>
      <c r="I77" s="8" t="str">
        <f t="shared" si="2"/>
        <v>0.00%</v>
      </c>
      <c r="J77" s="8" t="str">
        <f t="shared" si="2"/>
        <v>0.00%</v>
      </c>
      <c r="K77" s="8" t="str">
        <f t="shared" si="2"/>
        <v>0.00%</v>
      </c>
      <c r="L77" s="26">
        <f>SUM(C77:K77)</f>
        <v>0</v>
      </c>
    </row>
    <row r="78" spans="1:13" ht="36" customHeight="1" thickBot="1" x14ac:dyDescent="0.35">
      <c r="A78" s="39"/>
      <c r="B78" s="130" t="s">
        <v>313</v>
      </c>
      <c r="C78" s="130"/>
      <c r="D78" s="130"/>
    </row>
    <row r="79" spans="1:13" ht="17.25" thickBot="1" x14ac:dyDescent="0.35">
      <c r="A79" s="81" t="s">
        <v>55</v>
      </c>
      <c r="B79" s="88" t="s">
        <v>29</v>
      </c>
      <c r="C79" s="88" t="s">
        <v>30</v>
      </c>
      <c r="D79" s="88" t="s">
        <v>31</v>
      </c>
    </row>
    <row r="80" spans="1:13" ht="17.25" thickBot="1" x14ac:dyDescent="0.35">
      <c r="A80" s="89" t="s">
        <v>388</v>
      </c>
      <c r="B80" s="97"/>
      <c r="C80" s="97"/>
      <c r="D80" s="97"/>
      <c r="E80" s="85"/>
      <c r="F80" s="14"/>
      <c r="G80" s="14"/>
      <c r="H80" s="14"/>
      <c r="I80" s="14"/>
      <c r="J80" s="14"/>
      <c r="K80" s="14"/>
      <c r="L80" s="14"/>
    </row>
    <row r="81" spans="1:4" ht="18" thickTop="1" thickBot="1" x14ac:dyDescent="0.35">
      <c r="A81" s="17" t="s">
        <v>389</v>
      </c>
      <c r="B81" s="98"/>
    </row>
    <row r="82" spans="1:4" ht="17.25" thickBot="1" x14ac:dyDescent="0.35">
      <c r="A82" s="17" t="s">
        <v>390</v>
      </c>
      <c r="B82" s="92"/>
    </row>
    <row r="83" spans="1:4" ht="17.25" thickBot="1" x14ac:dyDescent="0.35">
      <c r="A83" s="17" t="s">
        <v>391</v>
      </c>
      <c r="B83" s="92"/>
    </row>
    <row r="84" spans="1:4" ht="17.25" thickBot="1" x14ac:dyDescent="0.35">
      <c r="A84" s="17" t="s">
        <v>392</v>
      </c>
      <c r="B84" s="92"/>
    </row>
    <row r="85" spans="1:4" ht="17.25" thickBot="1" x14ac:dyDescent="0.35">
      <c r="A85" s="17" t="s">
        <v>393</v>
      </c>
      <c r="B85" s="92"/>
    </row>
    <row r="86" spans="1:4" ht="17.25" thickBot="1" x14ac:dyDescent="0.35">
      <c r="A86" s="17" t="s">
        <v>394</v>
      </c>
      <c r="B86" s="92"/>
    </row>
    <row r="87" spans="1:4" ht="17.25" thickBot="1" x14ac:dyDescent="0.35">
      <c r="A87" s="17" t="s">
        <v>395</v>
      </c>
      <c r="B87" s="94" t="s">
        <v>74</v>
      </c>
      <c r="C87" s="94" t="s">
        <v>75</v>
      </c>
    </row>
    <row r="88" spans="1:4" ht="17.25" thickBot="1" x14ac:dyDescent="0.35">
      <c r="A88" s="17" t="s">
        <v>400</v>
      </c>
      <c r="B88" s="92"/>
    </row>
    <row r="89" spans="1:4" ht="17.25" thickBot="1" x14ac:dyDescent="0.35">
      <c r="A89" s="17" t="s">
        <v>396</v>
      </c>
      <c r="B89" s="94" t="s">
        <v>74</v>
      </c>
      <c r="C89" s="94" t="s">
        <v>75</v>
      </c>
    </row>
    <row r="90" spans="1:4" ht="17.25" thickBot="1" x14ac:dyDescent="0.35">
      <c r="A90" s="17" t="s">
        <v>398</v>
      </c>
      <c r="B90" s="120" t="s">
        <v>53</v>
      </c>
      <c r="C90" s="121"/>
    </row>
    <row r="91" spans="1:4" ht="17.25" thickBot="1" x14ac:dyDescent="0.35">
      <c r="A91" s="17" t="s">
        <v>399</v>
      </c>
      <c r="B91" s="92"/>
    </row>
    <row r="92" spans="1:4" ht="17.25" thickBot="1" x14ac:dyDescent="0.35">
      <c r="A92" s="17" t="s">
        <v>397</v>
      </c>
      <c r="B92" s="94" t="s">
        <v>74</v>
      </c>
      <c r="C92" s="94" t="s">
        <v>75</v>
      </c>
    </row>
    <row r="93" spans="1:4" ht="36" customHeight="1" thickBot="1" x14ac:dyDescent="0.35">
      <c r="A93" s="16" t="s">
        <v>56</v>
      </c>
    </row>
    <row r="94" spans="1:4" ht="36" customHeight="1" thickBot="1" x14ac:dyDescent="0.35">
      <c r="A94" s="18" t="s">
        <v>401</v>
      </c>
      <c r="B94" s="94" t="s">
        <v>74</v>
      </c>
      <c r="C94" s="94" t="s">
        <v>75</v>
      </c>
    </row>
    <row r="95" spans="1:4" ht="66.75" customHeight="1" thickBot="1" x14ac:dyDescent="0.35">
      <c r="A95" s="17" t="s">
        <v>76</v>
      </c>
      <c r="B95" s="28" t="s">
        <v>79</v>
      </c>
      <c r="C95" s="28" t="s">
        <v>77</v>
      </c>
      <c r="D95" s="28" t="s">
        <v>78</v>
      </c>
    </row>
    <row r="96" spans="1:4" ht="17.25" thickBot="1" x14ac:dyDescent="0.35">
      <c r="A96" s="17" t="s">
        <v>402</v>
      </c>
      <c r="B96" s="92"/>
      <c r="C96" s="92"/>
      <c r="D96" s="92"/>
    </row>
    <row r="97" spans="1:5" ht="17.25" thickBot="1" x14ac:dyDescent="0.35">
      <c r="A97" s="17" t="s">
        <v>403</v>
      </c>
      <c r="B97" s="92"/>
      <c r="C97" s="92"/>
      <c r="D97" s="92"/>
    </row>
    <row r="98" spans="1:5" ht="17.25" thickBot="1" x14ac:dyDescent="0.35">
      <c r="A98" s="17" t="s">
        <v>404</v>
      </c>
      <c r="B98" s="92"/>
      <c r="C98" s="92"/>
      <c r="D98" s="92"/>
    </row>
    <row r="99" spans="1:5" ht="17.25" thickBot="1" x14ac:dyDescent="0.35">
      <c r="A99" s="17" t="s">
        <v>405</v>
      </c>
      <c r="B99" s="92"/>
      <c r="C99" s="92"/>
      <c r="D99" s="92"/>
    </row>
    <row r="100" spans="1:5" ht="17.25" thickBot="1" x14ac:dyDescent="0.35">
      <c r="A100" s="17" t="s">
        <v>406</v>
      </c>
      <c r="B100" s="92"/>
      <c r="C100" s="92"/>
      <c r="D100" s="92"/>
    </row>
    <row r="101" spans="1:5" ht="17.25" thickBot="1" x14ac:dyDescent="0.35">
      <c r="A101" s="17" t="s">
        <v>407</v>
      </c>
      <c r="B101" s="92"/>
      <c r="C101" s="92"/>
      <c r="D101" s="92"/>
    </row>
    <row r="102" spans="1:5" ht="17.25" thickBot="1" x14ac:dyDescent="0.35">
      <c r="A102" s="17" t="s">
        <v>408</v>
      </c>
      <c r="B102" s="92"/>
      <c r="C102" s="92"/>
      <c r="D102" s="92"/>
    </row>
    <row r="103" spans="1:5" ht="17.25" thickBot="1" x14ac:dyDescent="0.35">
      <c r="A103" s="17" t="s">
        <v>409</v>
      </c>
      <c r="B103" s="92"/>
      <c r="C103" s="92"/>
      <c r="D103" s="92"/>
    </row>
    <row r="104" spans="1:5" ht="17.25" thickBot="1" x14ac:dyDescent="0.35">
      <c r="A104" s="17" t="s">
        <v>410</v>
      </c>
      <c r="B104" s="92"/>
      <c r="C104" s="92"/>
      <c r="D104" s="92"/>
    </row>
    <row r="105" spans="1:5" ht="17.25" thickBot="1" x14ac:dyDescent="0.35">
      <c r="A105" s="17" t="s">
        <v>411</v>
      </c>
      <c r="B105" s="92"/>
      <c r="C105" s="92"/>
      <c r="D105" s="92"/>
    </row>
    <row r="106" spans="1:5" ht="17.25" thickBot="1" x14ac:dyDescent="0.35">
      <c r="A106" s="17" t="s">
        <v>412</v>
      </c>
      <c r="B106" s="92"/>
      <c r="C106" s="92"/>
      <c r="D106" s="92"/>
    </row>
    <row r="107" spans="1:5" ht="17.25" thickBot="1" x14ac:dyDescent="0.35">
      <c r="A107" s="17" t="s">
        <v>413</v>
      </c>
      <c r="B107" s="92"/>
      <c r="C107" s="92"/>
      <c r="D107" s="92"/>
    </row>
    <row r="108" spans="1:5" ht="17.25" thickBot="1" x14ac:dyDescent="0.35">
      <c r="A108" s="17" t="s">
        <v>414</v>
      </c>
      <c r="B108" s="92"/>
      <c r="C108" s="92"/>
      <c r="D108" s="92"/>
    </row>
    <row r="109" spans="1:5" ht="17.25" thickBot="1" x14ac:dyDescent="0.35">
      <c r="A109" s="17" t="s">
        <v>415</v>
      </c>
      <c r="B109" s="92"/>
      <c r="C109" s="92"/>
      <c r="D109" s="92"/>
    </row>
    <row r="110" spans="1:5" ht="36" customHeight="1" thickBot="1" x14ac:dyDescent="0.35">
      <c r="A110" s="16" t="s">
        <v>57</v>
      </c>
    </row>
    <row r="111" spans="1:5" ht="36" customHeight="1" thickBot="1" x14ac:dyDescent="0.35">
      <c r="A111" s="18" t="s">
        <v>23</v>
      </c>
      <c r="B111" s="58" t="s">
        <v>80</v>
      </c>
      <c r="C111" s="58" t="s">
        <v>81</v>
      </c>
      <c r="D111" s="58" t="s">
        <v>82</v>
      </c>
    </row>
    <row r="112" spans="1:5" ht="17.25" thickBot="1" x14ac:dyDescent="0.35">
      <c r="A112" s="17" t="s">
        <v>416</v>
      </c>
      <c r="B112" s="92"/>
      <c r="C112" s="92"/>
      <c r="D112" s="92"/>
      <c r="E112" s="14"/>
    </row>
    <row r="113" spans="1:12" ht="17.25" thickBot="1" x14ac:dyDescent="0.35">
      <c r="A113" s="17" t="s">
        <v>417</v>
      </c>
      <c r="B113" s="92"/>
      <c r="C113" s="92"/>
      <c r="D113" s="92"/>
      <c r="E113" s="14"/>
    </row>
    <row r="114" spans="1:12" ht="17.25" thickBot="1" x14ac:dyDescent="0.35">
      <c r="A114" s="17" t="s">
        <v>418</v>
      </c>
      <c r="B114" s="92"/>
      <c r="C114" s="92"/>
      <c r="D114" s="92"/>
      <c r="E114" s="85"/>
    </row>
    <row r="115" spans="1:12" ht="17.25" thickBot="1" x14ac:dyDescent="0.35">
      <c r="A115" s="17" t="s">
        <v>419</v>
      </c>
      <c r="B115" s="92"/>
      <c r="C115" s="92"/>
      <c r="D115" s="92"/>
      <c r="E115" s="85"/>
    </row>
    <row r="116" spans="1:12" ht="17.25" thickBot="1" x14ac:dyDescent="0.35">
      <c r="A116" s="17" t="s">
        <v>420</v>
      </c>
      <c r="B116" s="92"/>
      <c r="C116" s="92"/>
      <c r="D116" s="92"/>
      <c r="E116" s="14"/>
    </row>
    <row r="117" spans="1:12" ht="17.25" thickBot="1" x14ac:dyDescent="0.35">
      <c r="A117" s="17" t="s">
        <v>421</v>
      </c>
      <c r="B117" s="92"/>
      <c r="C117" s="92"/>
      <c r="D117" s="92"/>
      <c r="E117" s="14"/>
    </row>
    <row r="118" spans="1:12" ht="17.25" thickBot="1" x14ac:dyDescent="0.35">
      <c r="A118" s="17" t="s">
        <v>422</v>
      </c>
      <c r="B118" s="92"/>
      <c r="C118" s="92"/>
      <c r="D118" s="92"/>
      <c r="E118" s="14"/>
    </row>
    <row r="119" spans="1:12" ht="17.25" thickBot="1" x14ac:dyDescent="0.35">
      <c r="A119" s="17" t="s">
        <v>423</v>
      </c>
      <c r="B119" s="92"/>
      <c r="C119" s="92"/>
      <c r="D119" s="92"/>
      <c r="E119" s="14"/>
    </row>
    <row r="120" spans="1:12" ht="17.25" thickBot="1" x14ac:dyDescent="0.35">
      <c r="A120" s="108" t="s">
        <v>22</v>
      </c>
      <c r="B120" s="108"/>
      <c r="C120" s="108"/>
      <c r="D120" s="109"/>
      <c r="E120" s="14"/>
    </row>
    <row r="121" spans="1:12" ht="17.25" thickBot="1" x14ac:dyDescent="0.35">
      <c r="A121" s="18" t="s">
        <v>424</v>
      </c>
      <c r="B121" s="92"/>
      <c r="C121" s="92"/>
      <c r="D121" s="92"/>
      <c r="E121" s="14"/>
    </row>
    <row r="122" spans="1:12" ht="17.25" thickBot="1" x14ac:dyDescent="0.35">
      <c r="A122" s="17" t="s">
        <v>425</v>
      </c>
      <c r="B122" s="92"/>
      <c r="C122" s="92"/>
      <c r="D122" s="92"/>
      <c r="E122" s="14"/>
    </row>
    <row r="123" spans="1:12" ht="36" customHeight="1" x14ac:dyDescent="0.3">
      <c r="A123" s="1" t="s">
        <v>85</v>
      </c>
    </row>
    <row r="124" spans="1:12" ht="36" customHeight="1" thickBot="1" x14ac:dyDescent="0.35">
      <c r="A124" s="110" t="s">
        <v>86</v>
      </c>
      <c r="B124" s="110"/>
      <c r="C124" s="110"/>
      <c r="D124" s="110"/>
    </row>
    <row r="125" spans="1:12" ht="17.25" thickBot="1" x14ac:dyDescent="0.35">
      <c r="A125" s="127"/>
      <c r="B125" s="128" t="s">
        <v>8</v>
      </c>
      <c r="C125" s="118" t="s">
        <v>9</v>
      </c>
      <c r="D125" s="118" t="s">
        <v>10</v>
      </c>
      <c r="E125" s="118" t="s">
        <v>11</v>
      </c>
      <c r="F125" s="5" t="s">
        <v>0</v>
      </c>
      <c r="G125" s="5" t="s">
        <v>2</v>
      </c>
      <c r="H125" s="118" t="s">
        <v>4</v>
      </c>
      <c r="I125" s="118" t="s">
        <v>5</v>
      </c>
      <c r="J125" s="118" t="s">
        <v>6</v>
      </c>
      <c r="K125" s="118" t="s">
        <v>7</v>
      </c>
      <c r="L125" s="4" t="s">
        <v>12</v>
      </c>
    </row>
    <row r="126" spans="1:12" ht="17.25" thickBot="1" x14ac:dyDescent="0.35">
      <c r="A126" s="127"/>
      <c r="B126" s="129"/>
      <c r="C126" s="119"/>
      <c r="D126" s="119"/>
      <c r="E126" s="119"/>
      <c r="F126" s="6" t="s">
        <v>1</v>
      </c>
      <c r="G126" s="6" t="s">
        <v>3</v>
      </c>
      <c r="H126" s="119"/>
      <c r="I126" s="119"/>
      <c r="J126" s="119"/>
      <c r="K126" s="119"/>
      <c r="L126" s="3"/>
    </row>
    <row r="127" spans="1:12" ht="17.25" thickBot="1" x14ac:dyDescent="0.35">
      <c r="A127" s="83" t="s">
        <v>426</v>
      </c>
      <c r="B127" s="7">
        <f>SUM(B114:D114)</f>
        <v>0</v>
      </c>
      <c r="C127" s="99">
        <v>0</v>
      </c>
      <c r="D127" s="99">
        <v>0</v>
      </c>
      <c r="E127" s="99">
        <v>0</v>
      </c>
      <c r="F127" s="99">
        <v>0</v>
      </c>
      <c r="G127" s="99">
        <v>0</v>
      </c>
      <c r="H127" s="99">
        <v>0</v>
      </c>
      <c r="I127" s="99">
        <v>0</v>
      </c>
      <c r="J127" s="99">
        <v>0</v>
      </c>
      <c r="K127" s="99">
        <v>0</v>
      </c>
      <c r="L127" s="10"/>
    </row>
    <row r="128" spans="1:12" ht="17.25" thickBot="1" x14ac:dyDescent="0.35">
      <c r="A128" s="2"/>
      <c r="B128" s="2"/>
      <c r="C128" s="8" t="str">
        <f>IF($B127=0,"0.00%",C127/$B127)</f>
        <v>0.00%</v>
      </c>
      <c r="D128" s="8" t="str">
        <f t="shared" ref="D128:K128" si="3">IF($B127=0,"0.00%",D127/$B127)</f>
        <v>0.00%</v>
      </c>
      <c r="E128" s="8" t="str">
        <f t="shared" si="3"/>
        <v>0.00%</v>
      </c>
      <c r="F128" s="8" t="str">
        <f t="shared" si="3"/>
        <v>0.00%</v>
      </c>
      <c r="G128" s="8" t="str">
        <f t="shared" si="3"/>
        <v>0.00%</v>
      </c>
      <c r="H128" s="8" t="str">
        <f t="shared" si="3"/>
        <v>0.00%</v>
      </c>
      <c r="I128" s="8" t="str">
        <f t="shared" si="3"/>
        <v>0.00%</v>
      </c>
      <c r="J128" s="8" t="str">
        <f t="shared" si="3"/>
        <v>0.00%</v>
      </c>
      <c r="K128" s="8" t="str">
        <f t="shared" si="3"/>
        <v>0.00%</v>
      </c>
      <c r="L128" s="9">
        <f>SUM(C128:K128)</f>
        <v>0</v>
      </c>
    </row>
    <row r="129" spans="1:12" x14ac:dyDescent="0.3">
      <c r="A129" s="127"/>
      <c r="B129" s="128" t="s">
        <v>8</v>
      </c>
      <c r="C129" s="118" t="s">
        <v>9</v>
      </c>
      <c r="D129" s="118" t="s">
        <v>10</v>
      </c>
      <c r="E129" s="118" t="s">
        <v>11</v>
      </c>
      <c r="F129" s="5" t="s">
        <v>0</v>
      </c>
      <c r="G129" s="5" t="s">
        <v>2</v>
      </c>
      <c r="H129" s="118" t="s">
        <v>4</v>
      </c>
      <c r="I129" s="118" t="s">
        <v>5</v>
      </c>
      <c r="J129" s="118" t="s">
        <v>6</v>
      </c>
      <c r="K129" s="118" t="s">
        <v>7</v>
      </c>
      <c r="L129" s="3"/>
    </row>
    <row r="130" spans="1:12" ht="17.25" thickBot="1" x14ac:dyDescent="0.35">
      <c r="A130" s="127"/>
      <c r="B130" s="129"/>
      <c r="C130" s="119"/>
      <c r="D130" s="119"/>
      <c r="E130" s="119"/>
      <c r="F130" s="6" t="s">
        <v>1</v>
      </c>
      <c r="G130" s="6" t="s">
        <v>3</v>
      </c>
      <c r="H130" s="119"/>
      <c r="I130" s="119"/>
      <c r="J130" s="119"/>
      <c r="K130" s="119"/>
      <c r="L130" s="3"/>
    </row>
    <row r="131" spans="1:12" ht="17.25" thickBot="1" x14ac:dyDescent="0.35">
      <c r="A131" s="83" t="s">
        <v>427</v>
      </c>
      <c r="B131" s="7">
        <f>SUM(B112:D112)</f>
        <v>0</v>
      </c>
      <c r="C131" s="99">
        <v>0</v>
      </c>
      <c r="D131" s="99">
        <v>0</v>
      </c>
      <c r="E131" s="99">
        <v>0</v>
      </c>
      <c r="F131" s="99">
        <v>0</v>
      </c>
      <c r="G131" s="99">
        <v>0</v>
      </c>
      <c r="H131" s="99">
        <v>0</v>
      </c>
      <c r="I131" s="99">
        <v>0</v>
      </c>
      <c r="J131" s="99">
        <v>0</v>
      </c>
      <c r="K131" s="99">
        <v>0</v>
      </c>
      <c r="L131" s="10"/>
    </row>
    <row r="132" spans="1:12" ht="17.25" thickBot="1" x14ac:dyDescent="0.35">
      <c r="B132" s="2"/>
      <c r="C132" s="8" t="str">
        <f>IF($B131=0,"0.00%",C131/$B131)</f>
        <v>0.00%</v>
      </c>
      <c r="D132" s="8" t="str">
        <f t="shared" ref="D132:K132" si="4">IF($B131=0,"0.00%",D131/$B131)</f>
        <v>0.00%</v>
      </c>
      <c r="E132" s="8" t="str">
        <f t="shared" si="4"/>
        <v>0.00%</v>
      </c>
      <c r="F132" s="8" t="str">
        <f t="shared" si="4"/>
        <v>0.00%</v>
      </c>
      <c r="G132" s="8" t="str">
        <f t="shared" si="4"/>
        <v>0.00%</v>
      </c>
      <c r="H132" s="8" t="str">
        <f t="shared" si="4"/>
        <v>0.00%</v>
      </c>
      <c r="I132" s="8" t="str">
        <f t="shared" si="4"/>
        <v>0.00%</v>
      </c>
      <c r="J132" s="8" t="str">
        <f t="shared" si="4"/>
        <v>0.00%</v>
      </c>
      <c r="K132" s="8" t="str">
        <f t="shared" si="4"/>
        <v>0.00%</v>
      </c>
      <c r="L132" s="9">
        <f>SUM(C132:K132)</f>
        <v>0</v>
      </c>
    </row>
    <row r="133" spans="1:12" ht="36" customHeight="1" thickBot="1" x14ac:dyDescent="0.35">
      <c r="A133" s="31" t="s">
        <v>58</v>
      </c>
      <c r="B133" s="31"/>
      <c r="C133" s="31"/>
      <c r="D133" s="31"/>
      <c r="E133" s="29"/>
      <c r="F133" s="29"/>
      <c r="G133" s="29"/>
      <c r="H133" s="29"/>
      <c r="I133" s="29"/>
      <c r="J133" s="29"/>
      <c r="K133" s="29"/>
      <c r="L133" s="30"/>
    </row>
    <row r="134" spans="1:12" ht="32.25" thickBot="1" x14ac:dyDescent="0.35">
      <c r="A134" s="18" t="s">
        <v>83</v>
      </c>
      <c r="B134" s="58" t="s">
        <v>80</v>
      </c>
      <c r="C134" s="58" t="s">
        <v>81</v>
      </c>
      <c r="D134" s="58" t="s">
        <v>82</v>
      </c>
    </row>
    <row r="135" spans="1:12" ht="17.25" thickBot="1" x14ac:dyDescent="0.35">
      <c r="A135" s="17" t="s">
        <v>428</v>
      </c>
      <c r="B135" s="92"/>
      <c r="C135" s="92"/>
      <c r="D135" s="92"/>
    </row>
    <row r="136" spans="1:12" ht="17.25" thickBot="1" x14ac:dyDescent="0.35">
      <c r="A136" s="17" t="s">
        <v>429</v>
      </c>
      <c r="B136" s="92"/>
      <c r="C136" s="92"/>
      <c r="D136" s="92"/>
    </row>
    <row r="137" spans="1:12" ht="17.25" thickBot="1" x14ac:dyDescent="0.35">
      <c r="A137" s="17" t="s">
        <v>430</v>
      </c>
      <c r="B137" s="92"/>
      <c r="C137" s="92"/>
      <c r="D137" s="92"/>
    </row>
    <row r="138" spans="1:12" ht="17.25" thickBot="1" x14ac:dyDescent="0.35">
      <c r="A138" s="17" t="s">
        <v>431</v>
      </c>
      <c r="B138" s="92"/>
      <c r="C138" s="92"/>
      <c r="D138" s="92"/>
    </row>
    <row r="139" spans="1:12" ht="36" customHeight="1" thickBot="1" x14ac:dyDescent="0.35">
      <c r="A139" s="31" t="s">
        <v>84</v>
      </c>
    </row>
    <row r="140" spans="1:12" ht="17.25" thickBot="1" x14ac:dyDescent="0.35">
      <c r="A140" s="18" t="s">
        <v>432</v>
      </c>
      <c r="B140" s="94" t="s">
        <v>74</v>
      </c>
      <c r="C140" s="94" t="s">
        <v>75</v>
      </c>
    </row>
    <row r="141" spans="1:12" ht="17.25" thickBot="1" x14ac:dyDescent="0.35">
      <c r="A141" s="18" t="s">
        <v>433</v>
      </c>
      <c r="B141" s="94" t="s">
        <v>74</v>
      </c>
      <c r="C141" s="94" t="s">
        <v>75</v>
      </c>
    </row>
    <row r="142" spans="1:12" ht="17.25" thickBot="1" x14ac:dyDescent="0.35">
      <c r="A142" s="18" t="s">
        <v>434</v>
      </c>
      <c r="B142" s="94" t="s">
        <v>74</v>
      </c>
      <c r="C142" s="94" t="s">
        <v>75</v>
      </c>
    </row>
    <row r="143" spans="1:12" ht="17.25" thickBot="1" x14ac:dyDescent="0.35">
      <c r="A143" s="18" t="s">
        <v>435</v>
      </c>
      <c r="B143" s="94" t="s">
        <v>74</v>
      </c>
      <c r="C143" s="94" t="s">
        <v>75</v>
      </c>
    </row>
    <row r="144" spans="1:12" ht="17.25" thickBot="1" x14ac:dyDescent="0.35">
      <c r="A144" s="18" t="s">
        <v>436</v>
      </c>
      <c r="B144" s="94" t="s">
        <v>74</v>
      </c>
      <c r="C144" s="94" t="s">
        <v>75</v>
      </c>
    </row>
    <row r="145" spans="1:5" ht="17.25" thickBot="1" x14ac:dyDescent="0.35">
      <c r="A145" s="18" t="s">
        <v>437</v>
      </c>
      <c r="B145" s="94" t="s">
        <v>74</v>
      </c>
      <c r="C145" s="94" t="s">
        <v>75</v>
      </c>
    </row>
    <row r="146" spans="1:5" ht="17.25" thickBot="1" x14ac:dyDescent="0.35">
      <c r="A146" s="18" t="s">
        <v>438</v>
      </c>
      <c r="B146" s="94" t="s">
        <v>74</v>
      </c>
      <c r="C146" s="94" t="s">
        <v>75</v>
      </c>
    </row>
    <row r="147" spans="1:5" ht="17.25" thickBot="1" x14ac:dyDescent="0.35">
      <c r="A147" s="18" t="s">
        <v>439</v>
      </c>
      <c r="B147" s="94" t="s">
        <v>74</v>
      </c>
      <c r="C147" s="94" t="s">
        <v>75</v>
      </c>
    </row>
    <row r="148" spans="1:5" ht="17.25" thickBot="1" x14ac:dyDescent="0.35">
      <c r="A148" s="18" t="s">
        <v>440</v>
      </c>
      <c r="B148" s="94" t="s">
        <v>74</v>
      </c>
      <c r="C148" s="94" t="s">
        <v>75</v>
      </c>
    </row>
    <row r="149" spans="1:5" ht="36" customHeight="1" x14ac:dyDescent="0.35">
      <c r="A149" s="43" t="s">
        <v>522</v>
      </c>
    </row>
    <row r="150" spans="1:5" ht="101.25" customHeight="1" thickBot="1" x14ac:dyDescent="0.35">
      <c r="A150" s="111" t="s">
        <v>372</v>
      </c>
      <c r="B150" s="111"/>
      <c r="C150" s="111"/>
      <c r="E150" s="86"/>
    </row>
    <row r="151" spans="1:5" ht="36" customHeight="1" thickBot="1" x14ac:dyDescent="0.35">
      <c r="A151" s="31" t="s">
        <v>93</v>
      </c>
      <c r="B151" s="58" t="s">
        <v>340</v>
      </c>
      <c r="C151" s="58" t="s">
        <v>341</v>
      </c>
      <c r="D151" s="58" t="s">
        <v>135</v>
      </c>
    </row>
    <row r="152" spans="1:5" ht="17.25" thickBot="1" x14ac:dyDescent="0.35">
      <c r="A152" s="18" t="s">
        <v>441</v>
      </c>
      <c r="B152" s="94"/>
      <c r="C152" s="94"/>
      <c r="D152" s="94"/>
      <c r="E152" s="84"/>
    </row>
    <row r="153" spans="1:5" ht="17.25" thickBot="1" x14ac:dyDescent="0.35">
      <c r="A153" s="18" t="s">
        <v>442</v>
      </c>
      <c r="B153" s="94"/>
      <c r="C153" s="94"/>
      <c r="D153" s="94"/>
      <c r="E153" s="84"/>
    </row>
    <row r="154" spans="1:5" ht="17.25" thickBot="1" x14ac:dyDescent="0.35">
      <c r="A154" s="18" t="s">
        <v>443</v>
      </c>
      <c r="B154" s="94"/>
      <c r="C154" s="94"/>
      <c r="D154" s="94"/>
      <c r="E154" s="84"/>
    </row>
    <row r="155" spans="1:5" ht="17.25" thickBot="1" x14ac:dyDescent="0.35">
      <c r="A155" s="18" t="s">
        <v>444</v>
      </c>
      <c r="B155" s="94"/>
      <c r="C155" s="94"/>
      <c r="D155" s="94"/>
    </row>
    <row r="156" spans="1:5" ht="17.25" thickBot="1" x14ac:dyDescent="0.35">
      <c r="A156" s="18" t="s">
        <v>445</v>
      </c>
      <c r="B156" s="94"/>
      <c r="C156" s="94"/>
      <c r="D156" s="94"/>
    </row>
    <row r="157" spans="1:5" ht="17.25" thickBot="1" x14ac:dyDescent="0.35">
      <c r="A157" s="18" t="s">
        <v>446</v>
      </c>
      <c r="B157" s="94"/>
      <c r="C157" s="94"/>
      <c r="D157" s="94"/>
    </row>
    <row r="158" spans="1:5" ht="17.25" thickBot="1" x14ac:dyDescent="0.35">
      <c r="A158" s="18" t="s">
        <v>447</v>
      </c>
      <c r="B158" s="94"/>
      <c r="C158" s="94"/>
      <c r="D158" s="94"/>
    </row>
    <row r="159" spans="1:5" ht="17.25" thickBot="1" x14ac:dyDescent="0.35">
      <c r="A159" s="18" t="s">
        <v>448</v>
      </c>
      <c r="B159" s="94"/>
      <c r="C159" s="94"/>
      <c r="D159" s="94"/>
    </row>
    <row r="160" spans="1:5" ht="17.25" thickBot="1" x14ac:dyDescent="0.35">
      <c r="A160" s="18" t="s">
        <v>449</v>
      </c>
      <c r="B160" s="94"/>
      <c r="C160" s="94"/>
      <c r="D160" s="94"/>
    </row>
    <row r="161" spans="1:6" ht="17.25" thickBot="1" x14ac:dyDescent="0.35">
      <c r="A161" s="18" t="s">
        <v>450</v>
      </c>
      <c r="B161" s="94"/>
      <c r="C161" s="94"/>
      <c r="D161" s="94"/>
    </row>
    <row r="162" spans="1:6" ht="29.25" thickBot="1" x14ac:dyDescent="0.35">
      <c r="A162" s="18" t="s">
        <v>451</v>
      </c>
      <c r="B162" s="94"/>
      <c r="C162" s="94"/>
      <c r="D162" s="94"/>
    </row>
    <row r="163" spans="1:6" ht="17.25" thickBot="1" x14ac:dyDescent="0.35">
      <c r="A163" s="18" t="s">
        <v>452</v>
      </c>
      <c r="B163" s="94"/>
      <c r="C163" s="94"/>
      <c r="D163" s="94"/>
    </row>
    <row r="164" spans="1:6" ht="17.25" thickBot="1" x14ac:dyDescent="0.35">
      <c r="A164" s="18" t="s">
        <v>453</v>
      </c>
      <c r="B164" s="94"/>
      <c r="C164" s="94"/>
      <c r="D164" s="94"/>
    </row>
    <row r="165" spans="1:6" ht="17.25" thickBot="1" x14ac:dyDescent="0.35">
      <c r="A165" s="18" t="s">
        <v>454</v>
      </c>
      <c r="B165" s="94"/>
      <c r="C165" s="94"/>
      <c r="D165" s="94"/>
    </row>
    <row r="166" spans="1:6" ht="17.25" thickBot="1" x14ac:dyDescent="0.35">
      <c r="A166" s="18" t="s">
        <v>455</v>
      </c>
      <c r="B166" s="94"/>
      <c r="C166" s="94"/>
      <c r="D166" s="94"/>
      <c r="E166" s="84"/>
    </row>
    <row r="167" spans="1:6" ht="17.25" thickBot="1" x14ac:dyDescent="0.35">
      <c r="A167" s="18" t="s">
        <v>456</v>
      </c>
      <c r="B167" s="94"/>
      <c r="C167" s="94"/>
      <c r="D167" s="94"/>
    </row>
    <row r="168" spans="1:6" ht="17.25" thickBot="1" x14ac:dyDescent="0.35">
      <c r="A168" s="18" t="s">
        <v>457</v>
      </c>
      <c r="B168" s="94"/>
      <c r="C168" s="94"/>
      <c r="D168" s="94"/>
    </row>
    <row r="169" spans="1:6" ht="17.25" thickBot="1" x14ac:dyDescent="0.35">
      <c r="A169" s="18" t="s">
        <v>458</v>
      </c>
      <c r="B169" s="94"/>
      <c r="C169" s="94"/>
      <c r="D169" s="94"/>
    </row>
    <row r="170" spans="1:6" ht="17.25" thickBot="1" x14ac:dyDescent="0.35">
      <c r="A170" s="18" t="s">
        <v>459</v>
      </c>
      <c r="B170" s="94"/>
      <c r="C170" s="94"/>
      <c r="D170" s="94"/>
      <c r="E170" s="94" t="s">
        <v>53</v>
      </c>
      <c r="F170" s="84"/>
    </row>
    <row r="171" spans="1:6" ht="17.25" thickBot="1" x14ac:dyDescent="0.35">
      <c r="A171" s="18" t="s">
        <v>460</v>
      </c>
      <c r="B171" s="94"/>
      <c r="C171" s="94"/>
      <c r="D171" s="94"/>
      <c r="E171" s="94" t="s">
        <v>53</v>
      </c>
      <c r="F171" s="84"/>
    </row>
    <row r="172" spans="1:6" ht="17.25" thickBot="1" x14ac:dyDescent="0.35">
      <c r="A172" s="18" t="s">
        <v>461</v>
      </c>
      <c r="B172" s="94"/>
      <c r="C172" s="94"/>
      <c r="D172" s="94"/>
    </row>
    <row r="173" spans="1:6" ht="17.25" thickBot="1" x14ac:dyDescent="0.35">
      <c r="A173" s="18" t="s">
        <v>462</v>
      </c>
      <c r="B173" s="94"/>
      <c r="C173" s="94"/>
      <c r="D173" s="94"/>
    </row>
    <row r="174" spans="1:6" ht="17.25" thickBot="1" x14ac:dyDescent="0.35">
      <c r="A174" s="18" t="s">
        <v>463</v>
      </c>
      <c r="B174" s="94"/>
      <c r="C174" s="94"/>
      <c r="D174" s="94"/>
    </row>
    <row r="175" spans="1:6" ht="36" customHeight="1" x14ac:dyDescent="0.35">
      <c r="A175" s="43" t="s">
        <v>59</v>
      </c>
    </row>
    <row r="176" spans="1:6" ht="54" customHeight="1" x14ac:dyDescent="0.3">
      <c r="A176" s="125" t="s">
        <v>87</v>
      </c>
      <c r="B176" s="125"/>
      <c r="C176" s="125"/>
    </row>
    <row r="177" spans="1:3" ht="36" customHeight="1" thickBot="1" x14ac:dyDescent="0.35">
      <c r="A177" s="31" t="s">
        <v>60</v>
      </c>
    </row>
    <row r="178" spans="1:3" ht="17.25" thickBot="1" x14ac:dyDescent="0.35">
      <c r="A178" s="18" t="s">
        <v>464</v>
      </c>
      <c r="B178" s="94" t="s">
        <v>74</v>
      </c>
      <c r="C178" s="94" t="s">
        <v>75</v>
      </c>
    </row>
    <row r="179" spans="1:3" ht="17.25" thickBot="1" x14ac:dyDescent="0.35">
      <c r="A179" s="18" t="s">
        <v>465</v>
      </c>
      <c r="B179" s="94" t="s">
        <v>74</v>
      </c>
      <c r="C179" s="94" t="s">
        <v>75</v>
      </c>
    </row>
    <row r="180" spans="1:3" ht="17.25" thickBot="1" x14ac:dyDescent="0.35">
      <c r="A180" s="18" t="s">
        <v>466</v>
      </c>
      <c r="B180" s="94" t="s">
        <v>74</v>
      </c>
      <c r="C180" s="94" t="s">
        <v>75</v>
      </c>
    </row>
    <row r="181" spans="1:3" ht="42" thickBot="1" x14ac:dyDescent="0.35">
      <c r="A181" s="18" t="s">
        <v>467</v>
      </c>
      <c r="B181" s="94" t="s">
        <v>74</v>
      </c>
      <c r="C181" s="94" t="s">
        <v>75</v>
      </c>
    </row>
    <row r="182" spans="1:3" ht="42" thickBot="1" x14ac:dyDescent="0.35">
      <c r="A182" s="18" t="s">
        <v>469</v>
      </c>
      <c r="B182" s="94" t="s">
        <v>74</v>
      </c>
      <c r="C182" s="94" t="s">
        <v>75</v>
      </c>
    </row>
    <row r="183" spans="1:3" ht="42" thickBot="1" x14ac:dyDescent="0.35">
      <c r="A183" s="18" t="s">
        <v>470</v>
      </c>
      <c r="B183" s="94" t="s">
        <v>74</v>
      </c>
      <c r="C183" s="94" t="s">
        <v>75</v>
      </c>
    </row>
    <row r="184" spans="1:3" ht="17.25" thickBot="1" x14ac:dyDescent="0.35">
      <c r="A184" s="18" t="s">
        <v>471</v>
      </c>
      <c r="B184" s="94" t="s">
        <v>74</v>
      </c>
      <c r="C184" s="94" t="s">
        <v>75</v>
      </c>
    </row>
    <row r="185" spans="1:3" ht="17.25" thickBot="1" x14ac:dyDescent="0.35">
      <c r="A185" s="18" t="s">
        <v>472</v>
      </c>
      <c r="B185" s="94" t="s">
        <v>74</v>
      </c>
      <c r="C185" s="94" t="s">
        <v>75</v>
      </c>
    </row>
    <row r="186" spans="1:3" ht="17.25" thickBot="1" x14ac:dyDescent="0.35">
      <c r="A186" s="18" t="s">
        <v>473</v>
      </c>
      <c r="B186" s="94" t="s">
        <v>74</v>
      </c>
      <c r="C186" s="94" t="s">
        <v>75</v>
      </c>
    </row>
    <row r="187" spans="1:3" ht="17.25" thickBot="1" x14ac:dyDescent="0.35">
      <c r="A187" s="18" t="s">
        <v>474</v>
      </c>
      <c r="B187" s="94" t="s">
        <v>74</v>
      </c>
      <c r="C187" s="94" t="s">
        <v>75</v>
      </c>
    </row>
    <row r="188" spans="1:3" ht="17.25" thickBot="1" x14ac:dyDescent="0.35">
      <c r="A188" s="18" t="s">
        <v>475</v>
      </c>
      <c r="B188" s="94" t="s">
        <v>74</v>
      </c>
      <c r="C188" s="94" t="s">
        <v>75</v>
      </c>
    </row>
    <row r="189" spans="1:3" ht="17.25" thickBot="1" x14ac:dyDescent="0.35">
      <c r="A189" s="18" t="s">
        <v>476</v>
      </c>
      <c r="B189" s="94" t="s">
        <v>74</v>
      </c>
      <c r="C189" s="94" t="s">
        <v>75</v>
      </c>
    </row>
    <row r="190" spans="1:3" ht="17.25" thickBot="1" x14ac:dyDescent="0.35">
      <c r="A190" s="18" t="s">
        <v>477</v>
      </c>
      <c r="B190" s="94" t="s">
        <v>74</v>
      </c>
      <c r="C190" s="94" t="s">
        <v>75</v>
      </c>
    </row>
    <row r="191" spans="1:3" ht="17.25" thickBot="1" x14ac:dyDescent="0.35">
      <c r="A191" s="18" t="s">
        <v>478</v>
      </c>
      <c r="B191" s="94" t="s">
        <v>74</v>
      </c>
      <c r="C191" s="94" t="s">
        <v>75</v>
      </c>
    </row>
    <row r="192" spans="1:3" ht="17.25" thickBot="1" x14ac:dyDescent="0.35">
      <c r="A192" s="18" t="s">
        <v>479</v>
      </c>
      <c r="B192" s="94" t="s">
        <v>74</v>
      </c>
      <c r="C192" s="94" t="s">
        <v>75</v>
      </c>
    </row>
    <row r="193" spans="1:3" ht="36" customHeight="1" x14ac:dyDescent="0.35">
      <c r="A193" s="43" t="s">
        <v>61</v>
      </c>
    </row>
    <row r="194" spans="1:3" ht="69.75" customHeight="1" thickBot="1" x14ac:dyDescent="0.35">
      <c r="A194" s="125" t="s">
        <v>88</v>
      </c>
      <c r="B194" s="125"/>
      <c r="C194" s="125"/>
    </row>
    <row r="195" spans="1:3" ht="17.25" thickBot="1" x14ac:dyDescent="0.35">
      <c r="A195" s="18" t="s">
        <v>480</v>
      </c>
      <c r="B195" s="94" t="s">
        <v>74</v>
      </c>
      <c r="C195" s="94" t="s">
        <v>75</v>
      </c>
    </row>
    <row r="196" spans="1:3" ht="17.25" thickBot="1" x14ac:dyDescent="0.35">
      <c r="A196" s="18" t="s">
        <v>481</v>
      </c>
      <c r="B196" s="94" t="s">
        <v>74</v>
      </c>
      <c r="C196" s="94" t="s">
        <v>75</v>
      </c>
    </row>
    <row r="197" spans="1:3" ht="17.25" thickBot="1" x14ac:dyDescent="0.35">
      <c r="A197" s="18" t="s">
        <v>482</v>
      </c>
      <c r="B197" s="94" t="s">
        <v>74</v>
      </c>
      <c r="C197" s="94" t="s">
        <v>75</v>
      </c>
    </row>
    <row r="198" spans="1:3" ht="17.25" thickBot="1" x14ac:dyDescent="0.35">
      <c r="A198" s="18" t="s">
        <v>483</v>
      </c>
      <c r="B198" s="94" t="s">
        <v>74</v>
      </c>
      <c r="C198" s="94" t="s">
        <v>75</v>
      </c>
    </row>
    <row r="199" spans="1:3" ht="36" customHeight="1" x14ac:dyDescent="0.35">
      <c r="A199" s="43" t="s">
        <v>62</v>
      </c>
    </row>
    <row r="200" spans="1:3" ht="45.75" customHeight="1" x14ac:dyDescent="0.3">
      <c r="A200" s="125" t="s">
        <v>89</v>
      </c>
      <c r="B200" s="125"/>
      <c r="C200" s="125"/>
    </row>
    <row r="201" spans="1:3" ht="36" customHeight="1" thickBot="1" x14ac:dyDescent="0.35">
      <c r="A201" s="31" t="s">
        <v>63</v>
      </c>
    </row>
    <row r="202" spans="1:3" ht="32.25" thickBot="1" x14ac:dyDescent="0.35">
      <c r="A202" s="18" t="s">
        <v>484</v>
      </c>
      <c r="B202" s="94" t="s">
        <v>74</v>
      </c>
      <c r="C202" s="94" t="s">
        <v>75</v>
      </c>
    </row>
    <row r="203" spans="1:3" ht="32.25" thickBot="1" x14ac:dyDescent="0.35">
      <c r="A203" s="18" t="s">
        <v>485</v>
      </c>
      <c r="B203" s="94" t="s">
        <v>74</v>
      </c>
      <c r="C203" s="94" t="s">
        <v>75</v>
      </c>
    </row>
    <row r="204" spans="1:3" ht="32.25" thickBot="1" x14ac:dyDescent="0.35">
      <c r="A204" s="18" t="s">
        <v>486</v>
      </c>
      <c r="B204" s="94" t="s">
        <v>74</v>
      </c>
      <c r="C204" s="94" t="s">
        <v>75</v>
      </c>
    </row>
    <row r="205" spans="1:3" ht="17.25" thickBot="1" x14ac:dyDescent="0.35">
      <c r="A205" s="18" t="s">
        <v>487</v>
      </c>
      <c r="B205" s="94" t="s">
        <v>74</v>
      </c>
      <c r="C205" s="94" t="s">
        <v>75</v>
      </c>
    </row>
    <row r="206" spans="1:3" ht="17.25" thickBot="1" x14ac:dyDescent="0.35">
      <c r="A206" s="18" t="s">
        <v>488</v>
      </c>
      <c r="B206" s="94" t="s">
        <v>74</v>
      </c>
      <c r="C206" s="94" t="s">
        <v>75</v>
      </c>
    </row>
    <row r="207" spans="1:3" ht="17.25" thickBot="1" x14ac:dyDescent="0.35">
      <c r="A207" s="18" t="s">
        <v>489</v>
      </c>
      <c r="B207" s="94" t="s">
        <v>74</v>
      </c>
      <c r="C207" s="94" t="s">
        <v>75</v>
      </c>
    </row>
    <row r="208" spans="1:3" ht="17.25" thickBot="1" x14ac:dyDescent="0.35">
      <c r="A208" s="18" t="s">
        <v>490</v>
      </c>
      <c r="B208" s="94" t="s">
        <v>74</v>
      </c>
      <c r="C208" s="94" t="s">
        <v>75</v>
      </c>
    </row>
    <row r="209" spans="1:4" ht="17.25" thickBot="1" x14ac:dyDescent="0.35">
      <c r="A209" s="18" t="s">
        <v>491</v>
      </c>
      <c r="B209" s="94" t="s">
        <v>74</v>
      </c>
      <c r="C209" s="94" t="s">
        <v>75</v>
      </c>
    </row>
    <row r="210" spans="1:4" ht="32.25" thickBot="1" x14ac:dyDescent="0.35">
      <c r="A210" s="18" t="s">
        <v>492</v>
      </c>
      <c r="B210" s="94" t="s">
        <v>74</v>
      </c>
      <c r="C210" s="94" t="s">
        <v>75</v>
      </c>
    </row>
    <row r="211" spans="1:4" ht="36" customHeight="1" x14ac:dyDescent="0.3">
      <c r="A211" s="31" t="s">
        <v>90</v>
      </c>
      <c r="B211" s="14"/>
      <c r="C211" s="14"/>
    </row>
    <row r="212" spans="1:4" ht="30.75" customHeight="1" thickBot="1" x14ac:dyDescent="0.35">
      <c r="A212" s="125" t="s">
        <v>91</v>
      </c>
      <c r="B212" s="125"/>
      <c r="C212" s="125"/>
    </row>
    <row r="213" spans="1:4" ht="36.75" customHeight="1" thickBot="1" x14ac:dyDescent="0.35">
      <c r="A213" s="18" t="s">
        <v>493</v>
      </c>
      <c r="B213" s="94" t="s">
        <v>74</v>
      </c>
      <c r="C213" s="94" t="s">
        <v>75</v>
      </c>
      <c r="D213" s="94" t="s">
        <v>53</v>
      </c>
    </row>
    <row r="214" spans="1:4" ht="54.75" thickBot="1" x14ac:dyDescent="0.35">
      <c r="A214" s="18" t="s">
        <v>494</v>
      </c>
      <c r="B214" s="94" t="s">
        <v>74</v>
      </c>
      <c r="C214" s="94" t="s">
        <v>75</v>
      </c>
      <c r="D214" s="94" t="s">
        <v>53</v>
      </c>
    </row>
    <row r="215" spans="1:4" ht="54.75" thickBot="1" x14ac:dyDescent="0.35">
      <c r="A215" s="18" t="s">
        <v>495</v>
      </c>
      <c r="B215" s="94" t="s">
        <v>74</v>
      </c>
      <c r="C215" s="94" t="s">
        <v>75</v>
      </c>
      <c r="D215" s="94" t="s">
        <v>53</v>
      </c>
    </row>
    <row r="216" spans="1:4" ht="29.25" thickBot="1" x14ac:dyDescent="0.35">
      <c r="A216" s="18" t="s">
        <v>496</v>
      </c>
      <c r="B216" s="94" t="s">
        <v>74</v>
      </c>
      <c r="C216" s="94" t="s">
        <v>75</v>
      </c>
      <c r="D216" s="94" t="s">
        <v>53</v>
      </c>
    </row>
    <row r="217" spans="1:4" ht="29.25" thickBot="1" x14ac:dyDescent="0.35">
      <c r="A217" s="18" t="s">
        <v>497</v>
      </c>
      <c r="B217" s="94" t="s">
        <v>74</v>
      </c>
      <c r="C217" s="94" t="s">
        <v>75</v>
      </c>
      <c r="D217" s="94" t="s">
        <v>53</v>
      </c>
    </row>
    <row r="218" spans="1:4" ht="29.25" thickBot="1" x14ac:dyDescent="0.35">
      <c r="A218" s="18" t="s">
        <v>498</v>
      </c>
      <c r="B218" s="94" t="s">
        <v>74</v>
      </c>
      <c r="C218" s="94" t="s">
        <v>75</v>
      </c>
      <c r="D218" s="94" t="s">
        <v>53</v>
      </c>
    </row>
    <row r="219" spans="1:4" ht="42" thickBot="1" x14ac:dyDescent="0.35">
      <c r="A219" s="18" t="s">
        <v>499</v>
      </c>
      <c r="B219" s="94" t="s">
        <v>74</v>
      </c>
      <c r="C219" s="94" t="s">
        <v>75</v>
      </c>
      <c r="D219" s="94" t="s">
        <v>53</v>
      </c>
    </row>
    <row r="220" spans="1:4" ht="29.25" thickBot="1" x14ac:dyDescent="0.35">
      <c r="A220" s="18" t="s">
        <v>500</v>
      </c>
      <c r="B220" s="94" t="s">
        <v>74</v>
      </c>
      <c r="C220" s="94" t="s">
        <v>75</v>
      </c>
      <c r="D220" s="94" t="s">
        <v>53</v>
      </c>
    </row>
    <row r="221" spans="1:4" ht="37.5" customHeight="1" thickBot="1" x14ac:dyDescent="0.35">
      <c r="A221" s="18" t="s">
        <v>501</v>
      </c>
      <c r="B221" s="94" t="s">
        <v>74</v>
      </c>
      <c r="C221" s="94" t="s">
        <v>75</v>
      </c>
      <c r="D221" s="71"/>
    </row>
    <row r="222" spans="1:4" ht="29.25" thickBot="1" x14ac:dyDescent="0.35">
      <c r="A222" s="18" t="s">
        <v>502</v>
      </c>
      <c r="B222" s="94" t="s">
        <v>74</v>
      </c>
      <c r="C222" s="94" t="s">
        <v>75</v>
      </c>
      <c r="D222" s="72"/>
    </row>
    <row r="223" spans="1:4" ht="36" customHeight="1" thickBot="1" x14ac:dyDescent="0.35">
      <c r="A223" s="31" t="s">
        <v>64</v>
      </c>
    </row>
    <row r="224" spans="1:4" ht="29.25" thickBot="1" x14ac:dyDescent="0.35">
      <c r="A224" s="18" t="s">
        <v>503</v>
      </c>
      <c r="B224" s="94" t="s">
        <v>74</v>
      </c>
      <c r="C224" s="94" t="s">
        <v>75</v>
      </c>
      <c r="D224" s="94" t="s">
        <v>53</v>
      </c>
    </row>
    <row r="225" spans="1:4" ht="29.25" thickBot="1" x14ac:dyDescent="0.35">
      <c r="A225" s="18" t="s">
        <v>504</v>
      </c>
      <c r="B225" s="94" t="s">
        <v>74</v>
      </c>
      <c r="C225" s="94" t="s">
        <v>75</v>
      </c>
      <c r="D225" s="94" t="s">
        <v>53</v>
      </c>
    </row>
    <row r="226" spans="1:4" ht="29.25" thickBot="1" x14ac:dyDescent="0.35">
      <c r="A226" s="18" t="s">
        <v>505</v>
      </c>
      <c r="B226" s="94" t="s">
        <v>74</v>
      </c>
      <c r="C226" s="94" t="s">
        <v>75</v>
      </c>
      <c r="D226" s="94" t="s">
        <v>53</v>
      </c>
    </row>
    <row r="227" spans="1:4" ht="17.25" thickBot="1" x14ac:dyDescent="0.35">
      <c r="A227" s="18" t="s">
        <v>506</v>
      </c>
      <c r="B227" s="94" t="s">
        <v>74</v>
      </c>
      <c r="C227" s="94" t="s">
        <v>75</v>
      </c>
      <c r="D227" s="94" t="s">
        <v>53</v>
      </c>
    </row>
    <row r="228" spans="1:4" ht="19.5" customHeight="1" thickBot="1" x14ac:dyDescent="0.35">
      <c r="A228" s="18" t="s">
        <v>507</v>
      </c>
      <c r="B228" s="94" t="s">
        <v>74</v>
      </c>
      <c r="C228" s="94" t="s">
        <v>75</v>
      </c>
      <c r="D228" s="94" t="s">
        <v>53</v>
      </c>
    </row>
    <row r="229" spans="1:4" ht="29.25" thickBot="1" x14ac:dyDescent="0.35">
      <c r="A229" s="18" t="s">
        <v>508</v>
      </c>
      <c r="B229" s="94" t="s">
        <v>74</v>
      </c>
      <c r="C229" s="94" t="s">
        <v>75</v>
      </c>
      <c r="D229" s="94" t="s">
        <v>53</v>
      </c>
    </row>
    <row r="230" spans="1:4" ht="29.25" thickBot="1" x14ac:dyDescent="0.35">
      <c r="A230" s="18" t="s">
        <v>509</v>
      </c>
      <c r="B230" s="94" t="s">
        <v>74</v>
      </c>
      <c r="C230" s="94" t="s">
        <v>75</v>
      </c>
      <c r="D230" s="94" t="s">
        <v>53</v>
      </c>
    </row>
    <row r="231" spans="1:4" ht="29.25" thickBot="1" x14ac:dyDescent="0.35">
      <c r="A231" s="18" t="s">
        <v>510</v>
      </c>
      <c r="B231" s="94" t="s">
        <v>74</v>
      </c>
      <c r="C231" s="94" t="s">
        <v>75</v>
      </c>
      <c r="D231" s="94" t="s">
        <v>53</v>
      </c>
    </row>
    <row r="232" spans="1:4" ht="29.25" thickBot="1" x14ac:dyDescent="0.35">
      <c r="A232" s="18" t="s">
        <v>511</v>
      </c>
      <c r="B232" s="94" t="s">
        <v>74</v>
      </c>
      <c r="C232" s="94" t="s">
        <v>75</v>
      </c>
      <c r="D232" s="94" t="s">
        <v>53</v>
      </c>
    </row>
    <row r="233" spans="1:4" ht="17.25" thickBot="1" x14ac:dyDescent="0.35">
      <c r="A233" s="18" t="s">
        <v>512</v>
      </c>
      <c r="B233" s="94" t="s">
        <v>74</v>
      </c>
      <c r="C233" s="94" t="s">
        <v>75</v>
      </c>
      <c r="D233" s="70"/>
    </row>
    <row r="234" spans="1:4" ht="29.25" thickBot="1" x14ac:dyDescent="0.35">
      <c r="A234" s="18" t="s">
        <v>513</v>
      </c>
      <c r="B234" s="94" t="s">
        <v>74</v>
      </c>
      <c r="C234" s="94" t="s">
        <v>75</v>
      </c>
      <c r="D234" s="94" t="s">
        <v>53</v>
      </c>
    </row>
    <row r="235" spans="1:4" ht="29.25" thickBot="1" x14ac:dyDescent="0.35">
      <c r="A235" s="18" t="s">
        <v>514</v>
      </c>
      <c r="B235" s="94" t="s">
        <v>74</v>
      </c>
      <c r="C235" s="94" t="s">
        <v>75</v>
      </c>
      <c r="D235" s="94" t="s">
        <v>53</v>
      </c>
    </row>
    <row r="236" spans="1:4" ht="29.25" thickBot="1" x14ac:dyDescent="0.35">
      <c r="A236" s="18" t="s">
        <v>515</v>
      </c>
      <c r="B236" s="94" t="s">
        <v>74</v>
      </c>
      <c r="C236" s="94" t="s">
        <v>75</v>
      </c>
      <c r="D236" s="94" t="s">
        <v>53</v>
      </c>
    </row>
    <row r="237" spans="1:4" ht="63" customHeight="1" thickBot="1" x14ac:dyDescent="0.35">
      <c r="A237" s="126" t="s">
        <v>92</v>
      </c>
      <c r="B237" s="126"/>
      <c r="C237" s="126"/>
      <c r="D237" s="126"/>
    </row>
    <row r="238" spans="1:4" ht="17.25" thickBot="1" x14ac:dyDescent="0.35">
      <c r="A238" s="18" t="s">
        <v>516</v>
      </c>
      <c r="B238" s="94" t="s">
        <v>74</v>
      </c>
      <c r="C238" s="94" t="s">
        <v>75</v>
      </c>
    </row>
    <row r="239" spans="1:4" ht="32.25" customHeight="1" thickBot="1" x14ac:dyDescent="0.35">
      <c r="A239" s="122" t="s">
        <v>517</v>
      </c>
      <c r="B239" s="123"/>
      <c r="C239" s="124"/>
    </row>
    <row r="240" spans="1:4" ht="17.25" thickBot="1" x14ac:dyDescent="0.35">
      <c r="A240" s="33" t="s">
        <v>65</v>
      </c>
      <c r="B240" s="92"/>
    </row>
    <row r="241" spans="1:3" ht="17.25" thickBot="1" x14ac:dyDescent="0.35">
      <c r="A241" s="33" t="s">
        <v>66</v>
      </c>
      <c r="B241" s="92"/>
    </row>
    <row r="242" spans="1:3" ht="17.25" thickBot="1" x14ac:dyDescent="0.35">
      <c r="A242" s="33" t="s">
        <v>67</v>
      </c>
      <c r="B242" s="92"/>
    </row>
    <row r="243" spans="1:3" ht="17.25" thickBot="1" x14ac:dyDescent="0.35">
      <c r="A243" s="122" t="s">
        <v>518</v>
      </c>
      <c r="B243" s="123"/>
      <c r="C243" s="124"/>
    </row>
    <row r="244" spans="1:3" ht="17.25" thickBot="1" x14ac:dyDescent="0.35">
      <c r="A244" s="33" t="s">
        <v>68</v>
      </c>
      <c r="B244" s="92"/>
    </row>
    <row r="245" spans="1:3" ht="17.25" thickBot="1" x14ac:dyDescent="0.35">
      <c r="A245" s="33" t="s">
        <v>69</v>
      </c>
      <c r="B245" s="92"/>
    </row>
    <row r="246" spans="1:3" ht="17.25" thickBot="1" x14ac:dyDescent="0.35">
      <c r="A246" s="33" t="s">
        <v>70</v>
      </c>
      <c r="B246" s="92"/>
    </row>
    <row r="247" spans="1:3" ht="17.25" thickBot="1" x14ac:dyDescent="0.35">
      <c r="A247" s="33" t="s">
        <v>65</v>
      </c>
      <c r="B247" s="92"/>
    </row>
    <row r="248" spans="1:3" ht="17.25" thickBot="1" x14ac:dyDescent="0.35">
      <c r="A248" s="33" t="s">
        <v>66</v>
      </c>
      <c r="B248" s="92"/>
    </row>
    <row r="249" spans="1:3" ht="17.25" thickBot="1" x14ac:dyDescent="0.35">
      <c r="A249" s="33" t="s">
        <v>67</v>
      </c>
      <c r="B249" s="92"/>
    </row>
    <row r="250" spans="1:3" ht="17.25" thickBot="1" x14ac:dyDescent="0.35">
      <c r="A250" s="33" t="s">
        <v>71</v>
      </c>
      <c r="B250" s="92"/>
    </row>
    <row r="251" spans="1:3" ht="17.25" thickBot="1" x14ac:dyDescent="0.35">
      <c r="A251" s="33" t="s">
        <v>72</v>
      </c>
      <c r="B251" s="92"/>
    </row>
    <row r="252" spans="1:3" ht="17.25" thickBot="1" x14ac:dyDescent="0.35">
      <c r="A252" s="18" t="s">
        <v>519</v>
      </c>
      <c r="B252" s="120" t="s">
        <v>53</v>
      </c>
      <c r="C252" s="121"/>
    </row>
    <row r="253" spans="1:3" ht="32.25" thickBot="1" x14ac:dyDescent="0.35">
      <c r="A253" s="18" t="s">
        <v>520</v>
      </c>
      <c r="B253" s="120" t="s">
        <v>53</v>
      </c>
      <c r="C253" s="121"/>
    </row>
    <row r="254" spans="1:3" ht="32.25" thickBot="1" x14ac:dyDescent="0.35">
      <c r="A254" s="18" t="s">
        <v>521</v>
      </c>
      <c r="B254" s="120" t="s">
        <v>53</v>
      </c>
      <c r="C254" s="121"/>
    </row>
    <row r="255" spans="1:3" x14ac:dyDescent="0.3">
      <c r="A255" s="14"/>
    </row>
  </sheetData>
  <sheetProtection password="8080" sheet="1" objects="1" scenarios="1"/>
  <mergeCells count="69">
    <mergeCell ref="E74:E75"/>
    <mergeCell ref="H70:H71"/>
    <mergeCell ref="E66:E67"/>
    <mergeCell ref="H66:H67"/>
    <mergeCell ref="E70:E71"/>
    <mergeCell ref="A1:D1"/>
    <mergeCell ref="A66:A67"/>
    <mergeCell ref="B66:B67"/>
    <mergeCell ref="C66:C67"/>
    <mergeCell ref="B13:D13"/>
    <mergeCell ref="A13:A14"/>
    <mergeCell ref="B47:D47"/>
    <mergeCell ref="B48:D48"/>
    <mergeCell ref="A7:B7"/>
    <mergeCell ref="A59:C59"/>
    <mergeCell ref="B51:C51"/>
    <mergeCell ref="A65:C65"/>
    <mergeCell ref="I66:I67"/>
    <mergeCell ref="J66:J67"/>
    <mergeCell ref="K66:K67"/>
    <mergeCell ref="B90:C90"/>
    <mergeCell ref="B70:B71"/>
    <mergeCell ref="J70:J71"/>
    <mergeCell ref="K70:K71"/>
    <mergeCell ref="D66:D67"/>
    <mergeCell ref="I70:I71"/>
    <mergeCell ref="B78:D78"/>
    <mergeCell ref="H74:H75"/>
    <mergeCell ref="I74:I75"/>
    <mergeCell ref="J74:J75"/>
    <mergeCell ref="K74:K75"/>
    <mergeCell ref="C70:C71"/>
    <mergeCell ref="D70:D71"/>
    <mergeCell ref="I125:I126"/>
    <mergeCell ref="J125:J126"/>
    <mergeCell ref="K125:K126"/>
    <mergeCell ref="A129:A130"/>
    <mergeCell ref="B129:B130"/>
    <mergeCell ref="H125:H126"/>
    <mergeCell ref="K129:K130"/>
    <mergeCell ref="E125:E126"/>
    <mergeCell ref="A125:A126"/>
    <mergeCell ref="B125:B126"/>
    <mergeCell ref="C125:C126"/>
    <mergeCell ref="D125:D126"/>
    <mergeCell ref="J129:J130"/>
    <mergeCell ref="C129:C130"/>
    <mergeCell ref="D129:D130"/>
    <mergeCell ref="E129:E130"/>
    <mergeCell ref="H129:H130"/>
    <mergeCell ref="I129:I130"/>
    <mergeCell ref="B252:C252"/>
    <mergeCell ref="B253:C253"/>
    <mergeCell ref="B254:C254"/>
    <mergeCell ref="A243:C243"/>
    <mergeCell ref="A194:C194"/>
    <mergeCell ref="A200:C200"/>
    <mergeCell ref="A212:C212"/>
    <mergeCell ref="A239:C239"/>
    <mergeCell ref="A237:D237"/>
    <mergeCell ref="A176:C176"/>
    <mergeCell ref="A120:D120"/>
    <mergeCell ref="A124:D124"/>
    <mergeCell ref="A150:C150"/>
    <mergeCell ref="A70:A71"/>
    <mergeCell ref="A74:A75"/>
    <mergeCell ref="B74:B75"/>
    <mergeCell ref="C74:C75"/>
    <mergeCell ref="D74:D75"/>
  </mergeCells>
  <hyperlinks>
    <hyperlink ref="A4" r:id="rId1"/>
    <hyperlink ref="A2" location="'TITLE PAGE'!A1" display="Back to Main Menu"/>
  </hyperlinks>
  <pageMargins left="0.25" right="0.25" top="0.25" bottom="0.25" header="0.3" footer="0.3"/>
  <pageSetup scale="60" fitToHeight="0" orientation="landscape" r:id="rId2"/>
  <rowBreaks count="2" manualBreakCount="2">
    <brk id="63" max="16383" man="1"/>
    <brk id="236" max="16383" man="1"/>
  </rowBreaks>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M88"/>
  <sheetViews>
    <sheetView showGridLines="0" zoomScaleNormal="100" workbookViewId="0">
      <pane ySplit="2" topLeftCell="A3" activePane="bottomLeft" state="frozen"/>
      <selection pane="bottomLeft" activeCell="A2" sqref="A2"/>
    </sheetView>
  </sheetViews>
  <sheetFormatPr defaultRowHeight="16.5" x14ac:dyDescent="0.3"/>
  <cols>
    <col min="1" max="1" width="89.75" customWidth="1"/>
    <col min="2" max="4" width="11.625" customWidth="1"/>
    <col min="5" max="5" width="10" bestFit="1" customWidth="1"/>
    <col min="6" max="6" width="7.375" bestFit="1" customWidth="1"/>
    <col min="7" max="7" width="10.125" bestFit="1" customWidth="1"/>
    <col min="8" max="8" width="10.875" bestFit="1" customWidth="1"/>
    <col min="9" max="9" width="9.5" bestFit="1" customWidth="1"/>
    <col min="10" max="10" width="7" customWidth="1"/>
    <col min="11" max="11" width="7.5" bestFit="1" customWidth="1"/>
    <col min="12" max="12" width="17.5" bestFit="1" customWidth="1"/>
  </cols>
  <sheetData>
    <row r="1" spans="1:4" s="62" customFormat="1" ht="23.25" x14ac:dyDescent="0.35">
      <c r="A1" s="64" t="s">
        <v>534</v>
      </c>
    </row>
    <row r="2" spans="1:4" s="62" customFormat="1" ht="17.25" thickBot="1" x14ac:dyDescent="0.35">
      <c r="A2" s="63" t="s">
        <v>334</v>
      </c>
    </row>
    <row r="3" spans="1:4" ht="25.5" customHeight="1" thickBot="1" x14ac:dyDescent="0.35">
      <c r="A3" s="67" t="s">
        <v>21</v>
      </c>
      <c r="B3" s="142"/>
      <c r="C3" s="143"/>
      <c r="D3" s="144"/>
    </row>
    <row r="4" spans="1:4" ht="36" customHeight="1" thickBot="1" x14ac:dyDescent="0.35">
      <c r="A4" s="16" t="s">
        <v>24</v>
      </c>
      <c r="B4" s="15"/>
      <c r="C4" s="15"/>
      <c r="D4" s="15"/>
    </row>
    <row r="5" spans="1:4" ht="17.25" thickBot="1" x14ac:dyDescent="0.35">
      <c r="A5" s="18" t="s">
        <v>27</v>
      </c>
      <c r="B5" s="92"/>
      <c r="C5" s="15"/>
      <c r="D5" s="15"/>
    </row>
    <row r="6" spans="1:4" ht="17.25" thickBot="1" x14ac:dyDescent="0.35">
      <c r="A6" s="17" t="s">
        <v>25</v>
      </c>
      <c r="B6" s="92"/>
      <c r="C6" s="15"/>
      <c r="D6" s="15"/>
    </row>
    <row r="7" spans="1:4" ht="17.25" thickBot="1" x14ac:dyDescent="0.35">
      <c r="A7" s="17" t="s">
        <v>26</v>
      </c>
      <c r="B7" s="92"/>
      <c r="C7" s="15"/>
      <c r="D7" s="15"/>
    </row>
    <row r="8" spans="1:4" ht="36" customHeight="1" thickBot="1" x14ac:dyDescent="0.35">
      <c r="A8" s="81" t="s">
        <v>342</v>
      </c>
      <c r="B8" s="14"/>
      <c r="C8" s="14"/>
      <c r="D8" s="14"/>
    </row>
    <row r="9" spans="1:4" ht="17.25" thickBot="1" x14ac:dyDescent="0.35">
      <c r="A9" s="135" t="s">
        <v>28</v>
      </c>
      <c r="B9" s="132" t="s">
        <v>313</v>
      </c>
      <c r="C9" s="133"/>
      <c r="D9" s="134"/>
    </row>
    <row r="10" spans="1:4" ht="17.25" thickBot="1" x14ac:dyDescent="0.35">
      <c r="A10" s="136"/>
      <c r="B10" s="57" t="s">
        <v>29</v>
      </c>
      <c r="C10" s="57" t="s">
        <v>30</v>
      </c>
      <c r="D10" s="57" t="s">
        <v>31</v>
      </c>
    </row>
    <row r="11" spans="1:4" ht="17.25" thickBot="1" x14ac:dyDescent="0.35">
      <c r="A11" s="17" t="s">
        <v>32</v>
      </c>
      <c r="B11" s="93"/>
      <c r="C11" s="93"/>
      <c r="D11" s="93"/>
    </row>
    <row r="12" spans="1:4" ht="17.25" thickBot="1" x14ac:dyDescent="0.35">
      <c r="A12" s="17" t="s">
        <v>33</v>
      </c>
      <c r="B12" s="94"/>
      <c r="C12" s="94"/>
      <c r="D12" s="94"/>
    </row>
    <row r="13" spans="1:4" ht="17.25" thickBot="1" x14ac:dyDescent="0.35">
      <c r="A13" s="17" t="s">
        <v>34</v>
      </c>
      <c r="B13" s="94"/>
      <c r="C13" s="94"/>
      <c r="D13" s="94"/>
    </row>
    <row r="14" spans="1:4" ht="17.25" thickBot="1" x14ac:dyDescent="0.35">
      <c r="A14" s="17" t="s">
        <v>35</v>
      </c>
      <c r="B14" s="94"/>
      <c r="C14" s="94"/>
      <c r="D14" s="94"/>
    </row>
    <row r="15" spans="1:4" ht="17.25" thickBot="1" x14ac:dyDescent="0.35">
      <c r="A15" s="17" t="s">
        <v>36</v>
      </c>
      <c r="B15" s="94"/>
      <c r="C15" s="94"/>
      <c r="D15" s="94"/>
    </row>
    <row r="16" spans="1:4" ht="17.25" thickBot="1" x14ac:dyDescent="0.35">
      <c r="A16" s="17" t="s">
        <v>37</v>
      </c>
      <c r="B16" s="94"/>
      <c r="C16" s="94"/>
      <c r="D16" s="94"/>
    </row>
    <row r="17" spans="1:5" ht="17.25" thickBot="1" x14ac:dyDescent="0.35">
      <c r="A17" s="17" t="s">
        <v>38</v>
      </c>
      <c r="B17" s="94"/>
      <c r="C17" s="94"/>
      <c r="D17" s="94"/>
    </row>
    <row r="18" spans="1:5" ht="17.25" thickBot="1" x14ac:dyDescent="0.35">
      <c r="A18" s="17" t="s">
        <v>39</v>
      </c>
      <c r="B18" s="94"/>
      <c r="C18" s="94"/>
      <c r="D18" s="94"/>
    </row>
    <row r="19" spans="1:5" ht="17.25" thickBot="1" x14ac:dyDescent="0.35">
      <c r="A19" s="17" t="s">
        <v>40</v>
      </c>
      <c r="B19" s="94"/>
      <c r="C19" s="94"/>
      <c r="D19" s="94"/>
    </row>
    <row r="20" spans="1:5" ht="17.25" thickBot="1" x14ac:dyDescent="0.35">
      <c r="A20" s="17" t="s">
        <v>41</v>
      </c>
      <c r="B20" s="94"/>
      <c r="C20" s="94"/>
      <c r="D20" s="94"/>
    </row>
    <row r="21" spans="1:5" ht="17.25" thickBot="1" x14ac:dyDescent="0.35">
      <c r="A21" s="17" t="s">
        <v>42</v>
      </c>
      <c r="B21" s="94"/>
      <c r="C21" s="94"/>
      <c r="D21" s="94"/>
    </row>
    <row r="22" spans="1:5" ht="17.25" thickBot="1" x14ac:dyDescent="0.35">
      <c r="A22" s="17" t="s">
        <v>43</v>
      </c>
      <c r="B22" s="94"/>
      <c r="C22" s="94"/>
      <c r="D22" s="94"/>
    </row>
    <row r="23" spans="1:5" ht="17.25" thickBot="1" x14ac:dyDescent="0.35">
      <c r="A23" s="17" t="s">
        <v>44</v>
      </c>
      <c r="B23" s="94"/>
      <c r="C23" s="94"/>
      <c r="D23" s="94"/>
    </row>
    <row r="24" spans="1:5" ht="17.25" thickBot="1" x14ac:dyDescent="0.35">
      <c r="A24" s="17" t="s">
        <v>45</v>
      </c>
      <c r="B24" s="94"/>
      <c r="C24" s="94"/>
      <c r="D24" s="94"/>
    </row>
    <row r="25" spans="1:5" ht="17.25" thickBot="1" x14ac:dyDescent="0.35">
      <c r="A25" s="17" t="s">
        <v>46</v>
      </c>
      <c r="B25" s="94"/>
      <c r="C25" s="94"/>
      <c r="D25" s="94"/>
    </row>
    <row r="26" spans="1:5" ht="17.25" thickBot="1" x14ac:dyDescent="0.35">
      <c r="A26" s="17" t="s">
        <v>47</v>
      </c>
      <c r="B26" s="94"/>
      <c r="C26" s="94"/>
      <c r="D26" s="94"/>
    </row>
    <row r="27" spans="1:5" ht="17.25" thickBot="1" x14ac:dyDescent="0.35">
      <c r="A27" s="17" t="s">
        <v>48</v>
      </c>
      <c r="B27" s="94"/>
      <c r="C27" s="94"/>
      <c r="D27" s="94"/>
    </row>
    <row r="28" spans="1:5" ht="17.25" thickBot="1" x14ac:dyDescent="0.35">
      <c r="A28" s="17" t="s">
        <v>49</v>
      </c>
      <c r="B28" s="94"/>
      <c r="C28" s="94"/>
      <c r="D28" s="94"/>
    </row>
    <row r="29" spans="1:5" ht="17.25" thickBot="1" x14ac:dyDescent="0.35">
      <c r="A29" s="17" t="s">
        <v>50</v>
      </c>
      <c r="B29" s="94"/>
      <c r="C29" s="94"/>
      <c r="D29" s="94"/>
    </row>
    <row r="30" spans="1:5" ht="17.25" thickBot="1" x14ac:dyDescent="0.35">
      <c r="A30" s="17" t="s">
        <v>51</v>
      </c>
      <c r="B30" s="94"/>
      <c r="C30" s="94"/>
      <c r="D30" s="94"/>
    </row>
    <row r="31" spans="1:5" ht="17.25" thickBot="1" x14ac:dyDescent="0.35">
      <c r="A31" s="17" t="s">
        <v>73</v>
      </c>
      <c r="B31" s="94"/>
      <c r="C31" s="94"/>
      <c r="D31" s="94"/>
    </row>
    <row r="32" spans="1:5" ht="17.25" thickBot="1" x14ac:dyDescent="0.35">
      <c r="A32" s="76" t="s">
        <v>52</v>
      </c>
      <c r="B32" s="94"/>
      <c r="C32" s="94"/>
      <c r="D32" s="94"/>
      <c r="E32" s="75"/>
    </row>
    <row r="33" spans="1:12" ht="17.25" thickBot="1" x14ac:dyDescent="0.35">
      <c r="A33" s="17" t="s">
        <v>343</v>
      </c>
      <c r="B33" s="94"/>
      <c r="C33" s="94"/>
      <c r="D33" s="94"/>
      <c r="E33" s="84"/>
      <c r="F33" s="14"/>
      <c r="G33" s="14"/>
      <c r="H33" s="14"/>
      <c r="I33" s="14"/>
      <c r="J33" s="14"/>
      <c r="K33" s="14"/>
      <c r="L33" s="14"/>
    </row>
    <row r="34" spans="1:12" ht="17.25" thickBot="1" x14ac:dyDescent="0.35">
      <c r="A34" s="17" t="s">
        <v>361</v>
      </c>
      <c r="B34" s="94"/>
      <c r="C34" s="94"/>
      <c r="D34" s="94"/>
      <c r="E34" s="84"/>
      <c r="F34" s="14"/>
      <c r="G34" s="14"/>
      <c r="H34" s="14"/>
      <c r="I34" s="14"/>
      <c r="J34" s="14"/>
      <c r="K34" s="14"/>
      <c r="L34" s="14"/>
    </row>
    <row r="35" spans="1:12" ht="17.25" thickBot="1" x14ac:dyDescent="0.35">
      <c r="A35" s="17" t="s">
        <v>362</v>
      </c>
      <c r="B35" s="94"/>
      <c r="C35" s="94"/>
      <c r="D35" s="94"/>
      <c r="E35" s="84"/>
      <c r="F35" s="14"/>
      <c r="G35" s="14"/>
      <c r="H35" s="14"/>
      <c r="I35" s="14"/>
      <c r="J35" s="14"/>
      <c r="K35" s="14"/>
      <c r="L35" s="14"/>
    </row>
    <row r="36" spans="1:12" ht="17.25" thickBot="1" x14ac:dyDescent="0.35">
      <c r="A36" s="17" t="s">
        <v>363</v>
      </c>
      <c r="B36" s="94"/>
      <c r="C36" s="94"/>
      <c r="D36" s="94"/>
      <c r="E36" s="84"/>
      <c r="F36" s="14"/>
      <c r="G36" s="14"/>
      <c r="H36" s="14"/>
      <c r="I36" s="14"/>
      <c r="J36" s="14"/>
      <c r="K36" s="14"/>
      <c r="L36" s="14"/>
    </row>
    <row r="37" spans="1:12" ht="17.25" thickBot="1" x14ac:dyDescent="0.35">
      <c r="A37" s="17" t="s">
        <v>364</v>
      </c>
      <c r="B37" s="94"/>
      <c r="C37" s="94"/>
      <c r="D37" s="94"/>
      <c r="E37" s="84"/>
      <c r="F37" s="14"/>
      <c r="G37" s="14"/>
      <c r="H37" s="14"/>
      <c r="I37" s="14"/>
      <c r="J37" s="14"/>
      <c r="K37" s="14"/>
      <c r="L37" s="14"/>
    </row>
    <row r="38" spans="1:12" ht="17.25" thickBot="1" x14ac:dyDescent="0.35">
      <c r="A38" s="17" t="s">
        <v>365</v>
      </c>
      <c r="B38" s="94"/>
      <c r="C38" s="94"/>
      <c r="D38" s="94"/>
      <c r="E38" s="14"/>
      <c r="F38" s="14"/>
      <c r="G38" s="14"/>
      <c r="H38" s="14"/>
      <c r="I38" s="14"/>
      <c r="J38" s="14"/>
      <c r="K38" s="14"/>
      <c r="L38" s="14"/>
    </row>
    <row r="39" spans="1:12" ht="17.25" thickBot="1" x14ac:dyDescent="0.35">
      <c r="A39" s="17" t="s">
        <v>366</v>
      </c>
      <c r="B39" s="94"/>
      <c r="C39" s="94"/>
      <c r="D39" s="94"/>
      <c r="E39" s="14"/>
      <c r="F39" s="14"/>
      <c r="G39" s="14"/>
      <c r="H39" s="14"/>
      <c r="I39" s="14"/>
      <c r="J39" s="14"/>
      <c r="K39" s="14"/>
      <c r="L39" s="14"/>
    </row>
    <row r="40" spans="1:12" ht="17.25" thickBot="1" x14ac:dyDescent="0.35">
      <c r="A40" s="17" t="s">
        <v>367</v>
      </c>
      <c r="B40" s="94"/>
      <c r="C40" s="94"/>
      <c r="D40" s="94"/>
      <c r="E40" s="14"/>
      <c r="F40" s="14"/>
      <c r="G40" s="14"/>
      <c r="H40" s="14"/>
      <c r="I40" s="14"/>
      <c r="J40" s="14"/>
      <c r="K40" s="14"/>
      <c r="L40" s="14"/>
    </row>
    <row r="41" spans="1:12" ht="17.25" thickBot="1" x14ac:dyDescent="0.35">
      <c r="A41" s="17" t="s">
        <v>368</v>
      </c>
      <c r="B41" s="94"/>
      <c r="C41" s="94"/>
      <c r="D41" s="94"/>
      <c r="E41" s="14"/>
      <c r="F41" s="14"/>
      <c r="G41" s="14"/>
      <c r="H41" s="14"/>
      <c r="I41" s="14"/>
      <c r="J41" s="14"/>
      <c r="K41" s="14"/>
      <c r="L41" s="14"/>
    </row>
    <row r="42" spans="1:12" ht="17.25" thickBot="1" x14ac:dyDescent="0.35">
      <c r="A42" s="17" t="s">
        <v>369</v>
      </c>
      <c r="B42" s="94"/>
      <c r="C42" s="94"/>
      <c r="D42" s="94"/>
      <c r="E42" s="14"/>
      <c r="F42" s="14"/>
      <c r="G42" s="14"/>
      <c r="H42" s="14"/>
      <c r="I42" s="14"/>
      <c r="J42" s="14"/>
      <c r="K42" s="14"/>
      <c r="L42" s="14"/>
    </row>
    <row r="43" spans="1:12" ht="17.25" thickBot="1" x14ac:dyDescent="0.35">
      <c r="A43" s="17" t="s">
        <v>370</v>
      </c>
      <c r="B43" s="120" t="s">
        <v>53</v>
      </c>
      <c r="C43" s="137"/>
      <c r="D43" s="121"/>
      <c r="E43" s="14"/>
      <c r="F43" s="14"/>
      <c r="G43" s="14"/>
      <c r="H43" s="14"/>
      <c r="I43" s="14"/>
      <c r="J43" s="14"/>
      <c r="K43" s="14"/>
      <c r="L43" s="14"/>
    </row>
    <row r="44" spans="1:12" ht="17.25" thickBot="1" x14ac:dyDescent="0.35">
      <c r="A44" s="17" t="s">
        <v>371</v>
      </c>
      <c r="B44" s="120" t="s">
        <v>53</v>
      </c>
      <c r="C44" s="137"/>
      <c r="D44" s="121"/>
      <c r="E44" s="14"/>
      <c r="F44" s="14"/>
      <c r="G44" s="14"/>
      <c r="H44" s="14"/>
      <c r="I44" s="14"/>
      <c r="J44" s="14"/>
      <c r="K44" s="14"/>
      <c r="L44" s="14"/>
    </row>
    <row r="45" spans="1:12" ht="36" customHeight="1" x14ac:dyDescent="0.3">
      <c r="A45" s="16" t="s">
        <v>330</v>
      </c>
      <c r="B45" s="15"/>
      <c r="C45" s="15"/>
      <c r="D45" s="15"/>
      <c r="E45" s="15"/>
      <c r="F45" s="15"/>
      <c r="G45" s="15"/>
      <c r="H45" s="15"/>
      <c r="I45" s="15"/>
      <c r="J45" s="15"/>
      <c r="K45" s="15"/>
      <c r="L45" s="15"/>
    </row>
    <row r="46" spans="1:12" ht="33" customHeight="1" thickBot="1" x14ac:dyDescent="0.35">
      <c r="A46" s="139" t="s">
        <v>329</v>
      </c>
      <c r="B46" s="139"/>
      <c r="C46" s="139"/>
      <c r="D46" s="15"/>
      <c r="E46" s="15"/>
      <c r="F46" s="15"/>
      <c r="G46" s="15"/>
      <c r="H46" s="15"/>
      <c r="I46" s="15"/>
      <c r="J46" s="15"/>
      <c r="K46" s="15"/>
      <c r="L46" s="15"/>
    </row>
    <row r="47" spans="1:12" ht="32.25" thickBot="1" x14ac:dyDescent="0.35">
      <c r="A47" s="77"/>
      <c r="B47" s="78" t="s">
        <v>80</v>
      </c>
      <c r="C47" s="78" t="s">
        <v>81</v>
      </c>
      <c r="D47" s="78" t="s">
        <v>82</v>
      </c>
      <c r="E47" s="15"/>
      <c r="F47" s="15"/>
      <c r="G47" s="15"/>
      <c r="H47" s="15"/>
      <c r="I47" s="15"/>
      <c r="J47" s="15"/>
      <c r="K47" s="15"/>
      <c r="L47" s="15"/>
    </row>
    <row r="48" spans="1:12" ht="32.25" thickBot="1" x14ac:dyDescent="0.35">
      <c r="A48" s="18" t="s">
        <v>383</v>
      </c>
      <c r="B48" s="94"/>
      <c r="C48" s="94"/>
      <c r="D48" s="95"/>
      <c r="E48" s="15"/>
      <c r="F48" s="15"/>
      <c r="G48" s="15"/>
      <c r="H48" s="15"/>
      <c r="I48" s="15"/>
      <c r="J48" s="15"/>
      <c r="K48" s="15"/>
      <c r="L48" s="15"/>
    </row>
    <row r="49" spans="1:13" ht="17.25" thickBot="1" x14ac:dyDescent="0.35">
      <c r="A49" s="17" t="s">
        <v>384</v>
      </c>
      <c r="B49" s="96"/>
      <c r="C49" s="96"/>
      <c r="D49" s="96"/>
      <c r="E49" s="84"/>
      <c r="F49" s="15"/>
      <c r="G49" s="15"/>
      <c r="H49" s="15"/>
      <c r="I49" s="15"/>
      <c r="J49" s="15"/>
      <c r="K49" s="15"/>
      <c r="L49" s="15"/>
    </row>
    <row r="50" spans="1:13" ht="17.25" thickBot="1" x14ac:dyDescent="0.35">
      <c r="A50" s="17" t="s">
        <v>385</v>
      </c>
      <c r="B50" s="96"/>
      <c r="C50" s="96"/>
      <c r="D50" s="96"/>
      <c r="E50" s="84"/>
      <c r="F50" s="15"/>
      <c r="G50" s="15"/>
      <c r="H50" s="15"/>
      <c r="I50" s="15"/>
      <c r="J50" s="15"/>
      <c r="K50" s="15"/>
      <c r="L50" s="15"/>
    </row>
    <row r="51" spans="1:13" ht="36" customHeight="1" x14ac:dyDescent="0.3">
      <c r="A51" s="16" t="s">
        <v>315</v>
      </c>
      <c r="B51" s="15"/>
      <c r="C51" s="15"/>
      <c r="D51" s="15"/>
      <c r="E51" s="15"/>
      <c r="F51" s="15"/>
      <c r="G51" s="15"/>
      <c r="H51" s="15"/>
      <c r="I51" s="15"/>
      <c r="J51" s="15"/>
      <c r="K51" s="15"/>
      <c r="L51" s="15"/>
    </row>
    <row r="52" spans="1:13" ht="36.75" customHeight="1" thickBot="1" x14ac:dyDescent="0.35">
      <c r="A52" s="139" t="s">
        <v>314</v>
      </c>
      <c r="B52" s="139"/>
      <c r="C52" s="139"/>
      <c r="D52" s="15"/>
      <c r="E52" s="15"/>
      <c r="F52" s="15"/>
      <c r="G52" s="15"/>
      <c r="H52" s="15"/>
      <c r="I52" s="15"/>
      <c r="J52" s="15"/>
      <c r="K52" s="15"/>
      <c r="L52" s="15"/>
    </row>
    <row r="53" spans="1:13" ht="17.25" thickBot="1" x14ac:dyDescent="0.35">
      <c r="A53" s="112"/>
      <c r="B53" s="114" t="s">
        <v>8</v>
      </c>
      <c r="C53" s="116" t="s">
        <v>9</v>
      </c>
      <c r="D53" s="116" t="s">
        <v>10</v>
      </c>
      <c r="E53" s="116" t="s">
        <v>11</v>
      </c>
      <c r="F53" s="22" t="s">
        <v>0</v>
      </c>
      <c r="G53" s="22" t="s">
        <v>2</v>
      </c>
      <c r="H53" s="116" t="s">
        <v>4</v>
      </c>
      <c r="I53" s="116" t="s">
        <v>5</v>
      </c>
      <c r="J53" s="116" t="s">
        <v>6</v>
      </c>
      <c r="K53" s="116" t="s">
        <v>7</v>
      </c>
      <c r="L53" s="21" t="s">
        <v>54</v>
      </c>
    </row>
    <row r="54" spans="1:13" ht="17.25" thickBot="1" x14ac:dyDescent="0.35">
      <c r="A54" s="113"/>
      <c r="B54" s="115"/>
      <c r="C54" s="117"/>
      <c r="D54" s="117"/>
      <c r="E54" s="117"/>
      <c r="F54" s="23" t="s">
        <v>1</v>
      </c>
      <c r="G54" s="23" t="s">
        <v>3</v>
      </c>
      <c r="H54" s="117"/>
      <c r="I54" s="117"/>
      <c r="J54" s="117"/>
      <c r="K54" s="117"/>
      <c r="L54" s="20"/>
    </row>
    <row r="55" spans="1:13" ht="17.25" thickBot="1" x14ac:dyDescent="0.35">
      <c r="A55" s="82" t="s">
        <v>386</v>
      </c>
      <c r="B55" s="24">
        <f>SUM(B11:D14)</f>
        <v>0</v>
      </c>
      <c r="C55" s="96">
        <v>0</v>
      </c>
      <c r="D55" s="96">
        <v>0</v>
      </c>
      <c r="E55" s="96">
        <v>0</v>
      </c>
      <c r="F55" s="96">
        <v>0</v>
      </c>
      <c r="G55" s="96">
        <v>0</v>
      </c>
      <c r="H55" s="96">
        <v>0</v>
      </c>
      <c r="I55" s="96">
        <v>0</v>
      </c>
      <c r="J55" s="96">
        <v>0</v>
      </c>
      <c r="K55" s="96">
        <v>0</v>
      </c>
      <c r="L55" s="25"/>
    </row>
    <row r="56" spans="1:13" ht="17.25" thickBot="1" x14ac:dyDescent="0.35">
      <c r="A56" s="15"/>
      <c r="B56" s="19"/>
      <c r="C56" s="8" t="str">
        <f>IF($B55=0,"0.00%",C55/$B55)</f>
        <v>0.00%</v>
      </c>
      <c r="D56" s="8" t="str">
        <f t="shared" ref="D56:K56" si="0">IF($B55=0,"0.00%",D55/$B55)</f>
        <v>0.00%</v>
      </c>
      <c r="E56" s="8" t="str">
        <f t="shared" si="0"/>
        <v>0.00%</v>
      </c>
      <c r="F56" s="8" t="str">
        <f t="shared" si="0"/>
        <v>0.00%</v>
      </c>
      <c r="G56" s="8" t="str">
        <f t="shared" si="0"/>
        <v>0.00%</v>
      </c>
      <c r="H56" s="8" t="str">
        <f t="shared" si="0"/>
        <v>0.00%</v>
      </c>
      <c r="I56" s="8" t="str">
        <f t="shared" si="0"/>
        <v>0.00%</v>
      </c>
      <c r="J56" s="8" t="str">
        <f t="shared" si="0"/>
        <v>0.00%</v>
      </c>
      <c r="K56" s="8" t="str">
        <f t="shared" si="0"/>
        <v>0.00%</v>
      </c>
      <c r="L56" s="26">
        <f>SUM(C56:K56)</f>
        <v>0</v>
      </c>
    </row>
    <row r="57" spans="1:13" x14ac:dyDescent="0.3">
      <c r="A57" s="112"/>
      <c r="B57" s="114" t="s">
        <v>8</v>
      </c>
      <c r="C57" s="116" t="s">
        <v>9</v>
      </c>
      <c r="D57" s="116" t="s">
        <v>10</v>
      </c>
      <c r="E57" s="116" t="s">
        <v>11</v>
      </c>
      <c r="F57" s="22" t="s">
        <v>0</v>
      </c>
      <c r="G57" s="22" t="s">
        <v>2</v>
      </c>
      <c r="H57" s="116" t="s">
        <v>4</v>
      </c>
      <c r="I57" s="116" t="s">
        <v>5</v>
      </c>
      <c r="J57" s="116" t="s">
        <v>6</v>
      </c>
      <c r="K57" s="116" t="s">
        <v>7</v>
      </c>
      <c r="L57" s="20"/>
    </row>
    <row r="58" spans="1:13" ht="17.25" thickBot="1" x14ac:dyDescent="0.35">
      <c r="A58" s="113"/>
      <c r="B58" s="115"/>
      <c r="C58" s="117"/>
      <c r="D58" s="117"/>
      <c r="E58" s="117"/>
      <c r="F58" s="23" t="s">
        <v>1</v>
      </c>
      <c r="G58" s="23" t="s">
        <v>3</v>
      </c>
      <c r="H58" s="117"/>
      <c r="I58" s="117"/>
      <c r="J58" s="117"/>
      <c r="K58" s="117"/>
      <c r="L58" s="20"/>
    </row>
    <row r="59" spans="1:13" ht="17.25" thickBot="1" x14ac:dyDescent="0.35">
      <c r="A59" s="18" t="s">
        <v>533</v>
      </c>
      <c r="B59" s="24">
        <f>SUM(B15:D17,B32:D32,B37:D37)</f>
        <v>0</v>
      </c>
      <c r="C59" s="96">
        <v>0</v>
      </c>
      <c r="D59" s="96">
        <v>0</v>
      </c>
      <c r="E59" s="96">
        <v>0</v>
      </c>
      <c r="F59" s="96">
        <v>0</v>
      </c>
      <c r="G59" s="96">
        <v>0</v>
      </c>
      <c r="H59" s="96">
        <v>0</v>
      </c>
      <c r="I59" s="96">
        <v>0</v>
      </c>
      <c r="J59" s="96">
        <v>0</v>
      </c>
      <c r="K59" s="96">
        <v>0</v>
      </c>
      <c r="L59" s="25"/>
    </row>
    <row r="60" spans="1:13" ht="17.25" thickBot="1" x14ac:dyDescent="0.35">
      <c r="A60" s="15"/>
      <c r="B60" s="19"/>
      <c r="C60" s="8" t="str">
        <f>IF($B59=0,"0.00%",C59/$B59)</f>
        <v>0.00%</v>
      </c>
      <c r="D60" s="8" t="str">
        <f t="shared" ref="D60:K60" si="1">IF($B59=0,"0.00%",D59/$B59)</f>
        <v>0.00%</v>
      </c>
      <c r="E60" s="8" t="str">
        <f t="shared" si="1"/>
        <v>0.00%</v>
      </c>
      <c r="F60" s="8" t="str">
        <f t="shared" si="1"/>
        <v>0.00%</v>
      </c>
      <c r="G60" s="8" t="str">
        <f t="shared" si="1"/>
        <v>0.00%</v>
      </c>
      <c r="H60" s="8" t="str">
        <f t="shared" si="1"/>
        <v>0.00%</v>
      </c>
      <c r="I60" s="8" t="str">
        <f t="shared" si="1"/>
        <v>0.00%</v>
      </c>
      <c r="J60" s="8" t="str">
        <f t="shared" si="1"/>
        <v>0.00%</v>
      </c>
      <c r="K60" s="8" t="str">
        <f t="shared" si="1"/>
        <v>0.00%</v>
      </c>
      <c r="L60" s="26">
        <f>SUM(C60:K60)</f>
        <v>0</v>
      </c>
    </row>
    <row r="61" spans="1:13" x14ac:dyDescent="0.3">
      <c r="A61" s="112"/>
      <c r="B61" s="114" t="s">
        <v>8</v>
      </c>
      <c r="C61" s="116" t="s">
        <v>9</v>
      </c>
      <c r="D61" s="116" t="s">
        <v>10</v>
      </c>
      <c r="E61" s="116" t="s">
        <v>11</v>
      </c>
      <c r="F61" s="22" t="s">
        <v>0</v>
      </c>
      <c r="G61" s="22" t="s">
        <v>2</v>
      </c>
      <c r="H61" s="116" t="s">
        <v>4</v>
      </c>
      <c r="I61" s="116" t="s">
        <v>5</v>
      </c>
      <c r="J61" s="116" t="s">
        <v>6</v>
      </c>
      <c r="K61" s="116" t="s">
        <v>7</v>
      </c>
      <c r="L61" s="20"/>
    </row>
    <row r="62" spans="1:13" ht="17.25" thickBot="1" x14ac:dyDescent="0.35">
      <c r="A62" s="113"/>
      <c r="B62" s="115"/>
      <c r="C62" s="117"/>
      <c r="D62" s="117"/>
      <c r="E62" s="117"/>
      <c r="F62" s="23" t="s">
        <v>1</v>
      </c>
      <c r="G62" s="23" t="s">
        <v>3</v>
      </c>
      <c r="H62" s="117"/>
      <c r="I62" s="117"/>
      <c r="J62" s="117"/>
      <c r="K62" s="117"/>
      <c r="L62" s="20"/>
    </row>
    <row r="63" spans="1:13" ht="17.25" thickBot="1" x14ac:dyDescent="0.35">
      <c r="A63" s="18" t="s">
        <v>387</v>
      </c>
      <c r="B63" s="24">
        <f>SUM(B33:D36)</f>
        <v>0</v>
      </c>
      <c r="C63" s="96">
        <v>0</v>
      </c>
      <c r="D63" s="96">
        <v>0</v>
      </c>
      <c r="E63" s="96">
        <v>0</v>
      </c>
      <c r="F63" s="96">
        <v>0</v>
      </c>
      <c r="G63" s="96">
        <v>0</v>
      </c>
      <c r="H63" s="96">
        <v>0</v>
      </c>
      <c r="I63" s="96">
        <v>0</v>
      </c>
      <c r="J63" s="96">
        <v>0</v>
      </c>
      <c r="K63" s="96">
        <v>0</v>
      </c>
      <c r="L63" s="25"/>
      <c r="M63" s="84" t="s">
        <v>381</v>
      </c>
    </row>
    <row r="64" spans="1:13" ht="17.25" thickBot="1" x14ac:dyDescent="0.35">
      <c r="A64" s="15"/>
      <c r="B64" s="19"/>
      <c r="C64" s="8" t="str">
        <f>IF($B63=0,"0.00%",C63/$B63)</f>
        <v>0.00%</v>
      </c>
      <c r="D64" s="8" t="str">
        <f t="shared" ref="D64:K64" si="2">IF($B63=0,"0.00%",D63/$B63)</f>
        <v>0.00%</v>
      </c>
      <c r="E64" s="8" t="str">
        <f t="shared" si="2"/>
        <v>0.00%</v>
      </c>
      <c r="F64" s="8" t="str">
        <f t="shared" si="2"/>
        <v>0.00%</v>
      </c>
      <c r="G64" s="8" t="str">
        <f t="shared" si="2"/>
        <v>0.00%</v>
      </c>
      <c r="H64" s="8" t="str">
        <f t="shared" si="2"/>
        <v>0.00%</v>
      </c>
      <c r="I64" s="8" t="str">
        <f t="shared" si="2"/>
        <v>0.00%</v>
      </c>
      <c r="J64" s="8" t="str">
        <f t="shared" si="2"/>
        <v>0.00%</v>
      </c>
      <c r="K64" s="8" t="str">
        <f t="shared" si="2"/>
        <v>0.00%</v>
      </c>
      <c r="L64" s="26">
        <f>SUM(C64:K64)</f>
        <v>0</v>
      </c>
    </row>
    <row r="65" spans="1:12" ht="36" customHeight="1" thickBot="1" x14ac:dyDescent="0.35">
      <c r="A65" s="16" t="s">
        <v>57</v>
      </c>
    </row>
    <row r="66" spans="1:12" ht="32.25" thickBot="1" x14ac:dyDescent="0.35">
      <c r="A66" s="18" t="s">
        <v>23</v>
      </c>
      <c r="B66" s="58" t="s">
        <v>80</v>
      </c>
      <c r="C66" s="58" t="s">
        <v>81</v>
      </c>
      <c r="D66" s="58" t="s">
        <v>82</v>
      </c>
    </row>
    <row r="67" spans="1:12" ht="17.25" thickBot="1" x14ac:dyDescent="0.35">
      <c r="A67" s="17" t="s">
        <v>416</v>
      </c>
      <c r="B67" s="92"/>
      <c r="C67" s="92"/>
      <c r="D67" s="92"/>
      <c r="E67" s="14"/>
    </row>
    <row r="68" spans="1:12" ht="17.25" thickBot="1" x14ac:dyDescent="0.35">
      <c r="A68" s="17" t="s">
        <v>417</v>
      </c>
      <c r="B68" s="92"/>
      <c r="C68" s="92"/>
      <c r="D68" s="92"/>
      <c r="E68" s="14"/>
    </row>
    <row r="69" spans="1:12" ht="17.25" thickBot="1" x14ac:dyDescent="0.35">
      <c r="A69" s="17" t="s">
        <v>418</v>
      </c>
      <c r="B69" s="92"/>
      <c r="C69" s="92"/>
      <c r="D69" s="92"/>
      <c r="E69" s="85"/>
    </row>
    <row r="70" spans="1:12" ht="17.25" thickBot="1" x14ac:dyDescent="0.35">
      <c r="A70" s="17" t="s">
        <v>419</v>
      </c>
      <c r="B70" s="92"/>
      <c r="C70" s="92"/>
      <c r="D70" s="92"/>
      <c r="E70" s="85"/>
    </row>
    <row r="71" spans="1:12" ht="17.25" thickBot="1" x14ac:dyDescent="0.35">
      <c r="A71" s="17" t="s">
        <v>420</v>
      </c>
      <c r="B71" s="92"/>
      <c r="C71" s="92"/>
      <c r="D71" s="92"/>
      <c r="E71" s="14"/>
    </row>
    <row r="72" spans="1:12" ht="17.25" thickBot="1" x14ac:dyDescent="0.35">
      <c r="A72" s="17" t="s">
        <v>421</v>
      </c>
      <c r="B72" s="92"/>
      <c r="C72" s="92"/>
      <c r="D72" s="92"/>
      <c r="E72" s="14"/>
    </row>
    <row r="73" spans="1:12" ht="17.25" thickBot="1" x14ac:dyDescent="0.35">
      <c r="A73" s="17" t="s">
        <v>422</v>
      </c>
      <c r="B73" s="92"/>
      <c r="C73" s="92"/>
      <c r="D73" s="92"/>
      <c r="E73" s="14"/>
    </row>
    <row r="74" spans="1:12" ht="17.25" thickBot="1" x14ac:dyDescent="0.35">
      <c r="A74" s="17" t="s">
        <v>423</v>
      </c>
      <c r="B74" s="92"/>
      <c r="C74" s="92"/>
      <c r="D74" s="92"/>
      <c r="E74" s="14"/>
    </row>
    <row r="75" spans="1:12" ht="17.25" thickBot="1" x14ac:dyDescent="0.35">
      <c r="A75" s="108" t="s">
        <v>22</v>
      </c>
      <c r="B75" s="108"/>
      <c r="C75" s="108"/>
      <c r="D75" s="109"/>
      <c r="E75" s="14"/>
    </row>
    <row r="76" spans="1:12" ht="17.25" thickBot="1" x14ac:dyDescent="0.35">
      <c r="A76" s="18" t="s">
        <v>424</v>
      </c>
      <c r="B76" s="92"/>
      <c r="C76" s="92"/>
      <c r="D76" s="92"/>
      <c r="E76" s="14"/>
    </row>
    <row r="77" spans="1:12" ht="17.25" thickBot="1" x14ac:dyDescent="0.35">
      <c r="A77" s="17" t="s">
        <v>425</v>
      </c>
      <c r="B77" s="92"/>
      <c r="C77" s="92"/>
      <c r="D77" s="92"/>
      <c r="E77" s="14"/>
    </row>
    <row r="78" spans="1:12" ht="36" customHeight="1" x14ac:dyDescent="0.3">
      <c r="A78" s="1" t="s">
        <v>85</v>
      </c>
    </row>
    <row r="79" spans="1:12" ht="34.5" customHeight="1" thickBot="1" x14ac:dyDescent="0.35">
      <c r="A79" s="110" t="s">
        <v>86</v>
      </c>
      <c r="B79" s="110"/>
      <c r="C79" s="110"/>
      <c r="D79" s="110"/>
    </row>
    <row r="80" spans="1:12" ht="17.25" thickBot="1" x14ac:dyDescent="0.35">
      <c r="A80" s="127"/>
      <c r="B80" s="128" t="s">
        <v>8</v>
      </c>
      <c r="C80" s="118" t="s">
        <v>9</v>
      </c>
      <c r="D80" s="118" t="s">
        <v>10</v>
      </c>
      <c r="E80" s="118" t="s">
        <v>11</v>
      </c>
      <c r="F80" s="79" t="s">
        <v>0</v>
      </c>
      <c r="G80" s="79" t="s">
        <v>2</v>
      </c>
      <c r="H80" s="118" t="s">
        <v>4</v>
      </c>
      <c r="I80" s="118" t="s">
        <v>5</v>
      </c>
      <c r="J80" s="118" t="s">
        <v>6</v>
      </c>
      <c r="K80" s="118" t="s">
        <v>7</v>
      </c>
      <c r="L80" s="4" t="s">
        <v>12</v>
      </c>
    </row>
    <row r="81" spans="1:12" ht="17.25" thickBot="1" x14ac:dyDescent="0.35">
      <c r="A81" s="127"/>
      <c r="B81" s="129"/>
      <c r="C81" s="119"/>
      <c r="D81" s="119"/>
      <c r="E81" s="119"/>
      <c r="F81" s="80" t="s">
        <v>1</v>
      </c>
      <c r="G81" s="80" t="s">
        <v>3</v>
      </c>
      <c r="H81" s="119"/>
      <c r="I81" s="119"/>
      <c r="J81" s="119"/>
      <c r="K81" s="119"/>
      <c r="L81" s="3"/>
    </row>
    <row r="82" spans="1:12" ht="17.25" thickBot="1" x14ac:dyDescent="0.35">
      <c r="A82" s="83" t="s">
        <v>426</v>
      </c>
      <c r="B82" s="7">
        <f>SUM(B69:D69)</f>
        <v>0</v>
      </c>
      <c r="C82" s="99">
        <v>0</v>
      </c>
      <c r="D82" s="99">
        <v>0</v>
      </c>
      <c r="E82" s="99">
        <v>0</v>
      </c>
      <c r="F82" s="99">
        <v>0</v>
      </c>
      <c r="G82" s="99">
        <v>0</v>
      </c>
      <c r="H82" s="99">
        <v>0</v>
      </c>
      <c r="I82" s="99">
        <v>0</v>
      </c>
      <c r="J82" s="99">
        <v>0</v>
      </c>
      <c r="K82" s="99">
        <v>0</v>
      </c>
      <c r="L82" s="10"/>
    </row>
    <row r="83" spans="1:12" ht="17.25" thickBot="1" x14ac:dyDescent="0.35">
      <c r="A83" s="2"/>
      <c r="B83" s="2"/>
      <c r="C83" s="8" t="str">
        <f>IF($B82=0,"0.00%",C82/$B82)</f>
        <v>0.00%</v>
      </c>
      <c r="D83" s="8" t="str">
        <f t="shared" ref="D83:K83" si="3">IF($B82=0,"0.00%",D82/$B82)</f>
        <v>0.00%</v>
      </c>
      <c r="E83" s="8" t="str">
        <f t="shared" si="3"/>
        <v>0.00%</v>
      </c>
      <c r="F83" s="8" t="str">
        <f t="shared" si="3"/>
        <v>0.00%</v>
      </c>
      <c r="G83" s="8" t="str">
        <f t="shared" si="3"/>
        <v>0.00%</v>
      </c>
      <c r="H83" s="8" t="str">
        <f t="shared" si="3"/>
        <v>0.00%</v>
      </c>
      <c r="I83" s="8" t="str">
        <f t="shared" si="3"/>
        <v>0.00%</v>
      </c>
      <c r="J83" s="8" t="str">
        <f t="shared" si="3"/>
        <v>0.00%</v>
      </c>
      <c r="K83" s="8" t="str">
        <f t="shared" si="3"/>
        <v>0.00%</v>
      </c>
      <c r="L83" s="9">
        <f>SUM(C83:K83)</f>
        <v>0</v>
      </c>
    </row>
    <row r="84" spans="1:12" x14ac:dyDescent="0.3">
      <c r="A84" s="127"/>
      <c r="B84" s="128" t="s">
        <v>8</v>
      </c>
      <c r="C84" s="118" t="s">
        <v>9</v>
      </c>
      <c r="D84" s="118" t="s">
        <v>10</v>
      </c>
      <c r="E84" s="118" t="s">
        <v>11</v>
      </c>
      <c r="F84" s="79" t="s">
        <v>0</v>
      </c>
      <c r="G84" s="79" t="s">
        <v>2</v>
      </c>
      <c r="H84" s="118" t="s">
        <v>4</v>
      </c>
      <c r="I84" s="118" t="s">
        <v>5</v>
      </c>
      <c r="J84" s="118" t="s">
        <v>6</v>
      </c>
      <c r="K84" s="118" t="s">
        <v>7</v>
      </c>
      <c r="L84" s="3"/>
    </row>
    <row r="85" spans="1:12" ht="17.25" thickBot="1" x14ac:dyDescent="0.35">
      <c r="A85" s="127"/>
      <c r="B85" s="129"/>
      <c r="C85" s="119"/>
      <c r="D85" s="119"/>
      <c r="E85" s="119"/>
      <c r="F85" s="80" t="s">
        <v>1</v>
      </c>
      <c r="G85" s="80" t="s">
        <v>3</v>
      </c>
      <c r="H85" s="119"/>
      <c r="I85" s="119"/>
      <c r="J85" s="119"/>
      <c r="K85" s="119"/>
      <c r="L85" s="3"/>
    </row>
    <row r="86" spans="1:12" ht="17.25" thickBot="1" x14ac:dyDescent="0.35">
      <c r="A86" s="83" t="s">
        <v>427</v>
      </c>
      <c r="B86" s="7">
        <f>SUM(B67:D67)</f>
        <v>0</v>
      </c>
      <c r="C86" s="99">
        <v>0</v>
      </c>
      <c r="D86" s="99">
        <v>0</v>
      </c>
      <c r="E86" s="99">
        <v>0</v>
      </c>
      <c r="F86" s="99">
        <v>0</v>
      </c>
      <c r="G86" s="99">
        <v>0</v>
      </c>
      <c r="H86" s="99">
        <v>0</v>
      </c>
      <c r="I86" s="99">
        <v>0</v>
      </c>
      <c r="J86" s="99">
        <v>0</v>
      </c>
      <c r="K86" s="99">
        <v>0</v>
      </c>
      <c r="L86" s="10"/>
    </row>
    <row r="87" spans="1:12" ht="17.25" thickBot="1" x14ac:dyDescent="0.35">
      <c r="B87" s="2"/>
      <c r="C87" s="8" t="str">
        <f>IF($B86=0,"0.00%",C86/$B86)</f>
        <v>0.00%</v>
      </c>
      <c r="D87" s="8" t="str">
        <f t="shared" ref="D87:K87" si="4">IF($B86=0,"0.00%",D86/$B86)</f>
        <v>0.00%</v>
      </c>
      <c r="E87" s="8" t="str">
        <f t="shared" si="4"/>
        <v>0.00%</v>
      </c>
      <c r="F87" s="8" t="str">
        <f t="shared" si="4"/>
        <v>0.00%</v>
      </c>
      <c r="G87" s="8" t="str">
        <f t="shared" si="4"/>
        <v>0.00%</v>
      </c>
      <c r="H87" s="8" t="str">
        <f t="shared" si="4"/>
        <v>0.00%</v>
      </c>
      <c r="I87" s="8" t="str">
        <f t="shared" si="4"/>
        <v>0.00%</v>
      </c>
      <c r="J87" s="8" t="str">
        <f t="shared" si="4"/>
        <v>0.00%</v>
      </c>
      <c r="K87" s="8" t="str">
        <f t="shared" si="4"/>
        <v>0.00%</v>
      </c>
      <c r="L87" s="9">
        <f>SUM(C87:K87)</f>
        <v>0</v>
      </c>
    </row>
    <row r="88" spans="1:12" x14ac:dyDescent="0.3">
      <c r="A88" s="14"/>
    </row>
  </sheetData>
  <sheetProtection password="8080" sheet="1" objects="1" scenarios="1"/>
  <mergeCells count="54">
    <mergeCell ref="B3:D3"/>
    <mergeCell ref="J84:J85"/>
    <mergeCell ref="K84:K85"/>
    <mergeCell ref="I80:I81"/>
    <mergeCell ref="J80:J81"/>
    <mergeCell ref="K80:K81"/>
    <mergeCell ref="H84:H85"/>
    <mergeCell ref="I84:I85"/>
    <mergeCell ref="H80:H81"/>
    <mergeCell ref="J61:J62"/>
    <mergeCell ref="K61:K62"/>
    <mergeCell ref="A75:D75"/>
    <mergeCell ref="A79:D79"/>
    <mergeCell ref="I57:I58"/>
    <mergeCell ref="J57:J58"/>
    <mergeCell ref="K57:K58"/>
    <mergeCell ref="A84:A85"/>
    <mergeCell ref="B84:B85"/>
    <mergeCell ref="C84:C85"/>
    <mergeCell ref="D84:D85"/>
    <mergeCell ref="E84:E85"/>
    <mergeCell ref="A80:A81"/>
    <mergeCell ref="B80:B81"/>
    <mergeCell ref="C80:C81"/>
    <mergeCell ref="D80:D81"/>
    <mergeCell ref="E80:E81"/>
    <mergeCell ref="H61:H62"/>
    <mergeCell ref="I61:I62"/>
    <mergeCell ref="A57:A58"/>
    <mergeCell ref="B57:B58"/>
    <mergeCell ref="C57:C58"/>
    <mergeCell ref="D57:D58"/>
    <mergeCell ref="E57:E58"/>
    <mergeCell ref="H57:H58"/>
    <mergeCell ref="A61:A62"/>
    <mergeCell ref="B61:B62"/>
    <mergeCell ref="C61:C62"/>
    <mergeCell ref="D61:D62"/>
    <mergeCell ref="E61:E62"/>
    <mergeCell ref="A9:A10"/>
    <mergeCell ref="B9:D9"/>
    <mergeCell ref="B43:D43"/>
    <mergeCell ref="B44:D44"/>
    <mergeCell ref="K53:K54"/>
    <mergeCell ref="A46:C46"/>
    <mergeCell ref="A52:C52"/>
    <mergeCell ref="A53:A54"/>
    <mergeCell ref="B53:B54"/>
    <mergeCell ref="C53:C54"/>
    <mergeCell ref="D53:D54"/>
    <mergeCell ref="E53:E54"/>
    <mergeCell ref="H53:H54"/>
    <mergeCell ref="I53:I54"/>
    <mergeCell ref="J53:J54"/>
  </mergeCells>
  <hyperlinks>
    <hyperlink ref="A2" location="'TITLE PAGE'!A1" display="Back to Main Menu"/>
  </hyperlinks>
  <pageMargins left="0.25" right="0.25" top="0.25" bottom="0.25" header="0.3" footer="0.3"/>
  <pageSetup scale="60" fitToHeight="0" orientation="landscape" r:id="rId1"/>
  <rowBreaks count="1" manualBreakCount="1">
    <brk id="50" max="16383"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
  <sheetViews>
    <sheetView showGridLines="0" workbookViewId="0">
      <pane ySplit="2" topLeftCell="A3" activePane="bottomLeft" state="frozen"/>
      <selection pane="bottomLeft" activeCell="A2" sqref="A2"/>
    </sheetView>
  </sheetViews>
  <sheetFormatPr defaultRowHeight="16.5" x14ac:dyDescent="0.3"/>
  <cols>
    <col min="1" max="1" width="82.625" style="11" customWidth="1"/>
  </cols>
  <sheetData>
    <row r="1" spans="1:1" s="62" customFormat="1" ht="23.25" x14ac:dyDescent="0.35">
      <c r="A1" s="64" t="s">
        <v>335</v>
      </c>
    </row>
    <row r="2" spans="1:1" s="62" customFormat="1" x14ac:dyDescent="0.3">
      <c r="A2" s="63" t="s">
        <v>334</v>
      </c>
    </row>
    <row r="3" spans="1:1" ht="18.75" x14ac:dyDescent="0.3">
      <c r="A3" s="13"/>
    </row>
    <row r="4" spans="1:1" ht="56.25" x14ac:dyDescent="0.3">
      <c r="A4" s="12" t="s">
        <v>13</v>
      </c>
    </row>
    <row r="5" spans="1:1" ht="18.75" x14ac:dyDescent="0.3">
      <c r="A5" s="13"/>
    </row>
    <row r="6" spans="1:1" ht="37.5" x14ac:dyDescent="0.3">
      <c r="A6" s="12" t="s">
        <v>14</v>
      </c>
    </row>
    <row r="7" spans="1:1" ht="18.75" x14ac:dyDescent="0.3">
      <c r="A7" s="13"/>
    </row>
    <row r="8" spans="1:1" ht="37.5" x14ac:dyDescent="0.3">
      <c r="A8" s="12" t="s">
        <v>15</v>
      </c>
    </row>
    <row r="9" spans="1:1" ht="18.75" x14ac:dyDescent="0.3">
      <c r="A9" s="13"/>
    </row>
    <row r="10" spans="1:1" ht="37.5" x14ac:dyDescent="0.3">
      <c r="A10" s="12" t="s">
        <v>16</v>
      </c>
    </row>
    <row r="11" spans="1:1" ht="18.75" x14ac:dyDescent="0.3">
      <c r="A11" s="13"/>
    </row>
    <row r="12" spans="1:1" ht="37.5" x14ac:dyDescent="0.3">
      <c r="A12" s="12" t="s">
        <v>17</v>
      </c>
    </row>
    <row r="13" spans="1:1" ht="18.75" x14ac:dyDescent="0.3">
      <c r="A13" s="13"/>
    </row>
    <row r="14" spans="1:1" ht="37.5" x14ac:dyDescent="0.3">
      <c r="A14" s="12" t="s">
        <v>18</v>
      </c>
    </row>
    <row r="15" spans="1:1" ht="18.75" x14ac:dyDescent="0.3">
      <c r="A15" s="13"/>
    </row>
    <row r="16" spans="1:1" ht="56.25" x14ac:dyDescent="0.3">
      <c r="A16" s="12" t="s">
        <v>19</v>
      </c>
    </row>
    <row r="17" spans="1:1" ht="18.75" x14ac:dyDescent="0.3">
      <c r="A17" s="13"/>
    </row>
    <row r="18" spans="1:1" ht="37.5" x14ac:dyDescent="0.3">
      <c r="A18" s="12" t="s">
        <v>20</v>
      </c>
    </row>
  </sheetData>
  <sheetProtection password="8080" sheet="1" objects="1" scenarios="1"/>
  <hyperlinks>
    <hyperlink ref="A2" location="'TITLE PAGE'!A1" display="Back to Main Menu"/>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4"/>
  <sheetViews>
    <sheetView showGridLines="0" zoomScaleNormal="100" workbookViewId="0">
      <pane ySplit="7" topLeftCell="A8" activePane="bottomLeft" state="frozen"/>
      <selection pane="bottomLeft" activeCell="A2" sqref="A2:B2"/>
    </sheetView>
  </sheetViews>
  <sheetFormatPr defaultRowHeight="16.5" x14ac:dyDescent="0.3"/>
  <cols>
    <col min="1" max="1" width="13.625" customWidth="1"/>
    <col min="2" max="4" width="13.625" style="39" customWidth="1"/>
    <col min="5" max="7" width="13.625" style="32" customWidth="1"/>
    <col min="8" max="10" width="15" style="32" customWidth="1"/>
    <col min="11" max="17" width="13.625" style="32" customWidth="1"/>
    <col min="18" max="18" width="15" style="32" customWidth="1"/>
    <col min="19" max="23" width="13.625" style="32" customWidth="1"/>
    <col min="24" max="24" width="17.125" style="32" customWidth="1"/>
    <col min="25" max="25" width="17.375" style="32" customWidth="1"/>
  </cols>
  <sheetData>
    <row r="1" spans="1:25" s="62" customFormat="1" ht="23.25" customHeight="1" x14ac:dyDescent="0.3">
      <c r="A1" s="147" t="s">
        <v>94</v>
      </c>
      <c r="B1" s="147"/>
      <c r="C1" s="147"/>
      <c r="D1" s="147"/>
      <c r="E1" s="147"/>
      <c r="F1" s="147"/>
      <c r="G1" s="147"/>
      <c r="H1" s="147"/>
      <c r="I1" s="147"/>
      <c r="J1" s="65"/>
      <c r="K1" s="65"/>
      <c r="L1" s="65"/>
      <c r="M1" s="65"/>
      <c r="N1" s="65"/>
      <c r="O1" s="65"/>
      <c r="P1" s="65"/>
      <c r="Q1" s="65"/>
      <c r="R1" s="65"/>
      <c r="S1" s="65"/>
      <c r="T1" s="65"/>
      <c r="U1" s="65"/>
      <c r="V1" s="65"/>
      <c r="W1" s="65"/>
      <c r="X1" s="65"/>
      <c r="Y1" s="65"/>
    </row>
    <row r="2" spans="1:25" s="62" customFormat="1" x14ac:dyDescent="0.3">
      <c r="A2" s="149" t="s">
        <v>334</v>
      </c>
      <c r="B2" s="149"/>
      <c r="C2" s="74"/>
      <c r="D2" s="74"/>
    </row>
    <row r="3" spans="1:25" x14ac:dyDescent="0.3">
      <c r="B3"/>
      <c r="C3"/>
      <c r="D3"/>
    </row>
    <row r="4" spans="1:25" ht="18.75" x14ac:dyDescent="0.3">
      <c r="A4" s="148" t="s">
        <v>95</v>
      </c>
      <c r="B4" s="148"/>
      <c r="C4" s="73"/>
      <c r="D4" s="73"/>
      <c r="E4" s="34"/>
      <c r="K4" s="34"/>
    </row>
    <row r="5" spans="1:25" s="41" customFormat="1" ht="19.5" thickBot="1" x14ac:dyDescent="0.35">
      <c r="A5" s="41" t="s">
        <v>468</v>
      </c>
      <c r="B5" s="42">
        <v>37</v>
      </c>
      <c r="C5" s="42">
        <v>120</v>
      </c>
      <c r="D5" s="42">
        <v>121</v>
      </c>
      <c r="E5" s="41">
        <v>153</v>
      </c>
      <c r="F5" s="41">
        <v>154</v>
      </c>
      <c r="G5" s="41">
        <v>155</v>
      </c>
      <c r="H5" s="41">
        <v>156</v>
      </c>
      <c r="I5" s="41" t="s">
        <v>523</v>
      </c>
      <c r="J5" s="41">
        <v>159</v>
      </c>
      <c r="K5" s="41">
        <v>160</v>
      </c>
      <c r="L5" s="41">
        <v>163</v>
      </c>
      <c r="M5" s="41">
        <v>164</v>
      </c>
      <c r="N5" s="41">
        <v>165</v>
      </c>
      <c r="O5" s="41" t="s">
        <v>524</v>
      </c>
      <c r="P5" s="41">
        <v>168</v>
      </c>
      <c r="Q5" s="41">
        <v>169</v>
      </c>
      <c r="R5" s="41">
        <v>170</v>
      </c>
      <c r="S5" s="41">
        <v>171</v>
      </c>
      <c r="T5" s="41">
        <v>173</v>
      </c>
      <c r="U5" s="41">
        <v>174</v>
      </c>
      <c r="V5" s="41">
        <v>175</v>
      </c>
      <c r="W5" s="41">
        <v>179</v>
      </c>
      <c r="X5" s="41">
        <v>180</v>
      </c>
      <c r="Y5" s="41">
        <v>181</v>
      </c>
    </row>
    <row r="6" spans="1:25" ht="29.25" customHeight="1" x14ac:dyDescent="0.3">
      <c r="A6" s="145" t="s">
        <v>96</v>
      </c>
      <c r="B6" s="145" t="s">
        <v>96</v>
      </c>
      <c r="C6" s="145" t="s">
        <v>344</v>
      </c>
      <c r="D6" s="145" t="s">
        <v>345</v>
      </c>
      <c r="E6" s="145" t="s">
        <v>338</v>
      </c>
      <c r="F6" s="145" t="s">
        <v>97</v>
      </c>
      <c r="G6" s="145" t="s">
        <v>98</v>
      </c>
      <c r="H6" s="145" t="s">
        <v>99</v>
      </c>
      <c r="I6" s="145" t="s">
        <v>100</v>
      </c>
      <c r="J6" s="145" t="s">
        <v>101</v>
      </c>
      <c r="K6" s="145" t="s">
        <v>339</v>
      </c>
      <c r="L6" s="145" t="s">
        <v>102</v>
      </c>
      <c r="M6" s="145" t="s">
        <v>103</v>
      </c>
      <c r="N6" s="145" t="s">
        <v>104</v>
      </c>
      <c r="O6" s="145" t="s">
        <v>105</v>
      </c>
      <c r="P6" s="145" t="s">
        <v>106</v>
      </c>
      <c r="Q6" s="145" t="s">
        <v>107</v>
      </c>
      <c r="R6" s="145" t="s">
        <v>108</v>
      </c>
      <c r="S6" s="145" t="s">
        <v>109</v>
      </c>
      <c r="T6" s="145" t="s">
        <v>110</v>
      </c>
      <c r="U6" s="145" t="s">
        <v>111</v>
      </c>
      <c r="V6" s="145" t="s">
        <v>112</v>
      </c>
      <c r="W6" s="145" t="s">
        <v>113</v>
      </c>
      <c r="X6" s="145" t="s">
        <v>114</v>
      </c>
      <c r="Y6" s="145" t="s">
        <v>115</v>
      </c>
    </row>
    <row r="7" spans="1:25" ht="35.25" customHeight="1" thickBot="1" x14ac:dyDescent="0.35">
      <c r="A7" s="146"/>
      <c r="B7" s="146"/>
      <c r="C7" s="146"/>
      <c r="D7" s="146"/>
      <c r="E7" s="146"/>
      <c r="F7" s="146"/>
      <c r="G7" s="146"/>
      <c r="H7" s="146"/>
      <c r="I7" s="146"/>
      <c r="J7" s="146"/>
      <c r="K7" s="146"/>
      <c r="L7" s="146"/>
      <c r="M7" s="146"/>
      <c r="N7" s="146"/>
      <c r="O7" s="146"/>
      <c r="P7" s="146"/>
      <c r="Q7" s="146"/>
      <c r="R7" s="146"/>
      <c r="S7" s="146"/>
      <c r="T7" s="146"/>
      <c r="U7" s="146"/>
      <c r="V7" s="146"/>
      <c r="W7" s="146"/>
      <c r="X7" s="146"/>
      <c r="Y7" s="146"/>
    </row>
    <row r="8" spans="1:25" ht="30" customHeight="1" thickTop="1" x14ac:dyDescent="0.3">
      <c r="A8" s="35" t="s">
        <v>116</v>
      </c>
      <c r="B8" s="38" t="s">
        <v>116</v>
      </c>
      <c r="C8" s="38" t="s">
        <v>347</v>
      </c>
      <c r="D8" s="38" t="s">
        <v>357</v>
      </c>
      <c r="E8" s="35" t="s">
        <v>117</v>
      </c>
      <c r="F8" s="35" t="s">
        <v>118</v>
      </c>
      <c r="G8" s="35" t="s">
        <v>119</v>
      </c>
      <c r="H8" s="35" t="s">
        <v>120</v>
      </c>
      <c r="I8" s="35" t="s">
        <v>121</v>
      </c>
      <c r="J8" s="36" t="s">
        <v>122</v>
      </c>
      <c r="K8" s="35" t="s">
        <v>117</v>
      </c>
      <c r="L8" s="35" t="s">
        <v>123</v>
      </c>
      <c r="M8" s="35" t="s">
        <v>124</v>
      </c>
      <c r="N8" s="35" t="s">
        <v>125</v>
      </c>
      <c r="O8" s="37" t="s">
        <v>126</v>
      </c>
      <c r="P8" s="35" t="s">
        <v>127</v>
      </c>
      <c r="Q8" s="35" t="s">
        <v>128</v>
      </c>
      <c r="R8" s="35" t="s">
        <v>129</v>
      </c>
      <c r="S8" s="35" t="s">
        <v>130</v>
      </c>
      <c r="T8" s="35" t="s">
        <v>131</v>
      </c>
      <c r="U8" s="35" t="s">
        <v>132</v>
      </c>
      <c r="V8" s="35" t="s">
        <v>133</v>
      </c>
      <c r="W8" s="35" t="s">
        <v>68</v>
      </c>
      <c r="X8" s="35" t="s">
        <v>134</v>
      </c>
      <c r="Y8" s="35" t="s">
        <v>135</v>
      </c>
    </row>
    <row r="9" spans="1:25" ht="45" x14ac:dyDescent="0.3">
      <c r="A9" s="36" t="s">
        <v>136</v>
      </c>
      <c r="B9" s="37" t="s">
        <v>136</v>
      </c>
      <c r="C9" s="37" t="s">
        <v>352</v>
      </c>
      <c r="D9" s="37" t="s">
        <v>358</v>
      </c>
      <c r="E9" s="36" t="s">
        <v>137</v>
      </c>
      <c r="F9" s="36" t="s">
        <v>138</v>
      </c>
      <c r="G9" s="36" t="s">
        <v>139</v>
      </c>
      <c r="H9" s="36" t="s">
        <v>140</v>
      </c>
      <c r="I9" s="35" t="s">
        <v>141</v>
      </c>
      <c r="J9" s="35" t="s">
        <v>142</v>
      </c>
      <c r="K9" s="36" t="s">
        <v>137</v>
      </c>
      <c r="L9" s="37" t="s">
        <v>143</v>
      </c>
      <c r="M9" s="36" t="s">
        <v>144</v>
      </c>
      <c r="N9" s="36" t="s">
        <v>145</v>
      </c>
      <c r="O9" s="38" t="s">
        <v>146</v>
      </c>
      <c r="P9" s="36" t="s">
        <v>147</v>
      </c>
      <c r="Q9" s="36" t="s">
        <v>148</v>
      </c>
      <c r="R9" s="35" t="s">
        <v>149</v>
      </c>
      <c r="S9" s="36" t="s">
        <v>150</v>
      </c>
      <c r="T9" s="36" t="s">
        <v>151</v>
      </c>
      <c r="U9" s="36" t="s">
        <v>152</v>
      </c>
      <c r="V9" s="36" t="s">
        <v>153</v>
      </c>
      <c r="W9" s="36" t="s">
        <v>69</v>
      </c>
      <c r="X9" s="36" t="s">
        <v>154</v>
      </c>
      <c r="Y9" s="35" t="s">
        <v>134</v>
      </c>
    </row>
    <row r="10" spans="1:25" ht="45" customHeight="1" x14ac:dyDescent="0.3">
      <c r="A10" s="36" t="s">
        <v>155</v>
      </c>
      <c r="B10" s="37" t="s">
        <v>155</v>
      </c>
      <c r="C10" s="37" t="s">
        <v>348</v>
      </c>
      <c r="D10" s="37" t="s">
        <v>354</v>
      </c>
      <c r="E10" s="36" t="s">
        <v>118</v>
      </c>
      <c r="F10" s="36" t="s">
        <v>156</v>
      </c>
      <c r="G10" s="36" t="s">
        <v>157</v>
      </c>
      <c r="H10" s="36" t="s">
        <v>158</v>
      </c>
      <c r="I10" s="35" t="s">
        <v>159</v>
      </c>
      <c r="J10" s="35" t="s">
        <v>160</v>
      </c>
      <c r="K10" s="36" t="s">
        <v>118</v>
      </c>
      <c r="L10" s="36" t="s">
        <v>161</v>
      </c>
      <c r="M10" s="36" t="s">
        <v>162</v>
      </c>
      <c r="N10" s="36" t="s">
        <v>163</v>
      </c>
      <c r="O10" s="37" t="s">
        <v>164</v>
      </c>
      <c r="P10" s="36" t="s">
        <v>165</v>
      </c>
      <c r="Q10" s="36" t="s">
        <v>166</v>
      </c>
      <c r="R10" s="35" t="s">
        <v>167</v>
      </c>
      <c r="S10" s="36" t="s">
        <v>168</v>
      </c>
      <c r="T10" s="36" t="s">
        <v>169</v>
      </c>
      <c r="U10" s="36" t="s">
        <v>170</v>
      </c>
      <c r="V10" s="36" t="s">
        <v>171</v>
      </c>
      <c r="W10" s="36" t="s">
        <v>70</v>
      </c>
      <c r="X10" s="36" t="s">
        <v>172</v>
      </c>
      <c r="Y10" s="36" t="s">
        <v>154</v>
      </c>
    </row>
    <row r="11" spans="1:25" ht="56.25" customHeight="1" x14ac:dyDescent="0.3">
      <c r="A11" s="36" t="s">
        <v>173</v>
      </c>
      <c r="B11" s="37" t="s">
        <v>173</v>
      </c>
      <c r="C11" s="37" t="s">
        <v>350</v>
      </c>
      <c r="D11" s="37" t="s">
        <v>356</v>
      </c>
      <c r="E11" s="36" t="s">
        <v>174</v>
      </c>
      <c r="F11" s="36" t="s">
        <v>175</v>
      </c>
      <c r="G11" s="36" t="s">
        <v>176</v>
      </c>
      <c r="H11" s="36" t="s">
        <v>177</v>
      </c>
      <c r="I11" s="35" t="s">
        <v>178</v>
      </c>
      <c r="J11" s="36" t="s">
        <v>179</v>
      </c>
      <c r="K11" s="36" t="s">
        <v>174</v>
      </c>
      <c r="L11" s="36" t="s">
        <v>180</v>
      </c>
      <c r="M11" s="36" t="s">
        <v>181</v>
      </c>
      <c r="N11" s="36" t="s">
        <v>182</v>
      </c>
      <c r="O11" s="37" t="s">
        <v>183</v>
      </c>
      <c r="P11" s="36" t="s">
        <v>184</v>
      </c>
      <c r="Q11" s="36" t="s">
        <v>185</v>
      </c>
      <c r="R11" s="36" t="s">
        <v>186</v>
      </c>
      <c r="S11" s="36" t="s">
        <v>187</v>
      </c>
      <c r="T11" s="36" t="s">
        <v>188</v>
      </c>
      <c r="U11" s="36" t="s">
        <v>189</v>
      </c>
      <c r="V11" s="36" t="s">
        <v>190</v>
      </c>
      <c r="W11" s="36" t="s">
        <v>191</v>
      </c>
      <c r="X11" s="36" t="s">
        <v>192</v>
      </c>
      <c r="Y11" s="36" t="s">
        <v>172</v>
      </c>
    </row>
    <row r="12" spans="1:25" ht="45" customHeight="1" x14ac:dyDescent="0.3">
      <c r="A12" s="36" t="s">
        <v>193</v>
      </c>
      <c r="B12" s="37" t="s">
        <v>193</v>
      </c>
      <c r="C12" s="37" t="s">
        <v>346</v>
      </c>
      <c r="D12" s="37" t="s">
        <v>360</v>
      </c>
      <c r="E12" s="36" t="s">
        <v>194</v>
      </c>
      <c r="F12" s="36" t="s">
        <v>195</v>
      </c>
      <c r="G12" s="36" t="s">
        <v>196</v>
      </c>
      <c r="H12" s="36" t="s">
        <v>146</v>
      </c>
      <c r="I12" s="35" t="s">
        <v>158</v>
      </c>
      <c r="J12" s="36" t="s">
        <v>152</v>
      </c>
      <c r="K12" s="36" t="s">
        <v>194</v>
      </c>
      <c r="L12" s="36" t="s">
        <v>197</v>
      </c>
      <c r="M12" s="36" t="s">
        <v>72</v>
      </c>
      <c r="N12" s="36" t="s">
        <v>198</v>
      </c>
      <c r="O12" s="37" t="s">
        <v>199</v>
      </c>
      <c r="P12" s="36" t="s">
        <v>200</v>
      </c>
      <c r="Q12" s="36" t="s">
        <v>201</v>
      </c>
      <c r="R12" s="36" t="s">
        <v>202</v>
      </c>
      <c r="S12" s="36" t="s">
        <v>203</v>
      </c>
      <c r="T12" s="36" t="s">
        <v>72</v>
      </c>
      <c r="U12" s="36" t="s">
        <v>72</v>
      </c>
      <c r="V12" s="36" t="s">
        <v>204</v>
      </c>
      <c r="W12" s="36" t="s">
        <v>205</v>
      </c>
      <c r="X12" s="36" t="s">
        <v>206</v>
      </c>
      <c r="Y12" s="36" t="s">
        <v>192</v>
      </c>
    </row>
    <row r="13" spans="1:25" ht="45" customHeight="1" x14ac:dyDescent="0.3">
      <c r="A13" s="36" t="s">
        <v>207</v>
      </c>
      <c r="B13" s="37" t="s">
        <v>207</v>
      </c>
      <c r="C13" s="37" t="s">
        <v>247</v>
      </c>
      <c r="D13" s="37" t="s">
        <v>359</v>
      </c>
      <c r="E13" s="36" t="s">
        <v>156</v>
      </c>
      <c r="F13" s="36" t="s">
        <v>208</v>
      </c>
      <c r="G13" s="36" t="s">
        <v>209</v>
      </c>
      <c r="H13" s="36" t="s">
        <v>210</v>
      </c>
      <c r="I13" s="35" t="s">
        <v>211</v>
      </c>
      <c r="J13" s="36" t="s">
        <v>212</v>
      </c>
      <c r="K13" s="36" t="s">
        <v>156</v>
      </c>
      <c r="L13" s="36" t="s">
        <v>213</v>
      </c>
      <c r="M13" s="52"/>
      <c r="N13" s="36" t="s">
        <v>138</v>
      </c>
      <c r="O13" s="37" t="s">
        <v>214</v>
      </c>
      <c r="P13" s="36" t="s">
        <v>215</v>
      </c>
      <c r="Q13" s="36" t="s">
        <v>216</v>
      </c>
      <c r="R13" s="36" t="s">
        <v>217</v>
      </c>
      <c r="S13" s="36" t="s">
        <v>218</v>
      </c>
      <c r="T13" s="52"/>
      <c r="U13" s="52"/>
      <c r="V13" s="36" t="s">
        <v>219</v>
      </c>
      <c r="W13" s="36" t="s">
        <v>220</v>
      </c>
      <c r="X13" s="36" t="s">
        <v>221</v>
      </c>
      <c r="Y13" s="36" t="s">
        <v>206</v>
      </c>
    </row>
    <row r="14" spans="1:25" ht="45" customHeight="1" x14ac:dyDescent="0.3">
      <c r="A14" s="36" t="s">
        <v>222</v>
      </c>
      <c r="B14" s="37" t="s">
        <v>223</v>
      </c>
      <c r="C14" s="37" t="s">
        <v>349</v>
      </c>
      <c r="D14" s="37" t="s">
        <v>353</v>
      </c>
      <c r="E14" s="36" t="s">
        <v>224</v>
      </c>
      <c r="F14" s="36" t="s">
        <v>225</v>
      </c>
      <c r="G14" s="37" t="s">
        <v>226</v>
      </c>
      <c r="H14" s="36" t="s">
        <v>227</v>
      </c>
      <c r="I14" s="36" t="s">
        <v>137</v>
      </c>
      <c r="J14" s="36" t="s">
        <v>228</v>
      </c>
      <c r="K14" s="36" t="s">
        <v>224</v>
      </c>
      <c r="L14" s="36" t="s">
        <v>229</v>
      </c>
      <c r="M14" s="52"/>
      <c r="N14" s="36" t="s">
        <v>230</v>
      </c>
      <c r="O14" s="37" t="s">
        <v>231</v>
      </c>
      <c r="P14" s="36" t="s">
        <v>232</v>
      </c>
      <c r="Q14" s="52"/>
      <c r="R14" s="36" t="s">
        <v>233</v>
      </c>
      <c r="S14" s="36" t="s">
        <v>234</v>
      </c>
      <c r="T14" s="52"/>
      <c r="U14" s="52"/>
      <c r="V14" s="36" t="s">
        <v>235</v>
      </c>
      <c r="W14" s="36" t="s">
        <v>236</v>
      </c>
      <c r="X14" s="36" t="s">
        <v>237</v>
      </c>
      <c r="Y14" s="36" t="s">
        <v>221</v>
      </c>
    </row>
    <row r="15" spans="1:25" ht="45" customHeight="1" x14ac:dyDescent="0.3">
      <c r="A15" s="48"/>
      <c r="B15" s="37" t="s">
        <v>238</v>
      </c>
      <c r="C15" s="37" t="s">
        <v>351</v>
      </c>
      <c r="D15" s="37" t="s">
        <v>355</v>
      </c>
      <c r="E15" s="36" t="s">
        <v>239</v>
      </c>
      <c r="F15" s="36" t="s">
        <v>240</v>
      </c>
      <c r="G15" s="37" t="s">
        <v>241</v>
      </c>
      <c r="H15" s="36" t="s">
        <v>242</v>
      </c>
      <c r="I15" s="35" t="s">
        <v>243</v>
      </c>
      <c r="J15" s="36" t="s">
        <v>244</v>
      </c>
      <c r="K15" s="36" t="s">
        <v>239</v>
      </c>
      <c r="L15" s="36" t="s">
        <v>72</v>
      </c>
      <c r="M15" s="52"/>
      <c r="N15" s="36" t="s">
        <v>245</v>
      </c>
      <c r="O15" s="37" t="s">
        <v>246</v>
      </c>
      <c r="P15" s="36" t="s">
        <v>146</v>
      </c>
      <c r="Q15" s="52"/>
      <c r="R15" s="36" t="s">
        <v>247</v>
      </c>
      <c r="S15" s="36" t="s">
        <v>248</v>
      </c>
      <c r="T15" s="52"/>
      <c r="U15" s="52"/>
      <c r="V15" s="36" t="s">
        <v>249</v>
      </c>
      <c r="W15" s="36" t="s">
        <v>250</v>
      </c>
      <c r="X15" s="36" t="s">
        <v>251</v>
      </c>
      <c r="Y15" s="36" t="s">
        <v>237</v>
      </c>
    </row>
    <row r="16" spans="1:25" ht="60" x14ac:dyDescent="0.3">
      <c r="A16" s="48"/>
      <c r="B16" s="37" t="s">
        <v>252</v>
      </c>
      <c r="C16" s="37" t="s">
        <v>72</v>
      </c>
      <c r="D16" s="37" t="s">
        <v>72</v>
      </c>
      <c r="E16" s="36" t="s">
        <v>253</v>
      </c>
      <c r="F16" s="36" t="s">
        <v>254</v>
      </c>
      <c r="G16" s="36" t="s">
        <v>255</v>
      </c>
      <c r="H16" s="36" t="s">
        <v>175</v>
      </c>
      <c r="I16" s="35" t="s">
        <v>256</v>
      </c>
      <c r="J16" s="36" t="s">
        <v>257</v>
      </c>
      <c r="K16" s="36" t="s">
        <v>253</v>
      </c>
      <c r="L16" s="56"/>
      <c r="M16" s="52"/>
      <c r="N16" s="36" t="s">
        <v>258</v>
      </c>
      <c r="O16" s="37" t="s">
        <v>259</v>
      </c>
      <c r="P16" s="36" t="s">
        <v>260</v>
      </c>
      <c r="Q16" s="52"/>
      <c r="R16" s="36" t="s">
        <v>261</v>
      </c>
      <c r="S16" s="36" t="s">
        <v>262</v>
      </c>
      <c r="T16" s="52"/>
      <c r="U16" s="52"/>
      <c r="V16" s="36" t="s">
        <v>72</v>
      </c>
      <c r="W16" s="36" t="s">
        <v>263</v>
      </c>
      <c r="X16" s="36" t="s">
        <v>264</v>
      </c>
      <c r="Y16" s="36" t="s">
        <v>251</v>
      </c>
    </row>
    <row r="17" spans="1:25" ht="45" x14ac:dyDescent="0.3">
      <c r="A17" s="48"/>
      <c r="B17" s="37" t="s">
        <v>265</v>
      </c>
      <c r="C17" s="37"/>
      <c r="D17" s="37"/>
      <c r="E17" s="36" t="s">
        <v>266</v>
      </c>
      <c r="F17" s="36" t="s">
        <v>267</v>
      </c>
      <c r="G17" s="36" t="s">
        <v>268</v>
      </c>
      <c r="H17" s="36" t="s">
        <v>255</v>
      </c>
      <c r="I17" s="36" t="s">
        <v>269</v>
      </c>
      <c r="J17" s="36" t="s">
        <v>72</v>
      </c>
      <c r="K17" s="36" t="s">
        <v>266</v>
      </c>
      <c r="L17" s="56"/>
      <c r="M17" s="56"/>
      <c r="N17" s="36" t="s">
        <v>72</v>
      </c>
      <c r="O17" s="36" t="s">
        <v>270</v>
      </c>
      <c r="P17" s="36" t="s">
        <v>271</v>
      </c>
      <c r="Q17" s="56"/>
      <c r="R17" s="36" t="s">
        <v>272</v>
      </c>
      <c r="S17" s="36" t="s">
        <v>273</v>
      </c>
      <c r="T17" s="52"/>
      <c r="U17" s="52"/>
      <c r="V17" s="56"/>
      <c r="W17" s="36" t="s">
        <v>274</v>
      </c>
      <c r="X17" s="56"/>
      <c r="Y17" s="36" t="s">
        <v>264</v>
      </c>
    </row>
    <row r="18" spans="1:25" ht="45" x14ac:dyDescent="0.3">
      <c r="A18" s="48"/>
      <c r="B18" s="37" t="s">
        <v>275</v>
      </c>
      <c r="C18" s="37"/>
      <c r="D18" s="37"/>
      <c r="E18" s="36" t="s">
        <v>276</v>
      </c>
      <c r="F18" s="36" t="s">
        <v>277</v>
      </c>
      <c r="G18" s="36" t="s">
        <v>224</v>
      </c>
      <c r="H18" s="36" t="s">
        <v>224</v>
      </c>
      <c r="I18" s="36" t="s">
        <v>278</v>
      </c>
      <c r="J18" s="52"/>
      <c r="K18" s="36" t="s">
        <v>276</v>
      </c>
      <c r="L18" s="56"/>
      <c r="M18" s="56"/>
      <c r="N18" s="52"/>
      <c r="O18" s="36" t="s">
        <v>279</v>
      </c>
      <c r="P18" s="36" t="s">
        <v>280</v>
      </c>
      <c r="Q18" s="56"/>
      <c r="R18" s="36" t="s">
        <v>281</v>
      </c>
      <c r="S18" s="36" t="s">
        <v>72</v>
      </c>
      <c r="T18" s="52"/>
      <c r="U18" s="52"/>
      <c r="V18" s="56"/>
      <c r="W18" s="36" t="s">
        <v>282</v>
      </c>
      <c r="X18" s="56"/>
      <c r="Y18" s="56"/>
    </row>
    <row r="19" spans="1:25" ht="33.75" customHeight="1" x14ac:dyDescent="0.3">
      <c r="A19" s="48"/>
      <c r="B19" s="48"/>
      <c r="C19" s="48"/>
      <c r="D19" s="48"/>
      <c r="E19" s="36" t="s">
        <v>283</v>
      </c>
      <c r="F19" s="36" t="s">
        <v>72</v>
      </c>
      <c r="G19" s="36" t="s">
        <v>284</v>
      </c>
      <c r="H19" s="36" t="s">
        <v>285</v>
      </c>
      <c r="I19" s="36" t="s">
        <v>286</v>
      </c>
      <c r="J19" s="52"/>
      <c r="K19" s="36" t="s">
        <v>283</v>
      </c>
      <c r="L19" s="56"/>
      <c r="M19" s="56"/>
      <c r="N19" s="52"/>
      <c r="O19" s="36" t="s">
        <v>287</v>
      </c>
      <c r="P19" s="36" t="s">
        <v>285</v>
      </c>
      <c r="Q19" s="56"/>
      <c r="R19" s="36" t="s">
        <v>288</v>
      </c>
      <c r="S19" s="56"/>
      <c r="T19" s="56"/>
      <c r="U19" s="56"/>
      <c r="V19" s="56"/>
      <c r="W19" s="36" t="s">
        <v>289</v>
      </c>
      <c r="X19" s="56"/>
      <c r="Y19" s="56"/>
    </row>
    <row r="20" spans="1:25" ht="30" x14ac:dyDescent="0.3">
      <c r="A20" s="48"/>
      <c r="B20" s="48"/>
      <c r="C20" s="48"/>
      <c r="D20" s="48"/>
      <c r="E20" s="36" t="s">
        <v>72</v>
      </c>
      <c r="F20" s="52"/>
      <c r="G20" s="36" t="s">
        <v>290</v>
      </c>
      <c r="H20" s="36" t="s">
        <v>291</v>
      </c>
      <c r="I20" s="36" t="s">
        <v>292</v>
      </c>
      <c r="J20" s="52"/>
      <c r="K20" s="36" t="s">
        <v>72</v>
      </c>
      <c r="L20" s="56"/>
      <c r="M20" s="56"/>
      <c r="N20" s="56"/>
      <c r="O20" s="36" t="s">
        <v>72</v>
      </c>
      <c r="P20" s="36" t="s">
        <v>293</v>
      </c>
      <c r="Q20" s="56"/>
      <c r="R20" s="36" t="s">
        <v>294</v>
      </c>
      <c r="S20" s="56"/>
      <c r="T20" s="56"/>
      <c r="U20" s="56"/>
      <c r="V20" s="56"/>
      <c r="W20" s="36" t="s">
        <v>295</v>
      </c>
      <c r="X20" s="56"/>
      <c r="Y20" s="56"/>
    </row>
    <row r="21" spans="1:25" ht="18" customHeight="1" x14ac:dyDescent="0.3">
      <c r="A21" s="48"/>
      <c r="B21" s="48"/>
      <c r="C21" s="48"/>
      <c r="D21" s="48"/>
      <c r="E21" s="52"/>
      <c r="F21" s="52"/>
      <c r="G21" s="36" t="s">
        <v>296</v>
      </c>
      <c r="H21" s="36" t="s">
        <v>297</v>
      </c>
      <c r="I21" s="36" t="s">
        <v>298</v>
      </c>
      <c r="J21" s="56"/>
      <c r="K21" s="52"/>
      <c r="L21" s="56"/>
      <c r="M21" s="56"/>
      <c r="N21" s="56"/>
      <c r="O21" s="56"/>
      <c r="P21" s="36" t="s">
        <v>72</v>
      </c>
      <c r="Q21" s="56"/>
      <c r="R21" s="36" t="s">
        <v>299</v>
      </c>
      <c r="S21" s="56"/>
      <c r="T21" s="56"/>
      <c r="U21" s="56"/>
      <c r="V21" s="56"/>
      <c r="W21" s="36" t="s">
        <v>300</v>
      </c>
      <c r="X21" s="56"/>
      <c r="Y21" s="56"/>
    </row>
    <row r="22" spans="1:25" x14ac:dyDescent="0.3">
      <c r="A22" s="49"/>
      <c r="B22" s="49"/>
      <c r="C22" s="49"/>
      <c r="D22" s="49"/>
      <c r="E22" s="52"/>
      <c r="F22" s="52"/>
      <c r="G22" s="36" t="s">
        <v>301</v>
      </c>
      <c r="H22" s="36" t="s">
        <v>266</v>
      </c>
      <c r="I22" s="36" t="s">
        <v>302</v>
      </c>
      <c r="J22" s="56"/>
      <c r="K22" s="52"/>
      <c r="L22" s="53"/>
      <c r="M22" s="56"/>
      <c r="N22" s="56"/>
      <c r="O22" s="53"/>
      <c r="P22" s="53"/>
      <c r="Q22" s="53"/>
      <c r="R22" s="36" t="s">
        <v>303</v>
      </c>
      <c r="S22" s="56"/>
      <c r="T22" s="56"/>
      <c r="U22" s="56"/>
      <c r="V22" s="53"/>
      <c r="W22" s="36" t="s">
        <v>304</v>
      </c>
      <c r="X22" s="53"/>
      <c r="Y22" s="53"/>
    </row>
    <row r="23" spans="1:25" x14ac:dyDescent="0.3">
      <c r="A23" s="50"/>
      <c r="B23" s="50"/>
      <c r="C23" s="50"/>
      <c r="D23" s="50"/>
      <c r="E23" s="52"/>
      <c r="F23" s="52"/>
      <c r="G23" s="36" t="s">
        <v>305</v>
      </c>
      <c r="H23" s="36" t="s">
        <v>306</v>
      </c>
      <c r="I23" s="36" t="s">
        <v>175</v>
      </c>
      <c r="J23" s="56"/>
      <c r="K23" s="52"/>
      <c r="L23" s="55"/>
      <c r="M23" s="53"/>
      <c r="N23" s="56"/>
      <c r="O23" s="55"/>
      <c r="P23" s="55"/>
      <c r="Q23" s="55"/>
      <c r="R23" s="37" t="s">
        <v>307</v>
      </c>
      <c r="S23" s="53"/>
      <c r="T23" s="53"/>
      <c r="U23" s="53"/>
      <c r="V23" s="55"/>
      <c r="W23" s="55"/>
      <c r="X23" s="55"/>
      <c r="Y23" s="55"/>
    </row>
    <row r="24" spans="1:25" x14ac:dyDescent="0.3">
      <c r="A24" s="51"/>
      <c r="B24" s="51"/>
      <c r="C24" s="51"/>
      <c r="D24" s="51"/>
      <c r="E24" s="53"/>
      <c r="F24" s="52"/>
      <c r="G24" s="36" t="s">
        <v>308</v>
      </c>
      <c r="H24" s="36" t="s">
        <v>309</v>
      </c>
      <c r="I24" s="36" t="s">
        <v>255</v>
      </c>
      <c r="J24" s="53"/>
      <c r="K24" s="53"/>
      <c r="L24" s="55"/>
      <c r="M24" s="55"/>
      <c r="N24" s="56"/>
      <c r="O24" s="55"/>
      <c r="P24" s="55"/>
      <c r="Q24" s="55"/>
      <c r="R24" s="36" t="s">
        <v>72</v>
      </c>
      <c r="S24" s="55"/>
      <c r="T24" s="55"/>
      <c r="U24" s="55"/>
      <c r="V24" s="55"/>
      <c r="W24" s="55"/>
      <c r="X24" s="55"/>
      <c r="Y24" s="55"/>
    </row>
    <row r="25" spans="1:25" ht="30" x14ac:dyDescent="0.3">
      <c r="A25" s="51"/>
      <c r="B25" s="51"/>
      <c r="C25" s="51"/>
      <c r="D25" s="51"/>
      <c r="E25" s="54"/>
      <c r="F25" s="53"/>
      <c r="G25" s="36" t="s">
        <v>72</v>
      </c>
      <c r="H25" s="36" t="s">
        <v>301</v>
      </c>
      <c r="I25" s="36" t="s">
        <v>224</v>
      </c>
      <c r="J25" s="55"/>
      <c r="K25" s="54"/>
      <c r="L25" s="55"/>
      <c r="M25" s="55"/>
      <c r="N25" s="56"/>
      <c r="O25" s="55"/>
      <c r="P25" s="55"/>
      <c r="Q25" s="55"/>
      <c r="R25" s="52"/>
      <c r="S25" s="55"/>
      <c r="T25" s="55"/>
      <c r="U25" s="55"/>
      <c r="V25" s="55"/>
      <c r="W25" s="55"/>
      <c r="X25" s="55"/>
      <c r="Y25" s="55"/>
    </row>
    <row r="26" spans="1:25" ht="45" x14ac:dyDescent="0.3">
      <c r="A26" s="51"/>
      <c r="B26" s="51"/>
      <c r="C26" s="51"/>
      <c r="D26" s="51"/>
      <c r="E26" s="55"/>
      <c r="F26" s="55"/>
      <c r="G26" s="55"/>
      <c r="H26" s="36" t="s">
        <v>305</v>
      </c>
      <c r="I26" s="36" t="s">
        <v>310</v>
      </c>
      <c r="J26" s="55"/>
      <c r="K26" s="55"/>
      <c r="L26" s="55"/>
      <c r="M26" s="55"/>
      <c r="N26" s="53"/>
      <c r="O26" s="55"/>
      <c r="P26" s="55"/>
      <c r="Q26" s="55"/>
      <c r="R26" s="53"/>
      <c r="S26" s="55"/>
      <c r="T26" s="55"/>
      <c r="U26" s="55"/>
      <c r="V26" s="55"/>
      <c r="W26" s="55"/>
      <c r="X26" s="55"/>
      <c r="Y26" s="55"/>
    </row>
    <row r="27" spans="1:25" x14ac:dyDescent="0.3">
      <c r="A27" s="51"/>
      <c r="B27" s="51"/>
      <c r="C27" s="51"/>
      <c r="D27" s="51"/>
      <c r="E27" s="55"/>
      <c r="F27" s="55"/>
      <c r="G27" s="55"/>
      <c r="H27" s="36" t="s">
        <v>72</v>
      </c>
      <c r="I27" s="36" t="s">
        <v>311</v>
      </c>
      <c r="J27" s="55"/>
      <c r="K27" s="55"/>
      <c r="L27" s="55"/>
      <c r="M27" s="55"/>
      <c r="N27" s="55"/>
      <c r="O27" s="55"/>
      <c r="P27" s="55"/>
      <c r="Q27" s="55"/>
      <c r="R27" s="55"/>
      <c r="S27" s="55"/>
      <c r="T27" s="55"/>
      <c r="U27" s="55"/>
      <c r="V27" s="55"/>
      <c r="W27" s="55"/>
      <c r="X27" s="55"/>
      <c r="Y27" s="55"/>
    </row>
    <row r="28" spans="1:25" x14ac:dyDescent="0.3">
      <c r="A28" s="51"/>
      <c r="B28" s="51"/>
      <c r="C28" s="51"/>
      <c r="D28" s="51"/>
      <c r="E28" s="55"/>
      <c r="F28" s="55"/>
      <c r="G28" s="55"/>
      <c r="H28" s="55"/>
      <c r="I28" s="36" t="s">
        <v>312</v>
      </c>
      <c r="J28" s="55"/>
      <c r="K28" s="55"/>
      <c r="L28" s="55"/>
      <c r="M28" s="55"/>
      <c r="N28" s="55"/>
      <c r="O28" s="55"/>
      <c r="P28" s="55"/>
      <c r="Q28" s="55"/>
      <c r="R28" s="55"/>
      <c r="S28" s="55"/>
      <c r="T28" s="55"/>
      <c r="U28" s="55"/>
      <c r="V28" s="55"/>
      <c r="W28" s="55"/>
      <c r="X28" s="55"/>
      <c r="Y28" s="55"/>
    </row>
    <row r="29" spans="1:25" ht="30" x14ac:dyDescent="0.3">
      <c r="A29" s="51"/>
      <c r="B29" s="51"/>
      <c r="C29" s="51"/>
      <c r="D29" s="51"/>
      <c r="E29" s="55"/>
      <c r="F29" s="55"/>
      <c r="G29" s="55"/>
      <c r="H29" s="55"/>
      <c r="I29" s="36" t="s">
        <v>291</v>
      </c>
      <c r="J29" s="55"/>
      <c r="K29" s="55"/>
      <c r="L29" s="55"/>
      <c r="M29" s="55"/>
      <c r="N29" s="55"/>
      <c r="O29" s="55"/>
      <c r="P29" s="55"/>
      <c r="Q29" s="55"/>
      <c r="R29" s="55"/>
      <c r="S29" s="55"/>
      <c r="T29" s="55"/>
      <c r="U29" s="55"/>
      <c r="V29" s="55"/>
      <c r="W29" s="55"/>
      <c r="X29" s="55"/>
      <c r="Y29" s="55"/>
    </row>
    <row r="30" spans="1:25" x14ac:dyDescent="0.3">
      <c r="A30" s="51"/>
      <c r="B30" s="51"/>
      <c r="C30" s="51"/>
      <c r="D30" s="51"/>
      <c r="E30" s="55"/>
      <c r="F30" s="55"/>
      <c r="G30" s="55"/>
      <c r="H30" s="55"/>
      <c r="I30" s="37" t="s">
        <v>306</v>
      </c>
      <c r="J30" s="55"/>
      <c r="K30" s="55"/>
      <c r="L30" s="55"/>
      <c r="M30" s="55"/>
      <c r="N30" s="55"/>
      <c r="O30" s="55"/>
      <c r="P30" s="55"/>
      <c r="Q30" s="55"/>
      <c r="R30" s="55"/>
      <c r="S30" s="55"/>
      <c r="T30" s="55"/>
      <c r="U30" s="55"/>
      <c r="V30" s="55"/>
      <c r="W30" s="55"/>
      <c r="X30" s="55"/>
      <c r="Y30" s="55"/>
    </row>
    <row r="31" spans="1:25" x14ac:dyDescent="0.3">
      <c r="A31" s="51"/>
      <c r="B31" s="51"/>
      <c r="C31" s="51"/>
      <c r="D31" s="51"/>
      <c r="E31" s="55"/>
      <c r="F31" s="55"/>
      <c r="G31" s="55"/>
      <c r="H31" s="55"/>
      <c r="I31" s="36" t="s">
        <v>309</v>
      </c>
      <c r="J31" s="55"/>
      <c r="K31" s="55"/>
      <c r="L31" s="55"/>
      <c r="M31" s="55"/>
      <c r="N31" s="55"/>
      <c r="O31" s="55"/>
      <c r="P31" s="55"/>
      <c r="Q31" s="55"/>
      <c r="R31" s="55"/>
      <c r="S31" s="55"/>
      <c r="T31" s="55"/>
      <c r="U31" s="55"/>
      <c r="V31" s="55"/>
      <c r="W31" s="55"/>
      <c r="X31" s="55"/>
      <c r="Y31" s="55"/>
    </row>
    <row r="32" spans="1:25" x14ac:dyDescent="0.3">
      <c r="A32" s="51"/>
      <c r="B32" s="51"/>
      <c r="C32" s="51"/>
      <c r="D32" s="51"/>
      <c r="E32" s="55"/>
      <c r="F32" s="55"/>
      <c r="G32" s="55"/>
      <c r="H32" s="55"/>
      <c r="I32" s="36" t="s">
        <v>301</v>
      </c>
      <c r="J32" s="55"/>
      <c r="K32" s="55"/>
      <c r="L32" s="55"/>
      <c r="M32" s="55"/>
      <c r="N32" s="55"/>
      <c r="O32" s="55"/>
      <c r="P32" s="55"/>
      <c r="Q32" s="55"/>
      <c r="R32" s="55"/>
      <c r="S32" s="55"/>
      <c r="T32" s="55"/>
      <c r="U32" s="55"/>
      <c r="V32" s="55"/>
      <c r="W32" s="55"/>
      <c r="X32" s="55"/>
      <c r="Y32" s="55"/>
    </row>
    <row r="33" spans="1:25" x14ac:dyDescent="0.3">
      <c r="A33" s="51"/>
      <c r="B33" s="51"/>
      <c r="C33" s="51"/>
      <c r="D33" s="51"/>
      <c r="E33" s="55"/>
      <c r="F33" s="55"/>
      <c r="G33" s="55"/>
      <c r="H33" s="55"/>
      <c r="I33" s="36" t="s">
        <v>72</v>
      </c>
      <c r="J33" s="55"/>
      <c r="K33" s="55"/>
      <c r="L33" s="55"/>
      <c r="M33" s="55"/>
      <c r="N33" s="55"/>
      <c r="O33" s="55"/>
      <c r="P33" s="55"/>
      <c r="Q33" s="55"/>
      <c r="R33" s="55"/>
      <c r="S33" s="55"/>
      <c r="T33" s="55"/>
      <c r="U33" s="55"/>
      <c r="V33" s="55"/>
      <c r="W33" s="55"/>
      <c r="X33" s="55"/>
      <c r="Y33" s="55"/>
    </row>
    <row r="34" spans="1:25" x14ac:dyDescent="0.3">
      <c r="I34" s="40"/>
    </row>
  </sheetData>
  <sheetProtection password="8080" sheet="1" objects="1" scenarios="1"/>
  <sortState ref="D8:D15">
    <sortCondition ref="D8:D15"/>
  </sortState>
  <mergeCells count="28">
    <mergeCell ref="A1:I1"/>
    <mergeCell ref="A4:B4"/>
    <mergeCell ref="A2:B2"/>
    <mergeCell ref="A6:A7"/>
    <mergeCell ref="S6:S7"/>
    <mergeCell ref="B6:B7"/>
    <mergeCell ref="E6:E7"/>
    <mergeCell ref="F6:F7"/>
    <mergeCell ref="G6:G7"/>
    <mergeCell ref="H6:H7"/>
    <mergeCell ref="C6:C7"/>
    <mergeCell ref="D6:D7"/>
    <mergeCell ref="T6:T7"/>
    <mergeCell ref="I6:I7"/>
    <mergeCell ref="J6:J7"/>
    <mergeCell ref="L6:L7"/>
    <mergeCell ref="M6:M7"/>
    <mergeCell ref="K6:K7"/>
    <mergeCell ref="N6:N7"/>
    <mergeCell ref="O6:O7"/>
    <mergeCell ref="P6:P7"/>
    <mergeCell ref="Q6:Q7"/>
    <mergeCell ref="R6:R7"/>
    <mergeCell ref="V6:V7"/>
    <mergeCell ref="W6:W7"/>
    <mergeCell ref="X6:X7"/>
    <mergeCell ref="Y6:Y7"/>
    <mergeCell ref="U6:U7"/>
  </mergeCells>
  <hyperlinks>
    <hyperlink ref="A2" location="'TITLE PAGE'!A1" display="Back to Main Menu"/>
  </hyperlinks>
  <pageMargins left="0.25" right="0.25" top="0.75" bottom="0.5" header="0.25" footer="0.25"/>
  <pageSetup scale="81" fitToWidth="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FA34A76B9E5A41B8099DBB986AFDF0" ma:contentTypeVersion="0" ma:contentTypeDescription="Create a new document." ma:contentTypeScope="" ma:versionID="658c9b74227d40290bd7de4bbe24113b">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56076A7-B4C1-4D41-BB46-B8640F19A0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5A8FAEB8-C218-4B32-9043-E26F1E602544}">
  <ds:schemaRefs>
    <ds:schemaRef ds:uri="http://schemas.microsoft.com/sharepoint/v3/contenttype/forms"/>
  </ds:schemaRefs>
</ds:datastoreItem>
</file>

<file path=customXml/itemProps3.xml><?xml version="1.0" encoding="utf-8"?>
<ds:datastoreItem xmlns:ds="http://schemas.openxmlformats.org/officeDocument/2006/customXml" ds:itemID="{DC9D8AED-9A5E-4627-A5BD-573E97225341}">
  <ds:schemaRefs>
    <ds:schemaRef ds:uri="http://purl.org/dc/dcmitype/"/>
    <ds:schemaRef ds:uri="http://schemas.openxmlformats.org/package/2006/metadata/core-properties"/>
    <ds:schemaRef ds:uri="http://schemas.microsoft.com/office/2006/documentManagement/types"/>
    <ds:schemaRef ds:uri="http://purl.org/dc/elements/1.1/"/>
    <ds:schemaRef ds:uri="http://www.w3.org/XML/1998/namespace"/>
    <ds:schemaRef ds:uri="http://schemas.microsoft.com/office/infopath/2007/PartnerControls"/>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TITLE PAGE</vt:lpstr>
      <vt:lpstr>1) Full Survey</vt:lpstr>
      <vt:lpstr>2) Building-Site Inventory</vt:lpstr>
      <vt:lpstr>3) Funding Source Key</vt:lpstr>
      <vt:lpstr>4) Pull-Down Options</vt:lpstr>
    </vt:vector>
  </TitlesOfParts>
  <Company>Anoka-Hennepin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Treichel</dc:creator>
  <cp:lastModifiedBy>Heier, Ed</cp:lastModifiedBy>
  <cp:lastPrinted>2011-01-18T20:52:03Z</cp:lastPrinted>
  <dcterms:created xsi:type="dcterms:W3CDTF">2010-12-13T16:18:25Z</dcterms:created>
  <dcterms:modified xsi:type="dcterms:W3CDTF">2014-02-13T16:47:52Z</dcterms:modified>
</cp:coreProperties>
</file>