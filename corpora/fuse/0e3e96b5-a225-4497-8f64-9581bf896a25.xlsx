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wmf" ContentType="image/x-wmf"/>
  <Override PartName="/xl/worksheets/sheet2.xml" ContentType="application/vnd.openxmlformats-officedocument.spreadsheetml.worksheet+xml"/>
  <Default Extension="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2000" yWindow="560" windowWidth="18040" windowHeight="12560" activeTab="2"/>
  </bookViews>
  <sheets>
    <sheet name="3 SES (i)" sheetId="26" r:id="rId1"/>
    <sheet name="3 SES (ii)" sheetId="27" r:id="rId2"/>
    <sheet name="3 SES (iii)" sheetId="28" r:id="rId3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11" i="26"/>
  <c r="A17"/>
  <c r="A29"/>
  <c r="A49"/>
  <c r="A66"/>
  <c r="A90"/>
  <c r="A116"/>
  <c r="A128"/>
  <c r="A144"/>
  <c r="A158"/>
  <c r="A179"/>
  <c r="A185"/>
  <c r="A188"/>
  <c r="A191"/>
  <c r="A194"/>
  <c r="A201"/>
  <c r="A204"/>
  <c r="A209"/>
  <c r="A213"/>
  <c r="A216"/>
  <c r="A5" i="27"/>
  <c r="A9"/>
  <c r="A22"/>
  <c r="A32"/>
  <c r="A36"/>
  <c r="A39"/>
  <c r="A43"/>
  <c r="E34"/>
  <c r="H48"/>
  <c r="H44"/>
  <c r="H52"/>
  <c r="AB4" i="28"/>
  <c r="A9"/>
  <c r="A16"/>
</calcChain>
</file>

<file path=xl/sharedStrings.xml><?xml version="1.0" encoding="utf-8"?>
<sst xmlns="http://schemas.openxmlformats.org/spreadsheetml/2006/main" count="347" uniqueCount="279">
  <si>
    <t>No Religion</t>
  </si>
  <si>
    <t>Others</t>
  </si>
  <si>
    <t>Don't Know</t>
  </si>
  <si>
    <t xml:space="preserve">What is the main source of drinking water for members of your household? </t>
  </si>
  <si>
    <t>Piped Water</t>
  </si>
  <si>
    <t>Piped into dwelling</t>
  </si>
  <si>
    <t>Piped to yard/plot</t>
  </si>
  <si>
    <t>Public tap/stand pipe</t>
  </si>
  <si>
    <t>Tube well or borehole</t>
  </si>
  <si>
    <t>Protected well</t>
  </si>
  <si>
    <t>Unprotected well</t>
  </si>
  <si>
    <t>Water from spring</t>
  </si>
  <si>
    <t>Rainwater</t>
  </si>
  <si>
    <t>Tanker truck</t>
  </si>
  <si>
    <t>Cart with small tank</t>
  </si>
  <si>
    <t>Surface water (river/dam</t>
  </si>
  <si>
    <t>lake/pond/stream/canal</t>
  </si>
  <si>
    <t>irrigation chanel)</t>
  </si>
  <si>
    <t>Bottled water</t>
  </si>
  <si>
    <t>What kind of toilet facility do members of your household usually use?</t>
  </si>
  <si>
    <t>Flush or pour flush toilet</t>
  </si>
  <si>
    <t>Flush to piped sewer system</t>
  </si>
  <si>
    <t>Flush to septik tank</t>
  </si>
  <si>
    <t>Flush to pit latrine</t>
  </si>
  <si>
    <t>Flush to somewhere else</t>
  </si>
  <si>
    <t>Flush, don't know where</t>
  </si>
  <si>
    <t>Pit Latrins</t>
  </si>
  <si>
    <t>Ventilated improved</t>
  </si>
  <si>
    <t>pit (VIP)/Biogas latrine</t>
  </si>
  <si>
    <t>Pit latrine with slab</t>
  </si>
  <si>
    <t>Pit without slab/open pit</t>
  </si>
  <si>
    <t>Twin pit/composting toilet</t>
  </si>
  <si>
    <t>Dry toilet</t>
  </si>
  <si>
    <t>No facility/uses open space</t>
  </si>
  <si>
    <t>or field</t>
  </si>
  <si>
    <t xml:space="preserve">When members of your household get sick, where do they </t>
  </si>
  <si>
    <t>Public medical sector</t>
  </si>
  <si>
    <t>generally go for treatment?</t>
  </si>
  <si>
    <t>Govt./municipal hospital</t>
  </si>
  <si>
    <t>Govt. dispensary</t>
  </si>
  <si>
    <t>PHC/CHC/Rural hospital</t>
  </si>
  <si>
    <t>Sub-centre</t>
  </si>
  <si>
    <t>Anganwadi</t>
  </si>
  <si>
    <t>Govt. mobile clininc</t>
  </si>
  <si>
    <t>Other public sector</t>
  </si>
  <si>
    <t>Health facility</t>
  </si>
  <si>
    <t>NGO or trust hospital/clinic</t>
  </si>
  <si>
    <t>Private medical sector</t>
  </si>
  <si>
    <t>Pvt. Doctor/clinic</t>
  </si>
  <si>
    <t>Pvt. Paramedic</t>
  </si>
  <si>
    <t>Traditional healer</t>
  </si>
  <si>
    <t>Chemist / drugstore</t>
  </si>
  <si>
    <t>Dai (TBA)</t>
  </si>
  <si>
    <t>Other private sector</t>
  </si>
  <si>
    <t>Others shop</t>
  </si>
  <si>
    <t>Home Treatment</t>
  </si>
  <si>
    <t>Scheduled Caste</t>
  </si>
  <si>
    <t>Scheduled Tribe</t>
  </si>
  <si>
    <t>OBC</t>
  </si>
  <si>
    <t>None of them</t>
  </si>
  <si>
    <t>Yes</t>
  </si>
  <si>
    <t>No</t>
  </si>
  <si>
    <t>Electricity</t>
  </si>
  <si>
    <t>Mattress</t>
  </si>
  <si>
    <t>Pressure Cooker</t>
  </si>
  <si>
    <t>Chair</t>
  </si>
  <si>
    <t>Cot/Bed</t>
  </si>
  <si>
    <t>Table</t>
  </si>
  <si>
    <t>Electric Fan</t>
  </si>
  <si>
    <t>Tractor</t>
  </si>
  <si>
    <t>What type of fuel does your household mainly use for cooking?</t>
  </si>
  <si>
    <t>Bio Gas</t>
  </si>
  <si>
    <t>Kerosene</t>
  </si>
  <si>
    <t>Charcoal</t>
  </si>
  <si>
    <t>Wood</t>
  </si>
  <si>
    <t>Straw/Shrubs</t>
  </si>
  <si>
    <t>Agricultural Crop Waste</t>
  </si>
  <si>
    <t>Dung Cakes</t>
  </si>
  <si>
    <t>Main material of the floor:</t>
  </si>
  <si>
    <t>Natural Floor</t>
  </si>
  <si>
    <t>(Record Observation)</t>
  </si>
  <si>
    <t>Sand</t>
  </si>
  <si>
    <t>Rudimentary Floor</t>
  </si>
  <si>
    <t>Raw/wood planks</t>
  </si>
  <si>
    <t>Palm/bamboo</t>
  </si>
  <si>
    <t>Brick</t>
  </si>
  <si>
    <t>Stone</t>
  </si>
  <si>
    <t>Finsihed Floor</t>
  </si>
  <si>
    <t>Ceramic tiles</t>
  </si>
  <si>
    <t>Cement</t>
  </si>
  <si>
    <t>Carpet</t>
  </si>
  <si>
    <t>Polished stone/marbel</t>
  </si>
  <si>
    <t>Granite</t>
  </si>
  <si>
    <t>Main material of the roof</t>
  </si>
  <si>
    <t>Natural Roof</t>
  </si>
  <si>
    <t>(record observation)</t>
  </si>
  <si>
    <t>No roof</t>
  </si>
  <si>
    <t>Thatch/palm leaf/grass</t>
  </si>
  <si>
    <t>Mud</t>
  </si>
  <si>
    <t>Plastic / polythene sheet</t>
  </si>
  <si>
    <t>Rudimentary Roofing</t>
  </si>
  <si>
    <t>Asbestos / sheets</t>
  </si>
  <si>
    <t>RCC/Cement/Concrete</t>
  </si>
  <si>
    <t>Tiles</t>
  </si>
  <si>
    <t>Main materail of the exterior walls</t>
  </si>
  <si>
    <t>Natural Walls</t>
  </si>
  <si>
    <t>No walls</t>
  </si>
  <si>
    <t>Cane/palm/trunks/bamboo</t>
  </si>
  <si>
    <t>Grass/reeds/thatch</t>
  </si>
  <si>
    <t>Bamboo with mud</t>
  </si>
  <si>
    <t>Stone with mud</t>
  </si>
  <si>
    <t>Plywood</t>
  </si>
  <si>
    <t>Cardboard</t>
  </si>
  <si>
    <t>Unburnt brick</t>
  </si>
  <si>
    <t>Raw wood/used wood</t>
  </si>
  <si>
    <t>Finished Walls</t>
  </si>
  <si>
    <t>Cement/concrete</t>
  </si>
  <si>
    <t>Stone with lime/cement</t>
  </si>
  <si>
    <t>Burnt bricks</t>
  </si>
  <si>
    <t>Cement blocks</t>
  </si>
  <si>
    <t>Wood planks/shingles</t>
  </si>
  <si>
    <t>Metal / asbestos/ GI sheets</t>
  </si>
  <si>
    <t>Type of windows</t>
  </si>
  <si>
    <t>Any windows</t>
  </si>
  <si>
    <t>Windows with glass</t>
  </si>
  <si>
    <t>Windows with screens</t>
  </si>
  <si>
    <t>How many rooms in this household are used for sleeping?</t>
  </si>
  <si>
    <t>Does this household own this house or any other house?</t>
  </si>
  <si>
    <t>Does your household own any of the following animals:</t>
  </si>
  <si>
    <t>Cows/bulls/bufalloes</t>
  </si>
  <si>
    <t>Chickens/ducks</t>
  </si>
  <si>
    <t>Do you have a cattle shed?</t>
  </si>
  <si>
    <t xml:space="preserve">Does any usual member of this household have a bank </t>
  </si>
  <si>
    <t>account or a post office account?</t>
  </si>
  <si>
    <t>Does this household have a BPL Card?</t>
  </si>
  <si>
    <t xml:space="preserve">Does any male in the family do daily wage labour at </t>
  </si>
  <si>
    <t>any time during the year?</t>
  </si>
  <si>
    <t>CODE</t>
  </si>
  <si>
    <t>►</t>
  </si>
  <si>
    <t>YES</t>
  </si>
  <si>
    <t>NO</t>
  </si>
  <si>
    <t>ID CODE</t>
  </si>
  <si>
    <t>OTHER, SPECIFY</t>
  </si>
  <si>
    <t>NEXT SECTION</t>
  </si>
  <si>
    <t xml:space="preserve"> </t>
  </si>
  <si>
    <t>THE SAME</t>
  </si>
  <si>
    <t>◄</t>
  </si>
  <si>
    <t>1st</t>
  </si>
  <si>
    <t>2nd</t>
  </si>
  <si>
    <t>3rd</t>
  </si>
  <si>
    <t>RUPEES</t>
  </si>
  <si>
    <t>ASHA</t>
  </si>
  <si>
    <t>What is the religion of the head of the Household?</t>
  </si>
  <si>
    <t>Hindu</t>
  </si>
  <si>
    <t>Muslim</t>
  </si>
  <si>
    <t>Chrisitian</t>
  </si>
  <si>
    <t>LIST UP TO 3 BUSINESSES THAT THIS HH OPERATED DURING THE PAST 12 MONTHS (IN ORDER OF FINANCIAL IMPORTANCE TO THE HOUSEHOLD)</t>
  </si>
  <si>
    <t>BUSINESS</t>
  </si>
  <si>
    <t>FULL WRITTEN DESCRIPTION OF BUSINESS(ES):</t>
  </si>
  <si>
    <t xml:space="preserve">Who  is mainly reponsible for decisions in running this business? 
</t>
  </si>
  <si>
    <t>BUSINESS 1</t>
  </si>
  <si>
    <t>BUSINESS 2</t>
  </si>
  <si>
    <t>BUSINESS 3</t>
  </si>
  <si>
    <t xml:space="preserve">IF THE PERSON IS A HOUSEHOLD MEMBER, PUT THE ID CODE OF THE PERSON. IF THE PERSON IS NOT A HOUSEHOLD MEMBER, WRITE '89'. </t>
  </si>
  <si>
    <r>
      <t>RESPONDENT:</t>
    </r>
    <r>
      <rPr>
        <b/>
        <i/>
        <sz val="8"/>
        <rFont val="Arial Narrow"/>
        <family val="2"/>
      </rPr>
      <t xml:space="preserve"> FARM ENTERPRISE OWNER OR HEAD OF THE HOUSEHOLD/MOST KNOWLEDGABLE HOUSEHOLD MEMBER</t>
    </r>
  </si>
  <si>
    <t>What is the total size of land available for farming owned by your household?</t>
  </si>
  <si>
    <t>QUANTITY</t>
  </si>
  <si>
    <t>What are the three most valuable crops that the household produced, and the size of the cultivated land areas for these crops.</t>
  </si>
  <si>
    <t>A) LIST 3 MOST VALUABLE CROPS</t>
  </si>
  <si>
    <t>CROP #1</t>
  </si>
  <si>
    <t>CROP #2</t>
  </si>
  <si>
    <t>CROP #3</t>
  </si>
  <si>
    <t>LAND for 1</t>
  </si>
  <si>
    <t>LAND for 2</t>
  </si>
  <si>
    <t>LAND for 3</t>
  </si>
  <si>
    <r>
      <t xml:space="preserve">C) </t>
    </r>
    <r>
      <rPr>
        <sz val="8"/>
        <rFont val="Arial Narrow"/>
        <family val="2"/>
      </rPr>
      <t>Is this land mixed crop?</t>
    </r>
  </si>
  <si>
    <t>YES = 1</t>
  </si>
  <si>
    <t>NO = 2</t>
  </si>
  <si>
    <r>
      <t>RESPONDENT</t>
    </r>
    <r>
      <rPr>
        <b/>
        <i/>
        <sz val="11"/>
        <rFont val="Arial Narrow"/>
        <family val="2"/>
      </rPr>
      <t>: Head of Household or most knowledgeable household member</t>
    </r>
  </si>
  <si>
    <r>
      <t>Compared to last year</t>
    </r>
    <r>
      <rPr>
        <sz val="8"/>
        <rFont val="Arial Narrow"/>
        <family val="2"/>
      </rPr>
      <t>, do you consider your household to be better off, the same, or worse off now?</t>
    </r>
  </si>
  <si>
    <t>BETTER OFF</t>
  </si>
  <si>
    <t>WORSE OFF</t>
  </si>
  <si>
    <t>1ST</t>
  </si>
  <si>
    <t>2ND</t>
  </si>
  <si>
    <t>3RD</t>
  </si>
  <si>
    <t>LACK OF ADEQUATE LAND</t>
  </si>
  <si>
    <t>HARD ECONOMIC TIMES</t>
  </si>
  <si>
    <t>LACK OF INPUTS</t>
  </si>
  <si>
    <t>ILL HEALTH / DISABILITY</t>
  </si>
  <si>
    <t>SUPPORT FROM GOVERNMENT</t>
  </si>
  <si>
    <t>LACK OF CAPITAL</t>
  </si>
  <si>
    <t>DEATH OF BREAD WINNER</t>
  </si>
  <si>
    <t>SUPPORT FROM COMMUNITY</t>
  </si>
  <si>
    <t>LOW DEMAND / PRICES</t>
  </si>
  <si>
    <t>DEATH IN HOUSEHOLD</t>
  </si>
  <si>
    <t>SUPPORT FROM FAMILY/FRIENDS</t>
  </si>
  <si>
    <t>TOO MUCH COMPETITION</t>
  </si>
  <si>
    <t>DEBT</t>
  </si>
  <si>
    <t>GOT A JOB</t>
  </si>
  <si>
    <t>DEATH OF CATTLE / LIVESTOCK</t>
  </si>
  <si>
    <t>NATURAL DISASTER</t>
  </si>
  <si>
    <t>STARTED A BUSINESS</t>
  </si>
  <si>
    <t>BAD WEATHER</t>
  </si>
  <si>
    <t>LACK OF EMPLOYMENT OPPORTUNITY</t>
  </si>
  <si>
    <t>INVESTMENT</t>
  </si>
  <si>
    <t>SALARY / WAGE TOO LOW</t>
  </si>
  <si>
    <t>Radio/Transister</t>
  </si>
  <si>
    <t>B&amp;W Televeision</t>
  </si>
  <si>
    <t>Colour Television</t>
  </si>
  <si>
    <t>Sewing Machine</t>
  </si>
  <si>
    <t>Mobile Telephone</t>
  </si>
  <si>
    <t>Any other Telephone</t>
  </si>
  <si>
    <t>Computer</t>
  </si>
  <si>
    <t>Watch/clock</t>
  </si>
  <si>
    <t>Bicycle</t>
  </si>
  <si>
    <t>Motor cycle/scooter</t>
  </si>
  <si>
    <t>Animal-drawn cart</t>
  </si>
  <si>
    <t>Car</t>
  </si>
  <si>
    <t>Water pump</t>
  </si>
  <si>
    <t>Thresher</t>
  </si>
  <si>
    <t>Black smithy-1, Carpentry-2, Grinding Flour/Rice Milling-3, Washing Clothes-4, Cutting hair/Barber-5, Priests-6, Mason-7, Bamboo work-8, Pressing oil-9, Sweeping and Scavenging-10, Gold Smith-11, Fishing-12, Plucking coconuts-13, Making puffed rice-14, Potters-15, Weavers-16, Greengrocer’s shop-17, Tea &amp; snack shop-18, Betel shop-19, Gocery-20, Trading coconut-21, Bicycle repair-22, Agriculture goods shop-23, Digging wells-24, Poultry-25, Theatre group-26, Musician-27, Tailoring-28, Transport-29, Milk business-30, Brick business-31, Cashew business-32 , Cow business-33, Garage-34, Cable-35, Coal business-36, Spare parts-37, DMLT/Lab technician-38, Hotel-39, Xerox-40, Electrician-41, Stationary-42, Variety store -43, Rice Trading-44, Other______-45</t>
  </si>
  <si>
    <t>(Write the unit in acre, if necessary convert the other units into acre)</t>
  </si>
  <si>
    <t>B) SIZE OF CULTIVATED LAND AREA - USE ACRE AS UNIT</t>
  </si>
  <si>
    <t>How much did your household receive from ..[SOURCE].. in the past 12 months?</t>
  </si>
  <si>
    <r>
      <t xml:space="preserve">CHECK VALUE IN (3.29), THEN ASK THE RELEVANT QUESTION. </t>
    </r>
    <r>
      <rPr>
        <sz val="8"/>
        <rFont val="Arial Narrow"/>
        <family val="2"/>
      </rPr>
      <t xml:space="preserve">Why do you think your household is </t>
    </r>
    <r>
      <rPr>
        <b/>
        <sz val="8"/>
        <rFont val="Arial Narrow"/>
        <family val="2"/>
      </rPr>
      <t>better off</t>
    </r>
    <r>
      <rPr>
        <sz val="8"/>
        <rFont val="Arial Narrow"/>
        <family val="2"/>
      </rPr>
      <t xml:space="preserve"> / </t>
    </r>
    <r>
      <rPr>
        <b/>
        <sz val="8"/>
        <rFont val="Arial Narrow"/>
        <family val="2"/>
      </rPr>
      <t>worse off today compared to where it was last year</t>
    </r>
    <r>
      <rPr>
        <sz val="8"/>
        <rFont val="Arial Narrow"/>
        <family val="2"/>
      </rPr>
      <t xml:space="preserve">? </t>
    </r>
    <r>
      <rPr>
        <sz val="7"/>
        <rFont val="Arial Narrow"/>
        <family val="2"/>
      </rPr>
      <t>ASK FOR 3 CAUSES, STARTING WITH THE MOST IMPORTANT. IF ONLY 1 or 2 REASONS ARE GIVEN, ENTER CODE 88</t>
    </r>
  </si>
  <si>
    <t>Refrigerator</t>
  </si>
  <si>
    <t>Chuan</t>
  </si>
  <si>
    <t>PLEASE ASK THE RESPONDENT TO SHOW NREGS JOB CARD IF HE /</t>
  </si>
  <si>
    <t>SHE HAS THE SAME</t>
  </si>
  <si>
    <t>Quack</t>
  </si>
  <si>
    <t>If ST, mention the tribe</t>
  </si>
  <si>
    <t>Majhi/Santhal</t>
  </si>
  <si>
    <t>Kandha</t>
  </si>
  <si>
    <t>Ganda</t>
  </si>
  <si>
    <t>Munda</t>
  </si>
  <si>
    <t>Bhuina</t>
  </si>
  <si>
    <t>Kohla</t>
  </si>
  <si>
    <t>Kisan</t>
  </si>
  <si>
    <t>Khadia</t>
  </si>
  <si>
    <t>Bathudi</t>
  </si>
  <si>
    <t>Other</t>
  </si>
  <si>
    <t>Openwell</t>
  </si>
  <si>
    <t>Spring</t>
  </si>
  <si>
    <t>Other (specify)</t>
  </si>
  <si>
    <t>LPG Gas</t>
  </si>
  <si>
    <t>Coal</t>
  </si>
  <si>
    <t>Mud/Clay/Earth/Dung</t>
  </si>
  <si>
    <t>Tin</t>
  </si>
  <si>
    <t xml:space="preserve">Does any female in the family do daily wage labour at any time </t>
  </si>
  <si>
    <t>during the year?</t>
  </si>
  <si>
    <r>
      <t>RESPONDENT:</t>
    </r>
    <r>
      <rPr>
        <b/>
        <i/>
        <sz val="9"/>
        <rFont val="Arial Narrow"/>
        <family val="2"/>
      </rPr>
      <t xml:space="preserve"> ENTERPRISE OWNER OR HEAD OF THE HOUSEHOLD/MOST KNOWLEDGABLE HOUSEHOLD MEMBER</t>
    </r>
  </si>
  <si>
    <t>Does your household operate a non-farm microenterprise?</t>
  </si>
  <si>
    <t>Fibere Sheet</t>
  </si>
  <si>
    <t>Khapar</t>
  </si>
  <si>
    <t>No Windows</t>
  </si>
  <si>
    <t>How many rooms you have in your house?</t>
  </si>
  <si>
    <t>No Livestock</t>
  </si>
  <si>
    <r>
      <rPr>
        <sz val="14"/>
        <rFont val="Arial"/>
        <family val="2"/>
      </rPr>
      <t>General Questions</t>
    </r>
    <r>
      <rPr>
        <sz val="8"/>
        <rFont val="Arial"/>
        <family val="2"/>
      </rPr>
      <t>: Respondent- Household head/most knowledgable member of household</t>
    </r>
  </si>
  <si>
    <t>Goats/Sheep</t>
  </si>
  <si>
    <t>Pig</t>
  </si>
  <si>
    <t>Does your household do agriculture?</t>
  </si>
  <si>
    <t>Others Land</t>
  </si>
  <si>
    <t>Own Land</t>
  </si>
  <si>
    <r>
      <t>Did your household grow crops on any land in the last agricultural season (</t>
    </r>
    <r>
      <rPr>
        <b/>
        <i/>
        <sz val="8"/>
        <rFont val="Arial Narrow"/>
        <family val="2"/>
      </rPr>
      <t>June 2009 - May 2010</t>
    </r>
    <r>
      <rPr>
        <sz val="8"/>
        <rFont val="Arial Narrow"/>
        <family val="2"/>
      </rPr>
      <t>)?</t>
    </r>
  </si>
  <si>
    <t>Rice-1, Jowar-2, Bajra-3, Maize-4, Ragi-5, Wheat-6, Black Gram-7, Green Gram-8, Red Gram-9, Tur-10, Groundnut-11, Sesamum-12, Rape seed and mustard-13, Lineseeds-14, Caster seeds-15, Other oil seeds-16, Cotton-17, Jute-18, Mesta-19, Other fibres-20, Sugarcane-21, Tobacco-22, Patato-23, Chillies-24, Ginger-25, Sunflower-25, Brinjal-26, Cauliflower-27, Onion-28, Garlic-29, Tomato-30, Lemon-31, Cashew-32, Banana-33, Green Leaf-34, Other _____-</t>
  </si>
  <si>
    <t xml:space="preserve">Reasons for Worse off </t>
  </si>
  <si>
    <t xml:space="preserve">Reasons for Better off </t>
  </si>
  <si>
    <t>Number</t>
  </si>
  <si>
    <t>REDUNDANCY / JOB LOSSES</t>
  </si>
  <si>
    <t>PRICES TOO HIGH</t>
  </si>
  <si>
    <t>Section 3: SOCIO ECONOMIC SURVEY (SES)</t>
  </si>
  <si>
    <t>Non-Farm Enterprise</t>
  </si>
  <si>
    <t>Farm Enterprise</t>
  </si>
  <si>
    <t>Subjective Wealth</t>
  </si>
  <si>
    <t>What is the caste / tribe of the head of the Household?</t>
  </si>
  <si>
    <t xml:space="preserve">Does your household have the following assest: </t>
  </si>
  <si>
    <t>(Record upto maximum 3 responses)</t>
  </si>
  <si>
    <t>AYUSH</t>
  </si>
  <si>
    <t>Others (Specify)</t>
  </si>
</sst>
</file>

<file path=xl/styles.xml><?xml version="1.0" encoding="utf-8"?>
<styleSheet xmlns="http://schemas.openxmlformats.org/spreadsheetml/2006/main">
  <numFmts count="5">
    <numFmt numFmtId="164" formatCode="00"/>
    <numFmt numFmtId="165" formatCode="0.00_);\(0.00\)"/>
    <numFmt numFmtId="166" formatCode="0#"/>
    <numFmt numFmtId="167" formatCode="0_);\(0\)"/>
    <numFmt numFmtId="168" formatCode="0.000_);\(0.000\)"/>
  </numFmts>
  <fonts count="52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8"/>
      <name val="Arial Narrow"/>
      <family val="2"/>
    </font>
    <font>
      <b/>
      <sz val="16"/>
      <color indexed="55"/>
      <name val="Arial Narrow"/>
      <family val="2"/>
    </font>
    <font>
      <b/>
      <i/>
      <u/>
      <sz val="9"/>
      <name val="Arial Narrow"/>
      <family val="2"/>
    </font>
    <font>
      <b/>
      <i/>
      <sz val="9"/>
      <name val="Arial Narrow"/>
      <family val="2"/>
    </font>
    <font>
      <sz val="7"/>
      <name val="Arial Narrow"/>
      <family val="2"/>
    </font>
    <font>
      <sz val="8"/>
      <color indexed="10"/>
      <name val="Arial Narrow"/>
      <family val="2"/>
    </font>
    <font>
      <sz val="6"/>
      <name val="Arial Narrow"/>
      <family val="2"/>
    </font>
    <font>
      <u/>
      <sz val="8"/>
      <name val="Arial Narrow"/>
      <family val="2"/>
    </font>
    <font>
      <b/>
      <i/>
      <u/>
      <sz val="8"/>
      <name val="Arial Narrow"/>
      <family val="2"/>
    </font>
    <font>
      <b/>
      <i/>
      <sz val="8"/>
      <name val="Arial Narrow"/>
      <family val="2"/>
    </font>
    <font>
      <sz val="9"/>
      <name val="Arial Narrow"/>
      <family val="2"/>
    </font>
    <font>
      <sz val="7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4"/>
      <name val="Arial Narrow"/>
      <family val="2"/>
    </font>
    <font>
      <sz val="9"/>
      <color indexed="8"/>
      <name val="Arial"/>
      <family val="2"/>
    </font>
    <font>
      <sz val="8"/>
      <color indexed="53"/>
      <name val="Arial Narrow"/>
      <family val="2"/>
    </font>
    <font>
      <b/>
      <sz val="6"/>
      <name val="Arial Narrow"/>
      <family val="2"/>
    </font>
    <font>
      <b/>
      <sz val="11"/>
      <name val="Arial Narrow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b/>
      <i/>
      <u/>
      <sz val="11"/>
      <name val="Arial Narrow"/>
      <family val="2"/>
    </font>
    <font>
      <b/>
      <i/>
      <sz val="11"/>
      <name val="Arial Narrow"/>
      <family val="2"/>
    </font>
    <font>
      <u/>
      <sz val="8"/>
      <color indexed="10"/>
      <name val="Arial Narrow"/>
      <family val="2"/>
    </font>
    <font>
      <b/>
      <i/>
      <u/>
      <sz val="9"/>
      <name val="Arial"/>
      <family val="2"/>
    </font>
    <font>
      <sz val="14"/>
      <name val="Arial"/>
      <family val="2"/>
    </font>
    <font>
      <sz val="8"/>
      <name val="Verdana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5"/>
        <bgColor indexed="64"/>
      </patternFill>
    </fill>
    <fill>
      <patternFill patternType="solid">
        <fgColor indexed="31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29">
    <xf numFmtId="0" fontId="0" fillId="0" borderId="0"/>
    <xf numFmtId="0" fontId="2" fillId="0" borderId="0"/>
    <xf numFmtId="0" fontId="23" fillId="4" borderId="32" applyNumberFormat="0" applyAlignment="0" applyProtection="0"/>
    <xf numFmtId="0" fontId="24" fillId="5" borderId="33" applyNumberFormat="0" applyAlignment="0" applyProtection="0"/>
    <xf numFmtId="0" fontId="25" fillId="0" borderId="34" applyNumberFormat="0" applyFill="0" applyAlignment="0" applyProtection="0"/>
    <xf numFmtId="0" fontId="26" fillId="6" borderId="0" applyNumberFormat="0" applyBorder="0" applyAlignment="0" applyProtection="0"/>
    <xf numFmtId="0" fontId="27" fillId="7" borderId="32" applyNumberFormat="0" applyAlignment="0" applyProtection="0"/>
    <xf numFmtId="0" fontId="28" fillId="0" borderId="35" applyNumberFormat="0" applyFill="0" applyAlignment="0" applyProtection="0"/>
    <xf numFmtId="0" fontId="29" fillId="0" borderId="36" applyNumberFormat="0" applyFill="0" applyAlignment="0" applyProtection="0"/>
    <xf numFmtId="0" fontId="30" fillId="0" borderId="37" applyNumberFormat="0" applyFill="0" applyAlignment="0" applyProtection="0"/>
    <xf numFmtId="0" fontId="30" fillId="0" borderId="0" applyNumberFormat="0" applyFill="0" applyBorder="0" applyAlignment="0" applyProtection="0"/>
    <xf numFmtId="0" fontId="31" fillId="8" borderId="0" applyNumberFormat="0" applyBorder="0" applyAlignment="0" applyProtection="0"/>
    <xf numFmtId="0" fontId="2" fillId="0" borderId="0"/>
    <xf numFmtId="0" fontId="2" fillId="9" borderId="38" applyNumberFormat="0" applyFont="0" applyAlignment="0" applyProtection="0"/>
    <xf numFmtId="0" fontId="32" fillId="10" borderId="0" applyNumberFormat="0" applyBorder="0" applyAlignment="0" applyProtection="0"/>
    <xf numFmtId="0" fontId="4" fillId="0" borderId="0"/>
    <xf numFmtId="0" fontId="33" fillId="0" borderId="0" applyNumberFormat="0" applyFill="0" applyBorder="0" applyAlignment="0" applyProtection="0"/>
    <xf numFmtId="0" fontId="34" fillId="0" borderId="39" applyNumberFormat="0" applyFill="0" applyAlignment="0" applyProtection="0"/>
    <xf numFmtId="0" fontId="35" fillId="4" borderId="40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" fillId="0" borderId="0"/>
    <xf numFmtId="0" fontId="38" fillId="0" borderId="0"/>
    <xf numFmtId="168" fontId="38" fillId="0" borderId="0" applyFont="0" applyFill="0" applyBorder="0" applyAlignment="0" applyProtection="0"/>
    <xf numFmtId="0" fontId="1" fillId="12" borderId="0" applyNumberFormat="0" applyBorder="0" applyAlignment="0" applyProtection="0"/>
    <xf numFmtId="0" fontId="39" fillId="11" borderId="41" applyFill="0" applyBorder="0">
      <alignment horizontal="center" vertical="center" wrapText="1"/>
    </xf>
    <xf numFmtId="0" fontId="2" fillId="0" borderId="0"/>
    <xf numFmtId="0" fontId="4" fillId="0" borderId="0"/>
    <xf numFmtId="0" fontId="2" fillId="0" borderId="0"/>
  </cellStyleXfs>
  <cellXfs count="370">
    <xf numFmtId="0" fontId="0" fillId="0" borderId="0" xfId="0"/>
    <xf numFmtId="0" fontId="2" fillId="0" borderId="0" xfId="1" applyFont="1" applyFill="1" applyBorder="1" applyAlignment="1">
      <alignment vertical="top"/>
    </xf>
    <xf numFmtId="0" fontId="2" fillId="0" borderId="0" xfId="1" applyFont="1" applyBorder="1" applyAlignment="1">
      <alignment vertical="top"/>
    </xf>
    <xf numFmtId="0" fontId="2" fillId="0" borderId="19" xfId="1" applyFont="1" applyBorder="1" applyAlignment="1">
      <alignment vertical="top" wrapText="1"/>
    </xf>
    <xf numFmtId="0" fontId="2" fillId="0" borderId="19" xfId="1" applyFont="1" applyFill="1" applyBorder="1" applyAlignment="1">
      <alignment vertical="top"/>
    </xf>
    <xf numFmtId="0" fontId="2" fillId="0" borderId="13" xfId="1" applyBorder="1" applyAlignment="1">
      <alignment vertical="top"/>
    </xf>
    <xf numFmtId="0" fontId="2" fillId="0" borderId="0" xfId="1" applyAlignment="1">
      <alignment vertical="top"/>
    </xf>
    <xf numFmtId="0" fontId="11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center" vertical="top"/>
    </xf>
    <xf numFmtId="0" fontId="2" fillId="0" borderId="9" xfId="1" applyBorder="1" applyAlignment="1">
      <alignment vertical="top"/>
    </xf>
    <xf numFmtId="0" fontId="2" fillId="0" borderId="0" xfId="1" applyFont="1" applyBorder="1" applyAlignment="1">
      <alignment horizontal="right" vertical="top" wrapText="1"/>
    </xf>
    <xf numFmtId="0" fontId="2" fillId="0" borderId="0" xfId="1" applyFont="1" applyBorder="1" applyAlignment="1">
      <alignment vertical="top" wrapText="1"/>
    </xf>
    <xf numFmtId="0" fontId="2" fillId="0" borderId="11" xfId="1" applyBorder="1" applyAlignment="1">
      <alignment vertical="top"/>
    </xf>
    <xf numFmtId="0" fontId="2" fillId="0" borderId="10" xfId="1" applyBorder="1" applyAlignment="1">
      <alignment vertical="top"/>
    </xf>
    <xf numFmtId="0" fontId="10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center" vertical="top"/>
    </xf>
    <xf numFmtId="0" fontId="11" fillId="0" borderId="0" xfId="1" applyFont="1" applyFill="1" applyBorder="1" applyAlignment="1">
      <alignment horizontal="left" vertical="top"/>
    </xf>
    <xf numFmtId="165" fontId="2" fillId="0" borderId="0" xfId="1" applyNumberFormat="1" applyFont="1" applyFill="1" applyBorder="1" applyAlignment="1">
      <alignment horizontal="left" vertical="top"/>
    </xf>
    <xf numFmtId="0" fontId="2" fillId="0" borderId="0" xfId="1" applyFont="1" applyFill="1" applyBorder="1" applyAlignment="1">
      <alignment vertical="top" wrapText="1"/>
    </xf>
    <xf numFmtId="0" fontId="2" fillId="0" borderId="0" xfId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0" fontId="2" fillId="0" borderId="0" xfId="1" applyBorder="1" applyAlignment="1">
      <alignment vertical="top" wrapText="1"/>
    </xf>
    <xf numFmtId="0" fontId="2" fillId="0" borderId="11" xfId="1" applyBorder="1" applyAlignment="1">
      <alignment vertical="top" wrapText="1"/>
    </xf>
    <xf numFmtId="0" fontId="10" fillId="0" borderId="0" xfId="1" applyFont="1" applyFill="1" applyAlignment="1">
      <alignment horizontal="left" vertical="center"/>
    </xf>
    <xf numFmtId="0" fontId="2" fillId="0" borderId="24" xfId="1" applyBorder="1" applyAlignment="1">
      <alignment vertical="top"/>
    </xf>
    <xf numFmtId="0" fontId="5" fillId="0" borderId="0" xfId="0" applyFont="1"/>
    <xf numFmtId="0" fontId="6" fillId="2" borderId="0" xfId="0" applyFont="1" applyFill="1" applyBorder="1"/>
    <xf numFmtId="0" fontId="5" fillId="2" borderId="0" xfId="0" applyFont="1" applyFill="1" applyBorder="1"/>
    <xf numFmtId="165" fontId="6" fillId="2" borderId="0" xfId="0" applyNumberFormat="1" applyFont="1" applyFill="1" applyBorder="1"/>
    <xf numFmtId="0" fontId="5" fillId="2" borderId="0" xfId="0" applyFont="1" applyFill="1"/>
    <xf numFmtId="0" fontId="8" fillId="2" borderId="14" xfId="0" applyFont="1" applyFill="1" applyBorder="1"/>
    <xf numFmtId="0" fontId="8" fillId="2" borderId="15" xfId="0" applyFont="1" applyFill="1" applyBorder="1"/>
    <xf numFmtId="166" fontId="8" fillId="2" borderId="16" xfId="0" applyNumberFormat="1" applyFont="1" applyFill="1" applyBorder="1"/>
    <xf numFmtId="0" fontId="6" fillId="2" borderId="0" xfId="0" applyFont="1" applyFill="1"/>
    <xf numFmtId="0" fontId="8" fillId="2" borderId="18" xfId="0" applyFont="1" applyFill="1" applyBorder="1"/>
    <xf numFmtId="0" fontId="8" fillId="2" borderId="19" xfId="0" applyFont="1" applyFill="1" applyBorder="1"/>
    <xf numFmtId="166" fontId="8" fillId="2" borderId="20" xfId="0" applyNumberFormat="1" applyFont="1" applyFill="1" applyBorder="1"/>
    <xf numFmtId="0" fontId="5" fillId="3" borderId="6" xfId="0" applyFont="1" applyFill="1" applyBorder="1"/>
    <xf numFmtId="0" fontId="5" fillId="3" borderId="0" xfId="0" applyFont="1" applyFill="1" applyAlignment="1">
      <alignment horizontal="center"/>
    </xf>
    <xf numFmtId="0" fontId="8" fillId="2" borderId="21" xfId="0" applyFont="1" applyFill="1" applyBorder="1"/>
    <xf numFmtId="0" fontId="8" fillId="2" borderId="22" xfId="0" applyFont="1" applyFill="1" applyBorder="1"/>
    <xf numFmtId="166" fontId="8" fillId="2" borderId="23" xfId="0" applyNumberFormat="1" applyFont="1" applyFill="1" applyBorder="1"/>
    <xf numFmtId="0" fontId="9" fillId="2" borderId="7" xfId="0" applyFont="1" applyFill="1" applyBorder="1"/>
    <xf numFmtId="0" fontId="8" fillId="2" borderId="12" xfId="0" applyFont="1" applyFill="1" applyBorder="1"/>
    <xf numFmtId="166" fontId="8" fillId="2" borderId="8" xfId="0" applyNumberFormat="1" applyFont="1" applyFill="1" applyBorder="1"/>
    <xf numFmtId="0" fontId="8" fillId="2" borderId="13" xfId="0" applyFont="1" applyFill="1" applyBorder="1" applyAlignment="1">
      <alignment horizontal="left" indent="1"/>
    </xf>
    <xf numFmtId="0" fontId="8" fillId="2" borderId="0" xfId="0" applyFont="1" applyFill="1" applyBorder="1"/>
    <xf numFmtId="166" fontId="8" fillId="2" borderId="9" xfId="0" applyNumberFormat="1" applyFont="1" applyFill="1" applyBorder="1"/>
    <xf numFmtId="0" fontId="9" fillId="2" borderId="13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5" fillId="2" borderId="6" xfId="0" applyFont="1" applyFill="1" applyBorder="1"/>
    <xf numFmtId="0" fontId="5" fillId="2" borderId="10" xfId="0" applyFont="1" applyFill="1" applyBorder="1"/>
    <xf numFmtId="0" fontId="8" fillId="2" borderId="0" xfId="0" applyFont="1" applyFill="1" applyBorder="1" applyAlignment="1">
      <alignment horizontal="left" indent="1"/>
    </xf>
    <xf numFmtId="0" fontId="8" fillId="2" borderId="11" xfId="0" applyFont="1" applyFill="1" applyBorder="1" applyAlignment="1">
      <alignment horizontal="left" indent="1"/>
    </xf>
    <xf numFmtId="166" fontId="8" fillId="2" borderId="10" xfId="0" applyNumberFormat="1" applyFont="1" applyFill="1" applyBorder="1"/>
    <xf numFmtId="0" fontId="8" fillId="2" borderId="4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8" fillId="2" borderId="11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5" fillId="2" borderId="9" xfId="0" applyFont="1" applyFill="1" applyBorder="1"/>
    <xf numFmtId="0" fontId="8" fillId="2" borderId="1" xfId="0" applyFont="1" applyFill="1" applyBorder="1" applyAlignment="1">
      <alignment horizontal="left"/>
    </xf>
    <xf numFmtId="0" fontId="5" fillId="2" borderId="2" xfId="0" applyFont="1" applyFill="1" applyBorder="1"/>
    <xf numFmtId="0" fontId="5" fillId="2" borderId="3" xfId="0" applyFont="1" applyFill="1" applyBorder="1"/>
    <xf numFmtId="0" fontId="8" fillId="2" borderId="13" xfId="0" applyFont="1" applyFill="1" applyBorder="1"/>
    <xf numFmtId="0" fontId="8" fillId="2" borderId="1" xfId="0" applyFont="1" applyFill="1" applyBorder="1"/>
    <xf numFmtId="0" fontId="8" fillId="2" borderId="7" xfId="0" applyFont="1" applyFill="1" applyBorder="1"/>
    <xf numFmtId="0" fontId="8" fillId="2" borderId="11" xfId="0" applyFont="1" applyFill="1" applyBorder="1"/>
    <xf numFmtId="0" fontId="9" fillId="2" borderId="13" xfId="0" applyFont="1" applyFill="1" applyBorder="1"/>
    <xf numFmtId="0" fontId="5" fillId="2" borderId="12" xfId="0" applyFont="1" applyFill="1" applyBorder="1"/>
    <xf numFmtId="0" fontId="5" fillId="2" borderId="8" xfId="0" applyFont="1" applyFill="1" applyBorder="1"/>
    <xf numFmtId="0" fontId="8" fillId="2" borderId="6" xfId="0" applyFont="1" applyFill="1" applyBorder="1"/>
    <xf numFmtId="0" fontId="8" fillId="2" borderId="0" xfId="0" applyFont="1" applyFill="1" applyAlignment="1">
      <alignment horizontal="left" indent="1"/>
    </xf>
    <xf numFmtId="0" fontId="8" fillId="2" borderId="0" xfId="0" applyFont="1" applyFill="1"/>
    <xf numFmtId="0" fontId="40" fillId="0" borderId="0" xfId="0" applyFont="1"/>
    <xf numFmtId="0" fontId="5" fillId="2" borderId="7" xfId="0" applyFont="1" applyFill="1" applyBorder="1"/>
    <xf numFmtId="0" fontId="5" fillId="2" borderId="11" xfId="0" applyFont="1" applyFill="1" applyBorder="1"/>
    <xf numFmtId="0" fontId="8" fillId="2" borderId="16" xfId="0" applyNumberFormat="1" applyFont="1" applyFill="1" applyBorder="1"/>
    <xf numFmtId="0" fontId="8" fillId="2" borderId="23" xfId="0" applyNumberFormat="1" applyFont="1" applyFill="1" applyBorder="1"/>
    <xf numFmtId="0" fontId="8" fillId="2" borderId="8" xfId="0" applyNumberFormat="1" applyFont="1" applyFill="1" applyBorder="1"/>
    <xf numFmtId="0" fontId="8" fillId="2" borderId="9" xfId="0" applyNumberFormat="1" applyFont="1" applyFill="1" applyBorder="1"/>
    <xf numFmtId="0" fontId="10" fillId="0" borderId="0" xfId="26" applyFont="1" applyFill="1" applyAlignment="1">
      <alignment horizontal="left" vertical="top"/>
    </xf>
    <xf numFmtId="0" fontId="12" fillId="0" borderId="0" xfId="1" applyFont="1" applyFill="1" applyAlignment="1">
      <alignment horizontal="right" vertical="center"/>
    </xf>
    <xf numFmtId="0" fontId="13" fillId="0" borderId="0" xfId="1" applyFont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top"/>
    </xf>
    <xf numFmtId="0" fontId="2" fillId="0" borderId="0" xfId="1" applyFont="1" applyAlignment="1">
      <alignment vertical="top"/>
    </xf>
    <xf numFmtId="0" fontId="20" fillId="0" borderId="0" xfId="1" applyFont="1" applyFill="1" applyBorder="1" applyAlignment="1">
      <alignment horizontal="left" vertical="top"/>
    </xf>
    <xf numFmtId="0" fontId="2" fillId="0" borderId="0" xfId="26" applyFont="1" applyBorder="1" applyAlignment="1">
      <alignment horizontal="left" vertical="top" wrapText="1"/>
    </xf>
    <xf numFmtId="0" fontId="2" fillId="0" borderId="0" xfId="26" applyFont="1" applyAlignment="1">
      <alignment horizontal="left" vertical="top" wrapText="1"/>
    </xf>
    <xf numFmtId="0" fontId="2" fillId="0" borderId="0" xfId="1" applyFont="1" applyBorder="1" applyAlignment="1">
      <alignment horizontal="left" vertical="center"/>
    </xf>
    <xf numFmtId="0" fontId="2" fillId="0" borderId="0" xfId="26" applyBorder="1" applyAlignment="1">
      <alignment horizontal="left" vertical="top" wrapText="1"/>
    </xf>
    <xf numFmtId="0" fontId="2" fillId="0" borderId="0" xfId="26" applyAlignment="1">
      <alignment horizontal="left" vertical="top" wrapText="1"/>
    </xf>
    <xf numFmtId="0" fontId="11" fillId="0" borderId="0" xfId="26" applyFont="1" applyBorder="1" applyAlignment="1">
      <alignment horizontal="center" vertical="top" wrapText="1"/>
    </xf>
    <xf numFmtId="0" fontId="11" fillId="0" borderId="0" xfId="26" applyFont="1" applyBorder="1" applyAlignment="1">
      <alignment vertical="top" wrapText="1"/>
    </xf>
    <xf numFmtId="0" fontId="11" fillId="0" borderId="0" xfId="26" applyFont="1" applyAlignment="1">
      <alignment horizontal="left" vertical="top" wrapText="1"/>
    </xf>
    <xf numFmtId="0" fontId="11" fillId="0" borderId="0" xfId="26" applyFont="1" applyBorder="1" applyAlignment="1">
      <alignment horizontal="left" vertical="top" wrapText="1"/>
    </xf>
    <xf numFmtId="165" fontId="11" fillId="0" borderId="0" xfId="1" applyNumberFormat="1" applyFont="1" applyBorder="1" applyAlignment="1">
      <alignment horizontal="left" vertical="top"/>
    </xf>
    <xf numFmtId="165" fontId="2" fillId="0" borderId="19" xfId="1" applyNumberFormat="1" applyFont="1" applyBorder="1" applyAlignment="1">
      <alignment horizontal="left" vertical="top" wrapText="1"/>
    </xf>
    <xf numFmtId="167" fontId="2" fillId="0" borderId="19" xfId="1" applyNumberFormat="1" applyFont="1" applyBorder="1" applyAlignment="1">
      <alignment horizontal="left" vertical="top" wrapText="1"/>
    </xf>
    <xf numFmtId="165" fontId="2" fillId="0" borderId="0" xfId="1" applyNumberFormat="1" applyFont="1" applyBorder="1" applyAlignment="1">
      <alignment horizontal="left" vertical="top" wrapText="1"/>
    </xf>
    <xf numFmtId="0" fontId="11" fillId="0" borderId="7" xfId="26" applyFont="1" applyBorder="1" applyAlignment="1">
      <alignment vertical="top" wrapText="1"/>
    </xf>
    <xf numFmtId="0" fontId="11" fillId="0" borderId="12" xfId="26" applyFont="1" applyBorder="1" applyAlignment="1">
      <alignment vertical="top" wrapText="1"/>
    </xf>
    <xf numFmtId="0" fontId="11" fillId="0" borderId="8" xfId="26" applyFont="1" applyBorder="1" applyAlignment="1">
      <alignment vertical="top" wrapText="1"/>
    </xf>
    <xf numFmtId="165" fontId="2" fillId="0" borderId="19" xfId="1" applyNumberFormat="1" applyFont="1" applyBorder="1" applyAlignment="1">
      <alignment horizontal="left" vertical="top"/>
    </xf>
    <xf numFmtId="167" fontId="2" fillId="0" borderId="19" xfId="26" applyNumberFormat="1" applyFont="1" applyBorder="1" applyAlignment="1">
      <alignment horizontal="left" vertical="top" wrapText="1"/>
    </xf>
    <xf numFmtId="0" fontId="2" fillId="0" borderId="0" xfId="26" applyFill="1" applyAlignment="1">
      <alignment horizontal="right" vertical="center"/>
    </xf>
    <xf numFmtId="165" fontId="2" fillId="0" borderId="0" xfId="1" applyNumberFormat="1" applyFont="1" applyBorder="1" applyAlignment="1">
      <alignment horizontal="left" vertical="top"/>
    </xf>
    <xf numFmtId="0" fontId="11" fillId="0" borderId="11" xfId="26" applyFont="1" applyBorder="1" applyAlignment="1">
      <alignment vertical="top" wrapText="1"/>
    </xf>
    <xf numFmtId="0" fontId="11" fillId="0" borderId="6" xfId="26" applyFont="1" applyBorder="1" applyAlignment="1">
      <alignment vertical="top" wrapText="1"/>
    </xf>
    <xf numFmtId="0" fontId="11" fillId="0" borderId="10" xfId="26" applyFont="1" applyBorder="1" applyAlignment="1">
      <alignment vertical="top" wrapText="1"/>
    </xf>
    <xf numFmtId="167" fontId="2" fillId="0" borderId="0" xfId="26" applyNumberFormat="1" applyFont="1" applyBorder="1" applyAlignment="1">
      <alignment horizontal="left" vertical="top" wrapText="1"/>
    </xf>
    <xf numFmtId="0" fontId="2" fillId="0" borderId="0" xfId="26" applyBorder="1" applyAlignment="1">
      <alignment vertical="top" wrapText="1"/>
    </xf>
    <xf numFmtId="0" fontId="11" fillId="2" borderId="0" xfId="1" applyFont="1" applyFill="1" applyBorder="1" applyAlignment="1">
      <alignment horizontal="center" vertical="top"/>
    </xf>
    <xf numFmtId="0" fontId="2" fillId="2" borderId="26" xfId="26" applyFill="1" applyBorder="1" applyAlignment="1">
      <alignment vertical="top" wrapText="1"/>
    </xf>
    <xf numFmtId="0" fontId="2" fillId="2" borderId="0" xfId="26" applyFill="1" applyBorder="1" applyAlignment="1">
      <alignment horizontal="left" vertical="top" wrapText="1"/>
    </xf>
    <xf numFmtId="0" fontId="2" fillId="2" borderId="26" xfId="26" applyFill="1" applyBorder="1" applyAlignment="1">
      <alignment horizontal="left" vertical="top" wrapText="1"/>
    </xf>
    <xf numFmtId="0" fontId="11" fillId="0" borderId="0" xfId="1" applyFont="1" applyBorder="1" applyAlignment="1">
      <alignment vertical="top"/>
    </xf>
    <xf numFmtId="0" fontId="11" fillId="2" borderId="0" xfId="26" applyFont="1" applyFill="1" applyBorder="1" applyAlignment="1">
      <alignment horizontal="center" vertical="center" wrapText="1"/>
    </xf>
    <xf numFmtId="0" fontId="2" fillId="2" borderId="26" xfId="1" applyFont="1" applyFill="1" applyBorder="1" applyAlignment="1">
      <alignment vertical="top"/>
    </xf>
    <xf numFmtId="0" fontId="17" fillId="2" borderId="0" xfId="26" applyFont="1" applyFill="1" applyBorder="1" applyAlignment="1">
      <alignment horizontal="left" vertical="center" wrapText="1"/>
    </xf>
    <xf numFmtId="0" fontId="17" fillId="2" borderId="26" xfId="26" applyFont="1" applyFill="1" applyBorder="1" applyAlignment="1">
      <alignment horizontal="left" vertical="center" wrapText="1"/>
    </xf>
    <xf numFmtId="0" fontId="17" fillId="0" borderId="0" xfId="26" applyFont="1" applyAlignment="1">
      <alignment horizontal="left" vertical="center" wrapText="1"/>
    </xf>
    <xf numFmtId="0" fontId="2" fillId="0" borderId="0" xfId="1" applyFont="1" applyBorder="1" applyAlignment="1">
      <alignment horizontal="left" vertical="top"/>
    </xf>
    <xf numFmtId="0" fontId="41" fillId="2" borderId="7" xfId="1" applyFont="1" applyFill="1" applyBorder="1" applyAlignment="1">
      <alignment vertical="top"/>
    </xf>
    <xf numFmtId="0" fontId="2" fillId="2" borderId="12" xfId="1" applyFont="1" applyFill="1" applyBorder="1" applyAlignment="1">
      <alignment vertical="top"/>
    </xf>
    <xf numFmtId="0" fontId="2" fillId="2" borderId="8" xfId="1" applyFont="1" applyFill="1" applyBorder="1" applyAlignment="1">
      <alignment vertical="top"/>
    </xf>
    <xf numFmtId="0" fontId="2" fillId="2" borderId="0" xfId="1" applyFont="1" applyFill="1" applyBorder="1" applyAlignment="1">
      <alignment vertical="top"/>
    </xf>
    <xf numFmtId="0" fontId="2" fillId="2" borderId="26" xfId="1" applyFill="1" applyBorder="1" applyAlignment="1">
      <alignment vertical="top"/>
    </xf>
    <xf numFmtId="0" fontId="2" fillId="2" borderId="7" xfId="1" applyFont="1" applyFill="1" applyBorder="1" applyAlignment="1">
      <alignment horizontal="center" vertical="top"/>
    </xf>
    <xf numFmtId="0" fontId="2" fillId="2" borderId="12" xfId="1" applyFont="1" applyFill="1" applyBorder="1" applyAlignment="1">
      <alignment horizontal="center" vertical="top"/>
    </xf>
    <xf numFmtId="0" fontId="2" fillId="2" borderId="8" xfId="1" applyFont="1" applyFill="1" applyBorder="1" applyAlignment="1">
      <alignment horizontal="center" vertical="top"/>
    </xf>
    <xf numFmtId="0" fontId="42" fillId="2" borderId="0" xfId="26" applyFont="1" applyFill="1" applyBorder="1" applyAlignment="1">
      <alignment horizontal="left" vertical="center" wrapText="1"/>
    </xf>
    <xf numFmtId="0" fontId="42" fillId="2" borderId="26" xfId="26" applyFont="1" applyFill="1" applyBorder="1" applyAlignment="1">
      <alignment horizontal="left" vertical="center" wrapText="1"/>
    </xf>
    <xf numFmtId="0" fontId="42" fillId="0" borderId="0" xfId="26" applyFont="1" applyAlignment="1">
      <alignment horizontal="left" vertical="center" wrapText="1"/>
    </xf>
    <xf numFmtId="0" fontId="2" fillId="2" borderId="13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13" xfId="1" applyFont="1" applyFill="1" applyBorder="1" applyAlignment="1">
      <alignment horizontal="center" vertical="top"/>
    </xf>
    <xf numFmtId="0" fontId="2" fillId="2" borderId="0" xfId="1" applyFont="1" applyFill="1" applyBorder="1" applyAlignment="1">
      <alignment horizontal="center" vertical="top"/>
    </xf>
    <xf numFmtId="0" fontId="2" fillId="2" borderId="9" xfId="1" applyFont="1" applyFill="1" applyBorder="1" applyAlignment="1">
      <alignment horizontal="center" vertical="top"/>
    </xf>
    <xf numFmtId="0" fontId="2" fillId="2" borderId="7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top"/>
    </xf>
    <xf numFmtId="0" fontId="2" fillId="2" borderId="10" xfId="1" applyFont="1" applyFill="1" applyBorder="1" applyAlignment="1">
      <alignment horizontal="center" vertical="top"/>
    </xf>
    <xf numFmtId="165" fontId="11" fillId="0" borderId="0" xfId="1" applyNumberFormat="1" applyFont="1" applyBorder="1" applyAlignment="1">
      <alignment vertical="top" wrapText="1"/>
    </xf>
    <xf numFmtId="0" fontId="2" fillId="0" borderId="26" xfId="1" applyFont="1" applyBorder="1" applyAlignment="1">
      <alignment vertical="top"/>
    </xf>
    <xf numFmtId="0" fontId="2" fillId="0" borderId="26" xfId="26" applyFont="1" applyBorder="1" applyAlignment="1">
      <alignment horizontal="left" vertical="top" wrapText="1"/>
    </xf>
    <xf numFmtId="0" fontId="2" fillId="0" borderId="26" xfId="26" applyBorder="1" applyAlignment="1">
      <alignment horizontal="left" vertical="top" wrapText="1"/>
    </xf>
    <xf numFmtId="0" fontId="2" fillId="0" borderId="7" xfId="1" applyFont="1" applyBorder="1" applyAlignment="1">
      <alignment vertical="top"/>
    </xf>
    <xf numFmtId="0" fontId="2" fillId="0" borderId="8" xfId="1" applyFont="1" applyBorder="1" applyAlignment="1">
      <alignment vertical="top"/>
    </xf>
    <xf numFmtId="0" fontId="2" fillId="0" borderId="11" xfId="1" applyFont="1" applyBorder="1" applyAlignment="1">
      <alignment horizontal="center" vertical="top" wrapText="1"/>
    </xf>
    <xf numFmtId="0" fontId="2" fillId="0" borderId="0" xfId="1" applyFont="1" applyBorder="1" applyAlignment="1">
      <alignment horizontal="center" vertical="top" wrapText="1"/>
    </xf>
    <xf numFmtId="0" fontId="2" fillId="0" borderId="26" xfId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Border="1" applyAlignment="1">
      <alignment horizontal="left" vertical="center"/>
    </xf>
    <xf numFmtId="0" fontId="19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center" vertical="top" wrapText="1"/>
    </xf>
    <xf numFmtId="167" fontId="2" fillId="0" borderId="19" xfId="1" applyNumberFormat="1" applyFont="1" applyBorder="1" applyAlignment="1">
      <alignment horizontal="right" vertical="top" wrapText="1"/>
    </xf>
    <xf numFmtId="0" fontId="2" fillId="0" borderId="7" xfId="1" applyBorder="1" applyAlignment="1">
      <alignment vertical="top" wrapText="1"/>
    </xf>
    <xf numFmtId="0" fontId="2" fillId="0" borderId="8" xfId="1" applyBorder="1" applyAlignment="1">
      <alignment vertical="top" wrapText="1"/>
    </xf>
    <xf numFmtId="167" fontId="2" fillId="0" borderId="19" xfId="26" applyNumberFormat="1" applyFont="1" applyBorder="1" applyAlignment="1">
      <alignment horizontal="right" vertical="top" wrapText="1"/>
    </xf>
    <xf numFmtId="165" fontId="2" fillId="0" borderId="0" xfId="26" applyNumberFormat="1" applyFont="1" applyFill="1" applyBorder="1" applyAlignment="1">
      <alignment horizontal="left" vertical="top" wrapText="1"/>
    </xf>
    <xf numFmtId="0" fontId="2" fillId="0" borderId="0" xfId="26" applyFont="1" applyFill="1" applyBorder="1" applyAlignment="1">
      <alignment horizontal="left" vertical="top" wrapText="1"/>
    </xf>
    <xf numFmtId="0" fontId="2" fillId="0" borderId="10" xfId="1" applyBorder="1" applyAlignment="1">
      <alignment vertical="top" wrapText="1"/>
    </xf>
    <xf numFmtId="167" fontId="2" fillId="0" borderId="0" xfId="26" applyNumberFormat="1" applyFont="1" applyBorder="1" applyAlignment="1">
      <alignment horizontal="right" vertical="top" wrapText="1"/>
    </xf>
    <xf numFmtId="0" fontId="2" fillId="0" borderId="0" xfId="1" applyFont="1" applyBorder="1" applyAlignment="1">
      <alignment horizontal="center" vertical="top"/>
    </xf>
    <xf numFmtId="0" fontId="2" fillId="0" borderId="19" xfId="1" applyFont="1" applyBorder="1" applyAlignment="1">
      <alignment horizontal="right" vertical="top" wrapText="1"/>
    </xf>
    <xf numFmtId="165" fontId="2" fillId="0" borderId="0" xfId="1" applyNumberFormat="1" applyFont="1" applyFill="1" applyBorder="1" applyAlignment="1">
      <alignment horizontal="right" vertical="top" wrapText="1"/>
    </xf>
    <xf numFmtId="165" fontId="2" fillId="0" borderId="0" xfId="1" applyNumberFormat="1" applyFont="1" applyFill="1" applyBorder="1" applyAlignment="1">
      <alignment horizontal="left" vertical="top" wrapText="1"/>
    </xf>
    <xf numFmtId="165" fontId="2" fillId="0" borderId="0" xfId="26" applyNumberFormat="1" applyFont="1" applyBorder="1" applyAlignment="1">
      <alignment horizontal="left" vertical="top"/>
    </xf>
    <xf numFmtId="165" fontId="2" fillId="0" borderId="0" xfId="26" applyNumberFormat="1" applyFont="1" applyBorder="1" applyAlignment="1">
      <alignment horizontal="left" vertical="top" wrapText="1"/>
    </xf>
    <xf numFmtId="165" fontId="2" fillId="0" borderId="0" xfId="1" applyNumberFormat="1" applyFont="1" applyBorder="1" applyAlignment="1">
      <alignment vertical="top" wrapText="1"/>
    </xf>
    <xf numFmtId="0" fontId="2" fillId="0" borderId="7" xfId="1" applyBorder="1" applyAlignment="1">
      <alignment vertical="top"/>
    </xf>
    <xf numFmtId="0" fontId="2" fillId="0" borderId="8" xfId="1" applyBorder="1" applyAlignment="1">
      <alignment vertical="top"/>
    </xf>
    <xf numFmtId="165" fontId="11" fillId="0" borderId="0" xfId="1" applyNumberFormat="1" applyFont="1" applyBorder="1" applyAlignment="1">
      <alignment vertical="top"/>
    </xf>
    <xf numFmtId="0" fontId="2" fillId="0" borderId="24" xfId="1" applyFont="1" applyBorder="1" applyAlignment="1">
      <alignment vertical="top"/>
    </xf>
    <xf numFmtId="165" fontId="11" fillId="0" borderId="19" xfId="1" applyNumberFormat="1" applyFont="1" applyBorder="1" applyAlignment="1">
      <alignment horizontal="left" vertical="top"/>
    </xf>
    <xf numFmtId="0" fontId="45" fillId="0" borderId="19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45" fillId="0" borderId="30" xfId="0" applyFont="1" applyBorder="1" applyAlignment="1">
      <alignment horizontal="left" vertical="top"/>
    </xf>
    <xf numFmtId="0" fontId="8" fillId="0" borderId="0" xfId="1" applyFont="1" applyBorder="1" applyAlignment="1">
      <alignment horizontal="center" vertical="top"/>
    </xf>
    <xf numFmtId="0" fontId="42" fillId="0" borderId="0" xfId="26" applyFont="1" applyFill="1" applyAlignment="1">
      <alignment horizontal="left" vertical="center" wrapText="1"/>
    </xf>
    <xf numFmtId="0" fontId="2" fillId="0" borderId="0" xfId="1" applyFont="1" applyFill="1" applyBorder="1" applyAlignment="1">
      <alignment horizontal="left" vertical="top" wrapText="1"/>
    </xf>
    <xf numFmtId="165" fontId="10" fillId="2" borderId="0" xfId="26" applyNumberFormat="1" applyFont="1" applyFill="1" applyAlignment="1">
      <alignment horizontal="left" vertical="top"/>
    </xf>
    <xf numFmtId="165" fontId="10" fillId="0" borderId="0" xfId="26" applyNumberFormat="1" applyFont="1" applyFill="1" applyAlignment="1">
      <alignment horizontal="left" vertical="top"/>
    </xf>
    <xf numFmtId="164" fontId="2" fillId="0" borderId="0" xfId="26" applyNumberFormat="1" applyFont="1" applyBorder="1" applyAlignment="1">
      <alignment horizontal="center" vertical="center"/>
    </xf>
    <xf numFmtId="0" fontId="2" fillId="0" borderId="0" xfId="26"/>
    <xf numFmtId="0" fontId="46" fillId="0" borderId="0" xfId="1" applyFont="1" applyAlignment="1">
      <alignment horizontal="left" vertical="center"/>
    </xf>
    <xf numFmtId="165" fontId="43" fillId="0" borderId="0" xfId="26" applyNumberFormat="1" applyFont="1" applyFill="1" applyAlignment="1">
      <alignment horizontal="left" vertical="top"/>
    </xf>
    <xf numFmtId="0" fontId="2" fillId="0" borderId="0" xfId="26" applyFill="1" applyAlignment="1">
      <alignment vertical="top" wrapText="1"/>
    </xf>
    <xf numFmtId="0" fontId="2" fillId="0" borderId="0" xfId="26" applyAlignment="1">
      <alignment vertical="top" wrapText="1"/>
    </xf>
    <xf numFmtId="0" fontId="16" fillId="0" borderId="0" xfId="26" applyFont="1" applyFill="1" applyBorder="1" applyAlignment="1">
      <alignment horizontal="left" vertical="top" wrapText="1"/>
    </xf>
    <xf numFmtId="165" fontId="11" fillId="0" borderId="0" xfId="26" applyNumberFormat="1" applyFont="1" applyFill="1" applyBorder="1" applyAlignment="1">
      <alignment horizontal="center" vertical="center"/>
    </xf>
    <xf numFmtId="0" fontId="2" fillId="0" borderId="0" xfId="26" applyFill="1"/>
    <xf numFmtId="164" fontId="2" fillId="0" borderId="0" xfId="26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26" applyFont="1" applyFill="1" applyBorder="1" applyAlignment="1">
      <alignment horizontal="center" vertical="top"/>
    </xf>
    <xf numFmtId="0" fontId="2" fillId="0" borderId="0" xfId="26" applyFill="1" applyBorder="1" applyAlignment="1">
      <alignment horizontal="center" vertical="top"/>
    </xf>
    <xf numFmtId="0" fontId="2" fillId="0" borderId="28" xfId="26" applyFont="1" applyBorder="1" applyAlignment="1">
      <alignment horizontal="left" vertical="top"/>
    </xf>
    <xf numFmtId="0" fontId="0" fillId="0" borderId="26" xfId="0" applyBorder="1" applyAlignment="1">
      <alignment vertical="top" wrapText="1"/>
    </xf>
    <xf numFmtId="0" fontId="2" fillId="0" borderId="31" xfId="26" applyFont="1" applyBorder="1" applyAlignment="1">
      <alignment horizontal="center" vertical="center"/>
    </xf>
    <xf numFmtId="0" fontId="2" fillId="0" borderId="0" xfId="26" applyBorder="1" applyAlignment="1">
      <alignment horizontal="center" vertical="center"/>
    </xf>
    <xf numFmtId="0" fontId="2" fillId="0" borderId="0" xfId="26" applyAlignment="1">
      <alignment vertical="center"/>
    </xf>
    <xf numFmtId="165" fontId="2" fillId="0" borderId="0" xfId="26" applyNumberFormat="1" applyBorder="1" applyAlignment="1">
      <alignment vertical="center"/>
    </xf>
    <xf numFmtId="0" fontId="2" fillId="0" borderId="19" xfId="26" applyFill="1" applyBorder="1" applyAlignment="1">
      <alignment vertical="center"/>
    </xf>
    <xf numFmtId="0" fontId="2" fillId="0" borderId="19" xfId="26" applyFont="1" applyFill="1" applyBorder="1" applyAlignment="1">
      <alignment vertical="top"/>
    </xf>
    <xf numFmtId="0" fontId="0" fillId="0" borderId="0" xfId="0" applyFill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2" fillId="0" borderId="0" xfId="26" applyFont="1" applyFill="1" applyBorder="1" applyAlignment="1">
      <alignment vertical="top"/>
    </xf>
    <xf numFmtId="0" fontId="8" fillId="0" borderId="0" xfId="0" applyFont="1" applyFill="1" applyAlignment="1"/>
    <xf numFmtId="0" fontId="0" fillId="0" borderId="11" xfId="0" applyFill="1" applyBorder="1" applyAlignment="1"/>
    <xf numFmtId="0" fontId="0" fillId="0" borderId="10" xfId="0" applyFill="1" applyBorder="1" applyAlignment="1"/>
    <xf numFmtId="0" fontId="2" fillId="0" borderId="0" xfId="26" applyFill="1" applyBorder="1" applyAlignment="1">
      <alignment vertical="center"/>
    </xf>
    <xf numFmtId="0" fontId="2" fillId="0" borderId="0" xfId="26" applyFont="1" applyFill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0" fillId="0" borderId="5" xfId="0" applyBorder="1" applyAlignment="1"/>
    <xf numFmtId="0" fontId="2" fillId="0" borderId="0" xfId="26" applyFont="1" applyAlignment="1">
      <alignment vertical="top" wrapText="1"/>
    </xf>
    <xf numFmtId="165" fontId="2" fillId="0" borderId="0" xfId="26" applyNumberFormat="1" applyFont="1" applyBorder="1" applyAlignment="1">
      <alignment vertical="center"/>
    </xf>
    <xf numFmtId="0" fontId="2" fillId="0" borderId="0" xfId="26" applyFont="1"/>
    <xf numFmtId="0" fontId="0" fillId="0" borderId="0" xfId="0" applyAlignment="1">
      <alignment horizontal="right"/>
    </xf>
    <xf numFmtId="0" fontId="0" fillId="0" borderId="0" xfId="0" applyBorder="1" applyAlignment="1"/>
    <xf numFmtId="0" fontId="8" fillId="0" borderId="0" xfId="1" applyFont="1" applyFill="1" applyBorder="1" applyAlignment="1">
      <alignment horizontal="center" vertical="top"/>
    </xf>
    <xf numFmtId="0" fontId="2" fillId="0" borderId="0" xfId="26" applyFont="1" applyBorder="1" applyAlignment="1">
      <alignment vertical="top"/>
    </xf>
    <xf numFmtId="0" fontId="2" fillId="0" borderId="19" xfId="26" applyFill="1" applyBorder="1" applyAlignment="1">
      <alignment vertical="top"/>
    </xf>
    <xf numFmtId="0" fontId="2" fillId="0" borderId="19" xfId="26" applyBorder="1" applyAlignment="1">
      <alignment vertical="top" wrapText="1"/>
    </xf>
    <xf numFmtId="0" fontId="2" fillId="0" borderId="19" xfId="26" applyBorder="1"/>
    <xf numFmtId="0" fontId="2" fillId="0" borderId="19" xfId="26" applyFont="1" applyBorder="1" applyAlignment="1">
      <alignment vertical="top"/>
    </xf>
    <xf numFmtId="0" fontId="2" fillId="0" borderId="19" xfId="26" applyFill="1" applyBorder="1" applyAlignment="1">
      <alignment vertical="top" wrapText="1"/>
    </xf>
    <xf numFmtId="0" fontId="2" fillId="0" borderId="0" xfId="26" applyFont="1" applyAlignment="1">
      <alignment vertical="top"/>
    </xf>
    <xf numFmtId="0" fontId="2" fillId="0" borderId="19" xfId="26" applyBorder="1" applyAlignment="1">
      <alignment vertical="center"/>
    </xf>
    <xf numFmtId="0" fontId="2" fillId="0" borderId="19" xfId="26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top" textRotation="180"/>
    </xf>
    <xf numFmtId="0" fontId="2" fillId="0" borderId="6" xfId="1" applyFont="1" applyFill="1" applyBorder="1" applyAlignment="1">
      <alignment vertical="top"/>
    </xf>
    <xf numFmtId="0" fontId="2" fillId="0" borderId="6" xfId="26" applyFill="1" applyBorder="1" applyAlignment="1">
      <alignment vertical="center"/>
    </xf>
    <xf numFmtId="0" fontId="2" fillId="0" borderId="6" xfId="26" applyFont="1" applyFill="1" applyBorder="1" applyAlignment="1">
      <alignment vertical="top"/>
    </xf>
    <xf numFmtId="0" fontId="2" fillId="0" borderId="0" xfId="26" applyBorder="1" applyAlignment="1">
      <alignment vertical="center"/>
    </xf>
    <xf numFmtId="0" fontId="2" fillId="0" borderId="0" xfId="26" quotePrefix="1" applyFont="1" applyAlignment="1">
      <alignment vertical="center"/>
    </xf>
    <xf numFmtId="0" fontId="2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vertical="top" wrapText="1"/>
    </xf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3" xfId="0" applyFont="1" applyBorder="1"/>
    <xf numFmtId="0" fontId="5" fillId="0" borderId="9" xfId="0" applyFont="1" applyBorder="1"/>
    <xf numFmtId="0" fontId="5" fillId="0" borderId="3" xfId="0" applyFont="1" applyBorder="1"/>
    <xf numFmtId="0" fontId="5" fillId="0" borderId="1" xfId="0" applyFont="1" applyBorder="1"/>
    <xf numFmtId="0" fontId="8" fillId="2" borderId="7" xfId="0" applyFont="1" applyFill="1" applyBorder="1" applyAlignment="1">
      <alignment horizontal="left"/>
    </xf>
    <xf numFmtId="0" fontId="5" fillId="2" borderId="1" xfId="0" applyFont="1" applyFill="1" applyBorder="1"/>
    <xf numFmtId="0" fontId="18" fillId="0" borderId="0" xfId="26" applyFont="1" applyFill="1" applyBorder="1" applyAlignment="1">
      <alignment horizontal="left" vertical="top"/>
    </xf>
    <xf numFmtId="0" fontId="48" fillId="0" borderId="0" xfId="26" applyFont="1" applyFill="1" applyBorder="1" applyAlignment="1">
      <alignment horizontal="left" vertical="top" wrapText="1"/>
    </xf>
    <xf numFmtId="0" fontId="2" fillId="0" borderId="0" xfId="26" applyBorder="1"/>
    <xf numFmtId="0" fontId="0" fillId="0" borderId="0" xfId="0" applyBorder="1" applyAlignment="1">
      <alignment horizontal="left"/>
    </xf>
    <xf numFmtId="0" fontId="8" fillId="2" borderId="43" xfId="0" applyFont="1" applyFill="1" applyBorder="1"/>
    <xf numFmtId="0" fontId="8" fillId="2" borderId="17" xfId="0" applyFont="1" applyFill="1" applyBorder="1"/>
    <xf numFmtId="166" fontId="8" fillId="2" borderId="25" xfId="0" applyNumberFormat="1" applyFont="1" applyFill="1" applyBorder="1"/>
    <xf numFmtId="0" fontId="5" fillId="2" borderId="19" xfId="0" applyFont="1" applyFill="1" applyBorder="1"/>
    <xf numFmtId="0" fontId="5" fillId="2" borderId="22" xfId="0" applyFont="1" applyFill="1" applyBorder="1"/>
    <xf numFmtId="0" fontId="5" fillId="3" borderId="9" xfId="0" applyFont="1" applyFill="1" applyBorder="1" applyAlignment="1">
      <alignment horizontal="center"/>
    </xf>
    <xf numFmtId="0" fontId="5" fillId="0" borderId="0" xfId="0" applyFont="1" applyBorder="1"/>
    <xf numFmtId="0" fontId="8" fillId="2" borderId="9" xfId="0" applyFont="1" applyFill="1" applyBorder="1"/>
    <xf numFmtId="167" fontId="49" fillId="2" borderId="0" xfId="27" applyNumberFormat="1" applyFont="1" applyFill="1" applyBorder="1" applyAlignment="1">
      <alignment vertical="center"/>
    </xf>
    <xf numFmtId="167" fontId="8" fillId="2" borderId="0" xfId="27" applyNumberFormat="1" applyFont="1" applyFill="1" applyBorder="1" applyAlignment="1">
      <alignment vertical="center"/>
    </xf>
    <xf numFmtId="0" fontId="7" fillId="2" borderId="0" xfId="28" applyFont="1" applyFill="1" applyAlignment="1">
      <alignment horizontal="left" vertical="center"/>
    </xf>
    <xf numFmtId="0" fontId="7" fillId="2" borderId="0" xfId="28" applyFont="1" applyFill="1" applyAlignment="1">
      <alignment horizontal="right" vertical="center"/>
    </xf>
    <xf numFmtId="165" fontId="7" fillId="2" borderId="0" xfId="28" applyNumberFormat="1" applyFont="1" applyFill="1" applyAlignment="1">
      <alignment horizontal="left" vertical="center"/>
    </xf>
    <xf numFmtId="0" fontId="7" fillId="2" borderId="0" xfId="28" applyFont="1" applyFill="1" applyBorder="1" applyAlignment="1">
      <alignment horizontal="left" vertical="center"/>
    </xf>
    <xf numFmtId="165" fontId="7" fillId="2" borderId="0" xfId="28" applyNumberFormat="1" applyFont="1" applyFill="1" applyBorder="1" applyAlignment="1">
      <alignment vertical="center"/>
    </xf>
    <xf numFmtId="165" fontId="7" fillId="2" borderId="0" xfId="28" applyNumberFormat="1" applyFont="1" applyFill="1" applyBorder="1" applyAlignment="1">
      <alignment horizontal="left" vertical="center"/>
    </xf>
    <xf numFmtId="0" fontId="7" fillId="2" borderId="7" xfId="28" applyFont="1" applyFill="1" applyBorder="1" applyAlignment="1">
      <alignment horizontal="left" vertical="center"/>
    </xf>
    <xf numFmtId="0" fontId="7" fillId="2" borderId="12" xfId="28" applyFont="1" applyFill="1" applyBorder="1" applyAlignment="1">
      <alignment horizontal="left" vertical="center"/>
    </xf>
    <xf numFmtId="0" fontId="7" fillId="2" borderId="8" xfId="28" applyFont="1" applyFill="1" applyBorder="1" applyAlignment="1">
      <alignment horizontal="left" vertical="center"/>
    </xf>
    <xf numFmtId="0" fontId="7" fillId="2" borderId="11" xfId="28" applyFont="1" applyFill="1" applyBorder="1" applyAlignment="1">
      <alignment horizontal="left" vertical="center"/>
    </xf>
    <xf numFmtId="0" fontId="4" fillId="2" borderId="6" xfId="28" applyFont="1" applyFill="1" applyBorder="1" applyAlignment="1">
      <alignment vertical="center"/>
    </xf>
    <xf numFmtId="0" fontId="4" fillId="2" borderId="10" xfId="28" applyFont="1" applyFill="1" applyBorder="1" applyAlignment="1">
      <alignment vertical="center"/>
    </xf>
    <xf numFmtId="0" fontId="7" fillId="3" borderId="0" xfId="0" applyFont="1" applyFill="1" applyAlignment="1"/>
    <xf numFmtId="0" fontId="8" fillId="3" borderId="0" xfId="0" applyFont="1" applyFill="1" applyAlignment="1"/>
    <xf numFmtId="0" fontId="7" fillId="3" borderId="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2" fillId="0" borderId="7" xfId="1" applyBorder="1" applyAlignment="1">
      <alignment vertical="top"/>
    </xf>
    <xf numFmtId="0" fontId="2" fillId="0" borderId="8" xfId="1" applyBorder="1" applyAlignment="1">
      <alignment vertical="top"/>
    </xf>
    <xf numFmtId="0" fontId="2" fillId="0" borderId="11" xfId="1" applyBorder="1" applyAlignment="1">
      <alignment vertical="top"/>
    </xf>
    <xf numFmtId="0" fontId="2" fillId="0" borderId="10" xfId="1" applyBorder="1" applyAlignment="1">
      <alignment vertical="top"/>
    </xf>
    <xf numFmtId="165" fontId="42" fillId="0" borderId="29" xfId="26" applyNumberFormat="1" applyFont="1" applyBorder="1" applyAlignment="1">
      <alignment horizontal="left" vertical="center" wrapText="1"/>
    </xf>
    <xf numFmtId="0" fontId="45" fillId="0" borderId="19" xfId="0" applyFont="1" applyBorder="1" applyAlignment="1"/>
    <xf numFmtId="165" fontId="2" fillId="0" borderId="42" xfId="1" applyNumberFormat="1" applyFont="1" applyBorder="1" applyAlignment="1">
      <alignment horizontal="center" vertical="top" wrapText="1"/>
    </xf>
    <xf numFmtId="165" fontId="2" fillId="0" borderId="27" xfId="1" applyNumberFormat="1" applyFont="1" applyBorder="1" applyAlignment="1">
      <alignment horizontal="center" vertical="top" wrapText="1"/>
    </xf>
    <xf numFmtId="0" fontId="2" fillId="0" borderId="13" xfId="1" applyBorder="1" applyAlignment="1">
      <alignment vertical="top"/>
    </xf>
    <xf numFmtId="0" fontId="2" fillId="0" borderId="9" xfId="1" applyBorder="1" applyAlignment="1">
      <alignment vertical="top"/>
    </xf>
    <xf numFmtId="165" fontId="11" fillId="0" borderId="19" xfId="1" applyNumberFormat="1" applyFont="1" applyBorder="1" applyAlignment="1">
      <alignment horizontal="left" vertical="top"/>
    </xf>
    <xf numFmtId="0" fontId="45" fillId="0" borderId="19" xfId="0" applyFont="1" applyBorder="1" applyAlignment="1">
      <alignment horizontal="left" vertical="top"/>
    </xf>
    <xf numFmtId="0" fontId="45" fillId="0" borderId="30" xfId="0" applyFont="1" applyBorder="1" applyAlignment="1">
      <alignment horizontal="left" vertical="top"/>
    </xf>
    <xf numFmtId="0" fontId="2" fillId="0" borderId="0" xfId="1" applyFont="1" applyBorder="1" applyAlignment="1">
      <alignment horizontal="left" vertical="top" wrapText="1"/>
    </xf>
    <xf numFmtId="0" fontId="2" fillId="0" borderId="0" xfId="1" applyFont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0" xfId="0" applyBorder="1" applyAlignment="1">
      <alignment horizontal="right" vertical="top" wrapText="1"/>
    </xf>
    <xf numFmtId="165" fontId="2" fillId="0" borderId="17" xfId="1" applyNumberFormat="1" applyFont="1" applyFill="1" applyBorder="1" applyAlignment="1">
      <alignment horizontal="left" vertical="top" wrapText="1"/>
    </xf>
    <xf numFmtId="165" fontId="2" fillId="0" borderId="0" xfId="1" applyNumberFormat="1" applyFont="1" applyFill="1" applyBorder="1" applyAlignment="1">
      <alignment horizontal="left" vertical="top" wrapText="1"/>
    </xf>
    <xf numFmtId="165" fontId="2" fillId="0" borderId="6" xfId="1" applyNumberFormat="1" applyFont="1" applyFill="1" applyBorder="1" applyAlignment="1">
      <alignment horizontal="left" vertical="top" wrapText="1"/>
    </xf>
    <xf numFmtId="0" fontId="2" fillId="0" borderId="12" xfId="1" applyFont="1" applyBorder="1" applyAlignment="1">
      <alignment vertical="top"/>
    </xf>
    <xf numFmtId="0" fontId="2" fillId="0" borderId="8" xfId="1" applyFont="1" applyBorder="1" applyAlignment="1">
      <alignment vertical="top"/>
    </xf>
    <xf numFmtId="0" fontId="2" fillId="0" borderId="6" xfId="1" applyFont="1" applyBorder="1" applyAlignment="1">
      <alignment vertical="top"/>
    </xf>
    <xf numFmtId="0" fontId="2" fillId="0" borderId="10" xfId="1" applyFont="1" applyBorder="1" applyAlignment="1">
      <alignment vertical="top"/>
    </xf>
    <xf numFmtId="0" fontId="2" fillId="0" borderId="7" xfId="1" applyFont="1" applyBorder="1" applyAlignment="1">
      <alignment vertical="top"/>
    </xf>
    <xf numFmtId="0" fontId="2" fillId="0" borderId="11" xfId="1" applyFont="1" applyBorder="1" applyAlignment="1">
      <alignment vertical="top"/>
    </xf>
    <xf numFmtId="165" fontId="2" fillId="0" borderId="0" xfId="1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21" fillId="0" borderId="0" xfId="1" applyFont="1" applyBorder="1" applyAlignment="1">
      <alignment horizontal="left" vertical="top" wrapText="1"/>
    </xf>
    <xf numFmtId="0" fontId="11" fillId="0" borderId="6" xfId="26" applyFont="1" applyBorder="1" applyAlignment="1">
      <alignment horizontal="center" vertical="top" wrapText="1"/>
    </xf>
    <xf numFmtId="0" fontId="11" fillId="0" borderId="6" xfId="26" applyFont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0" fontId="11" fillId="2" borderId="12" xfId="1" applyFont="1" applyFill="1" applyBorder="1" applyAlignment="1">
      <alignment horizontal="center" vertical="top"/>
    </xf>
    <xf numFmtId="0" fontId="11" fillId="2" borderId="8" xfId="1" applyFont="1" applyFill="1" applyBorder="1" applyAlignment="1">
      <alignment horizontal="center" vertical="top"/>
    </xf>
    <xf numFmtId="0" fontId="11" fillId="2" borderId="11" xfId="26" applyFont="1" applyFill="1" applyBorder="1" applyAlignment="1">
      <alignment horizontal="center" vertical="center" wrapText="1"/>
    </xf>
    <xf numFmtId="0" fontId="11" fillId="2" borderId="6" xfId="26" applyFont="1" applyFill="1" applyBorder="1" applyAlignment="1">
      <alignment horizontal="center" vertical="center" wrapText="1"/>
    </xf>
    <xf numFmtId="0" fontId="11" fillId="2" borderId="10" xfId="26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0" fillId="0" borderId="24" xfId="26" applyFont="1" applyBorder="1" applyAlignment="1">
      <alignment horizontal="center" vertical="top" wrapText="1"/>
    </xf>
    <xf numFmtId="0" fontId="44" fillId="0" borderId="24" xfId="0" applyFont="1" applyBorder="1" applyAlignment="1">
      <alignment horizontal="center" vertical="top" wrapText="1"/>
    </xf>
    <xf numFmtId="0" fontId="2" fillId="0" borderId="42" xfId="1" applyFont="1" applyBorder="1" applyAlignment="1">
      <alignment horizontal="center" vertical="top" wrapText="1"/>
    </xf>
    <xf numFmtId="0" fontId="0" fillId="0" borderId="22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20" fillId="0" borderId="0" xfId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5" fillId="0" borderId="0" xfId="26" applyFont="1" applyFill="1" applyBorder="1" applyAlignment="1">
      <alignment vertical="top" wrapText="1"/>
    </xf>
    <xf numFmtId="0" fontId="4" fillId="0" borderId="0" xfId="0" applyFont="1" applyAlignment="1">
      <alignment wrapText="1"/>
    </xf>
    <xf numFmtId="0" fontId="2" fillId="0" borderId="17" xfId="1" applyFont="1" applyFill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8" fillId="0" borderId="24" xfId="0" applyFont="1" applyBorder="1" applyAlignment="1">
      <alignment vertical="top" wrapText="1"/>
    </xf>
    <xf numFmtId="0" fontId="2" fillId="0" borderId="17" xfId="1" applyFont="1" applyFill="1" applyBorder="1" applyAlignment="1">
      <alignment vertical="top"/>
    </xf>
    <xf numFmtId="0" fontId="0" fillId="0" borderId="24" xfId="0" applyBorder="1" applyAlignment="1"/>
    <xf numFmtId="0" fontId="16" fillId="0" borderId="0" xfId="26" applyFont="1" applyFill="1" applyBorder="1" applyAlignment="1">
      <alignment horizontal="left" vertical="top" wrapText="1"/>
    </xf>
    <xf numFmtId="0" fontId="0" fillId="0" borderId="0" xfId="0" applyBorder="1" applyAlignment="1"/>
    <xf numFmtId="165" fontId="11" fillId="0" borderId="0" xfId="26" applyNumberFormat="1" applyFont="1" applyFill="1" applyBorder="1" applyAlignment="1">
      <alignment horizontal="center" vertical="center"/>
    </xf>
    <xf numFmtId="0" fontId="2" fillId="0" borderId="7" xfId="26" applyFont="1" applyFill="1" applyBorder="1" applyAlignment="1">
      <alignment horizontal="left" vertical="top" wrapText="1"/>
    </xf>
    <xf numFmtId="0" fontId="2" fillId="0" borderId="12" xfId="26" applyFont="1" applyFill="1" applyBorder="1" applyAlignment="1">
      <alignment horizontal="left" vertical="top" wrapText="1"/>
    </xf>
    <xf numFmtId="0" fontId="2" fillId="0" borderId="8" xfId="26" applyFont="1" applyFill="1" applyBorder="1" applyAlignment="1">
      <alignment horizontal="left" vertical="top" wrapText="1"/>
    </xf>
    <xf numFmtId="0" fontId="2" fillId="0" borderId="13" xfId="26" applyFont="1" applyFill="1" applyBorder="1" applyAlignment="1">
      <alignment horizontal="left" vertical="top" wrapText="1"/>
    </xf>
    <xf numFmtId="0" fontId="2" fillId="0" borderId="0" xfId="26" applyFont="1" applyFill="1" applyBorder="1" applyAlignment="1">
      <alignment horizontal="left" vertical="top" wrapText="1"/>
    </xf>
    <xf numFmtId="0" fontId="2" fillId="0" borderId="9" xfId="26" applyFont="1" applyFill="1" applyBorder="1" applyAlignment="1">
      <alignment horizontal="left" vertical="top" wrapText="1"/>
    </xf>
    <xf numFmtId="0" fontId="2" fillId="0" borderId="11" xfId="26" applyFont="1" applyFill="1" applyBorder="1" applyAlignment="1">
      <alignment horizontal="left" vertical="top" wrapText="1"/>
    </xf>
    <xf numFmtId="0" fontId="2" fillId="0" borderId="6" xfId="26" applyFont="1" applyFill="1" applyBorder="1" applyAlignment="1">
      <alignment horizontal="left" vertical="top" wrapText="1"/>
    </xf>
    <xf numFmtId="0" fontId="2" fillId="0" borderId="10" xfId="26" applyFont="1" applyFill="1" applyBorder="1" applyAlignment="1">
      <alignment horizontal="left" vertical="top" wrapText="1"/>
    </xf>
    <xf numFmtId="0" fontId="22" fillId="0" borderId="28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0" borderId="31" xfId="26" applyFont="1" applyBorder="1" applyAlignment="1">
      <alignment horizontal="left" vertical="center"/>
    </xf>
    <xf numFmtId="0" fontId="2" fillId="0" borderId="6" xfId="26" applyFont="1" applyBorder="1" applyAlignment="1">
      <alignment horizontal="left" vertical="center"/>
    </xf>
    <xf numFmtId="0" fontId="2" fillId="0" borderId="10" xfId="26" applyFont="1" applyBorder="1" applyAlignment="1">
      <alignment horizontal="left" vertical="center"/>
    </xf>
    <xf numFmtId="0" fontId="2" fillId="0" borderId="7" xfId="26" applyBorder="1" applyAlignment="1">
      <alignment horizontal="left" vertical="center"/>
    </xf>
    <xf numFmtId="0" fontId="2" fillId="0" borderId="12" xfId="26" applyBorder="1" applyAlignment="1">
      <alignment horizontal="left" vertical="center"/>
    </xf>
    <xf numFmtId="0" fontId="2" fillId="0" borderId="8" xfId="26" applyBorder="1" applyAlignment="1">
      <alignment horizontal="left" vertical="center"/>
    </xf>
  </cellXfs>
  <cellStyles count="29">
    <cellStyle name="20% - Accent1 2" xfId="24"/>
    <cellStyle name="Berekening" xfId="2"/>
    <cellStyle name="Comma 2" xfId="23"/>
    <cellStyle name="Controlecel" xfId="3"/>
    <cellStyle name="Gekoppelde cel" xfId="4"/>
    <cellStyle name="Goed" xfId="5"/>
    <cellStyle name="Invoer" xfId="6"/>
    <cellStyle name="Kop 1" xfId="7"/>
    <cellStyle name="Kop 2" xfId="8"/>
    <cellStyle name="Kop 3" xfId="9"/>
    <cellStyle name="Kop 4" xfId="10"/>
    <cellStyle name="Neutraal" xfId="11"/>
    <cellStyle name="Normal" xfId="0" builtinId="0"/>
    <cellStyle name="Normal 2" xfId="12"/>
    <cellStyle name="Normal 3" xfId="22"/>
    <cellStyle name="Normal_Consumption" xfId="27"/>
    <cellStyle name="Normal_Okam_2006_V02_Eng" xfId="1"/>
    <cellStyle name="Normal_Zambia HH_CONSUMPTION v3 (10.24.08)_Zambia_ZAAI_Book 1_HOUSEHOLD 04.14.09 " xfId="28"/>
    <cellStyle name="Normal_Zambia HH_SES v3 (10.14.08)" xfId="26"/>
    <cellStyle name="Notitie" xfId="13"/>
    <cellStyle name="Ongeldig" xfId="14"/>
    <cellStyle name="Standaard_qualitative_risk_questions_v_1.2" xfId="15"/>
    <cellStyle name="Style 1" xfId="25"/>
    <cellStyle name="Titel" xfId="16"/>
    <cellStyle name="Totaal" xfId="17"/>
    <cellStyle name="Uitvoer" xfId="18"/>
    <cellStyle name="Verklarende tekst" xfId="19"/>
    <cellStyle name="Waarschuwingstekst" xfId="20"/>
    <cellStyle name="عادي_استمارة الإنفاق" xfId="2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126</xdr:row>
      <xdr:rowOff>142875</xdr:rowOff>
    </xdr:from>
    <xdr:to>
      <xdr:col>4</xdr:col>
      <xdr:colOff>247650</xdr:colOff>
      <xdr:row>129</xdr:row>
      <xdr:rowOff>38100</xdr:rowOff>
    </xdr:to>
    <xdr:pic>
      <xdr:nvPicPr>
        <xdr:cNvPr id="3" name="Picture 27" descr="MCj0403893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2625" y="17573625"/>
          <a:ext cx="48577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200025</xdr:colOff>
      <xdr:row>143</xdr:row>
      <xdr:rowOff>9525</xdr:rowOff>
    </xdr:from>
    <xdr:to>
      <xdr:col>4</xdr:col>
      <xdr:colOff>76200</xdr:colOff>
      <xdr:row>145</xdr:row>
      <xdr:rowOff>57150</xdr:rowOff>
    </xdr:to>
    <xdr:pic>
      <xdr:nvPicPr>
        <xdr:cNvPr id="4" name="Picture 27" descr="MCj0403893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81175" y="20488275"/>
          <a:ext cx="48577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85725</xdr:colOff>
      <xdr:row>157</xdr:row>
      <xdr:rowOff>0</xdr:rowOff>
    </xdr:from>
    <xdr:to>
      <xdr:col>4</xdr:col>
      <xdr:colOff>571500</xdr:colOff>
      <xdr:row>159</xdr:row>
      <xdr:rowOff>47625</xdr:rowOff>
    </xdr:to>
    <xdr:pic>
      <xdr:nvPicPr>
        <xdr:cNvPr id="5" name="Picture 27" descr="MCj0403893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76475" y="23221950"/>
          <a:ext cx="48577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Y217"/>
  <sheetViews>
    <sheetView topLeftCell="A238" workbookViewId="0">
      <selection activeCell="D199" sqref="D199"/>
    </sheetView>
  </sheetViews>
  <sheetFormatPr baseColWidth="10" defaultColWidth="8.83203125" defaultRowHeight="11"/>
  <cols>
    <col min="1" max="1" width="5.5" style="33" customWidth="1"/>
    <col min="2" max="7" width="8.83203125" style="29"/>
    <col min="8" max="8" width="3.6640625" style="29" customWidth="1"/>
    <col min="9" max="9" width="5.6640625" style="29" customWidth="1"/>
    <col min="10" max="14" width="3.6640625" style="29" customWidth="1"/>
    <col min="15" max="15" width="1.5" style="29" customWidth="1"/>
    <col min="16" max="18" width="3.6640625" style="29" customWidth="1"/>
    <col min="19" max="19" width="3.6640625" style="27" customWidth="1"/>
    <col min="20" max="20" width="12.1640625" style="25" bestFit="1" customWidth="1"/>
    <col min="21" max="16384" width="8.83203125" style="25"/>
  </cols>
  <sheetData>
    <row r="1" spans="1:25" ht="18">
      <c r="A1" s="288" t="s">
        <v>270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</row>
    <row r="2" spans="1:25" ht="18">
      <c r="A2" s="26"/>
      <c r="B2" s="27"/>
      <c r="C2" s="27"/>
      <c r="D2" s="27"/>
      <c r="E2" s="27"/>
      <c r="F2" s="27"/>
      <c r="G2" s="27"/>
      <c r="H2" s="27"/>
      <c r="I2" s="27"/>
      <c r="J2" s="27"/>
      <c r="K2" s="274"/>
      <c r="L2" s="277"/>
      <c r="M2" s="278"/>
      <c r="N2" s="279"/>
      <c r="O2" s="274"/>
      <c r="P2" s="280"/>
      <c r="Q2" s="281"/>
      <c r="R2" s="282"/>
    </row>
    <row r="3" spans="1:25" ht="18">
      <c r="A3" s="287" t="s">
        <v>257</v>
      </c>
      <c r="B3" s="286"/>
      <c r="C3" s="286"/>
      <c r="D3" s="286"/>
      <c r="E3" s="286"/>
      <c r="F3" s="286"/>
      <c r="G3" s="286"/>
      <c r="H3" s="286"/>
      <c r="I3" s="286"/>
      <c r="J3" s="286"/>
      <c r="K3" s="274" t="s">
        <v>141</v>
      </c>
      <c r="L3" s="277"/>
      <c r="M3" s="278"/>
      <c r="N3" s="279"/>
      <c r="O3" s="274"/>
      <c r="P3" s="283"/>
      <c r="Q3" s="284"/>
      <c r="R3" s="285"/>
      <c r="S3" s="286"/>
    </row>
    <row r="4" spans="1:25" ht="18">
      <c r="A4" s="272"/>
      <c r="B4" s="273"/>
      <c r="C4" s="273"/>
      <c r="D4" s="273"/>
      <c r="E4" s="273"/>
      <c r="F4" s="274"/>
      <c r="G4" s="274"/>
      <c r="H4" s="274"/>
      <c r="I4" s="274"/>
      <c r="J4" s="274"/>
      <c r="K4" s="274"/>
      <c r="L4" s="274"/>
      <c r="M4" s="274"/>
      <c r="N4" s="274"/>
      <c r="O4" s="275"/>
      <c r="P4" s="274"/>
      <c r="Q4" s="274"/>
      <c r="R4" s="274"/>
      <c r="S4" s="274"/>
      <c r="T4" s="274"/>
      <c r="U4" s="276"/>
      <c r="V4" s="274"/>
      <c r="W4" s="274"/>
      <c r="X4" s="274"/>
      <c r="Y4" s="274"/>
    </row>
    <row r="5" spans="1:25">
      <c r="A5" s="28">
        <v>-3.01</v>
      </c>
      <c r="B5" s="29" t="s">
        <v>152</v>
      </c>
      <c r="I5" s="30" t="s">
        <v>153</v>
      </c>
      <c r="J5" s="31"/>
      <c r="K5" s="31"/>
      <c r="L5" s="31"/>
      <c r="M5" s="31"/>
      <c r="N5" s="32">
        <v>1</v>
      </c>
      <c r="Q5" s="76"/>
      <c r="R5" s="71"/>
    </row>
    <row r="6" spans="1:25">
      <c r="I6" s="34" t="s">
        <v>154</v>
      </c>
      <c r="J6" s="35"/>
      <c r="K6" s="35"/>
      <c r="L6" s="35"/>
      <c r="M6" s="35"/>
      <c r="N6" s="36">
        <v>2</v>
      </c>
      <c r="Q6" s="77"/>
      <c r="R6" s="51"/>
    </row>
    <row r="7" spans="1:25">
      <c r="I7" s="34" t="s">
        <v>155</v>
      </c>
      <c r="J7" s="35"/>
      <c r="K7" s="35"/>
      <c r="L7" s="35"/>
      <c r="M7" s="35"/>
      <c r="N7" s="36">
        <v>3</v>
      </c>
      <c r="Q7" s="27"/>
      <c r="R7" s="27"/>
    </row>
    <row r="8" spans="1:25">
      <c r="I8" s="34" t="s">
        <v>0</v>
      </c>
      <c r="J8" s="35"/>
      <c r="K8" s="35"/>
      <c r="L8" s="35"/>
      <c r="M8" s="35"/>
      <c r="N8" s="36">
        <v>4</v>
      </c>
      <c r="Q8" s="27"/>
      <c r="R8" s="27"/>
    </row>
    <row r="9" spans="1:25">
      <c r="D9" s="37"/>
      <c r="E9" s="37"/>
      <c r="F9" s="37"/>
      <c r="G9" s="37"/>
      <c r="H9" s="38" t="s">
        <v>146</v>
      </c>
      <c r="I9" s="39" t="s">
        <v>1</v>
      </c>
      <c r="J9" s="40"/>
      <c r="K9" s="40"/>
      <c r="L9" s="40"/>
      <c r="M9" s="40"/>
      <c r="N9" s="41"/>
      <c r="Q9" s="27"/>
      <c r="R9" s="27"/>
    </row>
    <row r="10" spans="1:25">
      <c r="Q10" s="27"/>
      <c r="R10" s="27"/>
    </row>
    <row r="11" spans="1:25">
      <c r="A11" s="28">
        <f>+A5-0.01</f>
        <v>-3.0199999999999996</v>
      </c>
      <c r="B11" s="25" t="s">
        <v>274</v>
      </c>
      <c r="Q11" s="27"/>
      <c r="R11" s="27"/>
    </row>
    <row r="12" spans="1:25">
      <c r="D12" s="244"/>
      <c r="E12" s="244"/>
      <c r="F12" s="244"/>
      <c r="G12" s="244"/>
      <c r="H12" s="245"/>
      <c r="I12" s="30" t="s">
        <v>56</v>
      </c>
      <c r="J12" s="31"/>
      <c r="K12" s="31"/>
      <c r="L12" s="31"/>
      <c r="M12" s="31"/>
      <c r="N12" s="32">
        <v>1</v>
      </c>
      <c r="Q12" s="76"/>
      <c r="R12" s="71"/>
    </row>
    <row r="13" spans="1:25">
      <c r="C13" s="27"/>
      <c r="D13" s="244"/>
      <c r="E13" s="244"/>
      <c r="F13" s="244"/>
      <c r="G13" s="244"/>
      <c r="H13" s="245"/>
      <c r="I13" s="34" t="s">
        <v>57</v>
      </c>
      <c r="J13" s="35"/>
      <c r="K13" s="35"/>
      <c r="L13" s="35"/>
      <c r="M13" s="35"/>
      <c r="N13" s="36">
        <v>2</v>
      </c>
      <c r="Q13" s="77"/>
      <c r="R13" s="51"/>
    </row>
    <row r="14" spans="1:25">
      <c r="C14" s="27"/>
      <c r="D14" s="27"/>
      <c r="E14" s="27"/>
      <c r="F14" s="27"/>
      <c r="G14" s="27"/>
      <c r="H14" s="27"/>
      <c r="I14" s="34" t="s">
        <v>58</v>
      </c>
      <c r="J14" s="35"/>
      <c r="K14" s="35"/>
      <c r="L14" s="35"/>
      <c r="M14" s="35"/>
      <c r="N14" s="36">
        <v>3</v>
      </c>
      <c r="Q14" s="27"/>
      <c r="R14" s="27"/>
    </row>
    <row r="15" spans="1:25">
      <c r="C15" s="46"/>
      <c r="D15" s="46"/>
      <c r="E15" s="46"/>
      <c r="F15" s="46"/>
      <c r="G15" s="46"/>
      <c r="H15" s="27"/>
      <c r="I15" s="39" t="s">
        <v>59</v>
      </c>
      <c r="J15" s="40"/>
      <c r="K15" s="40"/>
      <c r="L15" s="40"/>
      <c r="M15" s="40"/>
      <c r="N15" s="41">
        <v>4</v>
      </c>
      <c r="Q15" s="27"/>
      <c r="R15" s="27"/>
    </row>
    <row r="16" spans="1:25">
      <c r="C16" s="46"/>
      <c r="D16" s="46"/>
      <c r="E16" s="46"/>
      <c r="F16" s="46"/>
      <c r="G16" s="46"/>
      <c r="H16" s="27"/>
      <c r="Q16" s="27"/>
      <c r="R16" s="27"/>
    </row>
    <row r="17" spans="1:19">
      <c r="A17" s="28">
        <f>+A11-0.01</f>
        <v>-3.0299999999999994</v>
      </c>
      <c r="B17" s="25" t="s">
        <v>230</v>
      </c>
      <c r="Q17" s="27"/>
      <c r="R17" s="27"/>
    </row>
    <row r="18" spans="1:19">
      <c r="C18" s="27"/>
      <c r="D18" s="244"/>
      <c r="E18" s="244"/>
      <c r="F18" s="244"/>
      <c r="G18" s="244"/>
      <c r="H18" s="269"/>
      <c r="I18" s="30" t="s">
        <v>231</v>
      </c>
      <c r="J18" s="31"/>
      <c r="K18" s="31"/>
      <c r="L18" s="31"/>
      <c r="M18" s="31"/>
      <c r="N18" s="32">
        <v>1</v>
      </c>
      <c r="Q18" s="76"/>
      <c r="R18" s="71"/>
    </row>
    <row r="19" spans="1:19">
      <c r="C19" s="270"/>
      <c r="D19" s="270"/>
      <c r="E19" s="270"/>
      <c r="F19" s="270"/>
      <c r="G19" s="270"/>
      <c r="H19" s="255"/>
      <c r="I19" s="34" t="s">
        <v>232</v>
      </c>
      <c r="J19" s="35"/>
      <c r="K19" s="35"/>
      <c r="L19" s="35"/>
      <c r="M19" s="35"/>
      <c r="N19" s="36">
        <v>2</v>
      </c>
      <c r="Q19" s="77"/>
      <c r="R19" s="51"/>
    </row>
    <row r="20" spans="1:19">
      <c r="C20" s="270"/>
      <c r="D20" s="270"/>
      <c r="E20" s="270"/>
      <c r="F20" s="270"/>
      <c r="G20" s="270"/>
      <c r="H20" s="255"/>
      <c r="I20" s="34" t="s">
        <v>233</v>
      </c>
      <c r="J20" s="35"/>
      <c r="K20" s="35"/>
      <c r="L20" s="35"/>
      <c r="M20" s="35"/>
      <c r="N20" s="36">
        <v>3</v>
      </c>
      <c r="Q20" s="27"/>
      <c r="R20" s="27"/>
    </row>
    <row r="21" spans="1:19">
      <c r="C21" s="46"/>
      <c r="D21" s="46"/>
      <c r="E21" s="46"/>
      <c r="F21" s="46"/>
      <c r="G21" s="46"/>
      <c r="H21" s="61"/>
      <c r="I21" s="264" t="s">
        <v>234</v>
      </c>
      <c r="J21" s="265"/>
      <c r="K21" s="265"/>
      <c r="L21" s="265"/>
      <c r="M21" s="265"/>
      <c r="N21" s="266">
        <v>4</v>
      </c>
      <c r="Q21" s="27"/>
      <c r="R21" s="27"/>
    </row>
    <row r="22" spans="1:19">
      <c r="C22" s="74"/>
      <c r="D22" s="74"/>
      <c r="E22" s="74"/>
      <c r="F22" s="74"/>
      <c r="G22" s="74"/>
      <c r="I22" s="34" t="s">
        <v>235</v>
      </c>
      <c r="J22" s="267"/>
      <c r="K22" s="267"/>
      <c r="L22" s="267"/>
      <c r="M22" s="267"/>
      <c r="N22" s="36">
        <v>5</v>
      </c>
      <c r="Q22" s="27"/>
      <c r="R22" s="27"/>
    </row>
    <row r="23" spans="1:19">
      <c r="C23" s="74"/>
      <c r="D23" s="74"/>
      <c r="E23" s="74"/>
      <c r="F23" s="74"/>
      <c r="G23" s="74"/>
      <c r="I23" s="34" t="s">
        <v>236</v>
      </c>
      <c r="J23" s="267"/>
      <c r="K23" s="267"/>
      <c r="L23" s="267"/>
      <c r="M23" s="267"/>
      <c r="N23" s="266">
        <v>6</v>
      </c>
      <c r="Q23" s="27"/>
      <c r="R23" s="27"/>
    </row>
    <row r="24" spans="1:19">
      <c r="C24" s="74"/>
      <c r="D24" s="74"/>
      <c r="E24" s="74"/>
      <c r="F24" s="74"/>
      <c r="G24" s="74"/>
      <c r="I24" s="34" t="s">
        <v>237</v>
      </c>
      <c r="J24" s="267"/>
      <c r="K24" s="267"/>
      <c r="L24" s="267"/>
      <c r="M24" s="267"/>
      <c r="N24" s="36">
        <v>7</v>
      </c>
      <c r="Q24" s="27"/>
      <c r="R24" s="27"/>
    </row>
    <row r="25" spans="1:19">
      <c r="B25" s="27"/>
      <c r="C25" s="46"/>
      <c r="D25" s="74"/>
      <c r="E25" s="74"/>
      <c r="F25" s="74"/>
      <c r="G25" s="74"/>
      <c r="I25" s="34" t="s">
        <v>238</v>
      </c>
      <c r="J25" s="267"/>
      <c r="K25" s="267"/>
      <c r="L25" s="267"/>
      <c r="M25" s="267"/>
      <c r="N25" s="266">
        <v>8</v>
      </c>
      <c r="Q25" s="27"/>
      <c r="R25" s="27"/>
    </row>
    <row r="26" spans="1:19">
      <c r="B26" s="27"/>
      <c r="C26" s="27"/>
      <c r="D26" s="25"/>
      <c r="E26" s="25"/>
      <c r="F26" s="25"/>
      <c r="G26" s="25"/>
      <c r="H26" s="25"/>
      <c r="I26" s="34" t="s">
        <v>239</v>
      </c>
      <c r="J26" s="267"/>
      <c r="K26" s="267"/>
      <c r="L26" s="267"/>
      <c r="M26" s="267"/>
      <c r="N26" s="36">
        <v>9</v>
      </c>
      <c r="Q26" s="27"/>
      <c r="R26" s="27"/>
    </row>
    <row r="27" spans="1:19">
      <c r="B27" s="27"/>
      <c r="C27" s="27"/>
      <c r="D27" s="37"/>
      <c r="E27" s="37"/>
      <c r="F27" s="37"/>
      <c r="G27" s="37"/>
      <c r="H27" s="38" t="s">
        <v>146</v>
      </c>
      <c r="I27" s="39" t="s">
        <v>240</v>
      </c>
      <c r="J27" s="268"/>
      <c r="K27" s="268"/>
      <c r="L27" s="268"/>
      <c r="M27" s="268"/>
      <c r="N27" s="41"/>
      <c r="Q27" s="27"/>
      <c r="R27" s="27"/>
    </row>
    <row r="28" spans="1:19">
      <c r="C28" s="74"/>
      <c r="D28" s="74"/>
      <c r="E28" s="74"/>
      <c r="F28" s="74"/>
      <c r="G28" s="74"/>
      <c r="Q28" s="27"/>
      <c r="R28" s="27"/>
    </row>
    <row r="29" spans="1:19">
      <c r="A29" s="28">
        <f>+A17-0.01</f>
        <v>-3.0399999999999991</v>
      </c>
      <c r="B29" s="25" t="s">
        <v>3</v>
      </c>
      <c r="I29" s="42" t="s">
        <v>4</v>
      </c>
      <c r="J29" s="43"/>
      <c r="K29" s="43"/>
      <c r="L29" s="43"/>
      <c r="M29" s="43"/>
      <c r="N29" s="44"/>
      <c r="Q29" s="76"/>
      <c r="R29" s="71"/>
      <c r="S29" s="25"/>
    </row>
    <row r="30" spans="1:19">
      <c r="I30" s="45" t="s">
        <v>5</v>
      </c>
      <c r="J30" s="46"/>
      <c r="K30" s="46"/>
      <c r="L30" s="46"/>
      <c r="M30" s="46"/>
      <c r="N30" s="47">
        <v>1</v>
      </c>
      <c r="Q30" s="77"/>
      <c r="R30" s="51"/>
      <c r="S30" s="25"/>
    </row>
    <row r="31" spans="1:19">
      <c r="I31" s="45" t="s">
        <v>6</v>
      </c>
      <c r="J31" s="46"/>
      <c r="K31" s="46"/>
      <c r="L31" s="46"/>
      <c r="M31" s="46"/>
      <c r="N31" s="47">
        <v>2</v>
      </c>
      <c r="Q31" s="27"/>
      <c r="R31" s="27"/>
      <c r="S31" s="25"/>
    </row>
    <row r="32" spans="1:19">
      <c r="I32" s="45" t="s">
        <v>7</v>
      </c>
      <c r="J32" s="46"/>
      <c r="K32" s="46"/>
      <c r="L32" s="46"/>
      <c r="M32" s="46"/>
      <c r="N32" s="47">
        <v>3</v>
      </c>
      <c r="Q32" s="27"/>
      <c r="R32" s="27"/>
      <c r="S32" s="25"/>
    </row>
    <row r="33" spans="4:19">
      <c r="I33" s="45" t="s">
        <v>8</v>
      </c>
      <c r="J33" s="46"/>
      <c r="K33" s="46"/>
      <c r="L33" s="46"/>
      <c r="M33" s="46"/>
      <c r="N33" s="47">
        <v>4</v>
      </c>
      <c r="S33" s="25"/>
    </row>
    <row r="34" spans="4:19">
      <c r="I34" s="48" t="s">
        <v>241</v>
      </c>
      <c r="J34" s="27"/>
      <c r="K34" s="27"/>
      <c r="L34" s="27"/>
      <c r="M34" s="27"/>
      <c r="N34" s="47"/>
      <c r="S34" s="25"/>
    </row>
    <row r="35" spans="4:19">
      <c r="I35" s="45" t="s">
        <v>9</v>
      </c>
      <c r="J35" s="27"/>
      <c r="K35" s="27"/>
      <c r="L35" s="27"/>
      <c r="M35" s="27"/>
      <c r="N35" s="47">
        <v>5</v>
      </c>
      <c r="S35" s="25"/>
    </row>
    <row r="36" spans="4:19">
      <c r="I36" s="45" t="s">
        <v>10</v>
      </c>
      <c r="J36" s="27"/>
      <c r="K36" s="27"/>
      <c r="L36" s="27"/>
      <c r="M36" s="27"/>
      <c r="N36" s="47">
        <v>6</v>
      </c>
      <c r="S36" s="25"/>
    </row>
    <row r="37" spans="4:19">
      <c r="I37" s="48" t="s">
        <v>11</v>
      </c>
      <c r="J37" s="27"/>
      <c r="K37" s="27"/>
      <c r="L37" s="27"/>
      <c r="M37" s="27"/>
      <c r="N37" s="47"/>
      <c r="S37" s="25"/>
    </row>
    <row r="38" spans="4:19">
      <c r="I38" s="45" t="s">
        <v>242</v>
      </c>
      <c r="J38" s="27"/>
      <c r="K38" s="27"/>
      <c r="L38" s="27"/>
      <c r="M38" s="27"/>
      <c r="N38" s="47">
        <v>7</v>
      </c>
      <c r="S38" s="25"/>
    </row>
    <row r="39" spans="4:19">
      <c r="I39" s="45" t="s">
        <v>12</v>
      </c>
      <c r="J39" s="27"/>
      <c r="K39" s="27"/>
      <c r="L39" s="27"/>
      <c r="M39" s="27"/>
      <c r="N39" s="47">
        <v>8</v>
      </c>
      <c r="S39" s="25"/>
    </row>
    <row r="40" spans="4:19">
      <c r="I40" s="45" t="s">
        <v>13</v>
      </c>
      <c r="J40" s="27"/>
      <c r="K40" s="27"/>
      <c r="L40" s="27"/>
      <c r="M40" s="27"/>
      <c r="N40" s="47">
        <v>9</v>
      </c>
      <c r="S40" s="25"/>
    </row>
    <row r="41" spans="4:19">
      <c r="I41" s="45" t="s">
        <v>14</v>
      </c>
      <c r="J41" s="27"/>
      <c r="K41" s="27"/>
      <c r="L41" s="27"/>
      <c r="M41" s="27"/>
      <c r="N41" s="47">
        <v>10</v>
      </c>
      <c r="S41" s="25"/>
    </row>
    <row r="42" spans="4:19">
      <c r="I42" s="45" t="s">
        <v>15</v>
      </c>
      <c r="J42" s="27"/>
      <c r="K42" s="27"/>
      <c r="L42" s="27"/>
      <c r="M42" s="27"/>
      <c r="N42" s="47"/>
      <c r="S42" s="25"/>
    </row>
    <row r="43" spans="4:19">
      <c r="I43" s="45" t="s">
        <v>16</v>
      </c>
      <c r="J43" s="27"/>
      <c r="K43" s="27"/>
      <c r="L43" s="27"/>
      <c r="M43" s="27"/>
      <c r="N43" s="47"/>
      <c r="S43" s="25"/>
    </row>
    <row r="44" spans="4:19">
      <c r="I44" s="45" t="s">
        <v>17</v>
      </c>
      <c r="J44" s="27"/>
      <c r="K44" s="27"/>
      <c r="L44" s="27"/>
      <c r="M44" s="27"/>
      <c r="N44" s="47">
        <v>11</v>
      </c>
      <c r="S44" s="25"/>
    </row>
    <row r="45" spans="4:19">
      <c r="I45" s="45" t="s">
        <v>18</v>
      </c>
      <c r="J45" s="27"/>
      <c r="K45" s="27"/>
      <c r="L45" s="27"/>
      <c r="M45" s="27"/>
      <c r="N45" s="47">
        <v>12</v>
      </c>
      <c r="S45" s="25"/>
    </row>
    <row r="46" spans="4:19">
      <c r="I46" s="45" t="s">
        <v>226</v>
      </c>
      <c r="J46" s="27"/>
      <c r="K46" s="27"/>
      <c r="L46" s="27"/>
      <c r="M46" s="27"/>
      <c r="N46" s="47">
        <v>13</v>
      </c>
      <c r="S46" s="25"/>
    </row>
    <row r="47" spans="4:19">
      <c r="D47" s="37"/>
      <c r="E47" s="37"/>
      <c r="F47" s="37"/>
      <c r="G47" s="37"/>
      <c r="H47" s="38" t="s">
        <v>146</v>
      </c>
      <c r="I47" s="49" t="s">
        <v>1</v>
      </c>
      <c r="J47" s="50"/>
      <c r="K47" s="50"/>
      <c r="L47" s="50"/>
      <c r="M47" s="50"/>
      <c r="N47" s="51"/>
      <c r="S47" s="25"/>
    </row>
    <row r="48" spans="4:19">
      <c r="I48" s="52"/>
      <c r="J48" s="27"/>
      <c r="K48" s="27"/>
      <c r="L48" s="27"/>
      <c r="M48" s="27"/>
      <c r="N48" s="27"/>
      <c r="S48" s="25"/>
    </row>
    <row r="49" spans="1:19">
      <c r="A49" s="28">
        <f>+A29-0.01</f>
        <v>-3.0499999999999989</v>
      </c>
      <c r="B49" s="25" t="s">
        <v>19</v>
      </c>
      <c r="I49" s="42" t="s">
        <v>20</v>
      </c>
      <c r="J49" s="43"/>
      <c r="K49" s="43"/>
      <c r="L49" s="43"/>
      <c r="M49" s="43"/>
      <c r="N49" s="44"/>
      <c r="P49" s="74" t="s">
        <v>147</v>
      </c>
      <c r="Q49" s="76"/>
      <c r="R49" s="71"/>
      <c r="S49" s="25"/>
    </row>
    <row r="50" spans="1:19">
      <c r="B50" s="29" t="s">
        <v>276</v>
      </c>
      <c r="I50" s="45" t="s">
        <v>21</v>
      </c>
      <c r="J50" s="46"/>
      <c r="K50" s="46"/>
      <c r="L50" s="46"/>
      <c r="M50" s="46"/>
      <c r="N50" s="47">
        <v>1</v>
      </c>
      <c r="P50" s="74"/>
      <c r="Q50" s="77"/>
      <c r="R50" s="51"/>
      <c r="S50" s="25"/>
    </row>
    <row r="51" spans="1:19">
      <c r="I51" s="45" t="s">
        <v>22</v>
      </c>
      <c r="J51" s="46"/>
      <c r="K51" s="46"/>
      <c r="L51" s="46"/>
      <c r="M51" s="46"/>
      <c r="N51" s="47">
        <v>2</v>
      </c>
      <c r="P51" s="74"/>
      <c r="Q51" s="27"/>
      <c r="R51" s="27"/>
      <c r="S51" s="25"/>
    </row>
    <row r="52" spans="1:19">
      <c r="I52" s="45" t="s">
        <v>23</v>
      </c>
      <c r="J52" s="46"/>
      <c r="K52" s="46"/>
      <c r="L52" s="46"/>
      <c r="M52" s="46"/>
      <c r="N52" s="47">
        <v>3</v>
      </c>
      <c r="P52" s="74" t="s">
        <v>148</v>
      </c>
      <c r="Q52" s="76"/>
      <c r="R52" s="71"/>
      <c r="S52" s="25"/>
    </row>
    <row r="53" spans="1:19">
      <c r="I53" s="45" t="s">
        <v>24</v>
      </c>
      <c r="J53" s="46"/>
      <c r="K53" s="46"/>
      <c r="L53" s="46"/>
      <c r="M53" s="46"/>
      <c r="N53" s="47">
        <v>4</v>
      </c>
      <c r="P53" s="74"/>
      <c r="Q53" s="77"/>
      <c r="R53" s="51"/>
      <c r="S53" s="25"/>
    </row>
    <row r="54" spans="1:19">
      <c r="I54" s="45" t="s">
        <v>25</v>
      </c>
      <c r="J54" s="46"/>
      <c r="K54" s="46"/>
      <c r="L54" s="46"/>
      <c r="M54" s="46"/>
      <c r="N54" s="47">
        <v>5</v>
      </c>
      <c r="P54" s="74"/>
      <c r="Q54" s="27"/>
      <c r="R54" s="27"/>
      <c r="S54" s="25"/>
    </row>
    <row r="55" spans="1:19">
      <c r="I55" s="48" t="s">
        <v>26</v>
      </c>
      <c r="J55" s="27"/>
      <c r="K55" s="27"/>
      <c r="L55" s="27"/>
      <c r="M55" s="27"/>
      <c r="N55" s="47"/>
      <c r="P55" s="74" t="s">
        <v>149</v>
      </c>
      <c r="Q55" s="76"/>
      <c r="R55" s="71"/>
      <c r="S55" s="25"/>
    </row>
    <row r="56" spans="1:19">
      <c r="I56" s="45" t="s">
        <v>27</v>
      </c>
      <c r="J56" s="27"/>
      <c r="K56" s="27"/>
      <c r="L56" s="27"/>
      <c r="M56" s="27"/>
      <c r="N56" s="47">
        <v>6</v>
      </c>
      <c r="Q56" s="77"/>
      <c r="R56" s="51"/>
      <c r="S56" s="25"/>
    </row>
    <row r="57" spans="1:19">
      <c r="I57" s="45" t="s">
        <v>28</v>
      </c>
      <c r="J57" s="27"/>
      <c r="K57" s="27"/>
      <c r="L57" s="27"/>
      <c r="M57" s="27"/>
      <c r="N57" s="47"/>
      <c r="Q57" s="27"/>
      <c r="R57" s="27"/>
      <c r="S57" s="25"/>
    </row>
    <row r="58" spans="1:19">
      <c r="I58" s="45" t="s">
        <v>29</v>
      </c>
      <c r="J58" s="27"/>
      <c r="K58" s="27"/>
      <c r="L58" s="27"/>
      <c r="M58" s="27"/>
      <c r="N58" s="47">
        <v>7</v>
      </c>
      <c r="Q58" s="27"/>
      <c r="R58" s="27"/>
      <c r="S58" s="25"/>
    </row>
    <row r="59" spans="1:19">
      <c r="I59" s="45" t="s">
        <v>30</v>
      </c>
      <c r="J59" s="27"/>
      <c r="K59" s="27"/>
      <c r="L59" s="27"/>
      <c r="M59" s="27"/>
      <c r="N59" s="47">
        <v>8</v>
      </c>
      <c r="Q59" s="27"/>
      <c r="R59" s="27"/>
      <c r="S59" s="25"/>
    </row>
    <row r="60" spans="1:19">
      <c r="I60" s="45" t="s">
        <v>31</v>
      </c>
      <c r="J60" s="27"/>
      <c r="K60" s="27"/>
      <c r="L60" s="27"/>
      <c r="M60" s="27"/>
      <c r="N60" s="47">
        <v>9</v>
      </c>
      <c r="Q60" s="27"/>
      <c r="R60" s="27"/>
      <c r="S60" s="25"/>
    </row>
    <row r="61" spans="1:19">
      <c r="I61" s="45" t="s">
        <v>32</v>
      </c>
      <c r="J61" s="27"/>
      <c r="K61" s="27"/>
      <c r="L61" s="27"/>
      <c r="M61" s="27"/>
      <c r="N61" s="47">
        <v>10</v>
      </c>
      <c r="Q61" s="27"/>
      <c r="R61" s="27"/>
      <c r="S61" s="25"/>
    </row>
    <row r="62" spans="1:19">
      <c r="I62" s="45" t="s">
        <v>33</v>
      </c>
      <c r="J62" s="27"/>
      <c r="K62" s="27"/>
      <c r="L62" s="27"/>
      <c r="M62" s="27"/>
      <c r="N62" s="47"/>
      <c r="Q62" s="27"/>
      <c r="R62" s="27"/>
      <c r="S62" s="25"/>
    </row>
    <row r="63" spans="1:19">
      <c r="I63" s="45" t="s">
        <v>34</v>
      </c>
      <c r="J63" s="27"/>
      <c r="K63" s="27"/>
      <c r="L63" s="27"/>
      <c r="M63" s="27"/>
      <c r="N63" s="47">
        <v>11</v>
      </c>
      <c r="Q63" s="27"/>
      <c r="R63" s="27"/>
      <c r="S63" s="25"/>
    </row>
    <row r="64" spans="1:19">
      <c r="D64" s="37"/>
      <c r="E64" s="37"/>
      <c r="F64" s="37"/>
      <c r="G64" s="37"/>
      <c r="H64" s="38" t="s">
        <v>146</v>
      </c>
      <c r="I64" s="53" t="s">
        <v>1</v>
      </c>
      <c r="J64" s="50"/>
      <c r="K64" s="50"/>
      <c r="L64" s="50"/>
      <c r="M64" s="50"/>
      <c r="N64" s="54"/>
      <c r="Q64" s="27"/>
      <c r="R64" s="27"/>
      <c r="S64" s="25"/>
    </row>
    <row r="65" spans="1:19">
      <c r="Q65" s="27"/>
      <c r="R65" s="27"/>
      <c r="S65" s="25"/>
    </row>
    <row r="66" spans="1:19">
      <c r="A66" s="28">
        <f>+A49-0.01</f>
        <v>-3.0599999999999987</v>
      </c>
      <c r="B66" s="25" t="s">
        <v>35</v>
      </c>
      <c r="I66" s="42" t="s">
        <v>36</v>
      </c>
      <c r="J66" s="43"/>
      <c r="K66" s="43"/>
      <c r="L66" s="43"/>
      <c r="M66" s="43"/>
      <c r="N66" s="44"/>
      <c r="P66" s="74" t="s">
        <v>147</v>
      </c>
      <c r="Q66" s="76"/>
      <c r="R66" s="71"/>
      <c r="S66" s="25"/>
    </row>
    <row r="67" spans="1:19">
      <c r="B67" s="29" t="s">
        <v>37</v>
      </c>
      <c r="I67" s="45" t="s">
        <v>38</v>
      </c>
      <c r="J67" s="46"/>
      <c r="K67" s="46"/>
      <c r="L67" s="46"/>
      <c r="M67" s="46"/>
      <c r="N67" s="47">
        <v>1</v>
      </c>
      <c r="P67" s="74"/>
      <c r="Q67" s="77"/>
      <c r="R67" s="51"/>
      <c r="S67" s="25"/>
    </row>
    <row r="68" spans="1:19">
      <c r="B68" s="29" t="s">
        <v>276</v>
      </c>
      <c r="I68" s="45" t="s">
        <v>39</v>
      </c>
      <c r="J68" s="46"/>
      <c r="K68" s="46"/>
      <c r="L68" s="46"/>
      <c r="M68" s="46"/>
      <c r="N68" s="47">
        <v>2</v>
      </c>
      <c r="P68" s="74"/>
      <c r="Q68" s="27"/>
      <c r="R68" s="27"/>
      <c r="S68" s="25"/>
    </row>
    <row r="69" spans="1:19">
      <c r="I69" s="45" t="s">
        <v>40</v>
      </c>
      <c r="J69" s="46"/>
      <c r="K69" s="46"/>
      <c r="L69" s="46"/>
      <c r="M69" s="46"/>
      <c r="N69" s="47">
        <v>3</v>
      </c>
      <c r="P69" s="74" t="s">
        <v>148</v>
      </c>
      <c r="Q69" s="76"/>
      <c r="R69" s="71"/>
      <c r="S69" s="25"/>
    </row>
    <row r="70" spans="1:19">
      <c r="I70" s="45" t="s">
        <v>41</v>
      </c>
      <c r="J70" s="46"/>
      <c r="K70" s="46"/>
      <c r="L70" s="46"/>
      <c r="M70" s="46"/>
      <c r="N70" s="47">
        <v>4</v>
      </c>
      <c r="P70" s="74"/>
      <c r="Q70" s="77"/>
      <c r="R70" s="51"/>
      <c r="S70" s="25"/>
    </row>
    <row r="71" spans="1:19">
      <c r="I71" s="45" t="s">
        <v>42</v>
      </c>
      <c r="J71" s="46"/>
      <c r="K71" s="46"/>
      <c r="L71" s="46"/>
      <c r="M71" s="46"/>
      <c r="N71" s="47">
        <v>5</v>
      </c>
      <c r="P71" s="74"/>
      <c r="Q71" s="27"/>
      <c r="R71" s="27"/>
      <c r="S71" s="25"/>
    </row>
    <row r="72" spans="1:19">
      <c r="I72" s="45" t="s">
        <v>151</v>
      </c>
      <c r="J72" s="46"/>
      <c r="K72" s="46"/>
      <c r="L72" s="46"/>
      <c r="M72" s="46"/>
      <c r="N72" s="47">
        <v>6</v>
      </c>
      <c r="P72" s="74" t="s">
        <v>149</v>
      </c>
      <c r="Q72" s="76"/>
      <c r="R72" s="71"/>
      <c r="S72" s="25"/>
    </row>
    <row r="73" spans="1:19">
      <c r="I73" s="45" t="s">
        <v>43</v>
      </c>
      <c r="J73" s="27"/>
      <c r="K73" s="27"/>
      <c r="L73" s="27"/>
      <c r="M73" s="27"/>
      <c r="N73" s="47">
        <v>7</v>
      </c>
      <c r="Q73" s="77"/>
      <c r="R73" s="51"/>
      <c r="S73" s="25"/>
    </row>
    <row r="74" spans="1:19">
      <c r="I74" s="48" t="s">
        <v>44</v>
      </c>
      <c r="J74" s="27"/>
      <c r="K74" s="27"/>
      <c r="L74" s="27"/>
      <c r="M74" s="27"/>
      <c r="N74" s="47"/>
      <c r="P74" s="25"/>
      <c r="Q74" s="25"/>
      <c r="R74" s="25"/>
      <c r="S74" s="25"/>
    </row>
    <row r="75" spans="1:19">
      <c r="I75" s="45" t="s">
        <v>46</v>
      </c>
      <c r="J75" s="27"/>
      <c r="K75" s="27"/>
      <c r="L75" s="27"/>
      <c r="M75" s="27"/>
      <c r="N75" s="47">
        <v>8</v>
      </c>
      <c r="S75" s="25"/>
    </row>
    <row r="76" spans="1:19">
      <c r="I76" s="48" t="s">
        <v>47</v>
      </c>
      <c r="J76" s="27"/>
      <c r="K76" s="27"/>
      <c r="L76" s="27"/>
      <c r="M76" s="27"/>
      <c r="N76" s="47"/>
      <c r="S76" s="25"/>
    </row>
    <row r="77" spans="1:19">
      <c r="I77" s="45" t="s">
        <v>48</v>
      </c>
      <c r="J77" s="27"/>
      <c r="K77" s="27"/>
      <c r="L77" s="27"/>
      <c r="M77" s="27"/>
      <c r="N77" s="47">
        <v>9</v>
      </c>
      <c r="S77" s="25"/>
    </row>
    <row r="78" spans="1:19">
      <c r="I78" s="45" t="s">
        <v>49</v>
      </c>
      <c r="J78" s="27"/>
      <c r="K78" s="27"/>
      <c r="L78" s="27"/>
      <c r="M78" s="27"/>
      <c r="N78" s="47">
        <v>10</v>
      </c>
      <c r="S78" s="25"/>
    </row>
    <row r="79" spans="1:19">
      <c r="I79" s="45" t="s">
        <v>277</v>
      </c>
      <c r="J79" s="27"/>
      <c r="K79" s="27"/>
      <c r="L79" s="27"/>
      <c r="M79" s="27"/>
      <c r="N79" s="47">
        <v>11</v>
      </c>
      <c r="S79" s="25"/>
    </row>
    <row r="80" spans="1:19">
      <c r="I80" s="45" t="s">
        <v>50</v>
      </c>
      <c r="J80" s="27"/>
      <c r="K80" s="27"/>
      <c r="L80" s="27"/>
      <c r="M80" s="27"/>
      <c r="N80" s="47">
        <v>12</v>
      </c>
      <c r="S80" s="25"/>
    </row>
    <row r="81" spans="1:19">
      <c r="I81" s="45" t="s">
        <v>51</v>
      </c>
      <c r="J81" s="27"/>
      <c r="K81" s="27"/>
      <c r="L81" s="27"/>
      <c r="M81" s="27"/>
      <c r="N81" s="47">
        <v>13</v>
      </c>
      <c r="S81" s="25"/>
    </row>
    <row r="82" spans="1:19">
      <c r="I82" s="45" t="s">
        <v>52</v>
      </c>
      <c r="J82" s="27"/>
      <c r="K82" s="27"/>
      <c r="L82" s="27"/>
      <c r="M82" s="27"/>
      <c r="N82" s="47">
        <v>14</v>
      </c>
      <c r="S82" s="25"/>
    </row>
    <row r="83" spans="1:19">
      <c r="I83" s="45" t="s">
        <v>53</v>
      </c>
      <c r="J83" s="27"/>
      <c r="K83" s="27"/>
      <c r="L83" s="27"/>
      <c r="M83" s="27"/>
      <c r="N83" s="47">
        <v>15</v>
      </c>
      <c r="S83" s="25"/>
    </row>
    <row r="84" spans="1:19">
      <c r="I84" s="45" t="s">
        <v>45</v>
      </c>
      <c r="J84" s="27"/>
      <c r="K84" s="27"/>
      <c r="L84" s="27"/>
      <c r="M84" s="27"/>
      <c r="N84" s="47">
        <v>16</v>
      </c>
      <c r="S84" s="25"/>
    </row>
    <row r="85" spans="1:19">
      <c r="I85" s="45" t="s">
        <v>54</v>
      </c>
      <c r="J85" s="27"/>
      <c r="K85" s="27"/>
      <c r="L85" s="27"/>
      <c r="M85" s="27"/>
      <c r="N85" s="47">
        <v>17</v>
      </c>
      <c r="S85" s="25"/>
    </row>
    <row r="86" spans="1:19">
      <c r="I86" s="45" t="s">
        <v>55</v>
      </c>
      <c r="J86" s="27"/>
      <c r="K86" s="27"/>
      <c r="L86" s="27"/>
      <c r="M86" s="27"/>
      <c r="N86" s="47">
        <v>18</v>
      </c>
      <c r="S86" s="25"/>
    </row>
    <row r="87" spans="1:19">
      <c r="I87" s="45" t="s">
        <v>229</v>
      </c>
      <c r="J87" s="27"/>
      <c r="K87" s="27"/>
      <c r="L87" s="27"/>
      <c r="M87" s="27"/>
      <c r="N87" s="47">
        <v>19</v>
      </c>
      <c r="S87" s="25"/>
    </row>
    <row r="88" spans="1:19">
      <c r="D88" s="37"/>
      <c r="E88" s="37"/>
      <c r="F88" s="37"/>
      <c r="G88" s="37"/>
      <c r="H88" s="38" t="s">
        <v>146</v>
      </c>
      <c r="I88" s="53" t="s">
        <v>278</v>
      </c>
      <c r="J88" s="50"/>
      <c r="K88" s="50"/>
      <c r="L88" s="50"/>
      <c r="M88" s="50"/>
      <c r="N88" s="51"/>
      <c r="S88" s="25"/>
    </row>
    <row r="89" spans="1:19">
      <c r="I89" s="52"/>
      <c r="J89" s="27"/>
      <c r="K89" s="27"/>
      <c r="L89" s="27"/>
      <c r="M89" s="27"/>
      <c r="N89" s="27"/>
      <c r="S89" s="25"/>
    </row>
    <row r="90" spans="1:19">
      <c r="A90" s="28">
        <f>+A66-0.01</f>
        <v>-3.0699999999999985</v>
      </c>
      <c r="B90" s="25" t="s">
        <v>275</v>
      </c>
      <c r="F90" s="46"/>
      <c r="G90" s="46"/>
      <c r="H90" s="55"/>
      <c r="I90" s="56"/>
      <c r="J90" s="57"/>
      <c r="K90" s="58"/>
      <c r="L90" s="25"/>
      <c r="M90" s="246" t="s">
        <v>60</v>
      </c>
      <c r="N90" s="247" t="s">
        <v>61</v>
      </c>
      <c r="O90" s="25"/>
      <c r="P90" s="25"/>
      <c r="Q90" s="257"/>
      <c r="R90" s="256"/>
      <c r="S90" s="25"/>
    </row>
    <row r="91" spans="1:19">
      <c r="F91" s="46"/>
      <c r="G91" s="46"/>
      <c r="H91" s="251">
        <v>1</v>
      </c>
      <c r="I91" s="59" t="s">
        <v>62</v>
      </c>
      <c r="J91" s="50"/>
      <c r="K91" s="51"/>
      <c r="L91" s="25"/>
      <c r="M91" s="248">
        <v>1</v>
      </c>
      <c r="N91" s="249">
        <v>2</v>
      </c>
      <c r="O91" s="25"/>
      <c r="P91" s="25"/>
      <c r="Q91" s="257"/>
      <c r="R91" s="256"/>
      <c r="S91" s="25"/>
    </row>
    <row r="92" spans="1:19">
      <c r="F92" s="46"/>
      <c r="G92" s="46"/>
      <c r="H92" s="251">
        <v>2</v>
      </c>
      <c r="I92" s="60" t="s">
        <v>63</v>
      </c>
      <c r="J92" s="27"/>
      <c r="K92" s="61"/>
      <c r="L92" s="25"/>
      <c r="M92" s="250">
        <v>1</v>
      </c>
      <c r="N92" s="249">
        <v>2</v>
      </c>
      <c r="O92" s="25"/>
      <c r="P92" s="25"/>
      <c r="Q92" s="257"/>
      <c r="R92" s="256"/>
      <c r="S92" s="25"/>
    </row>
    <row r="93" spans="1:19">
      <c r="F93" s="46"/>
      <c r="G93" s="46"/>
      <c r="H93" s="251">
        <v>3</v>
      </c>
      <c r="I93" s="62" t="s">
        <v>64</v>
      </c>
      <c r="J93" s="63"/>
      <c r="K93" s="64"/>
      <c r="L93" s="25"/>
      <c r="M93" s="56">
        <v>1</v>
      </c>
      <c r="N93" s="249">
        <v>2</v>
      </c>
      <c r="O93" s="25"/>
      <c r="P93" s="25"/>
      <c r="Q93" s="254"/>
      <c r="R93" s="255"/>
      <c r="S93" s="25"/>
    </row>
    <row r="94" spans="1:19">
      <c r="F94" s="46"/>
      <c r="G94" s="46"/>
      <c r="H94" s="251">
        <v>4</v>
      </c>
      <c r="I94" s="60" t="s">
        <v>65</v>
      </c>
      <c r="J94" s="27"/>
      <c r="K94" s="61"/>
      <c r="L94" s="25"/>
      <c r="M94" s="248">
        <v>1</v>
      </c>
      <c r="N94" s="249">
        <v>2</v>
      </c>
      <c r="O94" s="25"/>
      <c r="P94" s="25"/>
      <c r="Q94" s="252"/>
      <c r="R94" s="253"/>
      <c r="S94" s="25"/>
    </row>
    <row r="95" spans="1:19">
      <c r="F95" s="27"/>
      <c r="G95" s="27"/>
      <c r="H95" s="251">
        <v>5</v>
      </c>
      <c r="I95" s="62" t="s">
        <v>66</v>
      </c>
      <c r="J95" s="63"/>
      <c r="K95" s="64"/>
      <c r="L95" s="25"/>
      <c r="M95" s="250">
        <v>1</v>
      </c>
      <c r="N95" s="249">
        <v>2</v>
      </c>
      <c r="O95" s="25"/>
      <c r="P95" s="25"/>
      <c r="Q95" s="257"/>
      <c r="R95" s="256"/>
      <c r="S95" s="25"/>
    </row>
    <row r="96" spans="1:19">
      <c r="F96" s="27"/>
      <c r="G96" s="27"/>
      <c r="H96" s="251">
        <v>6</v>
      </c>
      <c r="I96" s="60" t="s">
        <v>67</v>
      </c>
      <c r="J96" s="27"/>
      <c r="K96" s="61"/>
      <c r="L96" s="25"/>
      <c r="M96" s="56">
        <v>1</v>
      </c>
      <c r="N96" s="249">
        <v>2</v>
      </c>
      <c r="O96" s="25"/>
      <c r="P96" s="25"/>
      <c r="Q96" s="254"/>
      <c r="R96" s="255"/>
      <c r="S96" s="25"/>
    </row>
    <row r="97" spans="6:19">
      <c r="F97" s="27"/>
      <c r="G97" s="27"/>
      <c r="H97" s="251">
        <v>7</v>
      </c>
      <c r="I97" s="62" t="s">
        <v>68</v>
      </c>
      <c r="J97" s="63"/>
      <c r="K97" s="64"/>
      <c r="L97" s="25"/>
      <c r="M97" s="248">
        <v>1</v>
      </c>
      <c r="N97" s="249">
        <v>2</v>
      </c>
      <c r="O97" s="25"/>
      <c r="P97" s="25"/>
      <c r="Q97" s="257"/>
      <c r="R97" s="256"/>
      <c r="S97" s="25"/>
    </row>
    <row r="98" spans="6:19">
      <c r="F98" s="27"/>
      <c r="G98" s="27"/>
      <c r="H98" s="251">
        <v>8</v>
      </c>
      <c r="I98" s="60" t="s">
        <v>206</v>
      </c>
      <c r="J98" s="27"/>
      <c r="K98" s="61"/>
      <c r="L98" s="25"/>
      <c r="M98" s="250">
        <v>1</v>
      </c>
      <c r="N98" s="249">
        <v>2</v>
      </c>
      <c r="O98" s="25"/>
      <c r="P98" s="25"/>
      <c r="Q98" s="254"/>
      <c r="R98" s="255"/>
      <c r="S98" s="25"/>
    </row>
    <row r="99" spans="6:19">
      <c r="F99" s="27"/>
      <c r="G99" s="27"/>
      <c r="H99" s="251">
        <v>9</v>
      </c>
      <c r="I99" s="62" t="s">
        <v>207</v>
      </c>
      <c r="J99" s="63"/>
      <c r="K99" s="64"/>
      <c r="L99" s="25"/>
      <c r="M99" s="56">
        <v>1</v>
      </c>
      <c r="N99" s="249">
        <v>2</v>
      </c>
      <c r="O99" s="25"/>
      <c r="P99" s="25"/>
      <c r="Q99" s="257"/>
      <c r="R99" s="256"/>
      <c r="S99" s="25"/>
    </row>
    <row r="100" spans="6:19">
      <c r="F100" s="27"/>
      <c r="G100" s="27"/>
      <c r="H100" s="251">
        <v>10</v>
      </c>
      <c r="I100" s="60" t="s">
        <v>208</v>
      </c>
      <c r="J100" s="27"/>
      <c r="K100" s="61"/>
      <c r="L100" s="25"/>
      <c r="M100" s="248">
        <v>1</v>
      </c>
      <c r="N100" s="249">
        <v>2</v>
      </c>
      <c r="O100" s="25"/>
      <c r="P100" s="25"/>
      <c r="Q100" s="254"/>
      <c r="R100" s="255"/>
      <c r="S100" s="25"/>
    </row>
    <row r="101" spans="6:19">
      <c r="F101" s="27"/>
      <c r="G101" s="27"/>
      <c r="H101" s="251">
        <v>11</v>
      </c>
      <c r="I101" s="62" t="s">
        <v>209</v>
      </c>
      <c r="J101" s="63"/>
      <c r="K101" s="64"/>
      <c r="L101" s="25"/>
      <c r="M101" s="250">
        <v>1</v>
      </c>
      <c r="N101" s="249">
        <v>2</v>
      </c>
      <c r="O101" s="25"/>
      <c r="P101" s="25"/>
      <c r="Q101" s="257"/>
      <c r="R101" s="256"/>
      <c r="S101" s="25"/>
    </row>
    <row r="102" spans="6:19">
      <c r="F102" s="27"/>
      <c r="G102" s="27"/>
      <c r="H102" s="251">
        <v>12</v>
      </c>
      <c r="I102" s="60" t="s">
        <v>210</v>
      </c>
      <c r="J102" s="27"/>
      <c r="K102" s="61"/>
      <c r="L102" s="25"/>
      <c r="M102" s="56">
        <v>1</v>
      </c>
      <c r="N102" s="249">
        <v>2</v>
      </c>
      <c r="O102" s="25"/>
      <c r="P102" s="25"/>
      <c r="Q102" s="254"/>
      <c r="R102" s="255"/>
      <c r="S102" s="25"/>
    </row>
    <row r="103" spans="6:19">
      <c r="F103" s="27"/>
      <c r="G103" s="27"/>
      <c r="H103" s="251">
        <v>13</v>
      </c>
      <c r="I103" s="62" t="s">
        <v>211</v>
      </c>
      <c r="J103" s="63"/>
      <c r="K103" s="64"/>
      <c r="L103" s="25"/>
      <c r="M103" s="248">
        <v>1</v>
      </c>
      <c r="N103" s="249">
        <v>2</v>
      </c>
      <c r="O103" s="25"/>
      <c r="P103" s="25"/>
      <c r="Q103" s="257"/>
      <c r="R103" s="256"/>
      <c r="S103" s="25"/>
    </row>
    <row r="104" spans="6:19">
      <c r="F104" s="27"/>
      <c r="G104" s="27"/>
      <c r="H104" s="251">
        <v>14</v>
      </c>
      <c r="I104" s="60" t="s">
        <v>212</v>
      </c>
      <c r="J104" s="27"/>
      <c r="K104" s="61"/>
      <c r="L104" s="25"/>
      <c r="M104" s="250">
        <v>1</v>
      </c>
      <c r="N104" s="249">
        <v>2</v>
      </c>
      <c r="O104" s="25"/>
      <c r="P104" s="25"/>
      <c r="Q104" s="254"/>
      <c r="R104" s="255"/>
      <c r="S104" s="25"/>
    </row>
    <row r="105" spans="6:19">
      <c r="F105" s="27"/>
      <c r="G105" s="27"/>
      <c r="H105" s="251">
        <v>15</v>
      </c>
      <c r="I105" s="62" t="s">
        <v>225</v>
      </c>
      <c r="J105" s="63"/>
      <c r="K105" s="64"/>
      <c r="L105" s="25"/>
      <c r="M105" s="56">
        <v>1</v>
      </c>
      <c r="N105" s="249">
        <v>2</v>
      </c>
      <c r="O105" s="25"/>
      <c r="P105" s="25"/>
      <c r="Q105" s="257"/>
      <c r="R105" s="256"/>
      <c r="S105" s="25"/>
    </row>
    <row r="106" spans="6:19">
      <c r="F106" s="27"/>
      <c r="G106" s="27"/>
      <c r="H106" s="251">
        <v>16</v>
      </c>
      <c r="I106" s="60" t="s">
        <v>213</v>
      </c>
      <c r="J106" s="27"/>
      <c r="K106" s="61"/>
      <c r="L106" s="25"/>
      <c r="M106" s="248">
        <v>1</v>
      </c>
      <c r="N106" s="249">
        <v>2</v>
      </c>
      <c r="O106" s="25"/>
      <c r="P106" s="25"/>
      <c r="Q106" s="254"/>
      <c r="R106" s="255"/>
      <c r="S106" s="25"/>
    </row>
    <row r="107" spans="6:19">
      <c r="F107" s="27"/>
      <c r="G107" s="27"/>
      <c r="H107" s="251">
        <v>17</v>
      </c>
      <c r="I107" s="62" t="s">
        <v>214</v>
      </c>
      <c r="J107" s="63"/>
      <c r="K107" s="64"/>
      <c r="L107" s="25"/>
      <c r="M107" s="250">
        <v>1</v>
      </c>
      <c r="N107" s="249">
        <v>2</v>
      </c>
      <c r="O107" s="25"/>
      <c r="P107" s="25"/>
      <c r="Q107" s="257"/>
      <c r="R107" s="256"/>
      <c r="S107" s="25"/>
    </row>
    <row r="108" spans="6:19">
      <c r="F108" s="27"/>
      <c r="G108" s="27"/>
      <c r="H108" s="251">
        <v>18</v>
      </c>
      <c r="I108" s="60" t="s">
        <v>215</v>
      </c>
      <c r="J108" s="27"/>
      <c r="K108" s="61"/>
      <c r="L108" s="25"/>
      <c r="M108" s="56">
        <v>1</v>
      </c>
      <c r="N108" s="249">
        <v>2</v>
      </c>
      <c r="O108" s="25"/>
      <c r="P108" s="25"/>
      <c r="Q108" s="254"/>
      <c r="R108" s="255"/>
      <c r="S108" s="25"/>
    </row>
    <row r="109" spans="6:19">
      <c r="F109" s="27"/>
      <c r="G109" s="27"/>
      <c r="H109" s="251">
        <v>19</v>
      </c>
      <c r="I109" s="62" t="s">
        <v>216</v>
      </c>
      <c r="J109" s="63"/>
      <c r="K109" s="64"/>
      <c r="L109" s="25"/>
      <c r="M109" s="248">
        <v>1</v>
      </c>
      <c r="N109" s="249">
        <v>2</v>
      </c>
      <c r="O109" s="25"/>
      <c r="P109" s="25"/>
      <c r="Q109" s="257"/>
      <c r="R109" s="256"/>
      <c r="S109" s="25"/>
    </row>
    <row r="110" spans="6:19">
      <c r="F110" s="27"/>
      <c r="G110" s="27"/>
      <c r="H110" s="251">
        <v>20</v>
      </c>
      <c r="I110" s="60" t="s">
        <v>217</v>
      </c>
      <c r="J110" s="27"/>
      <c r="K110" s="61"/>
      <c r="L110" s="25"/>
      <c r="M110" s="250">
        <v>1</v>
      </c>
      <c r="N110" s="249">
        <v>2</v>
      </c>
      <c r="O110" s="25"/>
      <c r="P110" s="25"/>
      <c r="Q110" s="254"/>
      <c r="R110" s="255"/>
      <c r="S110" s="25"/>
    </row>
    <row r="111" spans="6:19">
      <c r="H111" s="251">
        <v>21</v>
      </c>
      <c r="I111" s="62" t="s">
        <v>218</v>
      </c>
      <c r="J111" s="63"/>
      <c r="K111" s="64"/>
      <c r="L111" s="25"/>
      <c r="M111" s="56">
        <v>1</v>
      </c>
      <c r="N111" s="249">
        <v>2</v>
      </c>
      <c r="O111" s="25"/>
      <c r="P111" s="25"/>
      <c r="Q111" s="257"/>
      <c r="R111" s="256"/>
      <c r="S111" s="25"/>
    </row>
    <row r="112" spans="6:19">
      <c r="H112" s="251">
        <v>22</v>
      </c>
      <c r="I112" s="65" t="s">
        <v>219</v>
      </c>
      <c r="J112" s="27"/>
      <c r="K112" s="61"/>
      <c r="L112" s="25"/>
      <c r="M112" s="248">
        <v>1</v>
      </c>
      <c r="N112" s="249">
        <v>2</v>
      </c>
      <c r="O112" s="25"/>
      <c r="P112" s="25"/>
      <c r="Q112" s="254"/>
      <c r="R112" s="255"/>
      <c r="S112" s="25"/>
    </row>
    <row r="113" spans="1:19">
      <c r="H113" s="251">
        <v>23</v>
      </c>
      <c r="I113" s="66" t="s">
        <v>69</v>
      </c>
      <c r="J113" s="63"/>
      <c r="K113" s="64"/>
      <c r="L113" s="25"/>
      <c r="M113" s="56">
        <v>1</v>
      </c>
      <c r="N113" s="247">
        <v>2</v>
      </c>
      <c r="O113" s="25"/>
      <c r="P113" s="25"/>
      <c r="Q113" s="254"/>
      <c r="R113" s="255"/>
      <c r="S113" s="25"/>
    </row>
    <row r="114" spans="1:19">
      <c r="H114" s="251">
        <v>24</v>
      </c>
      <c r="I114" s="66" t="s">
        <v>243</v>
      </c>
      <c r="J114" s="63"/>
      <c r="K114" s="64"/>
      <c r="L114" s="25"/>
      <c r="M114" s="56">
        <v>1</v>
      </c>
      <c r="N114" s="247">
        <v>2</v>
      </c>
      <c r="O114" s="25"/>
      <c r="P114" s="25"/>
      <c r="Q114" s="257"/>
      <c r="R114" s="256"/>
      <c r="S114" s="25"/>
    </row>
    <row r="116" spans="1:19">
      <c r="A116" s="28">
        <f>+A90-0.01</f>
        <v>-3.0799999999999983</v>
      </c>
      <c r="B116" s="25" t="s">
        <v>70</v>
      </c>
      <c r="I116" s="67" t="s">
        <v>62</v>
      </c>
      <c r="J116" s="43"/>
      <c r="K116" s="43"/>
      <c r="L116" s="43"/>
      <c r="M116" s="43"/>
      <c r="N116" s="44">
        <v>1</v>
      </c>
      <c r="P116" s="74" t="s">
        <v>147</v>
      </c>
      <c r="Q116" s="76"/>
      <c r="R116" s="71"/>
      <c r="S116" s="25"/>
    </row>
    <row r="117" spans="1:19">
      <c r="B117" s="29" t="s">
        <v>276</v>
      </c>
      <c r="I117" s="65" t="s">
        <v>244</v>
      </c>
      <c r="J117" s="46"/>
      <c r="K117" s="46"/>
      <c r="L117" s="46"/>
      <c r="M117" s="46"/>
      <c r="N117" s="47">
        <v>2</v>
      </c>
      <c r="P117" s="74"/>
      <c r="Q117" s="77"/>
      <c r="R117" s="51"/>
      <c r="S117" s="25"/>
    </row>
    <row r="118" spans="1:19">
      <c r="I118" s="65" t="s">
        <v>71</v>
      </c>
      <c r="J118" s="46"/>
      <c r="K118" s="46"/>
      <c r="L118" s="46"/>
      <c r="M118" s="46"/>
      <c r="N118" s="47">
        <v>3</v>
      </c>
      <c r="P118" s="74"/>
      <c r="Q118" s="27"/>
      <c r="R118" s="27"/>
      <c r="S118" s="25"/>
    </row>
    <row r="119" spans="1:19">
      <c r="I119" s="65" t="s">
        <v>72</v>
      </c>
      <c r="J119" s="46"/>
      <c r="K119" s="46"/>
      <c r="L119" s="46"/>
      <c r="M119" s="46"/>
      <c r="N119" s="47">
        <v>4</v>
      </c>
      <c r="P119" s="74" t="s">
        <v>148</v>
      </c>
      <c r="Q119" s="76"/>
      <c r="R119" s="71"/>
      <c r="S119" s="25"/>
    </row>
    <row r="120" spans="1:19">
      <c r="I120" s="65" t="s">
        <v>245</v>
      </c>
      <c r="J120" s="27"/>
      <c r="K120" s="27"/>
      <c r="L120" s="27"/>
      <c r="M120" s="27"/>
      <c r="N120" s="47">
        <v>5</v>
      </c>
      <c r="P120" s="74"/>
      <c r="Q120" s="77"/>
      <c r="R120" s="51"/>
      <c r="S120" s="25"/>
    </row>
    <row r="121" spans="1:19">
      <c r="I121" s="65" t="s">
        <v>73</v>
      </c>
      <c r="J121" s="27"/>
      <c r="K121" s="27"/>
      <c r="L121" s="27"/>
      <c r="M121" s="27"/>
      <c r="N121" s="47">
        <v>6</v>
      </c>
      <c r="O121" s="25"/>
      <c r="P121" s="74"/>
      <c r="Q121" s="27"/>
      <c r="R121" s="27"/>
      <c r="S121" s="25"/>
    </row>
    <row r="122" spans="1:19">
      <c r="I122" s="65" t="s">
        <v>74</v>
      </c>
      <c r="J122" s="27"/>
      <c r="K122" s="27"/>
      <c r="L122" s="27"/>
      <c r="M122" s="27"/>
      <c r="N122" s="47">
        <v>7</v>
      </c>
      <c r="O122" s="25"/>
      <c r="P122" s="74" t="s">
        <v>149</v>
      </c>
      <c r="Q122" s="76"/>
      <c r="R122" s="71"/>
      <c r="S122" s="25"/>
    </row>
    <row r="123" spans="1:19">
      <c r="I123" s="65" t="s">
        <v>75</v>
      </c>
      <c r="J123" s="27"/>
      <c r="K123" s="27"/>
      <c r="L123" s="27"/>
      <c r="M123" s="27"/>
      <c r="N123" s="47">
        <v>8</v>
      </c>
      <c r="O123" s="25"/>
      <c r="Q123" s="77"/>
      <c r="R123" s="51"/>
      <c r="S123" s="25"/>
    </row>
    <row r="124" spans="1:19">
      <c r="I124" s="65" t="s">
        <v>76</v>
      </c>
      <c r="J124" s="27"/>
      <c r="K124" s="27"/>
      <c r="L124" s="27"/>
      <c r="M124" s="27"/>
      <c r="N124" s="47">
        <v>9</v>
      </c>
      <c r="O124" s="25"/>
      <c r="P124" s="25"/>
      <c r="Q124" s="25"/>
      <c r="R124" s="25"/>
      <c r="S124" s="25"/>
    </row>
    <row r="125" spans="1:19">
      <c r="I125" s="65" t="s">
        <v>77</v>
      </c>
      <c r="J125" s="27"/>
      <c r="K125" s="27"/>
      <c r="L125" s="27"/>
      <c r="M125" s="27"/>
      <c r="N125" s="47">
        <v>10</v>
      </c>
      <c r="O125" s="25"/>
      <c r="P125" s="25"/>
      <c r="Q125" s="25"/>
      <c r="R125" s="25"/>
      <c r="S125" s="25"/>
    </row>
    <row r="126" spans="1:19">
      <c r="D126" s="37"/>
      <c r="E126" s="37"/>
      <c r="F126" s="37"/>
      <c r="G126" s="37"/>
      <c r="H126" s="38" t="s">
        <v>146</v>
      </c>
      <c r="I126" s="68" t="s">
        <v>1</v>
      </c>
      <c r="J126" s="50"/>
      <c r="K126" s="50"/>
      <c r="L126" s="50"/>
      <c r="M126" s="50"/>
      <c r="N126" s="51"/>
      <c r="O126" s="25"/>
      <c r="P126" s="25"/>
      <c r="Q126" s="25"/>
      <c r="R126" s="25"/>
      <c r="S126" s="25"/>
    </row>
    <row r="128" spans="1:19">
      <c r="A128" s="28">
        <f>+A116-0.01</f>
        <v>-3.0899999999999981</v>
      </c>
      <c r="B128" s="29" t="s">
        <v>78</v>
      </c>
      <c r="I128" s="42" t="s">
        <v>79</v>
      </c>
      <c r="J128" s="43"/>
      <c r="K128" s="43"/>
      <c r="L128" s="43"/>
      <c r="M128" s="43"/>
      <c r="N128" s="44"/>
      <c r="O128" s="25"/>
      <c r="P128" s="25"/>
      <c r="Q128" s="76"/>
      <c r="R128" s="71"/>
      <c r="S128" s="25"/>
    </row>
    <row r="129" spans="1:19">
      <c r="B129" s="29" t="s">
        <v>80</v>
      </c>
      <c r="I129" s="45" t="s">
        <v>246</v>
      </c>
      <c r="J129" s="46"/>
      <c r="K129" s="46"/>
      <c r="L129" s="46"/>
      <c r="M129" s="46"/>
      <c r="N129" s="47">
        <v>1</v>
      </c>
      <c r="O129" s="25"/>
      <c r="P129" s="25"/>
      <c r="Q129" s="77"/>
      <c r="R129" s="51"/>
      <c r="S129" s="25"/>
    </row>
    <row r="130" spans="1:19">
      <c r="I130" s="45" t="s">
        <v>81</v>
      </c>
      <c r="J130" s="46"/>
      <c r="K130" s="46"/>
      <c r="L130" s="46"/>
      <c r="M130" s="46"/>
      <c r="N130" s="47">
        <v>2</v>
      </c>
      <c r="O130" s="25"/>
      <c r="P130" s="25"/>
      <c r="Q130" s="25"/>
      <c r="R130" s="25"/>
      <c r="S130" s="25"/>
    </row>
    <row r="131" spans="1:19">
      <c r="I131" s="48" t="s">
        <v>82</v>
      </c>
      <c r="J131" s="46"/>
      <c r="K131" s="46"/>
      <c r="L131" s="46"/>
      <c r="M131" s="46"/>
      <c r="N131" s="47"/>
      <c r="O131" s="25"/>
      <c r="P131" s="25"/>
      <c r="Q131" s="25"/>
      <c r="R131" s="25"/>
      <c r="S131" s="25"/>
    </row>
    <row r="132" spans="1:19">
      <c r="I132" s="45" t="s">
        <v>83</v>
      </c>
      <c r="J132" s="27"/>
      <c r="K132" s="27"/>
      <c r="L132" s="27"/>
      <c r="M132" s="27"/>
      <c r="N132" s="47">
        <v>3</v>
      </c>
      <c r="O132" s="25"/>
      <c r="P132" s="25"/>
      <c r="Q132" s="25"/>
      <c r="R132" s="25"/>
      <c r="S132" s="25"/>
    </row>
    <row r="133" spans="1:19">
      <c r="I133" s="45" t="s">
        <v>84</v>
      </c>
      <c r="J133" s="27"/>
      <c r="K133" s="27"/>
      <c r="L133" s="27"/>
      <c r="M133" s="27"/>
      <c r="N133" s="47">
        <v>4</v>
      </c>
      <c r="O133" s="25"/>
      <c r="P133" s="25"/>
      <c r="Q133" s="25"/>
      <c r="R133" s="25"/>
      <c r="S133" s="25"/>
    </row>
    <row r="134" spans="1:19">
      <c r="I134" s="45" t="s">
        <v>85</v>
      </c>
      <c r="J134" s="27"/>
      <c r="K134" s="27"/>
      <c r="L134" s="27"/>
      <c r="M134" s="27"/>
      <c r="N134" s="47">
        <v>5</v>
      </c>
      <c r="O134" s="25"/>
      <c r="P134" s="25"/>
      <c r="Q134" s="25"/>
      <c r="R134" s="25"/>
      <c r="S134" s="25"/>
    </row>
    <row r="135" spans="1:19">
      <c r="I135" s="45" t="s">
        <v>86</v>
      </c>
      <c r="J135" s="27"/>
      <c r="K135" s="27"/>
      <c r="L135" s="27"/>
      <c r="M135" s="27"/>
      <c r="N135" s="47">
        <v>6</v>
      </c>
      <c r="O135" s="25"/>
      <c r="P135" s="25"/>
      <c r="Q135" s="25"/>
      <c r="R135" s="25"/>
      <c r="S135" s="25"/>
    </row>
    <row r="136" spans="1:19">
      <c r="I136" s="69" t="s">
        <v>87</v>
      </c>
      <c r="J136" s="27"/>
      <c r="K136" s="27"/>
      <c r="L136" s="27"/>
      <c r="M136" s="27"/>
      <c r="N136" s="61"/>
      <c r="O136" s="25"/>
      <c r="P136" s="25"/>
      <c r="Q136" s="25"/>
      <c r="R136" s="25"/>
      <c r="S136" s="25"/>
    </row>
    <row r="137" spans="1:19">
      <c r="I137" s="45" t="s">
        <v>88</v>
      </c>
      <c r="J137" s="27"/>
      <c r="K137" s="27"/>
      <c r="L137" s="27"/>
      <c r="M137" s="27"/>
      <c r="N137" s="47">
        <v>7</v>
      </c>
      <c r="O137" s="25"/>
      <c r="P137" s="25"/>
      <c r="Q137" s="25"/>
      <c r="R137" s="25"/>
      <c r="S137" s="25"/>
    </row>
    <row r="138" spans="1:19">
      <c r="I138" s="45" t="s">
        <v>89</v>
      </c>
      <c r="J138" s="27"/>
      <c r="K138" s="27"/>
      <c r="L138" s="27"/>
      <c r="M138" s="27"/>
      <c r="N138" s="47">
        <v>8</v>
      </c>
      <c r="O138" s="25"/>
      <c r="P138" s="25"/>
      <c r="Q138" s="25"/>
      <c r="R138" s="25"/>
      <c r="S138" s="25"/>
    </row>
    <row r="139" spans="1:19">
      <c r="I139" s="45" t="s">
        <v>90</v>
      </c>
      <c r="J139" s="27"/>
      <c r="K139" s="27"/>
      <c r="L139" s="27"/>
      <c r="M139" s="27"/>
      <c r="N139" s="47">
        <v>9</v>
      </c>
      <c r="O139" s="25"/>
      <c r="P139" s="25"/>
      <c r="Q139" s="25"/>
      <c r="R139" s="25"/>
      <c r="S139" s="25"/>
    </row>
    <row r="140" spans="1:19">
      <c r="I140" s="45" t="s">
        <v>91</v>
      </c>
      <c r="J140" s="27"/>
      <c r="K140" s="27"/>
      <c r="L140" s="27"/>
      <c r="M140" s="27"/>
      <c r="N140" s="47">
        <v>10</v>
      </c>
      <c r="O140" s="25"/>
      <c r="P140" s="25"/>
      <c r="Q140" s="25"/>
      <c r="R140" s="25"/>
      <c r="S140" s="25"/>
    </row>
    <row r="141" spans="1:19">
      <c r="I141" s="45" t="s">
        <v>92</v>
      </c>
      <c r="J141" s="27"/>
      <c r="K141" s="27"/>
      <c r="L141" s="27"/>
      <c r="M141" s="27"/>
      <c r="N141" s="47">
        <v>11</v>
      </c>
      <c r="O141" s="25"/>
      <c r="P141" s="25"/>
      <c r="Q141" s="25"/>
      <c r="R141" s="25"/>
      <c r="S141" s="25"/>
    </row>
    <row r="142" spans="1:19">
      <c r="D142" s="37"/>
      <c r="E142" s="37"/>
      <c r="F142" s="37"/>
      <c r="G142" s="37"/>
      <c r="H142" s="38" t="s">
        <v>146</v>
      </c>
      <c r="I142" s="49" t="s">
        <v>1</v>
      </c>
      <c r="J142" s="50"/>
      <c r="K142" s="50"/>
      <c r="L142" s="50"/>
      <c r="M142" s="50"/>
      <c r="N142" s="51"/>
      <c r="O142" s="25"/>
      <c r="P142" s="25"/>
      <c r="Q142" s="25"/>
      <c r="R142" s="25"/>
      <c r="S142" s="25"/>
    </row>
    <row r="144" spans="1:19">
      <c r="A144" s="28">
        <f>+A128-0.01</f>
        <v>-3.0999999999999979</v>
      </c>
      <c r="B144" s="29" t="s">
        <v>93</v>
      </c>
      <c r="I144" s="42" t="s">
        <v>94</v>
      </c>
      <c r="J144" s="70"/>
      <c r="K144" s="70"/>
      <c r="L144" s="70"/>
      <c r="M144" s="70"/>
      <c r="N144" s="71"/>
      <c r="O144" s="25"/>
      <c r="P144" s="25"/>
      <c r="Q144" s="76"/>
      <c r="R144" s="71"/>
      <c r="S144" s="25"/>
    </row>
    <row r="145" spans="1:19">
      <c r="B145" s="29" t="s">
        <v>95</v>
      </c>
      <c r="I145" s="45" t="s">
        <v>96</v>
      </c>
      <c r="J145" s="46"/>
      <c r="K145" s="46"/>
      <c r="L145" s="46"/>
      <c r="M145" s="46"/>
      <c r="N145" s="47">
        <v>1</v>
      </c>
      <c r="O145" s="25"/>
      <c r="P145" s="25"/>
      <c r="Q145" s="77"/>
      <c r="R145" s="51"/>
      <c r="S145" s="25"/>
    </row>
    <row r="146" spans="1:19">
      <c r="I146" s="45" t="s">
        <v>97</v>
      </c>
      <c r="J146" s="46"/>
      <c r="K146" s="46"/>
      <c r="L146" s="46"/>
      <c r="M146" s="46"/>
      <c r="N146" s="47">
        <v>2</v>
      </c>
      <c r="O146" s="25"/>
      <c r="P146" s="25"/>
      <c r="Q146" s="25"/>
      <c r="R146" s="25"/>
      <c r="S146" s="25"/>
    </row>
    <row r="147" spans="1:19">
      <c r="I147" s="45" t="s">
        <v>99</v>
      </c>
      <c r="J147" s="46"/>
      <c r="K147" s="46"/>
      <c r="L147" s="46"/>
      <c r="M147" s="46"/>
      <c r="N147" s="47">
        <v>3</v>
      </c>
      <c r="O147" s="25"/>
      <c r="P147" s="25"/>
      <c r="Q147" s="25"/>
      <c r="R147" s="25"/>
      <c r="S147" s="25"/>
    </row>
    <row r="148" spans="1:19">
      <c r="I148" s="69" t="s">
        <v>100</v>
      </c>
      <c r="J148" s="46"/>
      <c r="K148" s="46"/>
      <c r="L148" s="46"/>
      <c r="M148" s="46"/>
      <c r="N148" s="47"/>
      <c r="O148" s="25"/>
      <c r="P148" s="25"/>
      <c r="Q148" s="25"/>
      <c r="R148" s="25"/>
      <c r="S148" s="25"/>
    </row>
    <row r="149" spans="1:19">
      <c r="I149" s="45" t="s">
        <v>247</v>
      </c>
      <c r="J149" s="46"/>
      <c r="K149" s="46"/>
      <c r="L149" s="46"/>
      <c r="M149" s="46"/>
      <c r="N149" s="47">
        <v>4</v>
      </c>
      <c r="O149" s="25"/>
      <c r="P149" s="25"/>
      <c r="Q149" s="25"/>
      <c r="R149" s="25"/>
      <c r="S149" s="25"/>
    </row>
    <row r="150" spans="1:19">
      <c r="I150" s="45" t="s">
        <v>74</v>
      </c>
      <c r="J150" s="46"/>
      <c r="K150" s="46"/>
      <c r="L150" s="46"/>
      <c r="M150" s="46"/>
      <c r="N150" s="47">
        <v>5</v>
      </c>
      <c r="O150" s="25"/>
      <c r="P150" s="25"/>
      <c r="Q150" s="25"/>
      <c r="R150" s="25"/>
      <c r="S150" s="25"/>
    </row>
    <row r="151" spans="1:19">
      <c r="I151" s="45" t="s">
        <v>252</v>
      </c>
      <c r="J151" s="46"/>
      <c r="K151" s="46"/>
      <c r="L151" s="46"/>
      <c r="M151" s="46"/>
      <c r="N151" s="47">
        <v>6</v>
      </c>
      <c r="O151" s="25"/>
      <c r="P151" s="25"/>
      <c r="Q151" s="25"/>
      <c r="R151" s="25"/>
      <c r="S151" s="25"/>
    </row>
    <row r="152" spans="1:19">
      <c r="I152" s="45" t="s">
        <v>101</v>
      </c>
      <c r="J152" s="46"/>
      <c r="K152" s="46"/>
      <c r="L152" s="46"/>
      <c r="M152" s="46"/>
      <c r="N152" s="47">
        <v>7</v>
      </c>
      <c r="O152" s="25"/>
      <c r="P152" s="25"/>
      <c r="Q152" s="25"/>
      <c r="R152" s="25"/>
      <c r="S152" s="25"/>
    </row>
    <row r="153" spans="1:19">
      <c r="I153" s="45" t="s">
        <v>102</v>
      </c>
      <c r="J153" s="46"/>
      <c r="K153" s="46"/>
      <c r="L153" s="46"/>
      <c r="M153" s="46"/>
      <c r="N153" s="47">
        <v>8</v>
      </c>
      <c r="O153" s="25"/>
      <c r="P153" s="25"/>
      <c r="Q153" s="25"/>
      <c r="R153" s="25"/>
      <c r="S153" s="25"/>
    </row>
    <row r="154" spans="1:19">
      <c r="I154" s="45" t="s">
        <v>103</v>
      </c>
      <c r="J154" s="46"/>
      <c r="K154" s="46"/>
      <c r="L154" s="46"/>
      <c r="M154" s="46"/>
      <c r="N154" s="47">
        <v>9</v>
      </c>
      <c r="O154" s="25"/>
      <c r="P154" s="25"/>
      <c r="Q154" s="25"/>
      <c r="R154" s="25"/>
      <c r="S154" s="25"/>
    </row>
    <row r="155" spans="1:19">
      <c r="I155" s="45" t="s">
        <v>253</v>
      </c>
      <c r="J155" s="46"/>
      <c r="K155" s="46"/>
      <c r="L155" s="46"/>
      <c r="M155" s="46"/>
      <c r="N155" s="47">
        <v>10</v>
      </c>
      <c r="O155" s="25"/>
      <c r="P155" s="25"/>
      <c r="Q155" s="25"/>
      <c r="R155" s="25"/>
      <c r="S155" s="25"/>
    </row>
    <row r="156" spans="1:19">
      <c r="D156" s="37"/>
      <c r="E156" s="37"/>
      <c r="F156" s="37"/>
      <c r="G156" s="37"/>
      <c r="H156" s="38" t="s">
        <v>146</v>
      </c>
      <c r="I156" s="53" t="s">
        <v>1</v>
      </c>
      <c r="J156" s="72"/>
      <c r="K156" s="72"/>
      <c r="L156" s="72"/>
      <c r="M156" s="72"/>
      <c r="N156" s="54"/>
      <c r="O156" s="25"/>
      <c r="P156" s="25"/>
      <c r="Q156" s="25"/>
      <c r="R156" s="25"/>
      <c r="S156" s="25"/>
    </row>
    <row r="157" spans="1:19">
      <c r="I157" s="73"/>
      <c r="J157" s="74"/>
      <c r="K157" s="74"/>
      <c r="L157" s="74"/>
      <c r="M157" s="74"/>
      <c r="N157" s="74"/>
      <c r="O157" s="25"/>
      <c r="P157" s="25"/>
      <c r="Q157" s="25"/>
      <c r="R157" s="25"/>
      <c r="S157" s="25"/>
    </row>
    <row r="158" spans="1:19">
      <c r="A158" s="28">
        <f>+A144-0.01</f>
        <v>-3.1099999999999977</v>
      </c>
      <c r="B158" s="29" t="s">
        <v>104</v>
      </c>
      <c r="I158" s="42" t="s">
        <v>105</v>
      </c>
      <c r="J158" s="70"/>
      <c r="K158" s="70"/>
      <c r="L158" s="70"/>
      <c r="M158" s="70"/>
      <c r="N158" s="71"/>
      <c r="O158" s="25"/>
      <c r="P158" s="25"/>
      <c r="Q158" s="76"/>
      <c r="R158" s="71"/>
      <c r="S158" s="25"/>
    </row>
    <row r="159" spans="1:19">
      <c r="B159" s="29" t="s">
        <v>95</v>
      </c>
      <c r="I159" s="45" t="s">
        <v>106</v>
      </c>
      <c r="J159" s="46"/>
      <c r="K159" s="46"/>
      <c r="L159" s="46"/>
      <c r="M159" s="46"/>
      <c r="N159" s="47">
        <v>1</v>
      </c>
      <c r="O159" s="25"/>
      <c r="P159" s="25"/>
      <c r="Q159" s="77"/>
      <c r="R159" s="51"/>
      <c r="S159" s="25"/>
    </row>
    <row r="160" spans="1:19">
      <c r="I160" s="45" t="s">
        <v>107</v>
      </c>
      <c r="J160" s="46"/>
      <c r="K160" s="46"/>
      <c r="L160" s="46"/>
      <c r="M160" s="46"/>
      <c r="N160" s="47">
        <v>2</v>
      </c>
      <c r="O160" s="25"/>
      <c r="P160" s="25"/>
      <c r="Q160" s="25"/>
      <c r="R160" s="25"/>
      <c r="S160" s="25"/>
    </row>
    <row r="161" spans="1:19">
      <c r="I161" s="45" t="s">
        <v>98</v>
      </c>
      <c r="J161" s="46"/>
      <c r="K161" s="46"/>
      <c r="L161" s="46"/>
      <c r="M161" s="46"/>
      <c r="N161" s="47">
        <v>3</v>
      </c>
      <c r="O161" s="25"/>
      <c r="P161" s="25"/>
      <c r="Q161" s="25"/>
      <c r="R161" s="25"/>
      <c r="S161" s="25"/>
    </row>
    <row r="162" spans="1:19">
      <c r="A162" s="25"/>
      <c r="B162" s="25"/>
      <c r="C162" s="25"/>
      <c r="D162" s="25"/>
      <c r="E162" s="25"/>
      <c r="F162" s="25"/>
      <c r="G162" s="25"/>
      <c r="H162" s="25"/>
      <c r="I162" s="45" t="s">
        <v>108</v>
      </c>
      <c r="J162" s="46"/>
      <c r="K162" s="46"/>
      <c r="L162" s="46"/>
      <c r="M162" s="46"/>
      <c r="N162" s="47">
        <v>4</v>
      </c>
      <c r="O162" s="25"/>
      <c r="P162" s="25"/>
      <c r="Q162" s="25"/>
      <c r="R162" s="25"/>
      <c r="S162" s="25"/>
    </row>
    <row r="163" spans="1:19">
      <c r="A163" s="25"/>
      <c r="B163" s="25"/>
      <c r="C163" s="25"/>
      <c r="D163" s="25"/>
      <c r="E163" s="25"/>
      <c r="F163" s="25"/>
      <c r="G163" s="25"/>
      <c r="H163" s="25"/>
      <c r="I163" s="45" t="s">
        <v>109</v>
      </c>
      <c r="J163" s="46"/>
      <c r="K163" s="46"/>
      <c r="L163" s="46"/>
      <c r="M163" s="46"/>
      <c r="N163" s="47">
        <v>5</v>
      </c>
      <c r="O163" s="25"/>
      <c r="P163" s="25"/>
      <c r="Q163" s="25"/>
      <c r="R163" s="25"/>
      <c r="S163" s="25"/>
    </row>
    <row r="164" spans="1:19">
      <c r="A164" s="25"/>
      <c r="B164" s="25"/>
      <c r="C164" s="25"/>
      <c r="D164" s="25"/>
      <c r="E164" s="25"/>
      <c r="F164" s="25"/>
      <c r="G164" s="25"/>
      <c r="H164" s="25"/>
      <c r="I164" s="45" t="s">
        <v>110</v>
      </c>
      <c r="J164" s="46"/>
      <c r="K164" s="46"/>
      <c r="L164" s="46"/>
      <c r="M164" s="46"/>
      <c r="N164" s="47">
        <v>6</v>
      </c>
      <c r="O164" s="25"/>
      <c r="P164" s="25"/>
      <c r="Q164" s="25"/>
      <c r="R164" s="25"/>
      <c r="S164" s="25"/>
    </row>
    <row r="165" spans="1:19">
      <c r="A165" s="25"/>
      <c r="B165" s="25"/>
      <c r="C165" s="25"/>
      <c r="D165" s="25"/>
      <c r="E165" s="25"/>
      <c r="F165" s="25"/>
      <c r="G165" s="25"/>
      <c r="H165" s="25"/>
      <c r="I165" s="45" t="s">
        <v>111</v>
      </c>
      <c r="J165" s="46"/>
      <c r="K165" s="46"/>
      <c r="L165" s="46"/>
      <c r="M165" s="46"/>
      <c r="N165" s="47">
        <v>7</v>
      </c>
      <c r="O165" s="25"/>
      <c r="P165" s="25"/>
      <c r="Q165" s="25"/>
      <c r="R165" s="25"/>
      <c r="S165" s="25"/>
    </row>
    <row r="166" spans="1:19">
      <c r="A166" s="25"/>
      <c r="B166" s="25"/>
      <c r="C166" s="25"/>
      <c r="D166" s="25"/>
      <c r="E166" s="25"/>
      <c r="F166" s="25"/>
      <c r="G166" s="25"/>
      <c r="H166" s="25"/>
      <c r="I166" s="45" t="s">
        <v>112</v>
      </c>
      <c r="J166" s="46"/>
      <c r="K166" s="46"/>
      <c r="L166" s="46"/>
      <c r="M166" s="46"/>
      <c r="N166" s="47">
        <v>8</v>
      </c>
      <c r="O166" s="25"/>
      <c r="P166" s="25"/>
      <c r="Q166" s="25"/>
      <c r="R166" s="25"/>
      <c r="S166" s="25"/>
    </row>
    <row r="167" spans="1:19">
      <c r="A167" s="25"/>
      <c r="B167" s="25"/>
      <c r="C167" s="25"/>
      <c r="D167" s="25"/>
      <c r="E167" s="25"/>
      <c r="F167" s="25"/>
      <c r="G167" s="25"/>
      <c r="H167" s="25"/>
      <c r="I167" s="45" t="s">
        <v>113</v>
      </c>
      <c r="J167" s="46"/>
      <c r="K167" s="46"/>
      <c r="L167" s="46"/>
      <c r="M167" s="46"/>
      <c r="N167" s="47">
        <v>9</v>
      </c>
      <c r="O167" s="25"/>
      <c r="P167" s="25"/>
      <c r="Q167" s="25"/>
      <c r="R167" s="25"/>
      <c r="S167" s="25"/>
    </row>
    <row r="168" spans="1:19">
      <c r="A168" s="25"/>
      <c r="B168" s="25"/>
      <c r="C168" s="25"/>
      <c r="D168" s="25"/>
      <c r="E168" s="25"/>
      <c r="F168" s="25"/>
      <c r="G168" s="25"/>
      <c r="H168" s="25"/>
      <c r="I168" s="45" t="s">
        <v>114</v>
      </c>
      <c r="J168" s="46"/>
      <c r="K168" s="46"/>
      <c r="L168" s="46"/>
      <c r="M168" s="46"/>
      <c r="N168" s="47">
        <v>10</v>
      </c>
      <c r="O168" s="25"/>
      <c r="P168" s="25"/>
      <c r="Q168" s="25"/>
      <c r="R168" s="25"/>
      <c r="S168" s="25"/>
    </row>
    <row r="169" spans="1:19">
      <c r="A169" s="25"/>
      <c r="B169" s="25"/>
      <c r="C169" s="25"/>
      <c r="D169" s="25"/>
      <c r="E169" s="25"/>
      <c r="F169" s="25"/>
      <c r="G169" s="25"/>
      <c r="H169" s="25"/>
      <c r="I169" s="69" t="s">
        <v>115</v>
      </c>
      <c r="J169" s="46"/>
      <c r="K169" s="46"/>
      <c r="L169" s="46"/>
      <c r="M169" s="46"/>
      <c r="N169" s="47"/>
      <c r="O169" s="25"/>
      <c r="P169" s="25"/>
      <c r="Q169" s="25"/>
      <c r="R169" s="25"/>
      <c r="S169" s="25"/>
    </row>
    <row r="170" spans="1:19">
      <c r="A170" s="25"/>
      <c r="B170" s="25"/>
      <c r="C170" s="25"/>
      <c r="D170" s="25"/>
      <c r="E170" s="25"/>
      <c r="F170" s="25"/>
      <c r="G170" s="25"/>
      <c r="H170" s="25"/>
      <c r="I170" s="45" t="s">
        <v>116</v>
      </c>
      <c r="J170" s="46"/>
      <c r="K170" s="46"/>
      <c r="L170" s="46"/>
      <c r="M170" s="46"/>
      <c r="N170" s="47">
        <v>11</v>
      </c>
      <c r="O170" s="25"/>
      <c r="P170" s="25"/>
      <c r="Q170" s="25"/>
      <c r="R170" s="25"/>
      <c r="S170" s="25"/>
    </row>
    <row r="171" spans="1:19">
      <c r="A171" s="25"/>
      <c r="B171" s="25"/>
      <c r="C171" s="25"/>
      <c r="D171" s="25"/>
      <c r="E171" s="25"/>
      <c r="F171" s="25"/>
      <c r="G171" s="25"/>
      <c r="H171" s="25"/>
      <c r="I171" s="45" t="s">
        <v>117</v>
      </c>
      <c r="J171" s="46"/>
      <c r="K171" s="46"/>
      <c r="L171" s="46"/>
      <c r="M171" s="46"/>
      <c r="N171" s="47">
        <v>12</v>
      </c>
      <c r="O171" s="25"/>
      <c r="P171" s="25"/>
      <c r="Q171" s="25"/>
      <c r="R171" s="25"/>
      <c r="S171" s="25"/>
    </row>
    <row r="172" spans="1:19">
      <c r="A172" s="25"/>
      <c r="B172" s="25"/>
      <c r="C172" s="25"/>
      <c r="D172" s="25"/>
      <c r="E172" s="25"/>
      <c r="F172" s="25"/>
      <c r="G172" s="25"/>
      <c r="H172" s="25"/>
      <c r="I172" s="45" t="s">
        <v>118</v>
      </c>
      <c r="J172" s="46"/>
      <c r="K172" s="46"/>
      <c r="L172" s="46"/>
      <c r="M172" s="46"/>
      <c r="N172" s="47">
        <v>13</v>
      </c>
      <c r="O172" s="25"/>
      <c r="P172" s="25"/>
      <c r="Q172" s="25"/>
      <c r="R172" s="25"/>
      <c r="S172" s="25"/>
    </row>
    <row r="173" spans="1:19">
      <c r="A173" s="25"/>
      <c r="B173" s="25"/>
      <c r="C173" s="25"/>
      <c r="D173" s="25"/>
      <c r="E173" s="25"/>
      <c r="F173" s="25"/>
      <c r="G173" s="25"/>
      <c r="H173" s="25"/>
      <c r="I173" s="45" t="s">
        <v>119</v>
      </c>
      <c r="J173" s="46"/>
      <c r="K173" s="46"/>
      <c r="L173" s="46"/>
      <c r="M173" s="46"/>
      <c r="N173" s="47">
        <v>14</v>
      </c>
      <c r="O173" s="25"/>
      <c r="P173" s="25"/>
      <c r="Q173" s="25"/>
      <c r="R173" s="25"/>
      <c r="S173" s="25"/>
    </row>
    <row r="174" spans="1:19">
      <c r="A174" s="25"/>
      <c r="B174" s="25"/>
      <c r="C174" s="25"/>
      <c r="D174" s="25"/>
      <c r="E174" s="25"/>
      <c r="F174" s="25"/>
      <c r="G174" s="25"/>
      <c r="H174" s="25"/>
      <c r="I174" s="45" t="s">
        <v>120</v>
      </c>
      <c r="J174" s="27"/>
      <c r="K174" s="27"/>
      <c r="L174" s="27"/>
      <c r="M174" s="27"/>
      <c r="N174" s="61"/>
      <c r="O174" s="25"/>
      <c r="P174" s="25"/>
      <c r="Q174" s="25"/>
      <c r="R174" s="25"/>
      <c r="S174" s="25"/>
    </row>
    <row r="175" spans="1:19">
      <c r="A175" s="25"/>
      <c r="B175" s="25"/>
      <c r="C175" s="25"/>
      <c r="D175" s="25"/>
      <c r="E175" s="25"/>
      <c r="F175" s="25"/>
      <c r="G175" s="25"/>
      <c r="H175" s="25"/>
      <c r="I175" s="45" t="s">
        <v>121</v>
      </c>
      <c r="J175" s="27"/>
      <c r="K175" s="27"/>
      <c r="L175" s="27"/>
      <c r="M175" s="27"/>
      <c r="N175" s="271">
        <v>15</v>
      </c>
      <c r="O175" s="25"/>
      <c r="P175" s="25"/>
      <c r="Q175" s="25"/>
      <c r="R175" s="25"/>
      <c r="S175" s="25"/>
    </row>
    <row r="176" spans="1:19">
      <c r="A176" s="25"/>
      <c r="B176" s="25"/>
      <c r="C176" s="25"/>
      <c r="D176" s="25"/>
      <c r="E176" s="25"/>
      <c r="F176" s="25"/>
      <c r="G176" s="25"/>
      <c r="H176" s="25"/>
      <c r="I176" s="53" t="s">
        <v>1</v>
      </c>
      <c r="J176" s="50"/>
      <c r="K176" s="50"/>
      <c r="L176" s="50"/>
      <c r="M176" s="50"/>
      <c r="N176" s="51"/>
      <c r="O176" s="25"/>
      <c r="P176" s="25"/>
      <c r="Q176" s="25"/>
      <c r="R176" s="25"/>
      <c r="S176" s="25"/>
    </row>
    <row r="177" spans="1:19">
      <c r="I177" s="52"/>
      <c r="Q177" s="27"/>
      <c r="R177" s="27"/>
      <c r="S177" s="25"/>
    </row>
    <row r="178" spans="1:19">
      <c r="I178" s="52"/>
      <c r="M178" s="246" t="s">
        <v>60</v>
      </c>
      <c r="N178" s="247" t="s">
        <v>61</v>
      </c>
      <c r="Q178" s="27"/>
      <c r="R178" s="27"/>
      <c r="S178" s="25"/>
    </row>
    <row r="179" spans="1:19">
      <c r="A179" s="28">
        <f>+A158-0.01</f>
        <v>-3.1199999999999974</v>
      </c>
      <c r="B179" s="29" t="s">
        <v>122</v>
      </c>
      <c r="H179" s="258" t="s">
        <v>123</v>
      </c>
      <c r="I179" s="70"/>
      <c r="J179" s="70"/>
      <c r="K179" s="70"/>
      <c r="L179" s="70"/>
      <c r="M179" s="248">
        <v>1</v>
      </c>
      <c r="N179" s="249">
        <v>2</v>
      </c>
      <c r="Q179" s="259"/>
      <c r="R179" s="64"/>
      <c r="S179" s="25"/>
    </row>
    <row r="180" spans="1:19">
      <c r="H180" s="60" t="s">
        <v>124</v>
      </c>
      <c r="I180" s="27"/>
      <c r="J180" s="27"/>
      <c r="K180" s="27"/>
      <c r="L180" s="27"/>
      <c r="M180" s="250">
        <v>1</v>
      </c>
      <c r="N180" s="249">
        <v>2</v>
      </c>
      <c r="Q180" s="77"/>
      <c r="R180" s="51"/>
      <c r="S180" s="25"/>
    </row>
    <row r="181" spans="1:19">
      <c r="H181" s="60" t="s">
        <v>125</v>
      </c>
      <c r="I181" s="27"/>
      <c r="J181" s="27"/>
      <c r="K181" s="27"/>
      <c r="L181" s="27"/>
      <c r="M181" s="56">
        <v>1</v>
      </c>
      <c r="N181" s="249">
        <v>2</v>
      </c>
      <c r="Q181" s="259"/>
      <c r="R181" s="64"/>
      <c r="S181" s="25"/>
    </row>
    <row r="182" spans="1:19">
      <c r="H182" s="60" t="s">
        <v>254</v>
      </c>
      <c r="I182" s="27"/>
      <c r="J182" s="27"/>
      <c r="K182" s="27"/>
      <c r="L182" s="61"/>
      <c r="M182" s="248">
        <v>1</v>
      </c>
      <c r="N182" s="249">
        <v>2</v>
      </c>
      <c r="Q182" s="259"/>
      <c r="R182" s="64"/>
      <c r="S182" s="25"/>
    </row>
    <row r="183" spans="1:19">
      <c r="H183" s="59" t="s">
        <v>240</v>
      </c>
      <c r="I183" s="50"/>
      <c r="J183" s="50"/>
      <c r="K183" s="50"/>
      <c r="L183" s="50"/>
      <c r="M183" s="248">
        <v>1</v>
      </c>
      <c r="N183" s="249">
        <v>2</v>
      </c>
      <c r="Q183" s="259"/>
      <c r="R183" s="64"/>
      <c r="S183" s="25"/>
    </row>
    <row r="184" spans="1:19">
      <c r="I184" s="52"/>
      <c r="S184" s="25"/>
    </row>
    <row r="185" spans="1:19">
      <c r="A185" s="28">
        <f>+A179-0.01</f>
        <v>-3.1299999999999972</v>
      </c>
      <c r="B185" s="75" t="s">
        <v>255</v>
      </c>
      <c r="I185" s="52"/>
      <c r="Q185" s="76"/>
      <c r="R185" s="71"/>
      <c r="S185" s="25"/>
    </row>
    <row r="186" spans="1:19">
      <c r="I186" s="52"/>
      <c r="Q186" s="77"/>
      <c r="R186" s="51"/>
      <c r="S186" s="25"/>
    </row>
    <row r="188" spans="1:19">
      <c r="A188" s="28">
        <f>+A185-0.01</f>
        <v>-3.139999999999997</v>
      </c>
      <c r="B188" s="75" t="s">
        <v>126</v>
      </c>
      <c r="I188" s="52"/>
      <c r="Q188" s="76"/>
      <c r="R188" s="71"/>
      <c r="S188" s="25"/>
    </row>
    <row r="189" spans="1:19">
      <c r="I189" s="52"/>
      <c r="Q189" s="77"/>
      <c r="R189" s="51"/>
      <c r="S189" s="25"/>
    </row>
    <row r="191" spans="1:19">
      <c r="A191" s="28">
        <f>+A188-0.01</f>
        <v>-3.1499999999999968</v>
      </c>
      <c r="B191" s="75" t="s">
        <v>127</v>
      </c>
      <c r="I191" s="30" t="s">
        <v>139</v>
      </c>
      <c r="J191" s="31"/>
      <c r="K191" s="31"/>
      <c r="L191" s="31"/>
      <c r="M191" s="31"/>
      <c r="N191" s="78">
        <v>1</v>
      </c>
      <c r="Q191" s="76"/>
      <c r="R191" s="71"/>
      <c r="S191" s="25"/>
    </row>
    <row r="192" spans="1:19">
      <c r="I192" s="39" t="s">
        <v>140</v>
      </c>
      <c r="J192" s="40"/>
      <c r="K192" s="40"/>
      <c r="L192" s="40"/>
      <c r="M192" s="40"/>
      <c r="N192" s="79">
        <v>2</v>
      </c>
      <c r="Q192" s="77"/>
      <c r="R192" s="51"/>
      <c r="S192" s="25"/>
    </row>
    <row r="194" spans="1:19" ht="12.75" customHeight="1">
      <c r="A194" s="28">
        <f>+A191-0.01</f>
        <v>-3.1599999999999966</v>
      </c>
      <c r="B194" s="75" t="s">
        <v>128</v>
      </c>
      <c r="I194" s="52"/>
      <c r="K194" s="246" t="s">
        <v>60</v>
      </c>
      <c r="L194" s="247" t="s">
        <v>61</v>
      </c>
      <c r="M194" s="290" t="s">
        <v>267</v>
      </c>
      <c r="N194" s="291"/>
      <c r="Q194" s="289"/>
      <c r="R194" s="289"/>
      <c r="S194" s="25"/>
    </row>
    <row r="195" spans="1:19">
      <c r="H195" s="258" t="s">
        <v>129</v>
      </c>
      <c r="I195" s="70"/>
      <c r="J195" s="70"/>
      <c r="K195" s="248">
        <v>1</v>
      </c>
      <c r="L195" s="249">
        <v>2</v>
      </c>
      <c r="M195" s="248"/>
      <c r="N195" s="249"/>
      <c r="Q195" s="259"/>
      <c r="R195" s="64"/>
      <c r="S195" s="25"/>
    </row>
    <row r="196" spans="1:19">
      <c r="H196" s="60" t="s">
        <v>258</v>
      </c>
      <c r="I196" s="27"/>
      <c r="J196" s="27"/>
      <c r="K196" s="250">
        <v>1</v>
      </c>
      <c r="L196" s="249">
        <v>2</v>
      </c>
      <c r="M196" s="250"/>
      <c r="N196" s="249"/>
      <c r="Q196" s="77"/>
      <c r="R196" s="51"/>
      <c r="S196" s="25"/>
    </row>
    <row r="197" spans="1:19">
      <c r="H197" s="60" t="s">
        <v>259</v>
      </c>
      <c r="I197" s="27"/>
      <c r="J197" s="27"/>
      <c r="K197" s="56">
        <v>1</v>
      </c>
      <c r="L197" s="249">
        <v>2</v>
      </c>
      <c r="M197" s="56"/>
      <c r="N197" s="249"/>
      <c r="Q197" s="259"/>
      <c r="R197" s="64"/>
      <c r="S197" s="25"/>
    </row>
    <row r="198" spans="1:19">
      <c r="H198" s="60" t="s">
        <v>130</v>
      </c>
      <c r="I198" s="27"/>
      <c r="J198" s="27"/>
      <c r="K198" s="248">
        <v>1</v>
      </c>
      <c r="L198" s="249">
        <v>2</v>
      </c>
      <c r="M198" s="248"/>
      <c r="N198" s="249"/>
      <c r="Q198" s="259"/>
      <c r="R198" s="64"/>
      <c r="S198" s="25"/>
    </row>
    <row r="199" spans="1:19">
      <c r="H199" s="59" t="s">
        <v>256</v>
      </c>
      <c r="I199" s="50"/>
      <c r="J199" s="50"/>
      <c r="K199" s="248">
        <v>1</v>
      </c>
      <c r="L199" s="249">
        <v>2</v>
      </c>
      <c r="M199" s="248"/>
      <c r="N199" s="249"/>
      <c r="Q199" s="259"/>
      <c r="R199" s="64"/>
      <c r="S199" s="25"/>
    </row>
    <row r="201" spans="1:19">
      <c r="A201" s="28">
        <f>+A194-0.01</f>
        <v>-3.1699999999999964</v>
      </c>
      <c r="B201" s="75" t="s">
        <v>131</v>
      </c>
      <c r="I201" s="30" t="s">
        <v>139</v>
      </c>
      <c r="J201" s="31"/>
      <c r="K201" s="31"/>
      <c r="L201" s="31"/>
      <c r="M201" s="31"/>
      <c r="N201" s="78">
        <v>1</v>
      </c>
      <c r="Q201" s="76"/>
      <c r="R201" s="71"/>
      <c r="S201" s="25"/>
    </row>
    <row r="202" spans="1:19">
      <c r="I202" s="39" t="s">
        <v>140</v>
      </c>
      <c r="J202" s="40"/>
      <c r="K202" s="40"/>
      <c r="L202" s="40"/>
      <c r="M202" s="40"/>
      <c r="N202" s="79">
        <v>2</v>
      </c>
      <c r="Q202" s="77"/>
      <c r="R202" s="51"/>
      <c r="S202" s="25"/>
    </row>
    <row r="204" spans="1:19">
      <c r="A204" s="28">
        <f>+A201-0.01</f>
        <v>-3.1799999999999962</v>
      </c>
      <c r="B204" s="75" t="s">
        <v>132</v>
      </c>
      <c r="I204" s="67" t="s">
        <v>139</v>
      </c>
      <c r="J204" s="43"/>
      <c r="K204" s="43"/>
      <c r="L204" s="43"/>
      <c r="M204" s="43"/>
      <c r="N204" s="80">
        <v>1</v>
      </c>
      <c r="Q204" s="76"/>
      <c r="R204" s="71"/>
      <c r="S204" s="25"/>
    </row>
    <row r="205" spans="1:19">
      <c r="B205" s="29" t="s">
        <v>133</v>
      </c>
      <c r="I205" s="65" t="s">
        <v>140</v>
      </c>
      <c r="J205" s="46"/>
      <c r="K205" s="46"/>
      <c r="L205" s="46"/>
      <c r="M205" s="46"/>
      <c r="N205" s="81">
        <v>2</v>
      </c>
      <c r="Q205" s="77"/>
      <c r="R205" s="51"/>
      <c r="S205" s="25"/>
    </row>
    <row r="206" spans="1:19">
      <c r="B206" s="29" t="s">
        <v>227</v>
      </c>
      <c r="I206" s="77" t="s">
        <v>2</v>
      </c>
      <c r="J206" s="50"/>
      <c r="K206" s="50"/>
      <c r="L206" s="50"/>
      <c r="M206" s="50"/>
      <c r="N206" s="51">
        <v>98</v>
      </c>
      <c r="S206" s="25"/>
    </row>
    <row r="207" spans="1:19">
      <c r="B207" s="29" t="s">
        <v>228</v>
      </c>
    </row>
    <row r="209" spans="1:19">
      <c r="A209" s="28">
        <f>+A204-0.01</f>
        <v>-3.1899999999999959</v>
      </c>
      <c r="B209" s="75" t="s">
        <v>134</v>
      </c>
      <c r="I209" s="67" t="s">
        <v>139</v>
      </c>
      <c r="J209" s="43"/>
      <c r="K209" s="43"/>
      <c r="L209" s="43"/>
      <c r="M209" s="43"/>
      <c r="N209" s="80">
        <v>1</v>
      </c>
      <c r="Q209" s="76"/>
      <c r="R209" s="71"/>
      <c r="S209" s="25"/>
    </row>
    <row r="210" spans="1:19">
      <c r="I210" s="65" t="s">
        <v>140</v>
      </c>
      <c r="J210" s="46"/>
      <c r="K210" s="46"/>
      <c r="L210" s="46"/>
      <c r="M210" s="46"/>
      <c r="N210" s="81">
        <v>2</v>
      </c>
      <c r="Q210" s="77"/>
      <c r="R210" s="51"/>
      <c r="S210" s="25"/>
    </row>
    <row r="211" spans="1:19">
      <c r="I211" s="77" t="s">
        <v>2</v>
      </c>
      <c r="J211" s="50"/>
      <c r="K211" s="50"/>
      <c r="L211" s="50"/>
      <c r="M211" s="50"/>
      <c r="N211" s="51">
        <v>98</v>
      </c>
      <c r="S211" s="25"/>
    </row>
    <row r="213" spans="1:19">
      <c r="A213" s="28">
        <f>+A209-0.01</f>
        <v>-3.1999999999999957</v>
      </c>
      <c r="B213" s="75" t="s">
        <v>135</v>
      </c>
      <c r="I213" s="30" t="s">
        <v>139</v>
      </c>
      <c r="J213" s="31"/>
      <c r="K213" s="31"/>
      <c r="L213" s="31"/>
      <c r="M213" s="31"/>
      <c r="N213" s="78">
        <v>1</v>
      </c>
      <c r="Q213" s="76"/>
      <c r="R213" s="71"/>
      <c r="S213" s="25"/>
    </row>
    <row r="214" spans="1:19">
      <c r="B214" s="29" t="s">
        <v>136</v>
      </c>
      <c r="I214" s="39" t="s">
        <v>140</v>
      </c>
      <c r="J214" s="40"/>
      <c r="K214" s="40"/>
      <c r="L214" s="40"/>
      <c r="M214" s="40"/>
      <c r="N214" s="79">
        <v>2</v>
      </c>
      <c r="Q214" s="77"/>
      <c r="R214" s="51"/>
      <c r="S214" s="25"/>
    </row>
    <row r="216" spans="1:19">
      <c r="A216" s="28">
        <f>+A213-0.01</f>
        <v>-3.2099999999999955</v>
      </c>
      <c r="B216" s="75" t="s">
        <v>248</v>
      </c>
      <c r="I216" s="30" t="s">
        <v>139</v>
      </c>
      <c r="J216" s="31"/>
      <c r="K216" s="31"/>
      <c r="L216" s="31"/>
      <c r="M216" s="31"/>
      <c r="N216" s="78">
        <v>1</v>
      </c>
      <c r="Q216" s="76"/>
      <c r="R216" s="71"/>
      <c r="S216" s="25"/>
    </row>
    <row r="217" spans="1:19">
      <c r="B217" s="29" t="s">
        <v>249</v>
      </c>
      <c r="I217" s="39" t="s">
        <v>140</v>
      </c>
      <c r="J217" s="40"/>
      <c r="K217" s="40"/>
      <c r="L217" s="40"/>
      <c r="M217" s="40"/>
      <c r="N217" s="79">
        <v>2</v>
      </c>
      <c r="Q217" s="77"/>
      <c r="R217" s="51"/>
      <c r="S217" s="25"/>
    </row>
  </sheetData>
  <mergeCells count="3">
    <mergeCell ref="A1:S1"/>
    <mergeCell ref="Q194:R194"/>
    <mergeCell ref="M194:N194"/>
  </mergeCells>
  <phoneticPr fontId="51" type="noConversion"/>
  <pageMargins left="0.7" right="0.7" top="0.25" bottom="0.2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596"/>
  <sheetViews>
    <sheetView topLeftCell="A34" zoomScale="150" workbookViewId="0">
      <selection activeCell="A2" sqref="A2"/>
    </sheetView>
  </sheetViews>
  <sheetFormatPr baseColWidth="10" defaultColWidth="3.5" defaultRowHeight="10"/>
  <cols>
    <col min="1" max="1" width="4.5" style="6" customWidth="1"/>
    <col min="2" max="2" width="18.83203125" style="6" customWidth="1"/>
    <col min="3" max="3" width="5.5" style="6" customWidth="1"/>
    <col min="4" max="4" width="4.1640625" style="6" customWidth="1"/>
    <col min="5" max="5" width="4.33203125" style="6" customWidth="1"/>
    <col min="6" max="6" width="1.6640625" style="6" customWidth="1"/>
    <col min="7" max="9" width="3.5" style="6" customWidth="1"/>
    <col min="10" max="10" width="4.1640625" style="5" customWidth="1"/>
    <col min="11" max="12" width="3.5" style="6" customWidth="1"/>
    <col min="13" max="14" width="1.6640625" style="6" customWidth="1"/>
    <col min="15" max="17" width="3.5" style="6" customWidth="1"/>
    <col min="18" max="18" width="3.83203125" style="5" customWidth="1"/>
    <col min="19" max="20" width="3.5" style="6" customWidth="1"/>
    <col min="21" max="22" width="1.6640625" style="92" customWidth="1"/>
    <col min="23" max="23" width="3.5" style="6" customWidth="1"/>
    <col min="24" max="24" width="5.1640625" style="6" customWidth="1"/>
    <col min="25" max="25" width="3.5" style="6" customWidth="1"/>
    <col min="26" max="26" width="4" style="5" customWidth="1"/>
    <col min="27" max="28" width="3.5" style="6" customWidth="1"/>
    <col min="29" max="16384" width="3.5" style="92"/>
  </cols>
  <sheetData>
    <row r="1" spans="1:28" s="25" customFormat="1" ht="18">
      <c r="A1" s="288" t="s">
        <v>270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</row>
    <row r="2" spans="1:28" s="82" customFormat="1" ht="18" customHeight="1">
      <c r="A2" s="23" t="s">
        <v>271</v>
      </c>
      <c r="B2" s="23"/>
      <c r="C2" s="23"/>
      <c r="D2" s="23"/>
      <c r="E2" s="23"/>
      <c r="F2" s="23"/>
      <c r="G2" s="23"/>
      <c r="H2" s="23"/>
      <c r="I2" s="23"/>
      <c r="J2" s="14"/>
      <c r="T2" s="274"/>
      <c r="U2" s="277"/>
      <c r="V2" s="278"/>
      <c r="W2" s="279"/>
      <c r="X2" s="274"/>
      <c r="Y2" s="280"/>
      <c r="Z2" s="281"/>
      <c r="AA2" s="282"/>
      <c r="AB2" s="83"/>
    </row>
    <row r="3" spans="1:28" s="89" customFormat="1" ht="12.75" customHeight="1">
      <c r="A3" s="84" t="s">
        <v>250</v>
      </c>
      <c r="B3" s="85"/>
      <c r="C3" s="85"/>
      <c r="D3" s="85"/>
      <c r="E3" s="85"/>
      <c r="F3" s="85"/>
      <c r="G3" s="85"/>
      <c r="H3" s="85"/>
      <c r="I3" s="85"/>
      <c r="J3" s="85"/>
      <c r="K3" s="86"/>
      <c r="L3" s="86"/>
      <c r="M3" s="86"/>
      <c r="N3" s="86"/>
      <c r="O3" s="86"/>
      <c r="P3" s="86"/>
      <c r="Q3" s="86"/>
      <c r="R3" s="85"/>
      <c r="S3" s="87"/>
      <c r="T3" s="274" t="s">
        <v>141</v>
      </c>
      <c r="U3" s="277"/>
      <c r="V3" s="278"/>
      <c r="W3" s="279"/>
      <c r="X3" s="274"/>
      <c r="Y3" s="283"/>
      <c r="Z3" s="284"/>
      <c r="AA3" s="285"/>
      <c r="AB3" s="88"/>
    </row>
    <row r="4" spans="1:28" ht="12.75" customHeight="1">
      <c r="A4" s="85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7"/>
      <c r="U4" s="91"/>
      <c r="V4" s="91"/>
      <c r="W4" s="7"/>
      <c r="X4" s="7"/>
      <c r="Y4" s="7"/>
      <c r="Z4" s="7"/>
      <c r="AA4" s="7"/>
      <c r="AB4" s="7"/>
    </row>
    <row r="5" spans="1:28" s="95" customFormat="1" ht="12.75" customHeight="1">
      <c r="A5" s="97">
        <f>'3 SES (i)'!A216-0.01</f>
        <v>-3.2199999999999953</v>
      </c>
      <c r="B5" s="318" t="s">
        <v>251</v>
      </c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93"/>
      <c r="V5" s="93"/>
      <c r="W5" s="94"/>
      <c r="X5" s="94"/>
      <c r="AB5" s="96"/>
    </row>
    <row r="6" spans="1:28" s="95" customFormat="1" ht="12.75" customHeight="1">
      <c r="A6" s="97"/>
      <c r="B6" s="98" t="s">
        <v>139</v>
      </c>
      <c r="C6" s="99">
        <v>1</v>
      </c>
      <c r="D6" s="100"/>
      <c r="E6" s="100"/>
      <c r="F6" s="100"/>
      <c r="G6" s="100"/>
      <c r="H6" s="101"/>
      <c r="I6" s="102"/>
      <c r="J6" s="103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93"/>
      <c r="V6" s="93"/>
      <c r="W6" s="94"/>
      <c r="X6" s="94"/>
      <c r="AB6" s="96"/>
    </row>
    <row r="7" spans="1:28" ht="14.25" customHeight="1">
      <c r="A7" s="97"/>
      <c r="B7" s="104" t="s">
        <v>140</v>
      </c>
      <c r="C7" s="105">
        <v>2</v>
      </c>
      <c r="D7" s="106" t="s">
        <v>138</v>
      </c>
      <c r="E7" s="107">
        <v>3.26</v>
      </c>
      <c r="F7" s="97"/>
      <c r="G7" s="97"/>
      <c r="H7" s="108"/>
      <c r="I7" s="109"/>
      <c r="J7" s="110"/>
      <c r="K7" s="94"/>
      <c r="L7" s="94"/>
      <c r="M7" s="94"/>
      <c r="N7" s="94"/>
      <c r="O7" s="94"/>
      <c r="P7" s="94"/>
      <c r="Q7" s="94"/>
      <c r="R7" s="94"/>
      <c r="S7" s="91"/>
      <c r="T7" s="94"/>
      <c r="U7" s="94"/>
      <c r="V7" s="94"/>
      <c r="W7" s="94"/>
      <c r="X7" s="94"/>
      <c r="Y7" s="94"/>
      <c r="Z7" s="94"/>
      <c r="AA7" s="91"/>
      <c r="AB7" s="91"/>
    </row>
    <row r="8" spans="1:28" ht="9.75" customHeight="1">
      <c r="A8" s="97"/>
      <c r="B8" s="107"/>
      <c r="C8" s="111"/>
      <c r="D8" s="106"/>
      <c r="E8" s="107"/>
      <c r="F8" s="97"/>
      <c r="G8" s="97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1"/>
      <c r="T8" s="94"/>
      <c r="U8" s="94"/>
      <c r="V8" s="94"/>
      <c r="W8" s="94"/>
      <c r="X8" s="94"/>
      <c r="Y8" s="94"/>
      <c r="Z8" s="94"/>
      <c r="AA8" s="91"/>
      <c r="AB8" s="91"/>
    </row>
    <row r="9" spans="1:28" ht="18" customHeight="1">
      <c r="A9" s="97">
        <f>A5-0.01</f>
        <v>-3.2299999999999951</v>
      </c>
      <c r="B9" s="318" t="s">
        <v>156</v>
      </c>
      <c r="C9" s="318"/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112"/>
    </row>
    <row r="10" spans="1:28" ht="18" customHeight="1">
      <c r="A10" s="97"/>
      <c r="B10" s="107"/>
      <c r="C10" s="112"/>
      <c r="D10" s="112"/>
      <c r="E10" s="112"/>
      <c r="F10" s="112"/>
      <c r="G10" s="324" t="s">
        <v>157</v>
      </c>
      <c r="H10" s="325"/>
      <c r="I10" s="325"/>
      <c r="J10" s="325"/>
      <c r="K10" s="325"/>
      <c r="L10" s="326"/>
      <c r="M10" s="113"/>
      <c r="N10" s="114"/>
      <c r="O10" s="324" t="s">
        <v>157</v>
      </c>
      <c r="P10" s="325"/>
      <c r="Q10" s="325"/>
      <c r="R10" s="325"/>
      <c r="S10" s="325"/>
      <c r="T10" s="326"/>
      <c r="U10" s="115"/>
      <c r="V10" s="116"/>
      <c r="W10" s="324" t="s">
        <v>157</v>
      </c>
      <c r="X10" s="325"/>
      <c r="Y10" s="325"/>
      <c r="Z10" s="325"/>
      <c r="AA10" s="325"/>
      <c r="AB10" s="326"/>
    </row>
    <row r="11" spans="1:28" s="122" customFormat="1" ht="18" customHeight="1">
      <c r="A11" s="117"/>
      <c r="B11" s="19"/>
      <c r="C11" s="19"/>
      <c r="D11" s="19"/>
      <c r="E11" s="19"/>
      <c r="F11" s="19"/>
      <c r="G11" s="327">
        <v>1</v>
      </c>
      <c r="H11" s="328"/>
      <c r="I11" s="328"/>
      <c r="J11" s="328"/>
      <c r="K11" s="328"/>
      <c r="L11" s="329"/>
      <c r="M11" s="118"/>
      <c r="N11" s="119"/>
      <c r="O11" s="327">
        <v>2</v>
      </c>
      <c r="P11" s="328"/>
      <c r="Q11" s="328"/>
      <c r="R11" s="328"/>
      <c r="S11" s="328"/>
      <c r="T11" s="329"/>
      <c r="U11" s="120"/>
      <c r="V11" s="121"/>
      <c r="W11" s="327">
        <v>3</v>
      </c>
      <c r="X11" s="328"/>
      <c r="Y11" s="328"/>
      <c r="Z11" s="328"/>
      <c r="AA11" s="328"/>
      <c r="AB11" s="329"/>
    </row>
    <row r="12" spans="1:28" s="134" customFormat="1" ht="18" customHeight="1">
      <c r="A12" s="97"/>
      <c r="B12" s="123" t="s">
        <v>158</v>
      </c>
      <c r="C12" s="19"/>
      <c r="D12" s="19"/>
      <c r="E12" s="19"/>
      <c r="F12" s="19"/>
      <c r="G12" s="124"/>
      <c r="H12" s="125"/>
      <c r="I12" s="125"/>
      <c r="J12" s="125"/>
      <c r="K12" s="125"/>
      <c r="L12" s="126"/>
      <c r="M12" s="127"/>
      <c r="N12" s="128"/>
      <c r="O12" s="129"/>
      <c r="P12" s="130"/>
      <c r="Q12" s="130"/>
      <c r="R12" s="130"/>
      <c r="S12" s="130"/>
      <c r="T12" s="131"/>
      <c r="U12" s="132"/>
      <c r="V12" s="133"/>
      <c r="W12" s="129"/>
      <c r="X12" s="130"/>
      <c r="Y12" s="130"/>
      <c r="Z12" s="130"/>
      <c r="AA12" s="130"/>
      <c r="AB12" s="131"/>
    </row>
    <row r="13" spans="1:28" s="134" customFormat="1" ht="18" customHeight="1">
      <c r="A13" s="2"/>
      <c r="B13" s="2"/>
      <c r="C13" s="2"/>
      <c r="D13" s="2"/>
      <c r="E13" s="2"/>
      <c r="F13" s="19"/>
      <c r="G13" s="135"/>
      <c r="H13" s="127"/>
      <c r="I13" s="127"/>
      <c r="J13" s="127"/>
      <c r="K13" s="127"/>
      <c r="L13" s="136"/>
      <c r="M13" s="127"/>
      <c r="N13" s="128"/>
      <c r="O13" s="137"/>
      <c r="P13" s="138"/>
      <c r="Q13" s="138"/>
      <c r="R13" s="138"/>
      <c r="S13" s="138"/>
      <c r="T13" s="139"/>
      <c r="U13" s="132"/>
      <c r="V13" s="133"/>
      <c r="W13" s="137"/>
      <c r="X13" s="138"/>
      <c r="Y13" s="138"/>
      <c r="Z13" s="138"/>
      <c r="AA13" s="138"/>
      <c r="AB13" s="139"/>
    </row>
    <row r="14" spans="1:28" s="134" customFormat="1" ht="18" customHeight="1">
      <c r="A14" s="2"/>
      <c r="B14" s="2"/>
      <c r="C14" s="2"/>
      <c r="D14" s="2"/>
      <c r="E14" s="2"/>
      <c r="F14" s="19"/>
      <c r="G14" s="330" t="s">
        <v>137</v>
      </c>
      <c r="H14" s="331"/>
      <c r="I14" s="127"/>
      <c r="J14" s="127"/>
      <c r="K14" s="127"/>
      <c r="L14" s="136"/>
      <c r="M14" s="127"/>
      <c r="N14" s="128"/>
      <c r="O14" s="330" t="s">
        <v>137</v>
      </c>
      <c r="P14" s="331"/>
      <c r="Q14" s="138"/>
      <c r="R14" s="138"/>
      <c r="S14" s="138"/>
      <c r="T14" s="139"/>
      <c r="U14" s="132"/>
      <c r="V14" s="133"/>
      <c r="W14" s="330" t="s">
        <v>137</v>
      </c>
      <c r="X14" s="331"/>
      <c r="Y14" s="138"/>
      <c r="Z14" s="138"/>
      <c r="AA14" s="138"/>
      <c r="AB14" s="139"/>
    </row>
    <row r="15" spans="1:28" ht="18" customHeight="1">
      <c r="A15" s="2"/>
      <c r="B15" s="2"/>
      <c r="C15" s="2"/>
      <c r="D15" s="2"/>
      <c r="E15" s="2"/>
      <c r="F15" s="19"/>
      <c r="G15" s="140"/>
      <c r="H15" s="126"/>
      <c r="I15" s="127"/>
      <c r="J15" s="127"/>
      <c r="K15" s="127"/>
      <c r="L15" s="136"/>
      <c r="M15" s="127"/>
      <c r="N15" s="128"/>
      <c r="O15" s="140"/>
      <c r="P15" s="126"/>
      <c r="Q15" s="138"/>
      <c r="R15" s="138"/>
      <c r="S15" s="138"/>
      <c r="T15" s="139"/>
      <c r="U15" s="115"/>
      <c r="V15" s="116"/>
      <c r="W15" s="140"/>
      <c r="X15" s="126"/>
      <c r="Y15" s="138"/>
      <c r="Z15" s="138"/>
      <c r="AA15" s="138"/>
      <c r="AB15" s="139"/>
    </row>
    <row r="16" spans="1:28" ht="18" customHeight="1">
      <c r="A16" s="2"/>
      <c r="B16" s="2"/>
      <c r="C16" s="2"/>
      <c r="D16" s="2"/>
      <c r="E16" s="2"/>
      <c r="F16" s="19"/>
      <c r="G16" s="141"/>
      <c r="H16" s="142"/>
      <c r="I16" s="143"/>
      <c r="J16" s="143"/>
      <c r="K16" s="143"/>
      <c r="L16" s="142"/>
      <c r="M16" s="127"/>
      <c r="N16" s="128"/>
      <c r="O16" s="141"/>
      <c r="P16" s="142"/>
      <c r="Q16" s="144"/>
      <c r="R16" s="144"/>
      <c r="S16" s="144"/>
      <c r="T16" s="145"/>
      <c r="U16" s="115"/>
      <c r="V16" s="116"/>
      <c r="W16" s="141"/>
      <c r="X16" s="142"/>
      <c r="Y16" s="144"/>
      <c r="Z16" s="144"/>
      <c r="AA16" s="144"/>
      <c r="AB16" s="145"/>
    </row>
    <row r="17" spans="1:29" ht="18" customHeight="1">
      <c r="A17" s="305" t="s">
        <v>220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P17" s="305"/>
      <c r="Q17" s="305"/>
      <c r="R17" s="305"/>
      <c r="S17" s="305"/>
      <c r="T17" s="305"/>
      <c r="U17" s="305"/>
      <c r="V17" s="305"/>
      <c r="W17" s="305"/>
      <c r="X17" s="305"/>
      <c r="Y17" s="305"/>
      <c r="Z17" s="305"/>
      <c r="AA17" s="305"/>
      <c r="AB17" s="305"/>
      <c r="AC17" s="243"/>
    </row>
    <row r="18" spans="1:29" ht="18" customHeight="1">
      <c r="A18" s="305"/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05"/>
      <c r="W18" s="305"/>
      <c r="X18" s="305"/>
      <c r="Y18" s="305"/>
      <c r="Z18" s="305"/>
      <c r="AA18" s="305"/>
      <c r="AB18" s="305"/>
      <c r="AC18" s="243"/>
    </row>
    <row r="19" spans="1:29" ht="18" customHeight="1">
      <c r="A19" s="305"/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5"/>
      <c r="X19" s="305"/>
      <c r="Y19" s="305"/>
      <c r="Z19" s="305"/>
      <c r="AA19" s="305"/>
      <c r="AB19" s="305"/>
      <c r="AC19" s="243"/>
    </row>
    <row r="20" spans="1:29" ht="13.5" customHeight="1">
      <c r="A20" s="305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243"/>
    </row>
    <row r="21" spans="1:29" ht="7.5" customHeight="1">
      <c r="A21" s="242"/>
      <c r="B21" s="242"/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2"/>
      <c r="AC21" s="242"/>
    </row>
    <row r="22" spans="1:29" ht="18" customHeight="1">
      <c r="A22" s="146">
        <f>A9-0.01</f>
        <v>-3.2399999999999949</v>
      </c>
      <c r="B22" s="321" t="s">
        <v>159</v>
      </c>
      <c r="C22" s="321"/>
      <c r="D22" s="321"/>
      <c r="E22" s="321"/>
      <c r="F22" s="2"/>
      <c r="G22" s="91"/>
      <c r="H22" s="332" t="s">
        <v>160</v>
      </c>
      <c r="I22" s="333"/>
      <c r="J22" s="333"/>
      <c r="K22" s="92"/>
      <c r="L22" s="2"/>
      <c r="M22" s="2"/>
      <c r="N22" s="147"/>
      <c r="O22" s="91"/>
      <c r="P22" s="332" t="s">
        <v>161</v>
      </c>
      <c r="Q22" s="333"/>
      <c r="R22" s="333"/>
      <c r="S22" s="92"/>
      <c r="T22" s="2"/>
      <c r="U22" s="88"/>
      <c r="V22" s="148"/>
      <c r="W22" s="91"/>
      <c r="X22" s="332" t="s">
        <v>162</v>
      </c>
      <c r="Y22" s="333"/>
      <c r="Z22" s="333"/>
      <c r="AA22" s="92"/>
      <c r="AB22" s="2"/>
    </row>
    <row r="23" spans="1:29" ht="18" customHeight="1">
      <c r="A23" s="146"/>
      <c r="B23" s="321"/>
      <c r="C23" s="321"/>
      <c r="D23" s="321"/>
      <c r="E23" s="321"/>
      <c r="F23" s="2"/>
      <c r="G23" s="91"/>
      <c r="H23" s="334" t="s">
        <v>141</v>
      </c>
      <c r="I23" s="335"/>
      <c r="J23" s="336"/>
      <c r="K23" s="91"/>
      <c r="L23" s="91"/>
      <c r="M23" s="91"/>
      <c r="N23" s="149"/>
      <c r="O23" s="91"/>
      <c r="P23" s="334" t="s">
        <v>141</v>
      </c>
      <c r="Q23" s="335"/>
      <c r="R23" s="336"/>
      <c r="S23" s="91"/>
      <c r="T23" s="91"/>
      <c r="U23" s="91"/>
      <c r="V23" s="149"/>
      <c r="W23" s="91"/>
      <c r="X23" s="334" t="s">
        <v>141</v>
      </c>
      <c r="Y23" s="335"/>
      <c r="Z23" s="336"/>
      <c r="AA23" s="91"/>
      <c r="AB23" s="91"/>
    </row>
    <row r="24" spans="1:29" ht="18" customHeight="1">
      <c r="A24" s="146"/>
      <c r="B24" s="321" t="s">
        <v>163</v>
      </c>
      <c r="C24" s="321"/>
      <c r="D24" s="321"/>
      <c r="E24" s="321"/>
      <c r="F24" s="2"/>
      <c r="G24" s="2"/>
      <c r="H24" s="150"/>
      <c r="I24" s="312"/>
      <c r="J24" s="313"/>
      <c r="K24" s="2"/>
      <c r="L24" s="2"/>
      <c r="M24" s="2"/>
      <c r="N24" s="147"/>
      <c r="O24" s="2"/>
      <c r="P24" s="150"/>
      <c r="Q24" s="312"/>
      <c r="R24" s="313"/>
      <c r="S24" s="2"/>
      <c r="T24" s="2"/>
      <c r="U24" s="88"/>
      <c r="V24" s="148"/>
      <c r="W24" s="2"/>
      <c r="X24" s="316"/>
      <c r="Y24" s="312"/>
      <c r="Z24" s="151"/>
      <c r="AA24" s="2"/>
      <c r="AB24" s="2"/>
    </row>
    <row r="25" spans="1:29" ht="18" customHeight="1">
      <c r="A25" s="146"/>
      <c r="B25" s="321"/>
      <c r="C25" s="321"/>
      <c r="D25" s="321"/>
      <c r="E25" s="321"/>
      <c r="F25" s="2"/>
      <c r="G25" s="19"/>
      <c r="H25" s="152"/>
      <c r="I25" s="314"/>
      <c r="J25" s="315"/>
      <c r="K25" s="153"/>
      <c r="L25" s="153"/>
      <c r="M25" s="153"/>
      <c r="N25" s="154"/>
      <c r="O25" s="19"/>
      <c r="P25" s="152"/>
      <c r="Q25" s="314"/>
      <c r="R25" s="315"/>
      <c r="S25" s="153"/>
      <c r="T25" s="153"/>
      <c r="U25" s="153"/>
      <c r="V25" s="154"/>
      <c r="W25" s="19"/>
      <c r="X25" s="317"/>
      <c r="Y25" s="314"/>
      <c r="Z25" s="155"/>
      <c r="AA25" s="153"/>
      <c r="AB25" s="153"/>
    </row>
    <row r="26" spans="1:29" ht="18" customHeight="1">
      <c r="A26" s="146"/>
      <c r="B26" s="321"/>
      <c r="C26" s="321"/>
      <c r="D26" s="321"/>
      <c r="E26" s="321"/>
      <c r="F26" s="2"/>
      <c r="G26" s="153"/>
      <c r="H26" s="153"/>
      <c r="I26" s="153"/>
      <c r="J26" s="153"/>
      <c r="K26" s="153"/>
      <c r="L26" s="153"/>
      <c r="M26" s="153"/>
      <c r="N26" s="154"/>
      <c r="O26" s="153"/>
      <c r="P26" s="153"/>
      <c r="Q26" s="153"/>
      <c r="R26" s="153"/>
      <c r="S26" s="153"/>
      <c r="T26" s="153"/>
      <c r="U26" s="153"/>
      <c r="V26" s="154"/>
      <c r="W26" s="153"/>
      <c r="X26" s="153"/>
      <c r="Y26" s="153"/>
      <c r="Z26" s="153"/>
      <c r="AA26" s="153"/>
      <c r="AB26" s="153"/>
    </row>
    <row r="27" spans="1:29" ht="9" customHeight="1">
      <c r="A27" s="146"/>
      <c r="B27" s="20"/>
      <c r="C27" s="20"/>
      <c r="D27" s="20"/>
      <c r="E27" s="20"/>
      <c r="F27" s="2"/>
      <c r="G27" s="153"/>
      <c r="H27" s="153"/>
      <c r="I27" s="153"/>
      <c r="J27" s="153"/>
      <c r="K27" s="153"/>
      <c r="L27" s="153"/>
      <c r="M27" s="153"/>
      <c r="N27" s="154"/>
      <c r="O27" s="153"/>
      <c r="P27" s="153"/>
      <c r="Q27" s="153"/>
      <c r="R27" s="153"/>
      <c r="S27" s="153"/>
      <c r="T27" s="153"/>
      <c r="U27" s="153"/>
      <c r="V27" s="154"/>
      <c r="W27" s="153"/>
      <c r="X27" s="153"/>
      <c r="Y27" s="153"/>
      <c r="Z27" s="153"/>
      <c r="AA27" s="153"/>
      <c r="AB27" s="153"/>
    </row>
    <row r="28" spans="1:29"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91"/>
      <c r="V28" s="91"/>
      <c r="W28" s="19"/>
      <c r="X28" s="19"/>
      <c r="Y28" s="19"/>
      <c r="Z28" s="19"/>
    </row>
    <row r="29" spans="1:29" ht="19">
      <c r="A29" s="23" t="s">
        <v>272</v>
      </c>
      <c r="B29" s="23"/>
      <c r="C29" s="23"/>
      <c r="D29" s="23"/>
      <c r="E29" s="23"/>
      <c r="F29" s="156"/>
      <c r="G29" s="156"/>
      <c r="H29" s="157"/>
      <c r="I29" s="156"/>
      <c r="J29" s="156"/>
      <c r="K29" s="156"/>
      <c r="L29" s="156"/>
      <c r="M29" s="156"/>
      <c r="N29" s="156"/>
      <c r="O29" s="157"/>
      <c r="P29" s="156"/>
      <c r="Q29" s="156"/>
      <c r="R29" s="156"/>
      <c r="S29" s="156"/>
      <c r="T29" s="274"/>
      <c r="U29" s="277"/>
      <c r="V29" s="278"/>
      <c r="W29" s="279"/>
      <c r="X29" s="274"/>
      <c r="Y29" s="280"/>
      <c r="Z29" s="281"/>
      <c r="AA29" s="282"/>
    </row>
    <row r="30" spans="1:29" ht="18">
      <c r="A30" s="158" t="s">
        <v>164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16"/>
      <c r="S30" s="88"/>
      <c r="T30" s="274" t="s">
        <v>141</v>
      </c>
      <c r="U30" s="277"/>
      <c r="V30" s="278"/>
      <c r="W30" s="279"/>
      <c r="X30" s="274"/>
      <c r="Y30" s="283"/>
      <c r="Z30" s="284"/>
      <c r="AA30" s="285"/>
    </row>
    <row r="31" spans="1:29">
      <c r="A31" s="1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59"/>
      <c r="T31" s="21"/>
      <c r="U31" s="21"/>
      <c r="V31" s="91"/>
      <c r="W31" s="19"/>
      <c r="X31" s="19"/>
      <c r="Y31" s="19"/>
      <c r="Z31" s="19"/>
    </row>
    <row r="32" spans="1:29" ht="12.75" customHeight="1">
      <c r="A32" s="97">
        <f>A22-0.01</f>
        <v>-3.2499999999999947</v>
      </c>
      <c r="B32" s="318" t="s">
        <v>260</v>
      </c>
      <c r="C32" s="318"/>
      <c r="D32" s="318"/>
      <c r="E32" s="318"/>
      <c r="F32" s="318"/>
      <c r="G32" s="318"/>
      <c r="H32" s="318"/>
      <c r="I32" s="100"/>
      <c r="J32" s="100"/>
      <c r="K32" s="100"/>
      <c r="L32" s="100"/>
      <c r="M32" s="100"/>
      <c r="N32" s="100"/>
      <c r="O32" s="100"/>
      <c r="P32" s="93"/>
      <c r="Q32" s="94"/>
      <c r="R32" s="94"/>
      <c r="S32" s="94"/>
      <c r="T32" s="95"/>
      <c r="U32" s="95"/>
      <c r="V32" s="91"/>
      <c r="W32" s="19"/>
      <c r="X32" s="19"/>
      <c r="Y32" s="19"/>
      <c r="Z32" s="19"/>
    </row>
    <row r="33" spans="1:26">
      <c r="A33" s="97"/>
      <c r="B33" s="98" t="s">
        <v>139</v>
      </c>
      <c r="C33" s="160">
        <v>1</v>
      </c>
      <c r="D33" s="100"/>
      <c r="E33" s="100"/>
      <c r="F33" s="100"/>
      <c r="G33" s="100"/>
      <c r="H33" s="100"/>
      <c r="I33" s="100"/>
      <c r="J33" s="100" t="s">
        <v>144</v>
      </c>
      <c r="K33" s="161"/>
      <c r="L33" s="162"/>
      <c r="M33" s="100"/>
      <c r="N33" s="100"/>
      <c r="O33" s="100"/>
      <c r="P33" s="93"/>
      <c r="Q33" s="94"/>
      <c r="R33" s="94"/>
      <c r="S33" s="94"/>
      <c r="T33" s="95"/>
      <c r="U33" s="95"/>
      <c r="V33" s="91"/>
      <c r="W33" s="19"/>
      <c r="X33" s="19"/>
      <c r="Y33" s="19"/>
      <c r="Z33" s="19"/>
    </row>
    <row r="34" spans="1:26">
      <c r="A34" s="97"/>
      <c r="B34" s="104" t="s">
        <v>140</v>
      </c>
      <c r="C34" s="163">
        <v>2</v>
      </c>
      <c r="D34" s="106" t="s">
        <v>138</v>
      </c>
      <c r="E34" s="164">
        <f>+A39</f>
        <v>-3.2699999999999942</v>
      </c>
      <c r="F34" s="165"/>
      <c r="G34" s="165"/>
      <c r="H34" s="94"/>
      <c r="I34" s="94"/>
      <c r="J34" s="94"/>
      <c r="K34" s="22"/>
      <c r="L34" s="166"/>
      <c r="M34" s="94"/>
      <c r="N34" s="94"/>
      <c r="O34" s="94"/>
      <c r="P34" s="94"/>
      <c r="Q34" s="94"/>
      <c r="R34" s="94"/>
      <c r="S34" s="94"/>
      <c r="T34" s="19"/>
      <c r="U34" s="19"/>
      <c r="V34" s="91"/>
      <c r="W34" s="19"/>
      <c r="X34" s="19"/>
      <c r="Y34" s="19"/>
      <c r="Z34" s="19"/>
    </row>
    <row r="35" spans="1:26">
      <c r="A35" s="97"/>
      <c r="B35" s="107"/>
      <c r="C35" s="167"/>
      <c r="D35" s="106"/>
      <c r="E35" s="88"/>
      <c r="F35" s="88"/>
      <c r="G35" s="88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322" t="s">
        <v>262</v>
      </c>
      <c r="S35" s="322"/>
      <c r="T35" s="19"/>
      <c r="U35" s="19"/>
      <c r="V35" s="91"/>
      <c r="W35" s="323" t="s">
        <v>261</v>
      </c>
      <c r="X35" s="323"/>
      <c r="Y35" s="19"/>
      <c r="Z35" s="19"/>
    </row>
    <row r="36" spans="1:26" ht="12">
      <c r="A36" s="146">
        <f>A32-0.01</f>
        <v>-3.2599999999999945</v>
      </c>
      <c r="B36" s="2" t="s">
        <v>165</v>
      </c>
      <c r="C36" s="10"/>
      <c r="D36" s="11"/>
      <c r="E36" s="19"/>
      <c r="F36" s="19"/>
      <c r="G36" s="168"/>
      <c r="H36" s="92"/>
      <c r="I36" s="92"/>
      <c r="J36" s="92"/>
      <c r="K36" s="92"/>
      <c r="L36" s="92"/>
      <c r="M36" s="92"/>
      <c r="N36" s="92"/>
      <c r="O36" s="92"/>
      <c r="P36" s="306" t="s">
        <v>166</v>
      </c>
      <c r="Q36" s="307"/>
      <c r="R36" s="161"/>
      <c r="S36" s="162"/>
      <c r="T36" s="19"/>
      <c r="U36" s="19"/>
      <c r="V36" s="91"/>
      <c r="W36" s="161"/>
      <c r="X36" s="162"/>
      <c r="Y36" s="19"/>
      <c r="Z36" s="19"/>
    </row>
    <row r="37" spans="1:26" ht="15.75" customHeight="1">
      <c r="A37" s="146"/>
      <c r="B37" s="305" t="s">
        <v>221</v>
      </c>
      <c r="C37" s="305"/>
      <c r="D37" s="305"/>
      <c r="E37" s="305"/>
      <c r="F37" s="305"/>
      <c r="G37" s="305"/>
      <c r="H37" s="305"/>
      <c r="I37" s="305"/>
      <c r="J37" s="92"/>
      <c r="K37" s="92"/>
      <c r="L37" s="92"/>
      <c r="M37" s="92"/>
      <c r="N37" s="92"/>
      <c r="O37" s="92"/>
      <c r="P37" s="21"/>
      <c r="Q37" s="11"/>
      <c r="R37" s="22"/>
      <c r="S37" s="166"/>
      <c r="T37" s="19"/>
      <c r="U37" s="19"/>
      <c r="V37" s="91"/>
      <c r="W37" s="22"/>
      <c r="X37" s="166"/>
      <c r="Y37" s="19"/>
      <c r="Z37" s="19"/>
    </row>
    <row r="38" spans="1:26" ht="12">
      <c r="A38" s="146"/>
      <c r="B38" s="3"/>
      <c r="C38" s="169"/>
      <c r="D38" s="11"/>
      <c r="E38" s="19"/>
      <c r="F38" s="19"/>
      <c r="G38" s="2"/>
      <c r="H38" s="19"/>
      <c r="I38" s="19"/>
      <c r="J38" s="19"/>
      <c r="K38" s="19"/>
      <c r="L38" s="2"/>
      <c r="M38" s="19"/>
      <c r="N38" s="2"/>
      <c r="O38" s="19"/>
      <c r="P38" s="306"/>
      <c r="Q38" s="308"/>
      <c r="R38" s="21"/>
      <c r="S38" s="21"/>
      <c r="T38" s="19"/>
      <c r="U38" s="19"/>
      <c r="V38" s="91"/>
      <c r="W38" s="19"/>
      <c r="X38" s="19"/>
      <c r="Y38" s="19"/>
      <c r="Z38" s="19"/>
    </row>
    <row r="39" spans="1:26">
      <c r="A39" s="97">
        <f>+A36-0.01</f>
        <v>-3.2699999999999942</v>
      </c>
      <c r="B39" s="17" t="s">
        <v>263</v>
      </c>
      <c r="C39" s="170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93"/>
      <c r="Q39" s="95"/>
      <c r="R39" s="95"/>
      <c r="S39" s="95"/>
      <c r="T39" s="96"/>
      <c r="U39" s="96"/>
      <c r="V39" s="91"/>
      <c r="W39" s="19"/>
      <c r="X39" s="19"/>
      <c r="Y39" s="19"/>
      <c r="Z39" s="19"/>
    </row>
    <row r="40" spans="1:26">
      <c r="A40" s="97"/>
      <c r="B40" s="98" t="s">
        <v>139</v>
      </c>
      <c r="C40" s="160">
        <v>1</v>
      </c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93"/>
      <c r="Q40" s="101"/>
      <c r="R40" s="102"/>
      <c r="S40" s="103"/>
      <c r="T40" s="96"/>
      <c r="U40" s="96"/>
      <c r="V40" s="91"/>
      <c r="W40" s="19"/>
      <c r="X40" s="19"/>
      <c r="Y40" s="19"/>
      <c r="Z40" s="19"/>
    </row>
    <row r="41" spans="1:26">
      <c r="A41" s="97"/>
      <c r="B41" s="104" t="s">
        <v>140</v>
      </c>
      <c r="C41" s="163">
        <v>2</v>
      </c>
      <c r="D41" s="106" t="s">
        <v>138</v>
      </c>
      <c r="E41" s="172">
        <v>3.29</v>
      </c>
      <c r="F41" s="88"/>
      <c r="G41" s="88"/>
      <c r="H41" s="94"/>
      <c r="I41" s="94"/>
      <c r="J41" s="94"/>
      <c r="K41" s="94"/>
      <c r="L41" s="94"/>
      <c r="M41" s="94"/>
      <c r="N41" s="94"/>
      <c r="O41" s="94"/>
      <c r="P41" s="94"/>
      <c r="Q41" s="108"/>
      <c r="R41" s="109"/>
      <c r="S41" s="110"/>
      <c r="T41" s="19"/>
      <c r="U41" s="19"/>
      <c r="V41" s="91"/>
      <c r="W41" s="19"/>
      <c r="X41" s="19"/>
      <c r="Y41" s="19"/>
      <c r="Z41" s="19"/>
    </row>
    <row r="42" spans="1:26">
      <c r="A42" s="97"/>
      <c r="B42" s="107"/>
      <c r="C42" s="167"/>
      <c r="D42" s="106"/>
      <c r="E42" s="173"/>
      <c r="F42" s="88"/>
      <c r="G42" s="88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19"/>
      <c r="U42" s="19"/>
      <c r="V42" s="91"/>
      <c r="W42" s="19"/>
      <c r="X42" s="19"/>
      <c r="Y42" s="19"/>
      <c r="Z42" s="19"/>
    </row>
    <row r="43" spans="1:26">
      <c r="A43" s="97">
        <f>+A39-0.01</f>
        <v>-3.279999999999994</v>
      </c>
      <c r="B43" s="318" t="s">
        <v>167</v>
      </c>
      <c r="C43" s="319"/>
      <c r="D43" s="319"/>
      <c r="E43" s="319"/>
      <c r="F43" s="319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74"/>
      <c r="T43" s="174"/>
      <c r="U43" s="174"/>
      <c r="V43" s="91"/>
      <c r="W43" s="19"/>
      <c r="X43" s="19"/>
      <c r="Y43" s="19"/>
      <c r="Z43" s="19"/>
    </row>
    <row r="44" spans="1:26" ht="12">
      <c r="A44" s="97"/>
      <c r="B44" s="320"/>
      <c r="C44" s="320"/>
      <c r="D44" s="320"/>
      <c r="E44" s="320"/>
      <c r="F44" s="320"/>
      <c r="G44" s="100"/>
      <c r="H44" s="296">
        <f>A43</f>
        <v>-3.279999999999994</v>
      </c>
      <c r="I44" s="297"/>
      <c r="J44" s="302" t="s">
        <v>168</v>
      </c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4"/>
      <c r="V44" s="91"/>
      <c r="W44" s="19"/>
      <c r="X44" s="19"/>
      <c r="Y44" s="19"/>
      <c r="Z44" s="19"/>
    </row>
    <row r="45" spans="1:26">
      <c r="A45" s="86"/>
      <c r="B45" s="309" t="s">
        <v>264</v>
      </c>
      <c r="C45" s="309"/>
      <c r="D45" s="309"/>
      <c r="E45" s="309"/>
      <c r="F45" s="309"/>
      <c r="G45" s="174"/>
      <c r="H45" s="298" t="s">
        <v>169</v>
      </c>
      <c r="I45" s="299"/>
      <c r="J45" s="174"/>
      <c r="K45" s="174"/>
      <c r="L45" s="174"/>
      <c r="M45" s="174"/>
      <c r="N45" s="174"/>
      <c r="O45" s="298" t="s">
        <v>170</v>
      </c>
      <c r="P45" s="299"/>
      <c r="Q45" s="174"/>
      <c r="R45" s="174"/>
      <c r="S45" s="174"/>
      <c r="T45" s="298" t="s">
        <v>171</v>
      </c>
      <c r="U45" s="299"/>
      <c r="V45" s="91"/>
      <c r="W45" s="19"/>
      <c r="X45" s="19"/>
      <c r="Y45" s="19"/>
      <c r="Z45" s="19"/>
    </row>
    <row r="46" spans="1:26">
      <c r="A46" s="2"/>
      <c r="B46" s="310"/>
      <c r="C46" s="310"/>
      <c r="D46" s="310"/>
      <c r="E46" s="310"/>
      <c r="F46" s="310"/>
      <c r="G46" s="2"/>
      <c r="H46" s="292"/>
      <c r="I46" s="293"/>
      <c r="J46" s="19"/>
      <c r="K46" s="19"/>
      <c r="L46" s="2"/>
      <c r="M46" s="19"/>
      <c r="N46" s="168"/>
      <c r="O46" s="292"/>
      <c r="P46" s="293"/>
      <c r="Q46" s="19"/>
      <c r="R46" s="2"/>
      <c r="S46" s="19"/>
      <c r="T46" s="175"/>
      <c r="U46" s="176"/>
      <c r="V46" s="91"/>
      <c r="W46" s="19"/>
      <c r="X46" s="19"/>
      <c r="Y46" s="19"/>
      <c r="Z46" s="19"/>
    </row>
    <row r="47" spans="1:26">
      <c r="A47" s="2"/>
      <c r="B47" s="310"/>
      <c r="C47" s="310"/>
      <c r="D47" s="310"/>
      <c r="E47" s="310"/>
      <c r="F47" s="310"/>
      <c r="G47" s="2"/>
      <c r="H47" s="300"/>
      <c r="I47" s="301"/>
      <c r="J47" s="19"/>
      <c r="K47" s="19"/>
      <c r="L47" s="2"/>
      <c r="M47" s="19"/>
      <c r="N47" s="2"/>
      <c r="O47" s="300"/>
      <c r="P47" s="301"/>
      <c r="Q47" s="19"/>
      <c r="R47" s="2"/>
      <c r="S47" s="19"/>
      <c r="T47" s="5"/>
      <c r="U47" s="9"/>
      <c r="V47" s="91"/>
      <c r="W47" s="19"/>
      <c r="X47" s="19"/>
      <c r="Y47" s="19"/>
      <c r="Z47" s="19"/>
    </row>
    <row r="48" spans="1:26" ht="12">
      <c r="A48" s="2"/>
      <c r="B48" s="310"/>
      <c r="C48" s="310"/>
      <c r="D48" s="310"/>
      <c r="E48" s="310"/>
      <c r="F48" s="310"/>
      <c r="G48" s="2"/>
      <c r="H48" s="296">
        <f>A43</f>
        <v>-3.279999999999994</v>
      </c>
      <c r="I48" s="297"/>
      <c r="J48" s="302" t="s">
        <v>222</v>
      </c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4"/>
      <c r="V48" s="91"/>
      <c r="W48" s="19"/>
      <c r="X48" s="19"/>
      <c r="Y48" s="19"/>
      <c r="Z48" s="19"/>
    </row>
    <row r="49" spans="1:26">
      <c r="A49" s="2"/>
      <c r="B49" s="310"/>
      <c r="C49" s="310"/>
      <c r="D49" s="310"/>
      <c r="E49" s="310"/>
      <c r="F49" s="310"/>
      <c r="G49" s="2"/>
      <c r="H49" s="298" t="s">
        <v>172</v>
      </c>
      <c r="I49" s="299"/>
      <c r="J49" s="177"/>
      <c r="K49" s="174"/>
      <c r="L49" s="174"/>
      <c r="M49" s="174"/>
      <c r="N49" s="174"/>
      <c r="O49" s="298" t="s">
        <v>173</v>
      </c>
      <c r="P49" s="299"/>
      <c r="Q49" s="174"/>
      <c r="R49" s="174"/>
      <c r="S49" s="174"/>
      <c r="T49" s="298" t="s">
        <v>174</v>
      </c>
      <c r="U49" s="299"/>
      <c r="V49" s="91"/>
      <c r="W49" s="19"/>
      <c r="X49" s="19"/>
      <c r="Y49" s="19"/>
      <c r="Z49" s="19"/>
    </row>
    <row r="50" spans="1:26">
      <c r="A50" s="2"/>
      <c r="B50" s="310"/>
      <c r="C50" s="310"/>
      <c r="D50" s="310"/>
      <c r="E50" s="310"/>
      <c r="F50" s="310"/>
      <c r="G50" s="2"/>
      <c r="H50" s="292"/>
      <c r="I50" s="293"/>
      <c r="J50" s="19"/>
      <c r="K50" s="19"/>
      <c r="L50" s="2"/>
      <c r="M50" s="19"/>
      <c r="N50" s="168"/>
      <c r="O50" s="292"/>
      <c r="P50" s="293"/>
      <c r="Q50" s="19"/>
      <c r="R50" s="2"/>
      <c r="S50" s="19"/>
      <c r="T50" s="175"/>
      <c r="U50" s="176"/>
      <c r="V50" s="91"/>
      <c r="W50" s="19"/>
      <c r="X50" s="19"/>
      <c r="Y50" s="19"/>
      <c r="Z50" s="19"/>
    </row>
    <row r="51" spans="1:26">
      <c r="A51" s="2"/>
      <c r="B51" s="310"/>
      <c r="C51" s="310"/>
      <c r="D51" s="310"/>
      <c r="E51" s="310"/>
      <c r="F51" s="310"/>
      <c r="G51" s="2"/>
      <c r="H51" s="294"/>
      <c r="I51" s="295"/>
      <c r="J51" s="24"/>
      <c r="K51" s="24"/>
      <c r="L51" s="178"/>
      <c r="M51" s="24"/>
      <c r="N51" s="178"/>
      <c r="O51" s="294"/>
      <c r="P51" s="295"/>
      <c r="Q51" s="24"/>
      <c r="R51" s="178"/>
      <c r="S51" s="24"/>
      <c r="T51" s="12"/>
      <c r="U51" s="13"/>
      <c r="V51" s="91"/>
      <c r="W51" s="19"/>
      <c r="X51" s="19"/>
      <c r="Y51" s="19"/>
      <c r="Z51" s="19"/>
    </row>
    <row r="52" spans="1:26" ht="12">
      <c r="A52" s="2"/>
      <c r="B52" s="310"/>
      <c r="C52" s="310"/>
      <c r="D52" s="310"/>
      <c r="E52" s="310"/>
      <c r="F52" s="310"/>
      <c r="G52" s="134"/>
      <c r="H52" s="296">
        <f>A43</f>
        <v>-3.279999999999994</v>
      </c>
      <c r="I52" s="297"/>
      <c r="J52" s="179" t="s">
        <v>175</v>
      </c>
      <c r="K52" s="180"/>
      <c r="L52" s="180"/>
      <c r="M52" s="180"/>
      <c r="N52" s="180"/>
      <c r="O52" s="180"/>
      <c r="P52" s="181" t="s">
        <v>176</v>
      </c>
      <c r="Q52" s="180"/>
      <c r="R52" s="181" t="s">
        <v>177</v>
      </c>
      <c r="S52" s="180"/>
      <c r="T52" s="180"/>
      <c r="U52" s="182"/>
      <c r="V52" s="91"/>
      <c r="W52" s="19"/>
      <c r="X52" s="19"/>
      <c r="Y52" s="19"/>
      <c r="Z52" s="19"/>
    </row>
    <row r="53" spans="1:26">
      <c r="A53" s="2"/>
      <c r="B53" s="310"/>
      <c r="C53" s="310"/>
      <c r="D53" s="310"/>
      <c r="E53" s="310"/>
      <c r="F53" s="310"/>
      <c r="G53" s="183"/>
      <c r="H53" s="298" t="s">
        <v>172</v>
      </c>
      <c r="I53" s="299"/>
      <c r="J53" s="177" t="s">
        <v>144</v>
      </c>
      <c r="K53" s="174"/>
      <c r="L53" s="174"/>
      <c r="M53" s="174"/>
      <c r="N53" s="174"/>
      <c r="O53" s="298" t="s">
        <v>173</v>
      </c>
      <c r="P53" s="299"/>
      <c r="Q53" s="174"/>
      <c r="R53" s="174"/>
      <c r="S53" s="174"/>
      <c r="T53" s="298" t="s">
        <v>174</v>
      </c>
      <c r="U53" s="299"/>
      <c r="V53" s="91"/>
      <c r="W53" s="19"/>
      <c r="X53" s="19"/>
      <c r="Y53" s="19"/>
      <c r="Z53" s="19"/>
    </row>
    <row r="54" spans="1:26">
      <c r="A54" s="2"/>
      <c r="B54" s="310"/>
      <c r="C54" s="310"/>
      <c r="D54" s="310"/>
      <c r="E54" s="310"/>
      <c r="F54" s="310"/>
      <c r="G54" s="2"/>
      <c r="H54" s="292"/>
      <c r="I54" s="293"/>
      <c r="J54" s="19"/>
      <c r="K54" s="19"/>
      <c r="L54" s="2"/>
      <c r="M54" s="19"/>
      <c r="N54" s="168"/>
      <c r="O54" s="292"/>
      <c r="P54" s="293"/>
      <c r="Q54" s="19"/>
      <c r="R54" s="2"/>
      <c r="S54" s="19"/>
      <c r="T54" s="175"/>
      <c r="U54" s="176"/>
      <c r="V54" s="91"/>
      <c r="W54" s="19"/>
      <c r="X54" s="19"/>
      <c r="Y54" s="19"/>
      <c r="Z54" s="19"/>
    </row>
    <row r="55" spans="1:26">
      <c r="A55" s="2"/>
      <c r="B55" s="311"/>
      <c r="C55" s="311"/>
      <c r="D55" s="311"/>
      <c r="E55" s="311"/>
      <c r="F55" s="311"/>
      <c r="G55" s="2"/>
      <c r="H55" s="294"/>
      <c r="I55" s="295"/>
      <c r="J55" s="24"/>
      <c r="K55" s="24"/>
      <c r="L55" s="178"/>
      <c r="M55" s="24"/>
      <c r="N55" s="178"/>
      <c r="O55" s="294"/>
      <c r="P55" s="295"/>
      <c r="Q55" s="24"/>
      <c r="R55" s="178"/>
      <c r="S55" s="24"/>
      <c r="T55" s="12"/>
      <c r="U55" s="13"/>
      <c r="V55" s="91"/>
      <c r="W55" s="19"/>
      <c r="X55" s="19"/>
      <c r="Y55" s="19"/>
      <c r="Z55" s="19"/>
    </row>
    <row r="56" spans="1:26">
      <c r="A56" s="2"/>
      <c r="B56" s="134"/>
      <c r="C56" s="184"/>
      <c r="D56" s="184"/>
      <c r="E56" s="18"/>
      <c r="F56" s="18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91"/>
      <c r="W56" s="19"/>
      <c r="X56" s="19"/>
      <c r="Y56" s="19"/>
      <c r="Z56" s="19"/>
    </row>
    <row r="57" spans="1:26"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91"/>
      <c r="V57" s="91"/>
      <c r="W57" s="19"/>
      <c r="X57" s="19"/>
      <c r="Y57" s="19"/>
      <c r="Z57" s="19"/>
    </row>
    <row r="58" spans="1:26"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91"/>
      <c r="V58" s="91"/>
      <c r="W58" s="19"/>
      <c r="X58" s="19"/>
      <c r="Y58" s="19"/>
      <c r="Z58" s="19"/>
    </row>
    <row r="59" spans="1:26"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91"/>
      <c r="V59" s="91"/>
      <c r="W59" s="19"/>
      <c r="X59" s="19"/>
      <c r="Y59" s="19"/>
      <c r="Z59" s="19"/>
    </row>
    <row r="60" spans="1:26" ht="13.5" customHeight="1"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91"/>
      <c r="V60" s="91"/>
      <c r="W60" s="19"/>
      <c r="X60" s="19"/>
      <c r="Y60" s="19"/>
      <c r="Z60" s="19"/>
    </row>
    <row r="61" spans="1:26" ht="14.25" customHeight="1"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91"/>
      <c r="V61" s="91"/>
      <c r="W61" s="19"/>
      <c r="X61" s="19"/>
      <c r="Y61" s="19"/>
      <c r="Z61" s="19"/>
    </row>
    <row r="62" spans="1:26"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91"/>
      <c r="V62" s="91"/>
      <c r="W62" s="19"/>
      <c r="X62" s="19"/>
      <c r="Y62" s="19"/>
      <c r="Z62" s="19"/>
    </row>
    <row r="63" spans="1:26" ht="12.75" customHeight="1"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91"/>
      <c r="V63" s="91"/>
      <c r="W63" s="19"/>
      <c r="X63" s="19"/>
      <c r="Y63" s="19"/>
      <c r="Z63" s="19"/>
    </row>
    <row r="64" spans="1:26"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91"/>
      <c r="V64" s="91"/>
      <c r="W64" s="19"/>
      <c r="X64" s="19"/>
      <c r="Y64" s="19"/>
      <c r="Z64" s="19"/>
    </row>
    <row r="65" spans="10:26"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91"/>
      <c r="V65" s="91"/>
      <c r="W65" s="19"/>
      <c r="X65" s="19"/>
      <c r="Y65" s="19"/>
      <c r="Z65" s="19"/>
    </row>
    <row r="66" spans="10:26" ht="12.75" customHeight="1"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91"/>
      <c r="V66" s="91"/>
      <c r="W66" s="19"/>
      <c r="X66" s="19"/>
      <c r="Y66" s="19"/>
      <c r="Z66" s="19"/>
    </row>
    <row r="67" spans="10:26"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91"/>
      <c r="V67" s="91"/>
      <c r="W67" s="19"/>
      <c r="X67" s="19"/>
      <c r="Y67" s="19"/>
      <c r="Z67" s="19"/>
    </row>
    <row r="68" spans="10:26"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91"/>
      <c r="V68" s="91"/>
      <c r="W68" s="19"/>
      <c r="X68" s="19"/>
      <c r="Y68" s="19"/>
      <c r="Z68" s="19"/>
    </row>
    <row r="69" spans="10:26"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91"/>
      <c r="V69" s="91"/>
      <c r="W69" s="19"/>
      <c r="X69" s="19"/>
      <c r="Y69" s="19"/>
      <c r="Z69" s="19"/>
    </row>
    <row r="70" spans="10:26"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91"/>
      <c r="V70" s="91"/>
      <c r="W70" s="19"/>
      <c r="X70" s="19"/>
      <c r="Y70" s="19"/>
      <c r="Z70" s="19"/>
    </row>
    <row r="71" spans="10:26"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91"/>
      <c r="V71" s="91"/>
      <c r="W71" s="19"/>
      <c r="X71" s="19"/>
      <c r="Y71" s="19"/>
      <c r="Z71" s="19"/>
    </row>
    <row r="72" spans="10:26"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91"/>
      <c r="V72" s="91"/>
      <c r="W72" s="19"/>
      <c r="X72" s="19"/>
      <c r="Y72" s="19"/>
      <c r="Z72" s="19"/>
    </row>
    <row r="73" spans="10:26" ht="13.5" customHeight="1"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91"/>
      <c r="V73" s="91"/>
      <c r="W73" s="19"/>
      <c r="X73" s="19"/>
      <c r="Y73" s="19"/>
      <c r="Z73" s="19"/>
    </row>
    <row r="74" spans="10:26"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91"/>
      <c r="V74" s="91"/>
      <c r="W74" s="19"/>
      <c r="X74" s="19"/>
      <c r="Y74" s="19"/>
      <c r="Z74" s="19"/>
    </row>
    <row r="75" spans="10:26"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91"/>
      <c r="V75" s="91"/>
      <c r="W75" s="19"/>
      <c r="X75" s="19"/>
      <c r="Y75" s="19"/>
      <c r="Z75" s="19"/>
    </row>
    <row r="76" spans="10:26"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91"/>
      <c r="V76" s="91"/>
      <c r="W76" s="19"/>
      <c r="X76" s="19"/>
      <c r="Y76" s="19"/>
      <c r="Z76" s="19"/>
    </row>
    <row r="77" spans="10:26"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91"/>
      <c r="V77" s="91"/>
      <c r="W77" s="19"/>
      <c r="X77" s="19"/>
      <c r="Y77" s="19"/>
      <c r="Z77" s="19"/>
    </row>
    <row r="78" spans="10:26"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91"/>
      <c r="V78" s="91"/>
      <c r="W78" s="19"/>
      <c r="X78" s="19"/>
      <c r="Y78" s="19"/>
      <c r="Z78" s="19"/>
    </row>
    <row r="79" spans="10:26"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91"/>
      <c r="V79" s="91"/>
      <c r="W79" s="19"/>
      <c r="X79" s="19"/>
      <c r="Y79" s="19"/>
      <c r="Z79" s="19"/>
    </row>
    <row r="80" spans="10:26"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91"/>
      <c r="V80" s="91"/>
      <c r="W80" s="19"/>
      <c r="X80" s="19"/>
      <c r="Y80" s="19"/>
      <c r="Z80" s="19"/>
    </row>
    <row r="81" spans="10:26"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91"/>
      <c r="V81" s="91"/>
      <c r="W81" s="19"/>
      <c r="X81" s="19"/>
      <c r="Y81" s="19"/>
      <c r="Z81" s="19"/>
    </row>
    <row r="82" spans="10:26" ht="12.75" customHeight="1"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91"/>
      <c r="V82" s="91"/>
      <c r="W82" s="19"/>
      <c r="X82" s="19"/>
      <c r="Y82" s="19"/>
      <c r="Z82" s="19"/>
    </row>
    <row r="83" spans="10:26"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91"/>
      <c r="V83" s="91"/>
      <c r="W83" s="19"/>
      <c r="X83" s="19"/>
      <c r="Y83" s="19"/>
      <c r="Z83" s="19"/>
    </row>
    <row r="84" spans="10:26" ht="12.75" customHeight="1"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91"/>
      <c r="V84" s="91"/>
      <c r="W84" s="19"/>
      <c r="X84" s="19"/>
      <c r="Y84" s="19"/>
      <c r="Z84" s="19"/>
    </row>
    <row r="85" spans="10:26"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91"/>
      <c r="V85" s="91"/>
      <c r="W85" s="19"/>
      <c r="X85" s="19"/>
      <c r="Y85" s="19"/>
      <c r="Z85" s="19"/>
    </row>
    <row r="86" spans="10:26"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91"/>
      <c r="V86" s="91"/>
      <c r="W86" s="19"/>
      <c r="X86" s="19"/>
      <c r="Y86" s="19"/>
      <c r="Z86" s="19"/>
    </row>
    <row r="87" spans="10:26"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91"/>
      <c r="V87" s="91"/>
      <c r="W87" s="19"/>
      <c r="X87" s="19"/>
      <c r="Y87" s="19"/>
      <c r="Z87" s="19"/>
    </row>
    <row r="88" spans="10:26"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91"/>
      <c r="V88" s="91"/>
      <c r="W88" s="19"/>
      <c r="X88" s="19"/>
      <c r="Y88" s="19"/>
      <c r="Z88" s="19"/>
    </row>
    <row r="89" spans="10:26"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91"/>
      <c r="V89" s="91"/>
      <c r="W89" s="19"/>
      <c r="X89" s="19"/>
      <c r="Y89" s="19"/>
      <c r="Z89" s="19"/>
    </row>
    <row r="90" spans="10:26"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91"/>
      <c r="V90" s="91"/>
      <c r="W90" s="19"/>
      <c r="X90" s="19"/>
      <c r="Y90" s="19"/>
      <c r="Z90" s="19"/>
    </row>
    <row r="91" spans="10:26"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91"/>
      <c r="V91" s="91"/>
      <c r="W91" s="19"/>
      <c r="X91" s="19"/>
      <c r="Y91" s="19"/>
      <c r="Z91" s="19"/>
    </row>
    <row r="92" spans="10:26"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91"/>
      <c r="V92" s="91"/>
      <c r="W92" s="19"/>
      <c r="X92" s="19"/>
      <c r="Y92" s="19"/>
      <c r="Z92" s="19"/>
    </row>
    <row r="93" spans="10:26"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91"/>
      <c r="V93" s="91"/>
      <c r="W93" s="19"/>
      <c r="X93" s="19"/>
      <c r="Y93" s="19"/>
      <c r="Z93" s="19"/>
    </row>
    <row r="94" spans="10:26"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91"/>
      <c r="V94" s="91"/>
      <c r="W94" s="19"/>
      <c r="X94" s="19"/>
      <c r="Y94" s="19"/>
      <c r="Z94" s="19"/>
    </row>
    <row r="95" spans="10:26"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91"/>
      <c r="V95" s="91"/>
      <c r="W95" s="19"/>
      <c r="X95" s="19"/>
      <c r="Y95" s="19"/>
      <c r="Z95" s="19"/>
    </row>
    <row r="96" spans="10:26"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91"/>
      <c r="V96" s="91"/>
      <c r="W96" s="19"/>
      <c r="X96" s="19"/>
      <c r="Y96" s="19"/>
      <c r="Z96" s="19"/>
    </row>
    <row r="97" spans="10:26"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91"/>
      <c r="V97" s="91"/>
      <c r="W97" s="19"/>
      <c r="X97" s="19"/>
      <c r="Y97" s="19"/>
      <c r="Z97" s="19"/>
    </row>
    <row r="98" spans="10:26"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91"/>
      <c r="V98" s="91"/>
      <c r="W98" s="19"/>
      <c r="X98" s="19"/>
      <c r="Y98" s="19"/>
      <c r="Z98" s="19"/>
    </row>
    <row r="99" spans="10:26"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91"/>
      <c r="V99" s="91"/>
      <c r="W99" s="19"/>
      <c r="X99" s="19"/>
      <c r="Y99" s="19"/>
      <c r="Z99" s="19"/>
    </row>
    <row r="100" spans="10:26"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91"/>
      <c r="V100" s="91"/>
      <c r="W100" s="19"/>
      <c r="X100" s="19"/>
      <c r="Y100" s="19"/>
      <c r="Z100" s="19"/>
    </row>
    <row r="101" spans="10:26"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91"/>
      <c r="V101" s="91"/>
      <c r="W101" s="19"/>
      <c r="X101" s="19"/>
      <c r="Y101" s="19"/>
      <c r="Z101" s="19"/>
    </row>
    <row r="102" spans="10:26"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91"/>
      <c r="V102" s="91"/>
      <c r="W102" s="19"/>
      <c r="X102" s="19"/>
      <c r="Y102" s="19"/>
      <c r="Z102" s="19"/>
    </row>
    <row r="103" spans="10:26"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91"/>
      <c r="V103" s="91"/>
      <c r="W103" s="19"/>
      <c r="X103" s="19"/>
      <c r="Y103" s="19"/>
      <c r="Z103" s="19"/>
    </row>
    <row r="104" spans="10:26"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91"/>
      <c r="V104" s="91"/>
      <c r="W104" s="19"/>
      <c r="X104" s="19"/>
      <c r="Y104" s="19"/>
      <c r="Z104" s="19"/>
    </row>
    <row r="105" spans="10:26"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91"/>
      <c r="V105" s="91"/>
      <c r="W105" s="19"/>
      <c r="X105" s="19"/>
      <c r="Y105" s="19"/>
      <c r="Z105" s="19"/>
    </row>
    <row r="106" spans="10:26"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91"/>
      <c r="V106" s="91"/>
      <c r="W106" s="19"/>
      <c r="X106" s="19"/>
      <c r="Y106" s="19"/>
      <c r="Z106" s="19"/>
    </row>
    <row r="107" spans="10:26"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91"/>
      <c r="V107" s="91"/>
      <c r="W107" s="19"/>
      <c r="X107" s="19"/>
      <c r="Y107" s="19"/>
      <c r="Z107" s="19"/>
    </row>
    <row r="108" spans="10:26"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91"/>
      <c r="V108" s="91"/>
      <c r="W108" s="19"/>
      <c r="X108" s="19"/>
      <c r="Y108" s="19"/>
      <c r="Z108" s="19"/>
    </row>
    <row r="109" spans="10:26"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91"/>
      <c r="V109" s="91"/>
      <c r="W109" s="19"/>
      <c r="X109" s="19"/>
      <c r="Y109" s="19"/>
      <c r="Z109" s="19"/>
    </row>
    <row r="110" spans="10:26"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91"/>
      <c r="V110" s="91"/>
      <c r="W110" s="19"/>
      <c r="X110" s="19"/>
      <c r="Y110" s="19"/>
      <c r="Z110" s="19"/>
    </row>
    <row r="111" spans="10:26"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91"/>
      <c r="V111" s="91"/>
      <c r="W111" s="19"/>
      <c r="X111" s="19"/>
      <c r="Y111" s="19"/>
      <c r="Z111" s="19"/>
    </row>
    <row r="112" spans="10:26"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91"/>
      <c r="V112" s="91"/>
      <c r="W112" s="19"/>
      <c r="X112" s="19"/>
      <c r="Y112" s="19"/>
      <c r="Z112" s="19"/>
    </row>
    <row r="113" spans="10:26"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91"/>
      <c r="V113" s="91"/>
      <c r="W113" s="19"/>
      <c r="X113" s="19"/>
      <c r="Y113" s="19"/>
      <c r="Z113" s="19"/>
    </row>
    <row r="114" spans="10:26"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91"/>
      <c r="V114" s="91"/>
      <c r="W114" s="19"/>
      <c r="X114" s="19"/>
      <c r="Y114" s="19"/>
      <c r="Z114" s="19"/>
    </row>
    <row r="115" spans="10:26"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91"/>
      <c r="V115" s="91"/>
      <c r="W115" s="19"/>
      <c r="X115" s="19"/>
      <c r="Y115" s="19"/>
      <c r="Z115" s="19"/>
    </row>
    <row r="116" spans="10:26"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91"/>
      <c r="V116" s="91"/>
      <c r="W116" s="19"/>
      <c r="X116" s="19"/>
      <c r="Y116" s="19"/>
      <c r="Z116" s="19"/>
    </row>
    <row r="117" spans="10:26"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91"/>
      <c r="V117" s="91"/>
      <c r="W117" s="19"/>
      <c r="X117" s="19"/>
      <c r="Y117" s="19"/>
      <c r="Z117" s="19"/>
    </row>
    <row r="118" spans="10:26"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91"/>
      <c r="V118" s="91"/>
      <c r="W118" s="19"/>
      <c r="X118" s="19"/>
      <c r="Y118" s="19"/>
      <c r="Z118" s="19"/>
    </row>
    <row r="119" spans="10:26"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91"/>
      <c r="V119" s="91"/>
      <c r="W119" s="19"/>
      <c r="X119" s="19"/>
      <c r="Y119" s="19"/>
      <c r="Z119" s="19"/>
    </row>
    <row r="120" spans="10:26"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91"/>
      <c r="V120" s="91"/>
      <c r="W120" s="19"/>
      <c r="X120" s="19"/>
      <c r="Y120" s="19"/>
      <c r="Z120" s="19"/>
    </row>
    <row r="121" spans="10:26"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91"/>
      <c r="V121" s="91"/>
      <c r="W121" s="19"/>
      <c r="X121" s="19"/>
      <c r="Y121" s="19"/>
      <c r="Z121" s="19"/>
    </row>
    <row r="122" spans="10:26"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91"/>
      <c r="V122" s="91"/>
      <c r="W122" s="19"/>
      <c r="X122" s="19"/>
      <c r="Y122" s="19"/>
      <c r="Z122" s="19"/>
    </row>
    <row r="123" spans="10:26"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91"/>
      <c r="V123" s="91"/>
      <c r="W123" s="19"/>
      <c r="X123" s="19"/>
      <c r="Y123" s="19"/>
      <c r="Z123" s="19"/>
    </row>
    <row r="124" spans="10:26"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91"/>
      <c r="V124" s="91"/>
      <c r="W124" s="19"/>
      <c r="X124" s="19"/>
      <c r="Y124" s="19"/>
      <c r="Z124" s="19"/>
    </row>
    <row r="125" spans="10:26"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91"/>
      <c r="V125" s="91"/>
      <c r="W125" s="19"/>
      <c r="X125" s="19"/>
      <c r="Y125" s="19"/>
      <c r="Z125" s="19"/>
    </row>
    <row r="126" spans="10:26"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91"/>
      <c r="V126" s="91"/>
      <c r="W126" s="19"/>
      <c r="X126" s="19"/>
      <c r="Y126" s="19"/>
      <c r="Z126" s="19"/>
    </row>
    <row r="127" spans="10:26"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91"/>
      <c r="V127" s="91"/>
      <c r="W127" s="19"/>
      <c r="X127" s="19"/>
      <c r="Y127" s="19"/>
      <c r="Z127" s="19"/>
    </row>
    <row r="128" spans="10:26"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91"/>
      <c r="V128" s="91"/>
      <c r="W128" s="19"/>
      <c r="X128" s="19"/>
      <c r="Y128" s="19"/>
      <c r="Z128" s="19"/>
    </row>
    <row r="129" spans="10:26"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91"/>
      <c r="V129" s="91"/>
      <c r="W129" s="19"/>
      <c r="X129" s="19"/>
      <c r="Y129" s="19"/>
      <c r="Z129" s="19"/>
    </row>
    <row r="130" spans="10:26"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91"/>
      <c r="V130" s="91"/>
      <c r="W130" s="19"/>
      <c r="X130" s="19"/>
      <c r="Y130" s="19"/>
      <c r="Z130" s="19"/>
    </row>
    <row r="131" spans="10:26"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91"/>
      <c r="V131" s="91"/>
      <c r="W131" s="19"/>
      <c r="X131" s="19"/>
      <c r="Y131" s="19"/>
      <c r="Z131" s="19"/>
    </row>
    <row r="132" spans="10:26"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91"/>
      <c r="V132" s="91"/>
      <c r="W132" s="19"/>
      <c r="X132" s="19"/>
      <c r="Y132" s="19"/>
      <c r="Z132" s="19"/>
    </row>
    <row r="133" spans="10:26"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91"/>
      <c r="V133" s="91"/>
      <c r="W133" s="19"/>
      <c r="X133" s="19"/>
      <c r="Y133" s="19"/>
      <c r="Z133" s="19"/>
    </row>
    <row r="134" spans="10:26"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91"/>
      <c r="V134" s="91"/>
      <c r="W134" s="19"/>
      <c r="X134" s="19"/>
      <c r="Y134" s="19"/>
      <c r="Z134" s="19"/>
    </row>
    <row r="135" spans="10:26"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91"/>
      <c r="V135" s="91"/>
      <c r="W135" s="19"/>
      <c r="X135" s="19"/>
      <c r="Y135" s="19"/>
      <c r="Z135" s="19"/>
    </row>
    <row r="136" spans="10:26"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91"/>
      <c r="V136" s="91"/>
      <c r="W136" s="19"/>
      <c r="X136" s="19"/>
      <c r="Y136" s="19"/>
      <c r="Z136" s="19"/>
    </row>
    <row r="137" spans="10:26"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91"/>
      <c r="V137" s="91"/>
      <c r="W137" s="19"/>
      <c r="X137" s="19"/>
      <c r="Y137" s="19"/>
      <c r="Z137" s="19"/>
    </row>
    <row r="138" spans="10:26"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91"/>
      <c r="V138" s="91"/>
      <c r="W138" s="19"/>
      <c r="X138" s="19"/>
      <c r="Y138" s="19"/>
      <c r="Z138" s="19"/>
    </row>
    <row r="139" spans="10:26"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91"/>
      <c r="V139" s="91"/>
      <c r="W139" s="19"/>
      <c r="X139" s="19"/>
      <c r="Y139" s="19"/>
      <c r="Z139" s="19"/>
    </row>
    <row r="140" spans="10:26"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91"/>
      <c r="V140" s="91"/>
      <c r="W140" s="19"/>
      <c r="X140" s="19"/>
      <c r="Y140" s="19"/>
      <c r="Z140" s="19"/>
    </row>
    <row r="141" spans="10:26"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91"/>
      <c r="V141" s="91"/>
      <c r="W141" s="19"/>
      <c r="X141" s="19"/>
      <c r="Y141" s="19"/>
      <c r="Z141" s="19"/>
    </row>
    <row r="142" spans="10:26"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91"/>
      <c r="V142" s="91"/>
      <c r="W142" s="19"/>
      <c r="X142" s="19"/>
      <c r="Y142" s="19"/>
      <c r="Z142" s="19"/>
    </row>
    <row r="143" spans="10:26"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91"/>
      <c r="V143" s="91"/>
      <c r="W143" s="19"/>
      <c r="X143" s="19"/>
      <c r="Y143" s="19"/>
      <c r="Z143" s="19"/>
    </row>
    <row r="144" spans="10:26"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91"/>
      <c r="V144" s="91"/>
      <c r="W144" s="19"/>
      <c r="X144" s="19"/>
      <c r="Y144" s="19"/>
      <c r="Z144" s="19"/>
    </row>
    <row r="145" spans="10:26"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91"/>
      <c r="V145" s="91"/>
      <c r="W145" s="19"/>
      <c r="X145" s="19"/>
      <c r="Y145" s="19"/>
      <c r="Z145" s="19"/>
    </row>
    <row r="146" spans="10:26"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91"/>
      <c r="V146" s="91"/>
      <c r="W146" s="19"/>
      <c r="X146" s="19"/>
      <c r="Y146" s="19"/>
      <c r="Z146" s="19"/>
    </row>
    <row r="147" spans="10:26"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91"/>
      <c r="V147" s="91"/>
      <c r="W147" s="19"/>
      <c r="X147" s="19"/>
      <c r="Y147" s="19"/>
      <c r="Z147" s="19"/>
    </row>
    <row r="148" spans="10:26"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91"/>
      <c r="V148" s="91"/>
      <c r="W148" s="19"/>
      <c r="X148" s="19"/>
      <c r="Y148" s="19"/>
      <c r="Z148" s="19"/>
    </row>
    <row r="149" spans="10:26"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91"/>
      <c r="V149" s="91"/>
      <c r="W149" s="19"/>
      <c r="X149" s="19"/>
      <c r="Y149" s="19"/>
      <c r="Z149" s="19"/>
    </row>
    <row r="150" spans="10:26"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91"/>
      <c r="V150" s="91"/>
      <c r="W150" s="19"/>
      <c r="X150" s="19"/>
      <c r="Y150" s="19"/>
      <c r="Z150" s="19"/>
    </row>
    <row r="151" spans="10:26"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91"/>
      <c r="V151" s="91"/>
      <c r="W151" s="19"/>
      <c r="X151" s="19"/>
      <c r="Y151" s="19"/>
      <c r="Z151" s="19"/>
    </row>
    <row r="152" spans="10:26"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91"/>
      <c r="V152" s="91"/>
      <c r="W152" s="19"/>
      <c r="X152" s="19"/>
      <c r="Y152" s="19"/>
      <c r="Z152" s="19"/>
    </row>
    <row r="153" spans="10:26"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91"/>
      <c r="V153" s="91"/>
      <c r="W153" s="19"/>
      <c r="X153" s="19"/>
      <c r="Y153" s="19"/>
      <c r="Z153" s="19"/>
    </row>
    <row r="154" spans="10:26"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91"/>
      <c r="V154" s="91"/>
      <c r="W154" s="19"/>
      <c r="X154" s="19"/>
      <c r="Y154" s="19"/>
      <c r="Z154" s="19"/>
    </row>
    <row r="155" spans="10:26"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91"/>
      <c r="V155" s="91"/>
      <c r="W155" s="19"/>
      <c r="X155" s="19"/>
      <c r="Y155" s="19"/>
      <c r="Z155" s="19"/>
    </row>
    <row r="156" spans="10:26"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91"/>
      <c r="V156" s="91"/>
      <c r="W156" s="19"/>
      <c r="X156" s="19"/>
      <c r="Y156" s="19"/>
      <c r="Z156" s="19"/>
    </row>
    <row r="157" spans="10:26"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91"/>
      <c r="V157" s="91"/>
      <c r="W157" s="19"/>
      <c r="X157" s="19"/>
      <c r="Y157" s="19"/>
      <c r="Z157" s="19"/>
    </row>
    <row r="158" spans="10:26"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91"/>
      <c r="V158" s="91"/>
      <c r="W158" s="19"/>
      <c r="X158" s="19"/>
      <c r="Y158" s="19"/>
      <c r="Z158" s="19"/>
    </row>
    <row r="159" spans="10:26"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91"/>
      <c r="V159" s="91"/>
      <c r="W159" s="19"/>
      <c r="X159" s="19"/>
      <c r="Y159" s="19"/>
      <c r="Z159" s="19"/>
    </row>
    <row r="160" spans="10:26"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91"/>
      <c r="V160" s="91"/>
      <c r="W160" s="19"/>
      <c r="X160" s="19"/>
      <c r="Y160" s="19"/>
      <c r="Z160" s="19"/>
    </row>
    <row r="161" spans="10:26"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91"/>
      <c r="V161" s="91"/>
      <c r="W161" s="19"/>
      <c r="X161" s="19"/>
      <c r="Y161" s="19"/>
      <c r="Z161" s="19"/>
    </row>
    <row r="162" spans="10:26"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91"/>
      <c r="V162" s="91"/>
      <c r="W162" s="19"/>
      <c r="X162" s="19"/>
      <c r="Y162" s="19"/>
      <c r="Z162" s="19"/>
    </row>
    <row r="163" spans="10:26"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91"/>
      <c r="V163" s="91"/>
      <c r="W163" s="19"/>
      <c r="X163" s="19"/>
      <c r="Y163" s="19"/>
      <c r="Z163" s="19"/>
    </row>
    <row r="164" spans="10:26"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91"/>
      <c r="V164" s="91"/>
      <c r="W164" s="19"/>
      <c r="X164" s="19"/>
      <c r="Y164" s="19"/>
      <c r="Z164" s="19"/>
    </row>
    <row r="165" spans="10:26"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91"/>
      <c r="V165" s="91"/>
      <c r="W165" s="19"/>
      <c r="X165" s="19"/>
      <c r="Y165" s="19"/>
      <c r="Z165" s="19"/>
    </row>
    <row r="166" spans="10:26"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91"/>
      <c r="V166" s="91"/>
      <c r="W166" s="19"/>
      <c r="X166" s="19"/>
      <c r="Y166" s="19"/>
      <c r="Z166" s="19"/>
    </row>
    <row r="167" spans="10:26"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91"/>
      <c r="V167" s="91"/>
      <c r="W167" s="19"/>
      <c r="X167" s="19"/>
      <c r="Y167" s="19"/>
      <c r="Z167" s="19"/>
    </row>
    <row r="168" spans="10:26"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91"/>
      <c r="V168" s="91"/>
      <c r="W168" s="19"/>
      <c r="X168" s="19"/>
      <c r="Y168" s="19"/>
      <c r="Z168" s="19"/>
    </row>
    <row r="169" spans="10:26"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91"/>
      <c r="V169" s="91"/>
      <c r="W169" s="19"/>
      <c r="X169" s="19"/>
      <c r="Y169" s="19"/>
      <c r="Z169" s="19"/>
    </row>
    <row r="170" spans="10:26"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91"/>
      <c r="V170" s="91"/>
      <c r="W170" s="19"/>
      <c r="X170" s="19"/>
      <c r="Y170" s="19"/>
      <c r="Z170" s="19"/>
    </row>
    <row r="171" spans="10:26"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91"/>
      <c r="V171" s="91"/>
      <c r="W171" s="19"/>
      <c r="X171" s="19"/>
      <c r="Y171" s="19"/>
      <c r="Z171" s="19"/>
    </row>
    <row r="172" spans="10:26"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91"/>
      <c r="V172" s="91"/>
      <c r="W172" s="19"/>
      <c r="X172" s="19"/>
      <c r="Y172" s="19"/>
      <c r="Z172" s="19"/>
    </row>
    <row r="173" spans="10:26"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91"/>
      <c r="V173" s="91"/>
      <c r="W173" s="19"/>
      <c r="X173" s="19"/>
      <c r="Y173" s="19"/>
      <c r="Z173" s="19"/>
    </row>
    <row r="174" spans="10:26"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91"/>
      <c r="V174" s="91"/>
      <c r="W174" s="19"/>
      <c r="X174" s="19"/>
      <c r="Y174" s="19"/>
      <c r="Z174" s="19"/>
    </row>
    <row r="175" spans="10:26"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91"/>
      <c r="V175" s="91"/>
      <c r="W175" s="19"/>
      <c r="X175" s="19"/>
      <c r="Y175" s="19"/>
      <c r="Z175" s="19"/>
    </row>
    <row r="176" spans="10:26"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91"/>
      <c r="V176" s="91"/>
      <c r="W176" s="19"/>
      <c r="X176" s="19"/>
      <c r="Y176" s="19"/>
      <c r="Z176" s="19"/>
    </row>
    <row r="177" spans="10:26"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91"/>
      <c r="V177" s="91"/>
      <c r="W177" s="19"/>
      <c r="X177" s="19"/>
      <c r="Y177" s="19"/>
      <c r="Z177" s="19"/>
    </row>
    <row r="178" spans="10:26"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91"/>
      <c r="V178" s="91"/>
      <c r="W178" s="19"/>
      <c r="X178" s="19"/>
      <c r="Y178" s="19"/>
      <c r="Z178" s="19"/>
    </row>
    <row r="179" spans="10:26"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91"/>
      <c r="V179" s="91"/>
      <c r="W179" s="19"/>
      <c r="X179" s="19"/>
      <c r="Y179" s="19"/>
      <c r="Z179" s="19"/>
    </row>
    <row r="180" spans="10:26"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91"/>
      <c r="V180" s="91"/>
      <c r="W180" s="19"/>
      <c r="X180" s="19"/>
      <c r="Y180" s="19"/>
      <c r="Z180" s="19"/>
    </row>
    <row r="181" spans="10:26"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91"/>
      <c r="V181" s="91"/>
      <c r="W181" s="19"/>
      <c r="X181" s="19"/>
      <c r="Y181" s="19"/>
      <c r="Z181" s="19"/>
    </row>
    <row r="182" spans="10:26"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91"/>
      <c r="V182" s="91"/>
      <c r="W182" s="19"/>
      <c r="X182" s="19"/>
      <c r="Y182" s="19"/>
      <c r="Z182" s="19"/>
    </row>
    <row r="183" spans="10:26"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91"/>
      <c r="V183" s="91"/>
      <c r="W183" s="19"/>
      <c r="X183" s="19"/>
      <c r="Y183" s="19"/>
      <c r="Z183" s="19"/>
    </row>
    <row r="184" spans="10:26"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91"/>
      <c r="V184" s="91"/>
      <c r="W184" s="19"/>
      <c r="X184" s="19"/>
      <c r="Y184" s="19"/>
      <c r="Z184" s="19"/>
    </row>
    <row r="185" spans="10:26"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91"/>
      <c r="V185" s="91"/>
      <c r="W185" s="19"/>
      <c r="X185" s="19"/>
      <c r="Y185" s="19"/>
      <c r="Z185" s="19"/>
    </row>
    <row r="186" spans="10:26"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91"/>
      <c r="V186" s="91"/>
      <c r="W186" s="19"/>
      <c r="X186" s="19"/>
      <c r="Y186" s="19"/>
      <c r="Z186" s="19"/>
    </row>
    <row r="187" spans="10:26"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91"/>
      <c r="V187" s="91"/>
      <c r="W187" s="19"/>
      <c r="X187" s="19"/>
      <c r="Y187" s="19"/>
      <c r="Z187" s="19"/>
    </row>
    <row r="188" spans="10:26"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91"/>
      <c r="V188" s="91"/>
      <c r="W188" s="19"/>
      <c r="X188" s="19"/>
      <c r="Y188" s="19"/>
      <c r="Z188" s="19"/>
    </row>
    <row r="189" spans="10:26"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91"/>
      <c r="V189" s="91"/>
      <c r="W189" s="19"/>
      <c r="X189" s="19"/>
      <c r="Y189" s="19"/>
      <c r="Z189" s="19"/>
    </row>
    <row r="190" spans="10:26"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91"/>
      <c r="V190" s="91"/>
      <c r="W190" s="19"/>
      <c r="X190" s="19"/>
      <c r="Y190" s="19"/>
      <c r="Z190" s="19"/>
    </row>
    <row r="191" spans="10:26"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91"/>
      <c r="V191" s="91"/>
      <c r="W191" s="19"/>
      <c r="X191" s="19"/>
      <c r="Y191" s="19"/>
      <c r="Z191" s="19"/>
    </row>
    <row r="192" spans="10:26"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91"/>
      <c r="V192" s="91"/>
      <c r="W192" s="19"/>
      <c r="X192" s="19"/>
      <c r="Y192" s="19"/>
      <c r="Z192" s="19"/>
    </row>
    <row r="193" spans="10:26"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91"/>
      <c r="V193" s="91"/>
      <c r="W193" s="19"/>
      <c r="X193" s="19"/>
      <c r="Y193" s="19"/>
      <c r="Z193" s="19"/>
    </row>
    <row r="194" spans="10:26"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91"/>
      <c r="V194" s="91"/>
      <c r="W194" s="19"/>
      <c r="X194" s="19"/>
      <c r="Y194" s="19"/>
      <c r="Z194" s="19"/>
    </row>
    <row r="195" spans="10:26"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91"/>
      <c r="V195" s="91"/>
      <c r="W195" s="19"/>
      <c r="X195" s="19"/>
      <c r="Y195" s="19"/>
      <c r="Z195" s="19"/>
    </row>
    <row r="196" spans="10:26"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91"/>
      <c r="V196" s="91"/>
      <c r="W196" s="19"/>
      <c r="X196" s="19"/>
      <c r="Y196" s="19"/>
      <c r="Z196" s="19"/>
    </row>
    <row r="197" spans="10:26"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91"/>
      <c r="V197" s="91"/>
      <c r="W197" s="19"/>
      <c r="X197" s="19"/>
      <c r="Y197" s="19"/>
      <c r="Z197" s="19"/>
    </row>
    <row r="198" spans="10:26"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91"/>
      <c r="V198" s="91"/>
      <c r="W198" s="19"/>
      <c r="X198" s="19"/>
      <c r="Y198" s="19"/>
      <c r="Z198" s="19"/>
    </row>
    <row r="199" spans="10:26"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91"/>
      <c r="V199" s="91"/>
      <c r="W199" s="19"/>
      <c r="X199" s="19"/>
      <c r="Y199" s="19"/>
      <c r="Z199" s="19"/>
    </row>
    <row r="200" spans="10:26"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91"/>
      <c r="V200" s="91"/>
      <c r="W200" s="19"/>
      <c r="X200" s="19"/>
      <c r="Y200" s="19"/>
      <c r="Z200" s="19"/>
    </row>
    <row r="201" spans="10:26"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91"/>
      <c r="V201" s="91"/>
      <c r="W201" s="19"/>
      <c r="X201" s="19"/>
      <c r="Y201" s="19"/>
      <c r="Z201" s="19"/>
    </row>
    <row r="202" spans="10:26"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91"/>
      <c r="V202" s="91"/>
      <c r="W202" s="19"/>
      <c r="X202" s="19"/>
      <c r="Y202" s="19"/>
      <c r="Z202" s="19"/>
    </row>
    <row r="203" spans="10:26"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91"/>
      <c r="V203" s="91"/>
      <c r="W203" s="19"/>
      <c r="X203" s="19"/>
      <c r="Y203" s="19"/>
      <c r="Z203" s="19"/>
    </row>
    <row r="204" spans="10:26"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91"/>
      <c r="V204" s="91"/>
      <c r="W204" s="19"/>
      <c r="X204" s="19"/>
      <c r="Y204" s="19"/>
      <c r="Z204" s="19"/>
    </row>
    <row r="205" spans="10:26"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91"/>
      <c r="V205" s="91"/>
      <c r="W205" s="19"/>
      <c r="X205" s="19"/>
      <c r="Y205" s="19"/>
      <c r="Z205" s="19"/>
    </row>
    <row r="206" spans="10:26"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91"/>
      <c r="V206" s="91"/>
      <c r="W206" s="19"/>
      <c r="X206" s="19"/>
      <c r="Y206" s="19"/>
      <c r="Z206" s="19"/>
    </row>
    <row r="207" spans="10:26"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91"/>
      <c r="V207" s="91"/>
      <c r="W207" s="19"/>
      <c r="X207" s="19"/>
      <c r="Y207" s="19"/>
      <c r="Z207" s="19"/>
    </row>
    <row r="208" spans="10:26"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91"/>
      <c r="V208" s="91"/>
      <c r="W208" s="19"/>
      <c r="X208" s="19"/>
      <c r="Y208" s="19"/>
      <c r="Z208" s="19"/>
    </row>
    <row r="209" spans="10:26"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91"/>
      <c r="V209" s="91"/>
      <c r="W209" s="19"/>
      <c r="X209" s="19"/>
      <c r="Y209" s="19"/>
      <c r="Z209" s="19"/>
    </row>
    <row r="210" spans="10:26"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91"/>
      <c r="V210" s="91"/>
      <c r="W210" s="19"/>
      <c r="X210" s="19"/>
      <c r="Y210" s="19"/>
      <c r="Z210" s="19"/>
    </row>
    <row r="211" spans="10:26"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91"/>
      <c r="V211" s="91"/>
      <c r="W211" s="19"/>
      <c r="X211" s="19"/>
      <c r="Y211" s="19"/>
      <c r="Z211" s="19"/>
    </row>
    <row r="212" spans="10:26"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91"/>
      <c r="V212" s="91"/>
      <c r="W212" s="19"/>
      <c r="X212" s="19"/>
      <c r="Y212" s="19"/>
      <c r="Z212" s="19"/>
    </row>
    <row r="213" spans="10:26"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91"/>
      <c r="V213" s="91"/>
      <c r="W213" s="19"/>
      <c r="X213" s="19"/>
      <c r="Y213" s="19"/>
      <c r="Z213" s="19"/>
    </row>
    <row r="214" spans="10:26"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91"/>
      <c r="V214" s="91"/>
      <c r="W214" s="19"/>
      <c r="X214" s="19"/>
      <c r="Y214" s="19"/>
      <c r="Z214" s="19"/>
    </row>
    <row r="215" spans="10:26"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91"/>
      <c r="V215" s="91"/>
      <c r="W215" s="19"/>
      <c r="X215" s="19"/>
      <c r="Y215" s="19"/>
      <c r="Z215" s="19"/>
    </row>
    <row r="216" spans="10:26"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91"/>
      <c r="V216" s="91"/>
      <c r="W216" s="19"/>
      <c r="X216" s="19"/>
      <c r="Y216" s="19"/>
      <c r="Z216" s="19"/>
    </row>
    <row r="217" spans="10:26"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91"/>
      <c r="V217" s="91"/>
      <c r="W217" s="19"/>
      <c r="X217" s="19"/>
      <c r="Y217" s="19"/>
      <c r="Z217" s="19"/>
    </row>
    <row r="218" spans="10:26"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91"/>
      <c r="V218" s="91"/>
      <c r="W218" s="19"/>
      <c r="X218" s="19"/>
      <c r="Y218" s="19"/>
      <c r="Z218" s="19"/>
    </row>
    <row r="219" spans="10:26"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91"/>
      <c r="V219" s="91"/>
      <c r="W219" s="19"/>
      <c r="X219" s="19"/>
      <c r="Y219" s="19"/>
      <c r="Z219" s="19"/>
    </row>
    <row r="220" spans="10:26"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91"/>
      <c r="V220" s="91"/>
      <c r="W220" s="19"/>
      <c r="X220" s="19"/>
      <c r="Y220" s="19"/>
      <c r="Z220" s="19"/>
    </row>
    <row r="221" spans="10:26"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91"/>
      <c r="V221" s="91"/>
      <c r="W221" s="19"/>
      <c r="X221" s="19"/>
      <c r="Y221" s="19"/>
      <c r="Z221" s="19"/>
    </row>
    <row r="222" spans="10:26"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91"/>
      <c r="V222" s="91"/>
      <c r="W222" s="19"/>
      <c r="X222" s="19"/>
      <c r="Y222" s="19"/>
      <c r="Z222" s="19"/>
    </row>
    <row r="223" spans="10:26"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91"/>
      <c r="V223" s="91"/>
      <c r="W223" s="19"/>
      <c r="X223" s="19"/>
      <c r="Y223" s="19"/>
      <c r="Z223" s="19"/>
    </row>
    <row r="224" spans="10:26"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91"/>
      <c r="V224" s="91"/>
      <c r="W224" s="19"/>
      <c r="X224" s="19"/>
      <c r="Y224" s="19"/>
      <c r="Z224" s="19"/>
    </row>
    <row r="225" spans="10:26"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91"/>
      <c r="V225" s="91"/>
      <c r="W225" s="19"/>
      <c r="X225" s="19"/>
      <c r="Y225" s="19"/>
      <c r="Z225" s="19"/>
    </row>
    <row r="226" spans="10:26"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91"/>
      <c r="V226" s="91"/>
      <c r="W226" s="19"/>
      <c r="X226" s="19"/>
      <c r="Y226" s="19"/>
      <c r="Z226" s="19"/>
    </row>
    <row r="227" spans="10:26"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91"/>
      <c r="V227" s="91"/>
      <c r="W227" s="19"/>
      <c r="X227" s="19"/>
      <c r="Y227" s="19"/>
      <c r="Z227" s="19"/>
    </row>
    <row r="228" spans="10:26"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91"/>
      <c r="V228" s="91"/>
      <c r="W228" s="19"/>
      <c r="X228" s="19"/>
      <c r="Y228" s="19"/>
      <c r="Z228" s="19"/>
    </row>
    <row r="229" spans="10:26"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91"/>
      <c r="V229" s="91"/>
      <c r="W229" s="19"/>
      <c r="X229" s="19"/>
      <c r="Y229" s="19"/>
      <c r="Z229" s="19"/>
    </row>
    <row r="230" spans="10:26"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91"/>
      <c r="V230" s="91"/>
      <c r="W230" s="19"/>
      <c r="X230" s="19"/>
      <c r="Y230" s="19"/>
      <c r="Z230" s="19"/>
    </row>
    <row r="231" spans="10:26"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91"/>
      <c r="V231" s="91"/>
      <c r="W231" s="19"/>
      <c r="X231" s="19"/>
      <c r="Y231" s="19"/>
      <c r="Z231" s="19"/>
    </row>
    <row r="232" spans="10:26"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91"/>
      <c r="V232" s="91"/>
      <c r="W232" s="19"/>
      <c r="X232" s="19"/>
      <c r="Y232" s="19"/>
      <c r="Z232" s="19"/>
    </row>
    <row r="233" spans="10:26"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91"/>
      <c r="V233" s="91"/>
      <c r="W233" s="19"/>
      <c r="X233" s="19"/>
      <c r="Y233" s="19"/>
      <c r="Z233" s="19"/>
    </row>
    <row r="234" spans="10:26"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91"/>
      <c r="V234" s="91"/>
      <c r="W234" s="19"/>
      <c r="X234" s="19"/>
      <c r="Y234" s="19"/>
      <c r="Z234" s="19"/>
    </row>
    <row r="235" spans="10:26"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91"/>
      <c r="V235" s="91"/>
      <c r="W235" s="19"/>
      <c r="X235" s="19"/>
      <c r="Y235" s="19"/>
      <c r="Z235" s="19"/>
    </row>
    <row r="236" spans="10:26"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91"/>
      <c r="V236" s="91"/>
      <c r="W236" s="19"/>
      <c r="X236" s="19"/>
      <c r="Y236" s="19"/>
      <c r="Z236" s="19"/>
    </row>
    <row r="237" spans="10:26"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91"/>
      <c r="V237" s="91"/>
      <c r="W237" s="19"/>
      <c r="X237" s="19"/>
      <c r="Y237" s="19"/>
      <c r="Z237" s="19"/>
    </row>
    <row r="238" spans="10:26"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91"/>
      <c r="V238" s="91"/>
      <c r="W238" s="19"/>
      <c r="X238" s="19"/>
      <c r="Y238" s="19"/>
      <c r="Z238" s="19"/>
    </row>
    <row r="239" spans="10:26"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91"/>
      <c r="V239" s="91"/>
      <c r="W239" s="19"/>
      <c r="X239" s="19"/>
      <c r="Y239" s="19"/>
      <c r="Z239" s="19"/>
    </row>
    <row r="240" spans="10:26"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91"/>
      <c r="V240" s="91"/>
      <c r="W240" s="19"/>
      <c r="X240" s="19"/>
      <c r="Y240" s="19"/>
      <c r="Z240" s="19"/>
    </row>
    <row r="241" spans="10:26"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91"/>
      <c r="V241" s="91"/>
      <c r="W241" s="19"/>
      <c r="X241" s="19"/>
      <c r="Y241" s="19"/>
      <c r="Z241" s="19"/>
    </row>
    <row r="242" spans="10:26"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91"/>
      <c r="V242" s="91"/>
      <c r="W242" s="19"/>
      <c r="X242" s="19"/>
      <c r="Y242" s="19"/>
      <c r="Z242" s="19"/>
    </row>
    <row r="243" spans="10:26"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91"/>
      <c r="V243" s="91"/>
      <c r="W243" s="19"/>
      <c r="X243" s="19"/>
      <c r="Y243" s="19"/>
      <c r="Z243" s="19"/>
    </row>
    <row r="244" spans="10:26"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91"/>
      <c r="V244" s="91"/>
      <c r="W244" s="19"/>
      <c r="X244" s="19"/>
      <c r="Y244" s="19"/>
      <c r="Z244" s="19"/>
    </row>
    <row r="245" spans="10:26"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91"/>
      <c r="V245" s="91"/>
      <c r="W245" s="19"/>
      <c r="X245" s="19"/>
      <c r="Y245" s="19"/>
      <c r="Z245" s="19"/>
    </row>
    <row r="246" spans="10:26"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91"/>
      <c r="V246" s="91"/>
      <c r="W246" s="19"/>
      <c r="X246" s="19"/>
      <c r="Y246" s="19"/>
      <c r="Z246" s="19"/>
    </row>
    <row r="247" spans="10:26"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91"/>
      <c r="V247" s="91"/>
      <c r="W247" s="19"/>
      <c r="X247" s="19"/>
      <c r="Y247" s="19"/>
      <c r="Z247" s="19"/>
    </row>
    <row r="248" spans="10:26"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91"/>
      <c r="V248" s="91"/>
      <c r="W248" s="19"/>
      <c r="X248" s="19"/>
      <c r="Y248" s="19"/>
      <c r="Z248" s="19"/>
    </row>
    <row r="249" spans="10:26"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91"/>
      <c r="V249" s="91"/>
      <c r="W249" s="19"/>
      <c r="X249" s="19"/>
      <c r="Y249" s="19"/>
      <c r="Z249" s="19"/>
    </row>
    <row r="250" spans="10:26"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91"/>
      <c r="V250" s="91"/>
      <c r="W250" s="19"/>
      <c r="X250" s="19"/>
      <c r="Y250" s="19"/>
      <c r="Z250" s="19"/>
    </row>
    <row r="251" spans="10:26"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91"/>
      <c r="V251" s="91"/>
      <c r="W251" s="19"/>
      <c r="X251" s="19"/>
      <c r="Y251" s="19"/>
      <c r="Z251" s="19"/>
    </row>
    <row r="252" spans="10:26"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91"/>
      <c r="V252" s="91"/>
      <c r="W252" s="19"/>
      <c r="X252" s="19"/>
      <c r="Y252" s="19"/>
      <c r="Z252" s="19"/>
    </row>
    <row r="253" spans="10:26"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91"/>
      <c r="V253" s="91"/>
      <c r="W253" s="19"/>
      <c r="X253" s="19"/>
      <c r="Y253" s="19"/>
      <c r="Z253" s="19"/>
    </row>
    <row r="254" spans="10:26"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91"/>
      <c r="V254" s="91"/>
      <c r="W254" s="19"/>
      <c r="X254" s="19"/>
      <c r="Y254" s="19"/>
      <c r="Z254" s="19"/>
    </row>
    <row r="255" spans="10:26"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91"/>
      <c r="V255" s="91"/>
      <c r="W255" s="19"/>
      <c r="X255" s="19"/>
      <c r="Y255" s="19"/>
      <c r="Z255" s="19"/>
    </row>
    <row r="256" spans="10:26"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91"/>
      <c r="V256" s="91"/>
      <c r="W256" s="19"/>
      <c r="X256" s="19"/>
      <c r="Y256" s="19"/>
      <c r="Z256" s="19"/>
    </row>
    <row r="257" spans="10:26"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91"/>
      <c r="V257" s="91"/>
      <c r="W257" s="19"/>
      <c r="X257" s="19"/>
      <c r="Y257" s="19"/>
      <c r="Z257" s="19"/>
    </row>
    <row r="258" spans="10:26"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91"/>
      <c r="V258" s="91"/>
      <c r="W258" s="19"/>
      <c r="X258" s="19"/>
      <c r="Y258" s="19"/>
      <c r="Z258" s="19"/>
    </row>
    <row r="259" spans="10:26"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91"/>
      <c r="V259" s="91"/>
      <c r="W259" s="19"/>
      <c r="X259" s="19"/>
      <c r="Y259" s="19"/>
      <c r="Z259" s="19"/>
    </row>
    <row r="260" spans="10:26"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91"/>
      <c r="V260" s="91"/>
      <c r="W260" s="19"/>
      <c r="X260" s="19"/>
      <c r="Y260" s="19"/>
      <c r="Z260" s="19"/>
    </row>
    <row r="261" spans="10:26"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91"/>
      <c r="V261" s="91"/>
      <c r="W261" s="19"/>
      <c r="X261" s="19"/>
      <c r="Y261" s="19"/>
      <c r="Z261" s="19"/>
    </row>
    <row r="262" spans="10:26"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91"/>
      <c r="V262" s="91"/>
      <c r="W262" s="19"/>
      <c r="X262" s="19"/>
      <c r="Y262" s="19"/>
      <c r="Z262" s="19"/>
    </row>
    <row r="263" spans="10:26"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91"/>
      <c r="V263" s="91"/>
      <c r="W263" s="19"/>
      <c r="X263" s="19"/>
      <c r="Y263" s="19"/>
      <c r="Z263" s="19"/>
    </row>
    <row r="264" spans="10:26"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91"/>
      <c r="V264" s="91"/>
      <c r="W264" s="19"/>
      <c r="X264" s="19"/>
      <c r="Y264" s="19"/>
      <c r="Z264" s="19"/>
    </row>
    <row r="265" spans="10:26"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91"/>
      <c r="V265" s="91"/>
      <c r="W265" s="19"/>
      <c r="X265" s="19"/>
      <c r="Y265" s="19"/>
      <c r="Z265" s="19"/>
    </row>
    <row r="266" spans="10:26"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91"/>
      <c r="V266" s="91"/>
      <c r="W266" s="19"/>
      <c r="X266" s="19"/>
      <c r="Y266" s="19"/>
      <c r="Z266" s="19"/>
    </row>
    <row r="267" spans="10:26"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91"/>
      <c r="V267" s="91"/>
      <c r="W267" s="19"/>
      <c r="X267" s="19"/>
      <c r="Y267" s="19"/>
      <c r="Z267" s="19"/>
    </row>
    <row r="268" spans="10:26"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91"/>
      <c r="V268" s="91"/>
      <c r="W268" s="19"/>
      <c r="X268" s="19"/>
      <c r="Y268" s="19"/>
      <c r="Z268" s="19"/>
    </row>
    <row r="269" spans="10:26"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91"/>
      <c r="V269" s="91"/>
      <c r="W269" s="19"/>
      <c r="X269" s="19"/>
      <c r="Y269" s="19"/>
      <c r="Z269" s="19"/>
    </row>
    <row r="270" spans="10:26"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91"/>
      <c r="V270" s="91"/>
      <c r="W270" s="19"/>
      <c r="X270" s="19"/>
      <c r="Y270" s="19"/>
      <c r="Z270" s="19"/>
    </row>
    <row r="271" spans="10:26"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91"/>
      <c r="V271" s="91"/>
      <c r="W271" s="19"/>
      <c r="X271" s="19"/>
      <c r="Y271" s="19"/>
      <c r="Z271" s="19"/>
    </row>
    <row r="272" spans="10:26"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91"/>
      <c r="V272" s="91"/>
      <c r="W272" s="19"/>
      <c r="X272" s="19"/>
      <c r="Y272" s="19"/>
      <c r="Z272" s="19"/>
    </row>
    <row r="273" spans="10:26"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91"/>
      <c r="V273" s="91"/>
      <c r="W273" s="19"/>
      <c r="X273" s="19"/>
      <c r="Y273" s="19"/>
      <c r="Z273" s="19"/>
    </row>
    <row r="274" spans="10:26"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91"/>
      <c r="V274" s="91"/>
      <c r="W274" s="19"/>
      <c r="X274" s="19"/>
      <c r="Y274" s="19"/>
      <c r="Z274" s="19"/>
    </row>
    <row r="275" spans="10:26"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91"/>
      <c r="V275" s="91"/>
      <c r="W275" s="19"/>
      <c r="X275" s="19"/>
      <c r="Y275" s="19"/>
      <c r="Z275" s="19"/>
    </row>
    <row r="276" spans="10:26"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91"/>
      <c r="V276" s="91"/>
      <c r="W276" s="19"/>
      <c r="X276" s="19"/>
      <c r="Y276" s="19"/>
      <c r="Z276" s="19"/>
    </row>
    <row r="277" spans="10:26"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91"/>
      <c r="V277" s="91"/>
      <c r="W277" s="19"/>
      <c r="X277" s="19"/>
      <c r="Y277" s="19"/>
      <c r="Z277" s="19"/>
    </row>
    <row r="278" spans="10:26"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91"/>
      <c r="V278" s="91"/>
      <c r="W278" s="19"/>
      <c r="X278" s="19"/>
      <c r="Y278" s="19"/>
      <c r="Z278" s="19"/>
    </row>
    <row r="279" spans="10:26"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91"/>
      <c r="V279" s="91"/>
      <c r="W279" s="19"/>
      <c r="X279" s="19"/>
      <c r="Y279" s="19"/>
      <c r="Z279" s="19"/>
    </row>
    <row r="280" spans="10:26"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91"/>
      <c r="V280" s="91"/>
      <c r="W280" s="19"/>
      <c r="X280" s="19"/>
      <c r="Y280" s="19"/>
      <c r="Z280" s="19"/>
    </row>
    <row r="281" spans="10:26"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91"/>
      <c r="V281" s="91"/>
      <c r="W281" s="19"/>
      <c r="X281" s="19"/>
      <c r="Y281" s="19"/>
      <c r="Z281" s="19"/>
    </row>
    <row r="282" spans="10:26"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91"/>
      <c r="V282" s="91"/>
      <c r="W282" s="19"/>
      <c r="X282" s="19"/>
      <c r="Y282" s="19"/>
      <c r="Z282" s="19"/>
    </row>
    <row r="283" spans="10:26"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91"/>
      <c r="V283" s="91"/>
      <c r="W283" s="19"/>
      <c r="X283" s="19"/>
      <c r="Y283" s="19"/>
      <c r="Z283" s="19"/>
    </row>
    <row r="284" spans="10:26"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91"/>
      <c r="V284" s="91"/>
      <c r="W284" s="19"/>
      <c r="X284" s="19"/>
      <c r="Y284" s="19"/>
      <c r="Z284" s="19"/>
    </row>
    <row r="285" spans="10:26"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91"/>
      <c r="V285" s="91"/>
      <c r="W285" s="19"/>
      <c r="X285" s="19"/>
      <c r="Y285" s="19"/>
      <c r="Z285" s="19"/>
    </row>
    <row r="286" spans="10:26"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91"/>
      <c r="V286" s="91"/>
      <c r="W286" s="19"/>
      <c r="X286" s="19"/>
      <c r="Y286" s="19"/>
      <c r="Z286" s="19"/>
    </row>
    <row r="287" spans="10:26"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91"/>
      <c r="V287" s="91"/>
      <c r="W287" s="19"/>
      <c r="X287" s="19"/>
      <c r="Y287" s="19"/>
      <c r="Z287" s="19"/>
    </row>
    <row r="288" spans="10:26"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91"/>
      <c r="V288" s="91"/>
      <c r="W288" s="19"/>
      <c r="X288" s="19"/>
      <c r="Y288" s="19"/>
      <c r="Z288" s="19"/>
    </row>
    <row r="289" spans="10:26"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91"/>
      <c r="V289" s="91"/>
      <c r="W289" s="19"/>
      <c r="X289" s="19"/>
      <c r="Y289" s="19"/>
      <c r="Z289" s="19"/>
    </row>
    <row r="290" spans="10:26"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91"/>
      <c r="V290" s="91"/>
      <c r="W290" s="19"/>
      <c r="X290" s="19"/>
      <c r="Y290" s="19"/>
      <c r="Z290" s="19"/>
    </row>
    <row r="291" spans="10:26"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91"/>
      <c r="V291" s="91"/>
      <c r="W291" s="19"/>
      <c r="X291" s="19"/>
      <c r="Y291" s="19"/>
      <c r="Z291" s="19"/>
    </row>
    <row r="292" spans="10:26"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91"/>
      <c r="V292" s="91"/>
      <c r="W292" s="19"/>
      <c r="X292" s="19"/>
      <c r="Y292" s="19"/>
      <c r="Z292" s="19"/>
    </row>
    <row r="293" spans="10:26"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91"/>
      <c r="V293" s="91"/>
      <c r="W293" s="19"/>
      <c r="X293" s="19"/>
      <c r="Y293" s="19"/>
      <c r="Z293" s="19"/>
    </row>
    <row r="294" spans="10:26"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91"/>
      <c r="V294" s="91"/>
      <c r="W294" s="19"/>
      <c r="X294" s="19"/>
      <c r="Y294" s="19"/>
      <c r="Z294" s="19"/>
    </row>
    <row r="295" spans="10:26"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91"/>
      <c r="V295" s="91"/>
      <c r="W295" s="19"/>
      <c r="X295" s="19"/>
      <c r="Y295" s="19"/>
      <c r="Z295" s="19"/>
    </row>
    <row r="296" spans="10:26"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91"/>
      <c r="V296" s="91"/>
      <c r="W296" s="19"/>
      <c r="X296" s="19"/>
      <c r="Y296" s="19"/>
      <c r="Z296" s="19"/>
    </row>
    <row r="297" spans="10:26"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91"/>
      <c r="V297" s="91"/>
      <c r="W297" s="19"/>
      <c r="X297" s="19"/>
      <c r="Y297" s="19"/>
      <c r="Z297" s="19"/>
    </row>
    <row r="298" spans="10:26"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91"/>
      <c r="V298" s="91"/>
      <c r="W298" s="19"/>
      <c r="X298" s="19"/>
      <c r="Y298" s="19"/>
      <c r="Z298" s="19"/>
    </row>
    <row r="299" spans="10:26"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91"/>
      <c r="V299" s="91"/>
      <c r="W299" s="19"/>
      <c r="X299" s="19"/>
      <c r="Y299" s="19"/>
      <c r="Z299" s="19"/>
    </row>
    <row r="300" spans="10:26"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91"/>
      <c r="V300" s="91"/>
      <c r="W300" s="19"/>
      <c r="X300" s="19"/>
      <c r="Y300" s="19"/>
      <c r="Z300" s="19"/>
    </row>
    <row r="301" spans="10:26"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91"/>
      <c r="V301" s="91"/>
      <c r="W301" s="19"/>
      <c r="X301" s="19"/>
      <c r="Y301" s="19"/>
      <c r="Z301" s="19"/>
    </row>
    <row r="302" spans="10:26"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91"/>
      <c r="V302" s="91"/>
      <c r="W302" s="19"/>
      <c r="X302" s="19"/>
      <c r="Y302" s="19"/>
      <c r="Z302" s="19"/>
    </row>
    <row r="303" spans="10:26"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91"/>
      <c r="V303" s="91"/>
      <c r="W303" s="19"/>
      <c r="X303" s="19"/>
      <c r="Y303" s="19"/>
      <c r="Z303" s="19"/>
    </row>
    <row r="304" spans="10:26"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91"/>
      <c r="V304" s="91"/>
      <c r="W304" s="19"/>
      <c r="X304" s="19"/>
      <c r="Y304" s="19"/>
      <c r="Z304" s="19"/>
    </row>
    <row r="305" spans="10:26"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91"/>
      <c r="V305" s="91"/>
      <c r="W305" s="19"/>
      <c r="X305" s="19"/>
      <c r="Y305" s="19"/>
      <c r="Z305" s="19"/>
    </row>
    <row r="306" spans="10:26"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91"/>
      <c r="V306" s="91"/>
      <c r="W306" s="19"/>
      <c r="X306" s="19"/>
      <c r="Y306" s="19"/>
      <c r="Z306" s="19"/>
    </row>
    <row r="307" spans="10:26"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91"/>
      <c r="V307" s="91"/>
      <c r="W307" s="19"/>
      <c r="X307" s="19"/>
      <c r="Y307" s="19"/>
      <c r="Z307" s="19"/>
    </row>
    <row r="308" spans="10:26"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91"/>
      <c r="V308" s="91"/>
      <c r="W308" s="19"/>
      <c r="X308" s="19"/>
      <c r="Y308" s="19"/>
      <c r="Z308" s="19"/>
    </row>
    <row r="309" spans="10:26"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91"/>
      <c r="V309" s="91"/>
      <c r="W309" s="19"/>
      <c r="X309" s="19"/>
      <c r="Y309" s="19"/>
      <c r="Z309" s="19"/>
    </row>
    <row r="310" spans="10:26"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91"/>
      <c r="V310" s="91"/>
      <c r="W310" s="19"/>
      <c r="X310" s="19"/>
      <c r="Y310" s="19"/>
      <c r="Z310" s="19"/>
    </row>
    <row r="311" spans="10:26"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91"/>
      <c r="V311" s="91"/>
      <c r="W311" s="19"/>
      <c r="X311" s="19"/>
      <c r="Y311" s="19"/>
      <c r="Z311" s="19"/>
    </row>
    <row r="312" spans="10:26"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91"/>
      <c r="V312" s="91"/>
      <c r="W312" s="19"/>
      <c r="X312" s="19"/>
      <c r="Y312" s="19"/>
      <c r="Z312" s="19"/>
    </row>
    <row r="313" spans="10:26"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91"/>
      <c r="V313" s="91"/>
      <c r="W313" s="19"/>
      <c r="X313" s="19"/>
      <c r="Y313" s="19"/>
      <c r="Z313" s="19"/>
    </row>
    <row r="314" spans="10:26"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91"/>
      <c r="V314" s="91"/>
      <c r="W314" s="19"/>
      <c r="X314" s="19"/>
      <c r="Y314" s="19"/>
      <c r="Z314" s="19"/>
    </row>
    <row r="315" spans="10:26"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91"/>
      <c r="V315" s="91"/>
      <c r="W315" s="19"/>
      <c r="X315" s="19"/>
      <c r="Y315" s="19"/>
      <c r="Z315" s="19"/>
    </row>
    <row r="316" spans="10:26"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91"/>
      <c r="V316" s="91"/>
      <c r="W316" s="19"/>
      <c r="X316" s="19"/>
      <c r="Y316" s="19"/>
      <c r="Z316" s="19"/>
    </row>
    <row r="317" spans="10:26"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91"/>
      <c r="V317" s="91"/>
      <c r="W317" s="19"/>
      <c r="X317" s="19"/>
      <c r="Y317" s="19"/>
      <c r="Z317" s="19"/>
    </row>
    <row r="318" spans="10:26"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91"/>
      <c r="V318" s="91"/>
      <c r="W318" s="19"/>
      <c r="X318" s="19"/>
      <c r="Y318" s="19"/>
      <c r="Z318" s="19"/>
    </row>
    <row r="319" spans="10:26"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91"/>
      <c r="V319" s="91"/>
      <c r="W319" s="19"/>
      <c r="X319" s="19"/>
      <c r="Y319" s="19"/>
      <c r="Z319" s="19"/>
    </row>
    <row r="320" spans="10:26"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91"/>
      <c r="V320" s="91"/>
      <c r="W320" s="19"/>
      <c r="X320" s="19"/>
      <c r="Y320" s="19"/>
      <c r="Z320" s="19"/>
    </row>
    <row r="321" spans="10:26"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91"/>
      <c r="V321" s="91"/>
      <c r="W321" s="19"/>
      <c r="X321" s="19"/>
      <c r="Y321" s="19"/>
      <c r="Z321" s="19"/>
    </row>
    <row r="322" spans="10:26"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91"/>
      <c r="V322" s="91"/>
      <c r="W322" s="19"/>
      <c r="X322" s="19"/>
      <c r="Y322" s="19"/>
      <c r="Z322" s="19"/>
    </row>
    <row r="323" spans="10:26"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91"/>
      <c r="V323" s="91"/>
      <c r="W323" s="19"/>
      <c r="X323" s="19"/>
      <c r="Y323" s="19"/>
      <c r="Z323" s="19"/>
    </row>
    <row r="324" spans="10:26"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91"/>
      <c r="V324" s="91"/>
      <c r="W324" s="19"/>
      <c r="X324" s="19"/>
      <c r="Y324" s="19"/>
      <c r="Z324" s="19"/>
    </row>
    <row r="325" spans="10:26"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91"/>
      <c r="V325" s="91"/>
      <c r="W325" s="19"/>
      <c r="X325" s="19"/>
      <c r="Y325" s="19"/>
      <c r="Z325" s="19"/>
    </row>
    <row r="326" spans="10:26"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91"/>
      <c r="V326" s="91"/>
      <c r="W326" s="19"/>
      <c r="X326" s="19"/>
      <c r="Y326" s="19"/>
      <c r="Z326" s="19"/>
    </row>
    <row r="327" spans="10:26"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91"/>
      <c r="V327" s="91"/>
      <c r="W327" s="19"/>
      <c r="X327" s="19"/>
      <c r="Y327" s="19"/>
      <c r="Z327" s="19"/>
    </row>
    <row r="328" spans="10:26"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91"/>
      <c r="V328" s="91"/>
      <c r="W328" s="19"/>
      <c r="X328" s="19"/>
      <c r="Y328" s="19"/>
      <c r="Z328" s="19"/>
    </row>
    <row r="329" spans="10:26"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91"/>
      <c r="V329" s="91"/>
      <c r="W329" s="19"/>
      <c r="X329" s="19"/>
      <c r="Y329" s="19"/>
      <c r="Z329" s="19"/>
    </row>
    <row r="330" spans="10:26"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91"/>
      <c r="V330" s="91"/>
      <c r="W330" s="19"/>
      <c r="X330" s="19"/>
      <c r="Y330" s="19"/>
      <c r="Z330" s="19"/>
    </row>
    <row r="331" spans="10:26"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91"/>
      <c r="V331" s="91"/>
      <c r="W331" s="19"/>
      <c r="X331" s="19"/>
      <c r="Y331" s="19"/>
      <c r="Z331" s="19"/>
    </row>
    <row r="332" spans="10:26"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91"/>
      <c r="V332" s="91"/>
      <c r="W332" s="19"/>
      <c r="X332" s="19"/>
      <c r="Y332" s="19"/>
      <c r="Z332" s="19"/>
    </row>
    <row r="333" spans="10:26"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91"/>
      <c r="V333" s="91"/>
      <c r="W333" s="19"/>
      <c r="X333" s="19"/>
      <c r="Y333" s="19"/>
      <c r="Z333" s="19"/>
    </row>
    <row r="334" spans="10:26"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91"/>
      <c r="V334" s="91"/>
      <c r="W334" s="19"/>
      <c r="X334" s="19"/>
      <c r="Y334" s="19"/>
      <c r="Z334" s="19"/>
    </row>
    <row r="335" spans="10:26"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91"/>
      <c r="V335" s="91"/>
      <c r="W335" s="19"/>
      <c r="X335" s="19"/>
      <c r="Y335" s="19"/>
      <c r="Z335" s="19"/>
    </row>
    <row r="336" spans="10:26"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91"/>
      <c r="V336" s="91"/>
      <c r="W336" s="19"/>
      <c r="X336" s="19"/>
      <c r="Y336" s="19"/>
      <c r="Z336" s="19"/>
    </row>
    <row r="337" spans="10:26"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91"/>
      <c r="V337" s="91"/>
      <c r="W337" s="19"/>
      <c r="X337" s="19"/>
      <c r="Y337" s="19"/>
      <c r="Z337" s="19"/>
    </row>
    <row r="338" spans="10:26"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91"/>
      <c r="V338" s="91"/>
      <c r="W338" s="19"/>
      <c r="X338" s="19"/>
      <c r="Y338" s="19"/>
      <c r="Z338" s="19"/>
    </row>
    <row r="339" spans="10:26"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91"/>
      <c r="V339" s="91"/>
      <c r="W339" s="19"/>
      <c r="X339" s="19"/>
      <c r="Y339" s="19"/>
      <c r="Z339" s="19"/>
    </row>
    <row r="340" spans="10:26"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91"/>
      <c r="V340" s="91"/>
      <c r="W340" s="19"/>
      <c r="X340" s="19"/>
      <c r="Y340" s="19"/>
      <c r="Z340" s="19"/>
    </row>
    <row r="341" spans="10:26"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91"/>
      <c r="V341" s="91"/>
      <c r="W341" s="19"/>
      <c r="X341" s="19"/>
      <c r="Y341" s="19"/>
      <c r="Z341" s="19"/>
    </row>
    <row r="342" spans="10:26"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91"/>
      <c r="V342" s="91"/>
      <c r="W342" s="19"/>
      <c r="X342" s="19"/>
      <c r="Y342" s="19"/>
      <c r="Z342" s="19"/>
    </row>
    <row r="343" spans="10:26"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91"/>
      <c r="V343" s="91"/>
      <c r="W343" s="19"/>
      <c r="X343" s="19"/>
      <c r="Y343" s="19"/>
      <c r="Z343" s="19"/>
    </row>
    <row r="344" spans="10:26"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91"/>
      <c r="V344" s="91"/>
      <c r="W344" s="19"/>
      <c r="X344" s="19"/>
      <c r="Y344" s="19"/>
      <c r="Z344" s="19"/>
    </row>
    <row r="345" spans="10:26"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91"/>
      <c r="V345" s="91"/>
      <c r="W345" s="19"/>
      <c r="X345" s="19"/>
      <c r="Y345" s="19"/>
      <c r="Z345" s="19"/>
    </row>
    <row r="346" spans="10:26"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91"/>
      <c r="V346" s="91"/>
      <c r="W346" s="19"/>
      <c r="X346" s="19"/>
      <c r="Y346" s="19"/>
      <c r="Z346" s="19"/>
    </row>
    <row r="347" spans="10:26"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91"/>
      <c r="V347" s="91"/>
      <c r="W347" s="19"/>
      <c r="X347" s="19"/>
      <c r="Y347" s="19"/>
      <c r="Z347" s="19"/>
    </row>
    <row r="348" spans="10:26"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91"/>
      <c r="V348" s="91"/>
      <c r="W348" s="19"/>
      <c r="X348" s="19"/>
      <c r="Y348" s="19"/>
      <c r="Z348" s="19"/>
    </row>
    <row r="349" spans="10:26"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91"/>
      <c r="V349" s="91"/>
      <c r="W349" s="19"/>
      <c r="X349" s="19"/>
      <c r="Y349" s="19"/>
      <c r="Z349" s="19"/>
    </row>
    <row r="350" spans="10:26"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91"/>
      <c r="V350" s="91"/>
      <c r="W350" s="19"/>
      <c r="X350" s="19"/>
      <c r="Y350" s="19"/>
      <c r="Z350" s="19"/>
    </row>
    <row r="351" spans="10:26"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91"/>
      <c r="V351" s="91"/>
      <c r="W351" s="19"/>
      <c r="X351" s="19"/>
      <c r="Y351" s="19"/>
      <c r="Z351" s="19"/>
    </row>
    <row r="352" spans="10:26"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91"/>
      <c r="V352" s="91"/>
      <c r="W352" s="19"/>
      <c r="X352" s="19"/>
      <c r="Y352" s="19"/>
      <c r="Z352" s="19"/>
    </row>
    <row r="353" spans="10:26"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91"/>
      <c r="V353" s="91"/>
      <c r="W353" s="19"/>
      <c r="X353" s="19"/>
      <c r="Y353" s="19"/>
      <c r="Z353" s="19"/>
    </row>
    <row r="354" spans="10:26"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91"/>
      <c r="V354" s="91"/>
      <c r="W354" s="19"/>
      <c r="X354" s="19"/>
      <c r="Y354" s="19"/>
      <c r="Z354" s="19"/>
    </row>
    <row r="355" spans="10:26"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91"/>
      <c r="V355" s="91"/>
      <c r="W355" s="19"/>
      <c r="X355" s="19"/>
      <c r="Y355" s="19"/>
      <c r="Z355" s="19"/>
    </row>
    <row r="356" spans="10:26"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91"/>
      <c r="V356" s="91"/>
      <c r="W356" s="19"/>
      <c r="X356" s="19"/>
      <c r="Y356" s="19"/>
      <c r="Z356" s="19"/>
    </row>
    <row r="357" spans="10:26"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91"/>
      <c r="V357" s="91"/>
      <c r="W357" s="19"/>
      <c r="X357" s="19"/>
      <c r="Y357" s="19"/>
      <c r="Z357" s="19"/>
    </row>
    <row r="358" spans="10:26"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91"/>
      <c r="V358" s="91"/>
      <c r="W358" s="19"/>
      <c r="X358" s="19"/>
      <c r="Y358" s="19"/>
      <c r="Z358" s="19"/>
    </row>
    <row r="359" spans="10:26"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91"/>
      <c r="V359" s="91"/>
      <c r="W359" s="19"/>
      <c r="X359" s="19"/>
      <c r="Y359" s="19"/>
      <c r="Z359" s="19"/>
    </row>
    <row r="360" spans="10:26"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91"/>
      <c r="V360" s="91"/>
      <c r="W360" s="19"/>
      <c r="X360" s="19"/>
      <c r="Y360" s="19"/>
      <c r="Z360" s="19"/>
    </row>
    <row r="361" spans="10:26"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91"/>
      <c r="V361" s="91"/>
      <c r="W361" s="19"/>
      <c r="X361" s="19"/>
      <c r="Y361" s="19"/>
      <c r="Z361" s="19"/>
    </row>
    <row r="362" spans="10:26"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91"/>
      <c r="V362" s="91"/>
      <c r="W362" s="19"/>
      <c r="X362" s="19"/>
      <c r="Y362" s="19"/>
      <c r="Z362" s="19"/>
    </row>
    <row r="363" spans="10:26"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91"/>
      <c r="V363" s="91"/>
      <c r="W363" s="19"/>
      <c r="X363" s="19"/>
      <c r="Y363" s="19"/>
      <c r="Z363" s="19"/>
    </row>
    <row r="364" spans="10:26"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91"/>
      <c r="V364" s="91"/>
      <c r="W364" s="19"/>
      <c r="X364" s="19"/>
      <c r="Y364" s="19"/>
      <c r="Z364" s="19"/>
    </row>
    <row r="365" spans="10:26"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91"/>
      <c r="V365" s="91"/>
      <c r="W365" s="19"/>
      <c r="X365" s="19"/>
      <c r="Y365" s="19"/>
      <c r="Z365" s="19"/>
    </row>
    <row r="366" spans="10:26"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91"/>
      <c r="V366" s="91"/>
      <c r="W366" s="19"/>
      <c r="X366" s="19"/>
      <c r="Y366" s="19"/>
      <c r="Z366" s="19"/>
    </row>
    <row r="367" spans="10:26"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91"/>
      <c r="V367" s="91"/>
      <c r="W367" s="19"/>
      <c r="X367" s="19"/>
      <c r="Y367" s="19"/>
      <c r="Z367" s="19"/>
    </row>
    <row r="368" spans="10:26"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91"/>
      <c r="V368" s="91"/>
      <c r="W368" s="19"/>
      <c r="X368" s="19"/>
      <c r="Y368" s="19"/>
      <c r="Z368" s="19"/>
    </row>
    <row r="369" spans="10:26"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91"/>
      <c r="V369" s="91"/>
      <c r="W369" s="19"/>
      <c r="X369" s="19"/>
      <c r="Y369" s="19"/>
      <c r="Z369" s="19"/>
    </row>
    <row r="370" spans="10:26"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91"/>
      <c r="V370" s="91"/>
      <c r="W370" s="19"/>
      <c r="X370" s="19"/>
      <c r="Y370" s="19"/>
      <c r="Z370" s="19"/>
    </row>
    <row r="371" spans="10:26"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91"/>
      <c r="V371" s="91"/>
      <c r="W371" s="19"/>
      <c r="X371" s="19"/>
      <c r="Y371" s="19"/>
      <c r="Z371" s="19"/>
    </row>
    <row r="372" spans="10:26"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91"/>
      <c r="V372" s="91"/>
      <c r="W372" s="19"/>
      <c r="X372" s="19"/>
      <c r="Y372" s="19"/>
      <c r="Z372" s="19"/>
    </row>
    <row r="373" spans="10:26"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91"/>
      <c r="V373" s="91"/>
      <c r="W373" s="19"/>
      <c r="X373" s="19"/>
      <c r="Y373" s="19"/>
      <c r="Z373" s="19"/>
    </row>
    <row r="374" spans="10:26"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91"/>
      <c r="V374" s="91"/>
      <c r="W374" s="19"/>
      <c r="X374" s="19"/>
      <c r="Y374" s="19"/>
      <c r="Z374" s="19"/>
    </row>
    <row r="375" spans="10:26"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91"/>
      <c r="V375" s="91"/>
      <c r="W375" s="19"/>
      <c r="X375" s="19"/>
      <c r="Y375" s="19"/>
      <c r="Z375" s="19"/>
    </row>
    <row r="376" spans="10:26"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91"/>
      <c r="V376" s="91"/>
      <c r="W376" s="19"/>
      <c r="X376" s="19"/>
      <c r="Y376" s="19"/>
      <c r="Z376" s="19"/>
    </row>
    <row r="377" spans="10:26"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91"/>
      <c r="V377" s="91"/>
      <c r="W377" s="19"/>
      <c r="X377" s="19"/>
      <c r="Y377" s="19"/>
      <c r="Z377" s="19"/>
    </row>
    <row r="378" spans="10:26"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91"/>
      <c r="V378" s="91"/>
      <c r="W378" s="19"/>
      <c r="X378" s="19"/>
      <c r="Y378" s="19"/>
      <c r="Z378" s="19"/>
    </row>
    <row r="379" spans="10:26"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91"/>
      <c r="V379" s="91"/>
      <c r="W379" s="19"/>
      <c r="X379" s="19"/>
      <c r="Y379" s="19"/>
      <c r="Z379" s="19"/>
    </row>
    <row r="380" spans="10:26"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91"/>
      <c r="V380" s="91"/>
      <c r="W380" s="19"/>
      <c r="X380" s="19"/>
      <c r="Y380" s="19"/>
      <c r="Z380" s="19"/>
    </row>
    <row r="381" spans="10:26"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91"/>
      <c r="V381" s="91"/>
      <c r="W381" s="19"/>
      <c r="X381" s="19"/>
      <c r="Y381" s="19"/>
      <c r="Z381" s="19"/>
    </row>
    <row r="382" spans="10:26"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91"/>
      <c r="V382" s="91"/>
      <c r="W382" s="19"/>
      <c r="X382" s="19"/>
      <c r="Y382" s="19"/>
      <c r="Z382" s="19"/>
    </row>
    <row r="383" spans="10:26"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91"/>
      <c r="V383" s="91"/>
      <c r="W383" s="19"/>
      <c r="X383" s="19"/>
      <c r="Y383" s="19"/>
      <c r="Z383" s="19"/>
    </row>
    <row r="384" spans="10:26"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91"/>
      <c r="V384" s="91"/>
      <c r="W384" s="19"/>
      <c r="X384" s="19"/>
      <c r="Y384" s="19"/>
      <c r="Z384" s="19"/>
    </row>
    <row r="385" spans="10:26"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91"/>
      <c r="V385" s="91"/>
      <c r="W385" s="19"/>
      <c r="X385" s="19"/>
      <c r="Y385" s="19"/>
      <c r="Z385" s="19"/>
    </row>
    <row r="386" spans="10:26"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91"/>
      <c r="V386" s="91"/>
      <c r="W386" s="19"/>
      <c r="X386" s="19"/>
      <c r="Y386" s="19"/>
      <c r="Z386" s="19"/>
    </row>
    <row r="387" spans="10:26"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91"/>
      <c r="V387" s="91"/>
      <c r="W387" s="19"/>
      <c r="X387" s="19"/>
      <c r="Y387" s="19"/>
      <c r="Z387" s="19"/>
    </row>
    <row r="388" spans="10:26"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91"/>
      <c r="V388" s="91"/>
      <c r="W388" s="19"/>
      <c r="X388" s="19"/>
      <c r="Y388" s="19"/>
      <c r="Z388" s="19"/>
    </row>
    <row r="389" spans="10:26"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91"/>
      <c r="V389" s="91"/>
      <c r="W389" s="19"/>
      <c r="X389" s="19"/>
      <c r="Y389" s="19"/>
      <c r="Z389" s="19"/>
    </row>
    <row r="390" spans="10:26"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91"/>
      <c r="V390" s="91"/>
      <c r="W390" s="19"/>
      <c r="X390" s="19"/>
      <c r="Y390" s="19"/>
      <c r="Z390" s="19"/>
    </row>
    <row r="391" spans="10:26"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91"/>
      <c r="V391" s="91"/>
      <c r="W391" s="19"/>
      <c r="X391" s="19"/>
      <c r="Y391" s="19"/>
      <c r="Z391" s="19"/>
    </row>
    <row r="392" spans="10:26"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91"/>
      <c r="V392" s="91"/>
      <c r="W392" s="19"/>
      <c r="X392" s="19"/>
      <c r="Y392" s="19"/>
      <c r="Z392" s="19"/>
    </row>
    <row r="393" spans="10:26"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91"/>
      <c r="V393" s="91"/>
      <c r="W393" s="19"/>
      <c r="X393" s="19"/>
      <c r="Y393" s="19"/>
      <c r="Z393" s="19"/>
    </row>
    <row r="394" spans="10:26"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91"/>
      <c r="V394" s="91"/>
      <c r="W394" s="19"/>
      <c r="X394" s="19"/>
      <c r="Y394" s="19"/>
      <c r="Z394" s="19"/>
    </row>
    <row r="395" spans="10:26"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91"/>
      <c r="V395" s="91"/>
      <c r="W395" s="19"/>
      <c r="X395" s="19"/>
      <c r="Y395" s="19"/>
      <c r="Z395" s="19"/>
    </row>
    <row r="396" spans="10:26"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91"/>
      <c r="V396" s="91"/>
      <c r="W396" s="19"/>
      <c r="X396" s="19"/>
      <c r="Y396" s="19"/>
      <c r="Z396" s="19"/>
    </row>
    <row r="397" spans="10:26"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91"/>
      <c r="V397" s="91"/>
      <c r="W397" s="19"/>
      <c r="X397" s="19"/>
      <c r="Y397" s="19"/>
      <c r="Z397" s="19"/>
    </row>
    <row r="398" spans="10:26"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91"/>
      <c r="V398" s="91"/>
      <c r="W398" s="19"/>
      <c r="X398" s="19"/>
      <c r="Y398" s="19"/>
      <c r="Z398" s="19"/>
    </row>
    <row r="399" spans="10:26"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91"/>
      <c r="V399" s="91"/>
      <c r="W399" s="19"/>
      <c r="X399" s="19"/>
      <c r="Y399" s="19"/>
      <c r="Z399" s="19"/>
    </row>
    <row r="400" spans="10:26"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91"/>
      <c r="V400" s="91"/>
      <c r="W400" s="19"/>
      <c r="X400" s="19"/>
      <c r="Y400" s="19"/>
      <c r="Z400" s="19"/>
    </row>
    <row r="401" spans="10:26"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91"/>
      <c r="V401" s="91"/>
      <c r="W401" s="19"/>
      <c r="X401" s="19"/>
      <c r="Y401" s="19"/>
      <c r="Z401" s="19"/>
    </row>
    <row r="402" spans="10:26"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91"/>
      <c r="V402" s="91"/>
      <c r="W402" s="19"/>
      <c r="X402" s="19"/>
      <c r="Y402" s="19"/>
      <c r="Z402" s="19"/>
    </row>
    <row r="403" spans="10:26"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91"/>
      <c r="V403" s="91"/>
      <c r="W403" s="19"/>
      <c r="X403" s="19"/>
      <c r="Y403" s="19"/>
      <c r="Z403" s="19"/>
    </row>
    <row r="404" spans="10:26"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91"/>
      <c r="V404" s="91"/>
      <c r="W404" s="19"/>
      <c r="X404" s="19"/>
      <c r="Y404" s="19"/>
      <c r="Z404" s="19"/>
    </row>
    <row r="405" spans="10:26"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91"/>
      <c r="V405" s="91"/>
      <c r="W405" s="19"/>
      <c r="X405" s="19"/>
      <c r="Y405" s="19"/>
      <c r="Z405" s="19"/>
    </row>
    <row r="406" spans="10:26"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91"/>
      <c r="V406" s="91"/>
      <c r="W406" s="19"/>
      <c r="X406" s="19"/>
      <c r="Y406" s="19"/>
      <c r="Z406" s="19"/>
    </row>
    <row r="407" spans="10:26"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91"/>
      <c r="V407" s="91"/>
      <c r="W407" s="19"/>
      <c r="X407" s="19"/>
      <c r="Y407" s="19"/>
      <c r="Z407" s="19"/>
    </row>
    <row r="408" spans="10:26"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91"/>
      <c r="V408" s="91"/>
      <c r="W408" s="19"/>
      <c r="X408" s="19"/>
      <c r="Y408" s="19"/>
      <c r="Z408" s="19"/>
    </row>
    <row r="409" spans="10:26"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91"/>
      <c r="V409" s="91"/>
      <c r="W409" s="19"/>
      <c r="X409" s="19"/>
      <c r="Y409" s="19"/>
      <c r="Z409" s="19"/>
    </row>
    <row r="410" spans="10:26"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91"/>
      <c r="V410" s="91"/>
      <c r="W410" s="19"/>
      <c r="X410" s="19"/>
      <c r="Y410" s="19"/>
      <c r="Z410" s="19"/>
    </row>
    <row r="411" spans="10:26"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91"/>
      <c r="V411" s="91"/>
      <c r="W411" s="19"/>
      <c r="X411" s="19"/>
      <c r="Y411" s="19"/>
      <c r="Z411" s="19"/>
    </row>
    <row r="412" spans="10:26"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91"/>
      <c r="V412" s="91"/>
      <c r="W412" s="19"/>
      <c r="X412" s="19"/>
      <c r="Y412" s="19"/>
      <c r="Z412" s="19"/>
    </row>
    <row r="413" spans="10:26"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91"/>
      <c r="V413" s="91"/>
      <c r="W413" s="19"/>
      <c r="X413" s="19"/>
      <c r="Y413" s="19"/>
      <c r="Z413" s="19"/>
    </row>
    <row r="414" spans="10:26"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91"/>
      <c r="V414" s="91"/>
      <c r="W414" s="19"/>
      <c r="X414" s="19"/>
      <c r="Y414" s="19"/>
      <c r="Z414" s="19"/>
    </row>
    <row r="415" spans="10:26"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91"/>
      <c r="V415" s="91"/>
      <c r="W415" s="19"/>
      <c r="X415" s="19"/>
      <c r="Y415" s="19"/>
      <c r="Z415" s="19"/>
    </row>
    <row r="416" spans="10:26"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91"/>
      <c r="V416" s="91"/>
      <c r="W416" s="19"/>
      <c r="X416" s="19"/>
      <c r="Y416" s="19"/>
      <c r="Z416" s="19"/>
    </row>
    <row r="417" spans="10:26"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91"/>
      <c r="V417" s="91"/>
      <c r="W417" s="19"/>
      <c r="X417" s="19"/>
      <c r="Y417" s="19"/>
      <c r="Z417" s="19"/>
    </row>
    <row r="418" spans="10:26"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91"/>
      <c r="V418" s="91"/>
      <c r="W418" s="19"/>
      <c r="X418" s="19"/>
      <c r="Y418" s="19"/>
      <c r="Z418" s="19"/>
    </row>
    <row r="419" spans="10:26"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91"/>
      <c r="V419" s="91"/>
      <c r="W419" s="19"/>
      <c r="X419" s="19"/>
      <c r="Y419" s="19"/>
      <c r="Z419" s="19"/>
    </row>
    <row r="420" spans="10:26"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91"/>
      <c r="V420" s="91"/>
      <c r="W420" s="19"/>
      <c r="X420" s="19"/>
      <c r="Y420" s="19"/>
      <c r="Z420" s="19"/>
    </row>
    <row r="421" spans="10:26"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91"/>
      <c r="V421" s="91"/>
      <c r="W421" s="19"/>
      <c r="X421" s="19"/>
      <c r="Y421" s="19"/>
      <c r="Z421" s="19"/>
    </row>
    <row r="422" spans="10:26"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91"/>
      <c r="V422" s="91"/>
      <c r="W422" s="19"/>
      <c r="X422" s="19"/>
      <c r="Y422" s="19"/>
      <c r="Z422" s="19"/>
    </row>
    <row r="423" spans="10:26"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91"/>
      <c r="V423" s="91"/>
      <c r="W423" s="19"/>
      <c r="X423" s="19"/>
      <c r="Y423" s="19"/>
      <c r="Z423" s="19"/>
    </row>
    <row r="424" spans="10:26"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91"/>
      <c r="V424" s="91"/>
      <c r="W424" s="19"/>
      <c r="X424" s="19"/>
      <c r="Y424" s="19"/>
      <c r="Z424" s="19"/>
    </row>
    <row r="425" spans="10:26"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91"/>
      <c r="V425" s="91"/>
      <c r="W425" s="19"/>
      <c r="X425" s="19"/>
      <c r="Y425" s="19"/>
      <c r="Z425" s="19"/>
    </row>
    <row r="426" spans="10:26"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91"/>
      <c r="V426" s="91"/>
      <c r="W426" s="19"/>
      <c r="X426" s="19"/>
      <c r="Y426" s="19"/>
      <c r="Z426" s="19"/>
    </row>
    <row r="427" spans="10:26"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91"/>
      <c r="V427" s="91"/>
      <c r="W427" s="19"/>
      <c r="X427" s="19"/>
      <c r="Y427" s="19"/>
      <c r="Z427" s="19"/>
    </row>
    <row r="428" spans="10:26"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91"/>
      <c r="V428" s="91"/>
      <c r="W428" s="19"/>
      <c r="X428" s="19"/>
      <c r="Y428" s="19"/>
      <c r="Z428" s="19"/>
    </row>
    <row r="429" spans="10:26"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91"/>
      <c r="V429" s="91"/>
      <c r="W429" s="19"/>
      <c r="X429" s="19"/>
      <c r="Y429" s="19"/>
      <c r="Z429" s="19"/>
    </row>
    <row r="430" spans="10:26"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91"/>
      <c r="V430" s="91"/>
      <c r="W430" s="19"/>
      <c r="X430" s="19"/>
      <c r="Y430" s="19"/>
      <c r="Z430" s="19"/>
    </row>
    <row r="431" spans="10:26"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91"/>
      <c r="V431" s="91"/>
      <c r="W431" s="19"/>
      <c r="X431" s="19"/>
      <c r="Y431" s="19"/>
      <c r="Z431" s="19"/>
    </row>
    <row r="432" spans="10:26"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91"/>
      <c r="V432" s="91"/>
      <c r="W432" s="19"/>
      <c r="X432" s="19"/>
      <c r="Y432" s="19"/>
      <c r="Z432" s="19"/>
    </row>
    <row r="433" spans="10:26"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91"/>
      <c r="V433" s="91"/>
      <c r="W433" s="19"/>
      <c r="X433" s="19"/>
      <c r="Y433" s="19"/>
      <c r="Z433" s="19"/>
    </row>
    <row r="434" spans="10:26"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91"/>
      <c r="V434" s="91"/>
      <c r="W434" s="19"/>
      <c r="X434" s="19"/>
      <c r="Y434" s="19"/>
      <c r="Z434" s="19"/>
    </row>
    <row r="435" spans="10:26"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91"/>
      <c r="V435" s="91"/>
      <c r="W435" s="19"/>
      <c r="X435" s="19"/>
      <c r="Y435" s="19"/>
      <c r="Z435" s="19"/>
    </row>
    <row r="436" spans="10:26"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91"/>
      <c r="V436" s="91"/>
      <c r="W436" s="19"/>
      <c r="X436" s="19"/>
      <c r="Y436" s="19"/>
      <c r="Z436" s="19"/>
    </row>
    <row r="437" spans="10:26"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91"/>
      <c r="V437" s="91"/>
      <c r="W437" s="19"/>
      <c r="X437" s="19"/>
      <c r="Y437" s="19"/>
      <c r="Z437" s="19"/>
    </row>
    <row r="438" spans="10:26"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91"/>
      <c r="V438" s="91"/>
      <c r="W438" s="19"/>
      <c r="X438" s="19"/>
      <c r="Y438" s="19"/>
      <c r="Z438" s="19"/>
    </row>
    <row r="439" spans="10:26"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91"/>
      <c r="V439" s="91"/>
      <c r="W439" s="19"/>
      <c r="X439" s="19"/>
      <c r="Y439" s="19"/>
      <c r="Z439" s="19"/>
    </row>
    <row r="440" spans="10:26"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91"/>
      <c r="V440" s="91"/>
      <c r="W440" s="19"/>
      <c r="X440" s="19"/>
      <c r="Y440" s="19"/>
      <c r="Z440" s="19"/>
    </row>
    <row r="441" spans="10:26"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91"/>
      <c r="V441" s="91"/>
      <c r="W441" s="19"/>
      <c r="X441" s="19"/>
      <c r="Y441" s="19"/>
      <c r="Z441" s="19"/>
    </row>
    <row r="442" spans="10:26"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91"/>
      <c r="V442" s="91"/>
      <c r="W442" s="19"/>
      <c r="X442" s="19"/>
      <c r="Y442" s="19"/>
      <c r="Z442" s="19"/>
    </row>
    <row r="443" spans="10:26"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91"/>
      <c r="V443" s="91"/>
      <c r="W443" s="19"/>
      <c r="X443" s="19"/>
      <c r="Y443" s="19"/>
      <c r="Z443" s="19"/>
    </row>
    <row r="444" spans="10:26"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91"/>
      <c r="V444" s="91"/>
      <c r="W444" s="19"/>
      <c r="X444" s="19"/>
      <c r="Y444" s="19"/>
      <c r="Z444" s="19"/>
    </row>
    <row r="445" spans="10:26"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91"/>
      <c r="V445" s="91"/>
      <c r="W445" s="19"/>
      <c r="X445" s="19"/>
      <c r="Y445" s="19"/>
      <c r="Z445" s="19"/>
    </row>
    <row r="446" spans="10:26"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91"/>
      <c r="V446" s="91"/>
      <c r="W446" s="19"/>
      <c r="X446" s="19"/>
      <c r="Y446" s="19"/>
      <c r="Z446" s="19"/>
    </row>
    <row r="447" spans="10:26"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91"/>
      <c r="V447" s="91"/>
      <c r="W447" s="19"/>
      <c r="X447" s="19"/>
      <c r="Y447" s="19"/>
      <c r="Z447" s="19"/>
    </row>
    <row r="448" spans="10:26"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91"/>
      <c r="V448" s="91"/>
      <c r="W448" s="19"/>
      <c r="X448" s="19"/>
      <c r="Y448" s="19"/>
      <c r="Z448" s="19"/>
    </row>
    <row r="449" spans="10:26"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91"/>
      <c r="V449" s="91"/>
      <c r="W449" s="19"/>
      <c r="X449" s="19"/>
      <c r="Y449" s="19"/>
      <c r="Z449" s="19"/>
    </row>
    <row r="450" spans="10:26"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91"/>
      <c r="V450" s="91"/>
      <c r="W450" s="19"/>
      <c r="X450" s="19"/>
      <c r="Y450" s="19"/>
      <c r="Z450" s="19"/>
    </row>
    <row r="451" spans="10:26"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91"/>
      <c r="V451" s="91"/>
      <c r="W451" s="19"/>
      <c r="X451" s="19"/>
      <c r="Y451" s="19"/>
      <c r="Z451" s="19"/>
    </row>
    <row r="452" spans="10:26"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91"/>
      <c r="V452" s="91"/>
      <c r="W452" s="19"/>
      <c r="X452" s="19"/>
      <c r="Y452" s="19"/>
      <c r="Z452" s="19"/>
    </row>
    <row r="453" spans="10:26"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91"/>
      <c r="V453" s="91"/>
      <c r="W453" s="19"/>
      <c r="X453" s="19"/>
      <c r="Y453" s="19"/>
      <c r="Z453" s="19"/>
    </row>
    <row r="454" spans="10:26"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91"/>
      <c r="V454" s="91"/>
      <c r="W454" s="19"/>
      <c r="X454" s="19"/>
      <c r="Y454" s="19"/>
      <c r="Z454" s="19"/>
    </row>
    <row r="455" spans="10:26"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91"/>
      <c r="V455" s="91"/>
      <c r="W455" s="19"/>
      <c r="X455" s="19"/>
      <c r="Y455" s="19"/>
      <c r="Z455" s="19"/>
    </row>
    <row r="456" spans="10:26"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91"/>
      <c r="V456" s="91"/>
      <c r="W456" s="19"/>
      <c r="X456" s="19"/>
      <c r="Y456" s="19"/>
      <c r="Z456" s="19"/>
    </row>
    <row r="457" spans="10:26"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91"/>
      <c r="V457" s="91"/>
      <c r="W457" s="19"/>
      <c r="X457" s="19"/>
      <c r="Y457" s="19"/>
      <c r="Z457" s="19"/>
    </row>
    <row r="458" spans="10:26"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91"/>
      <c r="V458" s="91"/>
      <c r="W458" s="19"/>
      <c r="X458" s="19"/>
      <c r="Y458" s="19"/>
      <c r="Z458" s="19"/>
    </row>
    <row r="459" spans="10:26"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91"/>
      <c r="V459" s="91"/>
      <c r="W459" s="19"/>
      <c r="X459" s="19"/>
      <c r="Y459" s="19"/>
      <c r="Z459" s="19"/>
    </row>
    <row r="460" spans="10:26"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91"/>
      <c r="V460" s="91"/>
      <c r="W460" s="19"/>
      <c r="X460" s="19"/>
      <c r="Y460" s="19"/>
      <c r="Z460" s="19"/>
    </row>
    <row r="461" spans="10:26"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91"/>
      <c r="V461" s="91"/>
      <c r="W461" s="19"/>
      <c r="X461" s="19"/>
      <c r="Y461" s="19"/>
      <c r="Z461" s="19"/>
    </row>
    <row r="462" spans="10:26"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91"/>
      <c r="V462" s="91"/>
      <c r="W462" s="19"/>
      <c r="X462" s="19"/>
      <c r="Y462" s="19"/>
      <c r="Z462" s="19"/>
    </row>
    <row r="463" spans="10:26"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91"/>
      <c r="V463" s="91"/>
      <c r="W463" s="19"/>
      <c r="X463" s="19"/>
      <c r="Y463" s="19"/>
      <c r="Z463" s="19"/>
    </row>
    <row r="464" spans="10:26"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91"/>
      <c r="V464" s="91"/>
      <c r="W464" s="19"/>
      <c r="X464" s="19"/>
      <c r="Y464" s="19"/>
      <c r="Z464" s="19"/>
    </row>
    <row r="465" spans="10:26"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91"/>
      <c r="V465" s="91"/>
      <c r="W465" s="19"/>
      <c r="X465" s="19"/>
      <c r="Y465" s="19"/>
      <c r="Z465" s="19"/>
    </row>
    <row r="466" spans="10:26"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91"/>
      <c r="V466" s="91"/>
      <c r="W466" s="19"/>
      <c r="X466" s="19"/>
      <c r="Y466" s="19"/>
      <c r="Z466" s="19"/>
    </row>
    <row r="467" spans="10:26"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91"/>
      <c r="V467" s="91"/>
      <c r="W467" s="19"/>
      <c r="X467" s="19"/>
      <c r="Y467" s="19"/>
      <c r="Z467" s="19"/>
    </row>
    <row r="468" spans="10:26"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91"/>
      <c r="V468" s="91"/>
      <c r="W468" s="19"/>
      <c r="X468" s="19"/>
      <c r="Y468" s="19"/>
      <c r="Z468" s="19"/>
    </row>
    <row r="469" spans="10:26"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91"/>
      <c r="V469" s="91"/>
      <c r="W469" s="19"/>
      <c r="X469" s="19"/>
      <c r="Y469" s="19"/>
      <c r="Z469" s="19"/>
    </row>
    <row r="470" spans="10:26"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91"/>
      <c r="V470" s="91"/>
      <c r="W470" s="19"/>
      <c r="X470" s="19"/>
      <c r="Y470" s="19"/>
      <c r="Z470" s="19"/>
    </row>
    <row r="471" spans="10:26"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91"/>
      <c r="V471" s="91"/>
      <c r="W471" s="19"/>
      <c r="X471" s="19"/>
      <c r="Y471" s="19"/>
      <c r="Z471" s="19"/>
    </row>
    <row r="472" spans="10:26"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91"/>
      <c r="V472" s="91"/>
      <c r="W472" s="19"/>
      <c r="X472" s="19"/>
      <c r="Y472" s="19"/>
      <c r="Z472" s="19"/>
    </row>
    <row r="473" spans="10:26"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91"/>
      <c r="V473" s="91"/>
      <c r="W473" s="19"/>
      <c r="X473" s="19"/>
      <c r="Y473" s="19"/>
      <c r="Z473" s="19"/>
    </row>
    <row r="474" spans="10:26"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91"/>
      <c r="V474" s="91"/>
      <c r="W474" s="19"/>
      <c r="X474" s="19"/>
      <c r="Y474" s="19"/>
      <c r="Z474" s="19"/>
    </row>
    <row r="475" spans="10:26"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91"/>
      <c r="V475" s="91"/>
      <c r="W475" s="19"/>
      <c r="X475" s="19"/>
      <c r="Y475" s="19"/>
      <c r="Z475" s="19"/>
    </row>
    <row r="476" spans="10:26"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91"/>
      <c r="V476" s="91"/>
      <c r="W476" s="19"/>
      <c r="X476" s="19"/>
      <c r="Y476" s="19"/>
      <c r="Z476" s="19"/>
    </row>
    <row r="477" spans="10:26"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91"/>
      <c r="V477" s="91"/>
      <c r="W477" s="19"/>
      <c r="X477" s="19"/>
      <c r="Y477" s="19"/>
      <c r="Z477" s="19"/>
    </row>
    <row r="478" spans="10:26"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91"/>
      <c r="V478" s="91"/>
      <c r="W478" s="19"/>
      <c r="X478" s="19"/>
      <c r="Y478" s="19"/>
      <c r="Z478" s="19"/>
    </row>
    <row r="479" spans="10:26"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91"/>
      <c r="V479" s="91"/>
      <c r="W479" s="19"/>
      <c r="X479" s="19"/>
      <c r="Y479" s="19"/>
      <c r="Z479" s="19"/>
    </row>
    <row r="480" spans="10:26"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91"/>
      <c r="V480" s="91"/>
      <c r="W480" s="19"/>
      <c r="X480" s="19"/>
      <c r="Y480" s="19"/>
      <c r="Z480" s="19"/>
    </row>
    <row r="481" spans="10:26"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91"/>
      <c r="V481" s="91"/>
      <c r="W481" s="19"/>
      <c r="X481" s="19"/>
      <c r="Y481" s="19"/>
      <c r="Z481" s="19"/>
    </row>
    <row r="482" spans="10:26"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91"/>
      <c r="V482" s="91"/>
      <c r="W482" s="19"/>
      <c r="X482" s="19"/>
      <c r="Y482" s="19"/>
      <c r="Z482" s="19"/>
    </row>
    <row r="483" spans="10:26"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91"/>
      <c r="V483" s="91"/>
      <c r="W483" s="19"/>
      <c r="X483" s="19"/>
      <c r="Y483" s="19"/>
      <c r="Z483" s="19"/>
    </row>
    <row r="484" spans="10:26"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91"/>
      <c r="V484" s="91"/>
      <c r="W484" s="19"/>
      <c r="X484" s="19"/>
      <c r="Y484" s="19"/>
      <c r="Z484" s="19"/>
    </row>
    <row r="485" spans="10:26"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91"/>
      <c r="V485" s="91"/>
      <c r="W485" s="19"/>
      <c r="X485" s="19"/>
      <c r="Y485" s="19"/>
      <c r="Z485" s="19"/>
    </row>
    <row r="486" spans="10:26"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91"/>
      <c r="V486" s="91"/>
      <c r="W486" s="19"/>
      <c r="X486" s="19"/>
      <c r="Y486" s="19"/>
      <c r="Z486" s="19"/>
    </row>
    <row r="487" spans="10:26"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91"/>
      <c r="V487" s="91"/>
      <c r="W487" s="19"/>
      <c r="X487" s="19"/>
      <c r="Y487" s="19"/>
      <c r="Z487" s="19"/>
    </row>
    <row r="488" spans="10:26"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91"/>
      <c r="V488" s="91"/>
      <c r="W488" s="19"/>
      <c r="X488" s="19"/>
      <c r="Y488" s="19"/>
      <c r="Z488" s="19"/>
    </row>
    <row r="489" spans="10:26"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91"/>
      <c r="V489" s="91"/>
      <c r="W489" s="19"/>
      <c r="X489" s="19"/>
      <c r="Y489" s="19"/>
      <c r="Z489" s="19"/>
    </row>
    <row r="490" spans="10:26"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91"/>
      <c r="V490" s="91"/>
      <c r="W490" s="19"/>
      <c r="X490" s="19"/>
      <c r="Y490" s="19"/>
      <c r="Z490" s="19"/>
    </row>
    <row r="491" spans="10:26"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91"/>
      <c r="V491" s="91"/>
      <c r="W491" s="19"/>
      <c r="X491" s="19"/>
      <c r="Y491" s="19"/>
      <c r="Z491" s="19"/>
    </row>
    <row r="492" spans="10:26"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91"/>
      <c r="V492" s="91"/>
      <c r="W492" s="19"/>
      <c r="X492" s="19"/>
      <c r="Y492" s="19"/>
      <c r="Z492" s="19"/>
    </row>
    <row r="493" spans="10:26"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91"/>
      <c r="V493" s="91"/>
      <c r="W493" s="19"/>
      <c r="X493" s="19"/>
      <c r="Y493" s="19"/>
      <c r="Z493" s="19"/>
    </row>
    <row r="494" spans="10:26"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91"/>
      <c r="V494" s="91"/>
      <c r="W494" s="19"/>
      <c r="X494" s="19"/>
      <c r="Y494" s="19"/>
      <c r="Z494" s="19"/>
    </row>
    <row r="495" spans="10:26"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91"/>
      <c r="V495" s="91"/>
      <c r="W495" s="19"/>
      <c r="X495" s="19"/>
      <c r="Y495" s="19"/>
      <c r="Z495" s="19"/>
    </row>
    <row r="496" spans="10:26"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91"/>
      <c r="V496" s="91"/>
      <c r="W496" s="19"/>
      <c r="X496" s="19"/>
      <c r="Y496" s="19"/>
      <c r="Z496" s="19"/>
    </row>
    <row r="497" spans="10:26"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91"/>
      <c r="V497" s="91"/>
      <c r="W497" s="19"/>
      <c r="X497" s="19"/>
      <c r="Y497" s="19"/>
      <c r="Z497" s="19"/>
    </row>
    <row r="498" spans="10:26"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91"/>
      <c r="V498" s="91"/>
      <c r="W498" s="19"/>
      <c r="X498" s="19"/>
      <c r="Y498" s="19"/>
      <c r="Z498" s="19"/>
    </row>
    <row r="499" spans="10:26"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91"/>
      <c r="V499" s="91"/>
      <c r="W499" s="19"/>
      <c r="X499" s="19"/>
      <c r="Y499" s="19"/>
      <c r="Z499" s="19"/>
    </row>
    <row r="500" spans="10:26"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91"/>
      <c r="V500" s="91"/>
      <c r="W500" s="19"/>
      <c r="X500" s="19"/>
      <c r="Y500" s="19"/>
      <c r="Z500" s="19"/>
    </row>
    <row r="501" spans="10:26"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91"/>
      <c r="V501" s="91"/>
      <c r="W501" s="19"/>
      <c r="X501" s="19"/>
      <c r="Y501" s="19"/>
      <c r="Z501" s="19"/>
    </row>
    <row r="502" spans="10:26"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91"/>
      <c r="V502" s="91"/>
      <c r="W502" s="19"/>
      <c r="X502" s="19"/>
      <c r="Y502" s="19"/>
      <c r="Z502" s="19"/>
    </row>
    <row r="503" spans="10:26"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91"/>
      <c r="V503" s="91"/>
      <c r="W503" s="19"/>
      <c r="X503" s="19"/>
      <c r="Y503" s="19"/>
      <c r="Z503" s="19"/>
    </row>
    <row r="504" spans="10:26"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91"/>
      <c r="V504" s="91"/>
      <c r="W504" s="19"/>
      <c r="X504" s="19"/>
      <c r="Y504" s="19"/>
      <c r="Z504" s="19"/>
    </row>
    <row r="505" spans="10:26"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91"/>
      <c r="V505" s="91"/>
      <c r="W505" s="19"/>
      <c r="X505" s="19"/>
      <c r="Y505" s="19"/>
      <c r="Z505" s="19"/>
    </row>
    <row r="506" spans="10:26"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91"/>
      <c r="V506" s="91"/>
      <c r="W506" s="19"/>
      <c r="X506" s="19"/>
      <c r="Y506" s="19"/>
      <c r="Z506" s="19"/>
    </row>
    <row r="507" spans="10:26"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91"/>
      <c r="V507" s="91"/>
      <c r="W507" s="19"/>
      <c r="X507" s="19"/>
      <c r="Y507" s="19"/>
      <c r="Z507" s="19"/>
    </row>
    <row r="508" spans="10:26"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91"/>
      <c r="V508" s="91"/>
      <c r="W508" s="19"/>
      <c r="X508" s="19"/>
      <c r="Y508" s="19"/>
      <c r="Z508" s="19"/>
    </row>
    <row r="509" spans="10:26"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91"/>
      <c r="V509" s="91"/>
      <c r="W509" s="19"/>
      <c r="X509" s="19"/>
      <c r="Y509" s="19"/>
      <c r="Z509" s="19"/>
    </row>
    <row r="510" spans="10:26"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91"/>
      <c r="V510" s="91"/>
      <c r="W510" s="19"/>
      <c r="X510" s="19"/>
      <c r="Y510" s="19"/>
      <c r="Z510" s="19"/>
    </row>
    <row r="511" spans="10:26"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91"/>
      <c r="V511" s="91"/>
      <c r="W511" s="19"/>
      <c r="X511" s="19"/>
      <c r="Y511" s="19"/>
      <c r="Z511" s="19"/>
    </row>
    <row r="512" spans="10:26"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91"/>
      <c r="V512" s="91"/>
      <c r="W512" s="19"/>
      <c r="X512" s="19"/>
      <c r="Y512" s="19"/>
      <c r="Z512" s="19"/>
    </row>
    <row r="513" spans="10:26"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91"/>
      <c r="V513" s="91"/>
      <c r="W513" s="19"/>
      <c r="X513" s="19"/>
      <c r="Y513" s="19"/>
      <c r="Z513" s="19"/>
    </row>
    <row r="514" spans="10:26"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91"/>
      <c r="V514" s="91"/>
      <c r="W514" s="19"/>
      <c r="X514" s="19"/>
      <c r="Y514" s="19"/>
      <c r="Z514" s="19"/>
    </row>
    <row r="515" spans="10:26"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91"/>
      <c r="V515" s="91"/>
      <c r="W515" s="19"/>
      <c r="X515" s="19"/>
      <c r="Y515" s="19"/>
      <c r="Z515" s="19"/>
    </row>
    <row r="516" spans="10:26"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91"/>
      <c r="V516" s="91"/>
      <c r="W516" s="19"/>
      <c r="X516" s="19"/>
      <c r="Y516" s="19"/>
      <c r="Z516" s="19"/>
    </row>
    <row r="517" spans="10:26"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91"/>
      <c r="V517" s="91"/>
      <c r="W517" s="19"/>
      <c r="X517" s="19"/>
      <c r="Y517" s="19"/>
      <c r="Z517" s="19"/>
    </row>
    <row r="518" spans="10:26"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91"/>
      <c r="V518" s="91"/>
      <c r="W518" s="19"/>
      <c r="X518" s="19"/>
      <c r="Y518" s="19"/>
      <c r="Z518" s="19"/>
    </row>
    <row r="519" spans="10:26"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91"/>
      <c r="V519" s="91"/>
      <c r="W519" s="19"/>
      <c r="X519" s="19"/>
      <c r="Y519" s="19"/>
      <c r="Z519" s="19"/>
    </row>
    <row r="520" spans="10:26"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91"/>
      <c r="V520" s="91"/>
      <c r="W520" s="19"/>
      <c r="X520" s="19"/>
      <c r="Y520" s="19"/>
      <c r="Z520" s="19"/>
    </row>
    <row r="521" spans="10:26"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91"/>
      <c r="V521" s="91"/>
      <c r="W521" s="19"/>
      <c r="X521" s="19"/>
      <c r="Y521" s="19"/>
      <c r="Z521" s="19"/>
    </row>
    <row r="522" spans="10:26"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91"/>
      <c r="V522" s="91"/>
      <c r="W522" s="19"/>
      <c r="X522" s="19"/>
      <c r="Y522" s="19"/>
      <c r="Z522" s="19"/>
    </row>
    <row r="523" spans="10:26"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91"/>
      <c r="V523" s="91"/>
      <c r="W523" s="19"/>
      <c r="X523" s="19"/>
      <c r="Y523" s="19"/>
      <c r="Z523" s="19"/>
    </row>
    <row r="524" spans="10:26"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91"/>
      <c r="V524" s="91"/>
      <c r="W524" s="19"/>
      <c r="X524" s="19"/>
      <c r="Y524" s="19"/>
      <c r="Z524" s="19"/>
    </row>
    <row r="525" spans="10:26"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91"/>
      <c r="V525" s="91"/>
      <c r="W525" s="19"/>
      <c r="X525" s="19"/>
      <c r="Y525" s="19"/>
      <c r="Z525" s="19"/>
    </row>
    <row r="526" spans="10:26"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91"/>
      <c r="V526" s="91"/>
      <c r="W526" s="19"/>
      <c r="X526" s="19"/>
      <c r="Y526" s="19"/>
      <c r="Z526" s="19"/>
    </row>
    <row r="527" spans="10:26"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91"/>
      <c r="V527" s="91"/>
      <c r="W527" s="19"/>
      <c r="X527" s="19"/>
      <c r="Y527" s="19"/>
      <c r="Z527" s="19"/>
    </row>
    <row r="528" spans="10:26"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91"/>
      <c r="V528" s="91"/>
      <c r="W528" s="19"/>
      <c r="X528" s="19"/>
      <c r="Y528" s="19"/>
      <c r="Z528" s="19"/>
    </row>
    <row r="529" spans="10:26"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91"/>
      <c r="V529" s="91"/>
      <c r="W529" s="19"/>
      <c r="X529" s="19"/>
      <c r="Y529" s="19"/>
      <c r="Z529" s="19"/>
    </row>
    <row r="530" spans="10:26"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91"/>
      <c r="V530" s="91"/>
      <c r="W530" s="19"/>
      <c r="X530" s="19"/>
      <c r="Y530" s="19"/>
      <c r="Z530" s="19"/>
    </row>
    <row r="531" spans="10:26"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91"/>
      <c r="V531" s="91"/>
      <c r="W531" s="19"/>
      <c r="X531" s="19"/>
      <c r="Y531" s="19"/>
      <c r="Z531" s="19"/>
    </row>
    <row r="532" spans="10:26"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91"/>
      <c r="V532" s="91"/>
      <c r="W532" s="19"/>
      <c r="X532" s="19"/>
      <c r="Y532" s="19"/>
      <c r="Z532" s="19"/>
    </row>
    <row r="533" spans="10:26"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91"/>
      <c r="V533" s="91"/>
      <c r="W533" s="19"/>
      <c r="X533" s="19"/>
      <c r="Y533" s="19"/>
      <c r="Z533" s="19"/>
    </row>
    <row r="534" spans="10:26"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91"/>
      <c r="V534" s="91"/>
      <c r="W534" s="19"/>
      <c r="X534" s="19"/>
      <c r="Y534" s="19"/>
      <c r="Z534" s="19"/>
    </row>
    <row r="535" spans="10:26"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91"/>
      <c r="V535" s="91"/>
      <c r="W535" s="19"/>
      <c r="X535" s="19"/>
      <c r="Y535" s="19"/>
      <c r="Z535" s="19"/>
    </row>
    <row r="536" spans="10:26"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91"/>
      <c r="V536" s="91"/>
      <c r="W536" s="19"/>
      <c r="X536" s="19"/>
      <c r="Y536" s="19"/>
      <c r="Z536" s="19"/>
    </row>
    <row r="537" spans="10:26"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91"/>
      <c r="V537" s="91"/>
      <c r="W537" s="19"/>
      <c r="X537" s="19"/>
      <c r="Y537" s="19"/>
      <c r="Z537" s="19"/>
    </row>
    <row r="538" spans="10:26"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91"/>
      <c r="V538" s="91"/>
      <c r="W538" s="19"/>
      <c r="X538" s="19"/>
      <c r="Y538" s="19"/>
      <c r="Z538" s="19"/>
    </row>
    <row r="539" spans="10:26"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91"/>
      <c r="V539" s="91"/>
      <c r="W539" s="19"/>
      <c r="X539" s="19"/>
      <c r="Y539" s="19"/>
      <c r="Z539" s="19"/>
    </row>
    <row r="540" spans="10:26"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91"/>
      <c r="V540" s="91"/>
      <c r="W540" s="19"/>
      <c r="X540" s="19"/>
      <c r="Y540" s="19"/>
      <c r="Z540" s="19"/>
    </row>
    <row r="541" spans="10:26"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91"/>
      <c r="V541" s="91"/>
      <c r="W541" s="19"/>
      <c r="X541" s="19"/>
      <c r="Y541" s="19"/>
      <c r="Z541" s="19"/>
    </row>
    <row r="542" spans="10:26"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91"/>
      <c r="V542" s="91"/>
      <c r="W542" s="19"/>
      <c r="X542" s="19"/>
      <c r="Y542" s="19"/>
      <c r="Z542" s="19"/>
    </row>
    <row r="543" spans="10:26"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91"/>
      <c r="V543" s="91"/>
      <c r="W543" s="19"/>
      <c r="X543" s="19"/>
      <c r="Y543" s="19"/>
      <c r="Z543" s="19"/>
    </row>
    <row r="544" spans="10:26"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91"/>
      <c r="V544" s="91"/>
      <c r="W544" s="19"/>
      <c r="X544" s="19"/>
      <c r="Y544" s="19"/>
      <c r="Z544" s="19"/>
    </row>
    <row r="545" spans="10:26"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91"/>
      <c r="V545" s="91"/>
      <c r="W545" s="19"/>
      <c r="X545" s="19"/>
      <c r="Y545" s="19"/>
      <c r="Z545" s="19"/>
    </row>
    <row r="546" spans="10:26"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91"/>
      <c r="V546" s="91"/>
      <c r="W546" s="19"/>
      <c r="X546" s="19"/>
      <c r="Y546" s="19"/>
      <c r="Z546" s="19"/>
    </row>
    <row r="547" spans="10:26"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91"/>
      <c r="V547" s="91"/>
      <c r="W547" s="19"/>
      <c r="X547" s="19"/>
      <c r="Y547" s="19"/>
      <c r="Z547" s="19"/>
    </row>
    <row r="548" spans="10:26"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91"/>
      <c r="V548" s="91"/>
      <c r="W548" s="19"/>
      <c r="X548" s="19"/>
      <c r="Y548" s="19"/>
      <c r="Z548" s="19"/>
    </row>
    <row r="549" spans="10:26"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91"/>
      <c r="V549" s="91"/>
      <c r="W549" s="19"/>
      <c r="X549" s="19"/>
      <c r="Y549" s="19"/>
      <c r="Z549" s="19"/>
    </row>
    <row r="550" spans="10:26"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91"/>
      <c r="V550" s="91"/>
      <c r="W550" s="19"/>
      <c r="X550" s="19"/>
      <c r="Y550" s="19"/>
      <c r="Z550" s="19"/>
    </row>
    <row r="551" spans="10:26"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91"/>
      <c r="V551" s="91"/>
      <c r="W551" s="19"/>
      <c r="X551" s="19"/>
      <c r="Y551" s="19"/>
      <c r="Z551" s="19"/>
    </row>
    <row r="552" spans="10:26"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91"/>
      <c r="V552" s="91"/>
      <c r="W552" s="19"/>
      <c r="X552" s="19"/>
      <c r="Y552" s="19"/>
      <c r="Z552" s="19"/>
    </row>
    <row r="553" spans="10:26"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91"/>
      <c r="V553" s="91"/>
      <c r="W553" s="19"/>
      <c r="X553" s="19"/>
      <c r="Y553" s="19"/>
      <c r="Z553" s="19"/>
    </row>
    <row r="554" spans="10:26"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91"/>
      <c r="V554" s="91"/>
      <c r="W554" s="19"/>
      <c r="X554" s="19"/>
      <c r="Y554" s="19"/>
      <c r="Z554" s="19"/>
    </row>
    <row r="555" spans="10:26"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91"/>
      <c r="V555" s="91"/>
      <c r="W555" s="19"/>
      <c r="X555" s="19"/>
      <c r="Y555" s="19"/>
      <c r="Z555" s="19"/>
    </row>
    <row r="556" spans="10:26"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91"/>
      <c r="V556" s="91"/>
      <c r="W556" s="19"/>
      <c r="X556" s="19"/>
      <c r="Y556" s="19"/>
      <c r="Z556" s="19"/>
    </row>
    <row r="557" spans="10:26"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91"/>
      <c r="V557" s="91"/>
      <c r="W557" s="19"/>
      <c r="X557" s="19"/>
      <c r="Y557" s="19"/>
      <c r="Z557" s="19"/>
    </row>
    <row r="558" spans="10:26"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91"/>
      <c r="V558" s="91"/>
      <c r="W558" s="19"/>
      <c r="X558" s="19"/>
      <c r="Y558" s="19"/>
      <c r="Z558" s="19"/>
    </row>
    <row r="559" spans="10:26"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91"/>
      <c r="V559" s="91"/>
      <c r="W559" s="19"/>
      <c r="X559" s="19"/>
      <c r="Y559" s="19"/>
      <c r="Z559" s="19"/>
    </row>
    <row r="560" spans="10:26"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91"/>
      <c r="V560" s="91"/>
      <c r="W560" s="19"/>
      <c r="X560" s="19"/>
      <c r="Y560" s="19"/>
      <c r="Z560" s="19"/>
    </row>
    <row r="561" spans="10:26"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91"/>
      <c r="V561" s="91"/>
      <c r="W561" s="19"/>
      <c r="X561" s="19"/>
      <c r="Y561" s="19"/>
      <c r="Z561" s="19"/>
    </row>
    <row r="562" spans="10:26"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91"/>
      <c r="V562" s="91"/>
      <c r="W562" s="19"/>
      <c r="X562" s="19"/>
      <c r="Y562" s="19"/>
      <c r="Z562" s="19"/>
    </row>
    <row r="563" spans="10:26"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91"/>
      <c r="V563" s="91"/>
      <c r="W563" s="19"/>
      <c r="X563" s="19"/>
      <c r="Y563" s="19"/>
      <c r="Z563" s="19"/>
    </row>
    <row r="564" spans="10:26"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91"/>
      <c r="V564" s="91"/>
      <c r="W564" s="19"/>
      <c r="X564" s="19"/>
      <c r="Y564" s="19"/>
      <c r="Z564" s="19"/>
    </row>
    <row r="565" spans="10:26"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91"/>
      <c r="V565" s="91"/>
      <c r="W565" s="19"/>
      <c r="X565" s="19"/>
      <c r="Y565" s="19"/>
      <c r="Z565" s="19"/>
    </row>
    <row r="566" spans="10:26"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91"/>
      <c r="V566" s="91"/>
      <c r="W566" s="19"/>
      <c r="X566" s="19"/>
      <c r="Y566" s="19"/>
      <c r="Z566" s="19"/>
    </row>
    <row r="567" spans="10:26"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91"/>
      <c r="V567" s="91"/>
      <c r="W567" s="19"/>
      <c r="X567" s="19"/>
      <c r="Y567" s="19"/>
      <c r="Z567" s="19"/>
    </row>
    <row r="568" spans="10:26"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91"/>
      <c r="V568" s="91"/>
      <c r="W568" s="19"/>
      <c r="X568" s="19"/>
      <c r="Y568" s="19"/>
      <c r="Z568" s="19"/>
    </row>
    <row r="569" spans="10:26"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91"/>
      <c r="V569" s="91"/>
      <c r="W569" s="19"/>
      <c r="X569" s="19"/>
      <c r="Y569" s="19"/>
      <c r="Z569" s="19"/>
    </row>
    <row r="570" spans="10:26"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91"/>
      <c r="V570" s="91"/>
      <c r="W570" s="19"/>
      <c r="X570" s="19"/>
      <c r="Y570" s="19"/>
      <c r="Z570" s="19"/>
    </row>
    <row r="571" spans="10:26"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91"/>
      <c r="V571" s="91"/>
      <c r="W571" s="19"/>
      <c r="X571" s="19"/>
      <c r="Y571" s="19"/>
      <c r="Z571" s="19"/>
    </row>
    <row r="572" spans="10:26"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91"/>
      <c r="V572" s="91"/>
      <c r="W572" s="19"/>
      <c r="X572" s="19"/>
      <c r="Y572" s="19"/>
      <c r="Z572" s="19"/>
    </row>
    <row r="573" spans="10:26"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91"/>
      <c r="V573" s="91"/>
      <c r="W573" s="19"/>
      <c r="X573" s="19"/>
      <c r="Y573" s="19"/>
      <c r="Z573" s="19"/>
    </row>
    <row r="574" spans="10:26"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91"/>
      <c r="V574" s="91"/>
      <c r="W574" s="19"/>
      <c r="X574" s="19"/>
      <c r="Y574" s="19"/>
      <c r="Z574" s="19"/>
    </row>
    <row r="575" spans="10:26"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91"/>
      <c r="V575" s="91"/>
      <c r="W575" s="19"/>
      <c r="X575" s="19"/>
      <c r="Y575" s="19"/>
      <c r="Z575" s="19"/>
    </row>
    <row r="576" spans="10:26"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91"/>
      <c r="V576" s="91"/>
      <c r="W576" s="19"/>
      <c r="X576" s="19"/>
      <c r="Y576" s="19"/>
      <c r="Z576" s="19"/>
    </row>
    <row r="577" spans="10:26"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91"/>
      <c r="V577" s="91"/>
      <c r="W577" s="19"/>
      <c r="X577" s="19"/>
      <c r="Y577" s="19"/>
      <c r="Z577" s="19"/>
    </row>
    <row r="578" spans="10:26"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91"/>
      <c r="V578" s="91"/>
      <c r="W578" s="19"/>
      <c r="X578" s="19"/>
      <c r="Y578" s="19"/>
      <c r="Z578" s="19"/>
    </row>
    <row r="579" spans="10:26"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91"/>
      <c r="V579" s="91"/>
      <c r="W579" s="19"/>
      <c r="X579" s="19"/>
      <c r="Y579" s="19"/>
      <c r="Z579" s="19"/>
    </row>
    <row r="580" spans="10:26"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91"/>
      <c r="V580" s="91"/>
      <c r="W580" s="19"/>
      <c r="X580" s="19"/>
      <c r="Y580" s="19"/>
      <c r="Z580" s="19"/>
    </row>
    <row r="581" spans="10:26"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91"/>
      <c r="V581" s="91"/>
      <c r="W581" s="19"/>
      <c r="X581" s="19"/>
      <c r="Y581" s="19"/>
      <c r="Z581" s="19"/>
    </row>
    <row r="582" spans="10:26"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91"/>
      <c r="V582" s="91"/>
      <c r="W582" s="19"/>
      <c r="X582" s="19"/>
      <c r="Y582" s="19"/>
      <c r="Z582" s="19"/>
    </row>
    <row r="583" spans="10:26"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91"/>
      <c r="V583" s="91"/>
      <c r="W583" s="19"/>
      <c r="X583" s="19"/>
      <c r="Y583" s="19"/>
      <c r="Z583" s="19"/>
    </row>
    <row r="584" spans="10:26"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91"/>
      <c r="V584" s="91"/>
      <c r="W584" s="19"/>
      <c r="X584" s="19"/>
      <c r="Y584" s="19"/>
      <c r="Z584" s="19"/>
    </row>
    <row r="585" spans="10:26"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91"/>
      <c r="V585" s="91"/>
      <c r="W585" s="19"/>
      <c r="X585" s="19"/>
      <c r="Y585" s="19"/>
      <c r="Z585" s="19"/>
    </row>
    <row r="586" spans="10:26"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91"/>
      <c r="V586" s="91"/>
      <c r="W586" s="19"/>
      <c r="X586" s="19"/>
      <c r="Y586" s="19"/>
      <c r="Z586" s="19"/>
    </row>
    <row r="587" spans="10:26"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91"/>
      <c r="V587" s="91"/>
      <c r="W587" s="19"/>
      <c r="X587" s="19"/>
      <c r="Y587" s="19"/>
      <c r="Z587" s="19"/>
    </row>
    <row r="588" spans="10:26"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91"/>
      <c r="V588" s="91"/>
      <c r="W588" s="19"/>
      <c r="X588" s="19"/>
      <c r="Y588" s="19"/>
      <c r="Z588" s="19"/>
    </row>
    <row r="589" spans="10:26"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91"/>
      <c r="V589" s="91"/>
      <c r="W589" s="19"/>
      <c r="X589" s="19"/>
      <c r="Y589" s="19"/>
      <c r="Z589" s="19"/>
    </row>
    <row r="590" spans="10:26"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91"/>
      <c r="V590" s="91"/>
      <c r="W590" s="19"/>
      <c r="X590" s="19"/>
      <c r="Y590" s="19"/>
      <c r="Z590" s="19"/>
    </row>
    <row r="591" spans="10:26"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91"/>
      <c r="V591" s="91"/>
      <c r="W591" s="19"/>
      <c r="X591" s="19"/>
      <c r="Y591" s="19"/>
      <c r="Z591" s="19"/>
    </row>
    <row r="592" spans="10:26"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91"/>
      <c r="V592" s="91"/>
      <c r="W592" s="19"/>
      <c r="X592" s="19"/>
      <c r="Y592" s="19"/>
      <c r="Z592" s="19"/>
    </row>
    <row r="593" spans="10:26"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91"/>
      <c r="V593" s="91"/>
      <c r="W593" s="19"/>
      <c r="X593" s="19"/>
      <c r="Y593" s="19"/>
      <c r="Z593" s="19"/>
    </row>
    <row r="594" spans="10:26"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91"/>
      <c r="V594" s="91"/>
      <c r="W594" s="19"/>
      <c r="X594" s="19"/>
      <c r="Y594" s="19"/>
      <c r="Z594" s="19"/>
    </row>
    <row r="595" spans="10:26"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91"/>
      <c r="V595" s="91"/>
      <c r="W595" s="19"/>
      <c r="X595" s="19"/>
      <c r="Y595" s="19"/>
      <c r="Z595" s="19"/>
    </row>
    <row r="596" spans="10:26"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91"/>
      <c r="V596" s="91"/>
      <c r="W596" s="19"/>
      <c r="X596" s="19"/>
      <c r="Y596" s="19"/>
      <c r="Z596" s="19"/>
    </row>
  </sheetData>
  <mergeCells count="52">
    <mergeCell ref="B22:E23"/>
    <mergeCell ref="H22:J22"/>
    <mergeCell ref="P22:R22"/>
    <mergeCell ref="X22:Z22"/>
    <mergeCell ref="H23:J23"/>
    <mergeCell ref="P23:R23"/>
    <mergeCell ref="X23:Z23"/>
    <mergeCell ref="G11:L11"/>
    <mergeCell ref="O11:T11"/>
    <mergeCell ref="W11:AB11"/>
    <mergeCell ref="G14:H14"/>
    <mergeCell ref="O14:P14"/>
    <mergeCell ref="W14:X14"/>
    <mergeCell ref="B5:T5"/>
    <mergeCell ref="B9:AA9"/>
    <mergeCell ref="G10:L10"/>
    <mergeCell ref="O10:T10"/>
    <mergeCell ref="W10:AB10"/>
    <mergeCell ref="I24:J25"/>
    <mergeCell ref="Q24:R25"/>
    <mergeCell ref="X24:Y25"/>
    <mergeCell ref="B43:F44"/>
    <mergeCell ref="H44:I44"/>
    <mergeCell ref="J44:U44"/>
    <mergeCell ref="B32:H32"/>
    <mergeCell ref="B37:I37"/>
    <mergeCell ref="B24:E26"/>
    <mergeCell ref="R35:S35"/>
    <mergeCell ref="W35:X35"/>
    <mergeCell ref="H45:I45"/>
    <mergeCell ref="O45:P45"/>
    <mergeCell ref="T45:U45"/>
    <mergeCell ref="B45:F55"/>
    <mergeCell ref="T53:U53"/>
    <mergeCell ref="H54:I55"/>
    <mergeCell ref="O54:P55"/>
    <mergeCell ref="A1:S1"/>
    <mergeCell ref="H50:I51"/>
    <mergeCell ref="O50:P51"/>
    <mergeCell ref="H52:I52"/>
    <mergeCell ref="H53:I53"/>
    <mergeCell ref="O53:P53"/>
    <mergeCell ref="H46:I47"/>
    <mergeCell ref="O46:P47"/>
    <mergeCell ref="H48:I48"/>
    <mergeCell ref="J48:U48"/>
    <mergeCell ref="H49:I49"/>
    <mergeCell ref="O49:P49"/>
    <mergeCell ref="A17:AB20"/>
    <mergeCell ref="T49:U49"/>
    <mergeCell ref="P36:Q36"/>
    <mergeCell ref="P38:Q38"/>
  </mergeCells>
  <phoneticPr fontId="5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33"/>
  <sheetViews>
    <sheetView tabSelected="1" topLeftCell="A11" zoomScale="150" workbookViewId="0">
      <selection activeCell="D2" sqref="D2"/>
    </sheetView>
  </sheetViews>
  <sheetFormatPr baseColWidth="10" defaultColWidth="6.83203125" defaultRowHeight="10"/>
  <cols>
    <col min="1" max="1" width="5.33203125" style="205" customWidth="1"/>
    <col min="2" max="17" width="2.1640625" style="205" customWidth="1"/>
    <col min="18" max="18" width="1.83203125" style="205" customWidth="1"/>
    <col min="19" max="19" width="2.1640625" style="205" hidden="1" customWidth="1"/>
    <col min="20" max="21" width="2.1640625" style="193" customWidth="1"/>
    <col min="22" max="22" width="8.1640625" style="193" customWidth="1"/>
    <col min="23" max="23" width="2.83203125" style="193" customWidth="1"/>
    <col min="24" max="24" width="2.6640625" style="193" customWidth="1"/>
    <col min="25" max="25" width="9.1640625" style="193" customWidth="1"/>
    <col min="26" max="27" width="2.1640625" style="192" customWidth="1"/>
    <col min="28" max="28" width="8.33203125" style="192" customWidth="1"/>
    <col min="29" max="29" width="3.5" style="192" customWidth="1"/>
    <col min="30" max="30" width="4.6640625" style="192" customWidth="1"/>
    <col min="31" max="31" width="2.1640625" style="193" customWidth="1"/>
    <col min="32" max="32" width="1.5" style="193" customWidth="1"/>
    <col min="33" max="33" width="1" style="193" customWidth="1"/>
    <col min="34" max="34" width="3.5" style="193" customWidth="1"/>
    <col min="35" max="36" width="2.1640625" style="193" customWidth="1"/>
    <col min="37" max="37" width="0.83203125" style="205" customWidth="1"/>
    <col min="38" max="39" width="6.83203125" style="189"/>
    <col min="40" max="40" width="13" style="189" customWidth="1"/>
    <col min="41" max="16384" width="6.83203125" style="189"/>
  </cols>
  <sheetData>
    <row r="1" spans="1:39" ht="19.5" customHeight="1">
      <c r="A1" s="186" t="s">
        <v>273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7"/>
      <c r="AA1" s="187"/>
      <c r="AB1" s="274"/>
      <c r="AC1" s="277"/>
      <c r="AD1" s="278"/>
      <c r="AE1" s="279"/>
      <c r="AF1" s="274"/>
      <c r="AG1" s="280"/>
      <c r="AH1" s="281"/>
      <c r="AI1" s="282"/>
      <c r="AJ1" s="187"/>
      <c r="AK1" s="188"/>
    </row>
    <row r="2" spans="1:39" ht="12.75" customHeight="1">
      <c r="A2" s="190" t="s">
        <v>178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87"/>
      <c r="X2" s="187"/>
      <c r="Y2" s="187"/>
      <c r="Z2" s="187"/>
      <c r="AA2" s="187"/>
      <c r="AB2" s="274" t="s">
        <v>141</v>
      </c>
      <c r="AC2" s="277"/>
      <c r="AD2" s="278"/>
      <c r="AE2" s="279"/>
      <c r="AF2" s="274"/>
      <c r="AG2" s="283"/>
      <c r="AH2" s="284"/>
      <c r="AI2" s="285"/>
      <c r="AJ2" s="187"/>
      <c r="AK2" s="188"/>
    </row>
    <row r="3" spans="1:39" s="196" customFormat="1">
      <c r="A3" s="97"/>
      <c r="B3" s="260"/>
      <c r="C3" s="261"/>
      <c r="D3" s="261"/>
      <c r="E3" s="261"/>
      <c r="F3" s="261"/>
      <c r="G3" s="261"/>
      <c r="H3" s="261"/>
      <c r="I3" s="261"/>
      <c r="J3" s="194"/>
      <c r="K3" s="194"/>
      <c r="L3" s="194"/>
      <c r="M3" s="194"/>
      <c r="N3" s="194"/>
      <c r="O3" s="194"/>
      <c r="P3" s="194"/>
      <c r="Q3" s="346"/>
      <c r="R3" s="347"/>
      <c r="S3" s="347"/>
      <c r="T3" s="347"/>
      <c r="U3" s="348"/>
      <c r="V3" s="348"/>
      <c r="W3" s="348"/>
      <c r="X3" s="348"/>
      <c r="Y3" s="348"/>
      <c r="Z3" s="195"/>
      <c r="AA3" s="195"/>
      <c r="AB3" s="195"/>
      <c r="AH3" s="192"/>
      <c r="AI3" s="192"/>
      <c r="AJ3" s="192"/>
      <c r="AK3" s="197"/>
    </row>
    <row r="4" spans="1:39" ht="12.75" customHeight="1">
      <c r="A4" s="262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347"/>
      <c r="R4" s="347"/>
      <c r="S4" s="347"/>
      <c r="T4" s="347"/>
      <c r="U4" s="198"/>
      <c r="V4" s="198"/>
      <c r="W4" s="198"/>
      <c r="X4" s="198"/>
      <c r="Y4" s="198"/>
      <c r="Z4" s="199"/>
      <c r="AA4" s="200"/>
      <c r="AB4" s="97">
        <f>'3 SES (ii)'!A43-0.01</f>
        <v>-3.2899999999999938</v>
      </c>
      <c r="AC4" s="349" t="s">
        <v>223</v>
      </c>
      <c r="AD4" s="350"/>
      <c r="AE4" s="350"/>
      <c r="AF4" s="350"/>
      <c r="AG4" s="350"/>
      <c r="AH4" s="350"/>
      <c r="AI4" s="351"/>
      <c r="AK4" s="188"/>
    </row>
    <row r="5" spans="1:39" ht="4.5" customHeight="1">
      <c r="A5" s="189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9"/>
      <c r="AA5" s="200"/>
      <c r="AB5" s="200"/>
      <c r="AC5" s="352"/>
      <c r="AD5" s="353"/>
      <c r="AE5" s="353"/>
      <c r="AF5" s="353"/>
      <c r="AG5" s="353"/>
      <c r="AH5" s="353"/>
      <c r="AI5" s="354"/>
      <c r="AK5" s="188"/>
    </row>
    <row r="6" spans="1:39">
      <c r="A6" s="201"/>
      <c r="B6" s="358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60"/>
      <c r="AC6" s="352"/>
      <c r="AD6" s="353"/>
      <c r="AE6" s="353"/>
      <c r="AF6" s="353"/>
      <c r="AG6" s="353"/>
      <c r="AH6" s="353"/>
      <c r="AI6" s="354"/>
      <c r="AK6" s="188"/>
    </row>
    <row r="7" spans="1:39" ht="21.75" customHeight="1">
      <c r="A7" s="202"/>
      <c r="B7" s="361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3"/>
      <c r="AC7" s="355"/>
      <c r="AD7" s="356"/>
      <c r="AE7" s="356"/>
      <c r="AF7" s="356"/>
      <c r="AG7" s="356"/>
      <c r="AH7" s="356"/>
      <c r="AI7" s="357"/>
      <c r="AK7" s="188"/>
    </row>
    <row r="8" spans="1:39" ht="14.25" customHeight="1">
      <c r="A8" s="203"/>
      <c r="B8" s="364"/>
      <c r="C8" s="365"/>
      <c r="D8" s="36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5"/>
      <c r="T8" s="365"/>
      <c r="U8" s="365"/>
      <c r="V8" s="365"/>
      <c r="W8" s="365"/>
      <c r="X8" s="365"/>
      <c r="Y8" s="365"/>
      <c r="Z8" s="365"/>
      <c r="AA8" s="365"/>
      <c r="AB8" s="366"/>
      <c r="AC8" s="367" t="s">
        <v>150</v>
      </c>
      <c r="AD8" s="368"/>
      <c r="AE8" s="368"/>
      <c r="AF8" s="368"/>
      <c r="AG8" s="368"/>
      <c r="AH8" s="368"/>
      <c r="AI8" s="369"/>
      <c r="AJ8" s="204"/>
    </row>
    <row r="9" spans="1:39">
      <c r="A9" s="97">
        <f>AB4-0.01</f>
        <v>-3.2999999999999936</v>
      </c>
      <c r="B9" s="337" t="s">
        <v>179</v>
      </c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192"/>
      <c r="Y9" s="1"/>
      <c r="Z9" s="1"/>
      <c r="AA9" s="1"/>
      <c r="AB9" s="1"/>
      <c r="AC9" s="1"/>
      <c r="AD9" s="1"/>
      <c r="AK9" s="206"/>
    </row>
    <row r="10" spans="1:39">
      <c r="A10" s="197"/>
      <c r="B10" s="338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192"/>
      <c r="Y10" s="1"/>
      <c r="Z10" s="1"/>
      <c r="AA10" s="1"/>
      <c r="AB10" s="1"/>
      <c r="AC10" s="1"/>
      <c r="AD10" s="1"/>
      <c r="AK10" s="206"/>
    </row>
    <row r="11" spans="1:39" ht="12">
      <c r="A11" s="197"/>
      <c r="B11" s="4" t="s">
        <v>180</v>
      </c>
      <c r="C11" s="207"/>
      <c r="D11" s="208"/>
      <c r="E11" s="208"/>
      <c r="F11" s="208"/>
      <c r="G11" s="208"/>
      <c r="H11" s="208"/>
      <c r="I11" s="208"/>
      <c r="J11" s="208"/>
      <c r="K11" s="4">
        <v>1</v>
      </c>
      <c r="L11" s="209"/>
      <c r="M11" s="209"/>
      <c r="N11" s="209"/>
      <c r="O11" s="209"/>
      <c r="P11" s="209"/>
      <c r="Q11" s="209"/>
      <c r="R11" s="209"/>
      <c r="S11" s="209"/>
      <c r="T11" s="210"/>
      <c r="U11" s="211"/>
      <c r="V11" s="212"/>
      <c r="W11" s="1"/>
      <c r="X11" s="192"/>
      <c r="Y11" s="1"/>
      <c r="Z11" s="1"/>
      <c r="AA11" s="1"/>
      <c r="AB11" s="1"/>
      <c r="AC11" s="1"/>
      <c r="AD11" s="1"/>
      <c r="AK11" s="206"/>
    </row>
    <row r="12" spans="1:39" ht="12">
      <c r="A12" s="197"/>
      <c r="B12" s="4" t="s">
        <v>145</v>
      </c>
      <c r="C12" s="207"/>
      <c r="D12" s="208"/>
      <c r="E12" s="208"/>
      <c r="F12" s="208"/>
      <c r="G12" s="208"/>
      <c r="H12" s="208"/>
      <c r="I12" s="208"/>
      <c r="J12" s="208"/>
      <c r="K12" s="4">
        <v>2</v>
      </c>
      <c r="L12" s="183" t="s">
        <v>138</v>
      </c>
      <c r="M12" s="213" t="s">
        <v>143</v>
      </c>
      <c r="N12" s="209"/>
      <c r="O12" s="209"/>
      <c r="P12" s="209"/>
      <c r="Q12" s="209"/>
      <c r="R12" s="209"/>
      <c r="S12" s="209"/>
      <c r="T12" s="214"/>
      <c r="U12" s="215"/>
      <c r="V12" s="212"/>
      <c r="W12" s="1"/>
      <c r="X12" s="192"/>
      <c r="Y12" s="1"/>
      <c r="Z12" s="1"/>
      <c r="AA12" s="1"/>
      <c r="AB12" s="1"/>
      <c r="AC12" s="1"/>
      <c r="AD12" s="1"/>
      <c r="AK12" s="206"/>
    </row>
    <row r="13" spans="1:39" ht="12">
      <c r="A13" s="197"/>
      <c r="B13" s="4" t="s">
        <v>181</v>
      </c>
      <c r="C13" s="207"/>
      <c r="D13" s="208"/>
      <c r="E13" s="208"/>
      <c r="F13" s="208"/>
      <c r="G13" s="208"/>
      <c r="H13" s="208"/>
      <c r="I13" s="208"/>
      <c r="J13" s="208"/>
      <c r="K13" s="4">
        <v>3</v>
      </c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12"/>
      <c r="W13" s="1"/>
      <c r="X13" s="192"/>
      <c r="Y13" s="1"/>
      <c r="Z13" s="1"/>
      <c r="AA13" s="1"/>
      <c r="AB13" s="1"/>
      <c r="AC13" s="1"/>
      <c r="AD13" s="1"/>
      <c r="AK13" s="206"/>
    </row>
    <row r="14" spans="1:39" ht="12">
      <c r="A14" s="197"/>
      <c r="B14" s="4"/>
      <c r="C14" s="207"/>
      <c r="D14" s="208"/>
      <c r="E14" s="208"/>
      <c r="F14" s="208"/>
      <c r="G14" s="208"/>
      <c r="H14" s="208"/>
      <c r="I14" s="208"/>
      <c r="J14" s="208"/>
      <c r="K14" s="4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12"/>
      <c r="W14" s="1"/>
      <c r="X14" s="192"/>
      <c r="Y14" s="1"/>
      <c r="Z14" s="1" t="s">
        <v>266</v>
      </c>
      <c r="AA14" s="1"/>
      <c r="AC14" s="1"/>
      <c r="AD14" s="1"/>
      <c r="AK14" s="206"/>
      <c r="AL14" s="1" t="s">
        <v>265</v>
      </c>
    </row>
    <row r="15" spans="1:39">
      <c r="A15" s="197"/>
      <c r="B15" s="1"/>
      <c r="C15" s="216"/>
      <c r="D15" s="212"/>
      <c r="E15" s="212"/>
      <c r="F15" s="212"/>
      <c r="G15" s="212"/>
      <c r="H15" s="212"/>
      <c r="I15" s="212"/>
      <c r="J15" s="212"/>
      <c r="K15" s="1"/>
      <c r="L15" s="212"/>
      <c r="M15" s="212"/>
      <c r="N15" s="1"/>
      <c r="O15" s="216"/>
      <c r="P15" s="212"/>
      <c r="Q15" s="212"/>
      <c r="R15" s="212"/>
      <c r="S15" s="212"/>
      <c r="T15" s="212"/>
      <c r="U15" s="212"/>
      <c r="V15" s="212"/>
      <c r="W15" s="1"/>
      <c r="X15" s="192"/>
      <c r="Y15" s="1"/>
      <c r="Z15" s="1"/>
      <c r="AA15" s="1"/>
      <c r="AB15" s="1"/>
      <c r="AC15" s="1"/>
      <c r="AD15" s="1"/>
      <c r="AK15" s="206"/>
    </row>
    <row r="16" spans="1:39" s="223" customFormat="1" ht="17.25" customHeight="1">
      <c r="A16" s="195">
        <f>A9-0.01</f>
        <v>-3.3099999999999934</v>
      </c>
      <c r="B16" s="339" t="s">
        <v>224</v>
      </c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217"/>
      <c r="Z16" s="218"/>
      <c r="AA16" s="219" t="s">
        <v>182</v>
      </c>
      <c r="AB16" s="220"/>
      <c r="AC16" s="217"/>
      <c r="AD16" s="217"/>
      <c r="AE16" s="221"/>
      <c r="AF16" s="221"/>
      <c r="AG16" s="221"/>
      <c r="AH16" s="221"/>
      <c r="AI16" s="221"/>
      <c r="AJ16" s="221"/>
      <c r="AK16" s="222"/>
      <c r="AL16" s="219" t="s">
        <v>182</v>
      </c>
      <c r="AM16" s="220"/>
    </row>
    <row r="17" spans="1:39" s="223" customFormat="1" ht="16.5" customHeight="1">
      <c r="A17" s="197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1"/>
      <c r="Z17" s="218"/>
      <c r="AA17" s="219" t="s">
        <v>183</v>
      </c>
      <c r="AB17" s="220"/>
      <c r="AC17" s="217"/>
      <c r="AD17" s="217"/>
      <c r="AE17" s="221"/>
      <c r="AF17" s="221"/>
      <c r="AG17" s="221"/>
      <c r="AH17" s="221"/>
      <c r="AI17" s="221"/>
      <c r="AJ17" s="221"/>
      <c r="AK17" s="222"/>
      <c r="AL17" s="219" t="s">
        <v>183</v>
      </c>
      <c r="AM17" s="220"/>
    </row>
    <row r="18" spans="1:39" s="223" customFormat="1" ht="16.5" customHeight="1">
      <c r="A18" s="197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1"/>
      <c r="Z18" s="218"/>
      <c r="AA18" s="219" t="s">
        <v>184</v>
      </c>
      <c r="AB18" s="220"/>
      <c r="AC18" s="217"/>
      <c r="AD18" s="217"/>
      <c r="AE18" s="221"/>
      <c r="AF18" s="221"/>
      <c r="AG18" s="221"/>
      <c r="AH18" s="221"/>
      <c r="AI18" s="221"/>
      <c r="AJ18" s="221"/>
      <c r="AK18" s="222"/>
      <c r="AL18" s="219" t="s">
        <v>184</v>
      </c>
      <c r="AM18" s="220"/>
    </row>
    <row r="19" spans="1:39" s="223" customFormat="1" ht="5.25" customHeight="1">
      <c r="A19" s="197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7"/>
      <c r="V19" s="217"/>
      <c r="W19" s="217"/>
      <c r="X19" s="217"/>
      <c r="Y19" s="1"/>
      <c r="Z19" s="218"/>
      <c r="AA19" s="224"/>
      <c r="AB19" s="225"/>
      <c r="AC19" s="217"/>
      <c r="AD19" s="217"/>
      <c r="AE19" s="221"/>
      <c r="AF19" s="221"/>
      <c r="AG19" s="221"/>
      <c r="AH19" s="221"/>
      <c r="AI19" s="221"/>
      <c r="AJ19" s="221"/>
      <c r="AK19" s="222"/>
    </row>
    <row r="20" spans="1:39">
      <c r="A20" s="197"/>
      <c r="B20" s="4" t="s">
        <v>185</v>
      </c>
      <c r="C20" s="207"/>
      <c r="D20" s="208"/>
      <c r="E20" s="208"/>
      <c r="F20" s="208"/>
      <c r="G20" s="208"/>
      <c r="H20" s="208"/>
      <c r="I20" s="208"/>
      <c r="J20" s="208"/>
      <c r="K20" s="4">
        <v>1</v>
      </c>
      <c r="L20" s="212"/>
      <c r="M20" s="212"/>
      <c r="N20" s="4" t="s">
        <v>186</v>
      </c>
      <c r="O20" s="207"/>
      <c r="P20" s="208"/>
      <c r="Q20" s="208"/>
      <c r="R20" s="208"/>
      <c r="S20" s="208"/>
      <c r="T20" s="208"/>
      <c r="U20" s="208"/>
      <c r="V20" s="208"/>
      <c r="W20" s="4">
        <v>11</v>
      </c>
      <c r="X20" s="226"/>
      <c r="AE20" s="227"/>
      <c r="AF20" s="227"/>
      <c r="AG20" s="227"/>
      <c r="AH20" s="2"/>
      <c r="AK20" s="206"/>
    </row>
    <row r="21" spans="1:39">
      <c r="A21" s="197"/>
      <c r="B21" s="4" t="s">
        <v>187</v>
      </c>
      <c r="C21" s="207"/>
      <c r="D21" s="208"/>
      <c r="E21" s="208"/>
      <c r="F21" s="208"/>
      <c r="G21" s="208"/>
      <c r="H21" s="208"/>
      <c r="I21" s="208"/>
      <c r="J21" s="208"/>
      <c r="K21" s="4">
        <v>2</v>
      </c>
      <c r="L21" s="212"/>
      <c r="M21" s="212"/>
      <c r="N21" s="4" t="s">
        <v>188</v>
      </c>
      <c r="O21" s="207"/>
      <c r="P21" s="208"/>
      <c r="Q21" s="208"/>
      <c r="R21" s="208"/>
      <c r="S21" s="208"/>
      <c r="T21" s="208"/>
      <c r="U21" s="208"/>
      <c r="V21" s="208"/>
      <c r="W21" s="4">
        <v>12</v>
      </c>
      <c r="X21" s="226"/>
      <c r="Y21" s="4" t="s">
        <v>189</v>
      </c>
      <c r="Z21" s="228"/>
      <c r="AA21" s="228"/>
      <c r="AB21" s="229"/>
      <c r="AC21" s="229"/>
      <c r="AD21" s="208">
        <v>19</v>
      </c>
      <c r="AG21" s="206"/>
      <c r="AH21" s="189"/>
      <c r="AI21" s="189"/>
      <c r="AJ21" s="189"/>
      <c r="AK21" s="189"/>
    </row>
    <row r="22" spans="1:39">
      <c r="A22" s="197"/>
      <c r="B22" s="4" t="s">
        <v>190</v>
      </c>
      <c r="C22" s="207"/>
      <c r="D22" s="208"/>
      <c r="E22" s="208"/>
      <c r="F22" s="208"/>
      <c r="G22" s="208"/>
      <c r="H22" s="208"/>
      <c r="I22" s="208"/>
      <c r="J22" s="208"/>
      <c r="K22" s="4">
        <v>3</v>
      </c>
      <c r="L22" s="212"/>
      <c r="M22" s="212"/>
      <c r="N22" s="4" t="s">
        <v>191</v>
      </c>
      <c r="O22" s="207"/>
      <c r="P22" s="208"/>
      <c r="Q22" s="208"/>
      <c r="R22" s="208"/>
      <c r="S22" s="208"/>
      <c r="T22" s="208"/>
      <c r="U22" s="208"/>
      <c r="V22" s="208"/>
      <c r="W22" s="4">
        <v>13</v>
      </c>
      <c r="X22" s="217"/>
      <c r="Y22" s="4" t="s">
        <v>192</v>
      </c>
      <c r="Z22" s="230"/>
      <c r="AA22" s="230"/>
      <c r="AB22" s="229"/>
      <c r="AC22" s="229"/>
      <c r="AD22" s="208">
        <v>20</v>
      </c>
      <c r="AG22" s="206"/>
      <c r="AH22" s="189"/>
      <c r="AI22" s="189"/>
      <c r="AJ22" s="189"/>
      <c r="AK22" s="189"/>
    </row>
    <row r="23" spans="1:39">
      <c r="A23" s="197"/>
      <c r="B23" s="4" t="s">
        <v>193</v>
      </c>
      <c r="C23" s="207"/>
      <c r="D23" s="208"/>
      <c r="E23" s="208"/>
      <c r="F23" s="208"/>
      <c r="G23" s="208"/>
      <c r="H23" s="208"/>
      <c r="I23" s="208"/>
      <c r="J23" s="208"/>
      <c r="K23" s="4">
        <v>4</v>
      </c>
      <c r="L23" s="212"/>
      <c r="M23" s="212"/>
      <c r="N23" s="231" t="s">
        <v>194</v>
      </c>
      <c r="O23" s="207"/>
      <c r="P23" s="208"/>
      <c r="Q23" s="208"/>
      <c r="R23" s="208"/>
      <c r="S23" s="208"/>
      <c r="T23" s="208"/>
      <c r="U23" s="208"/>
      <c r="V23" s="208"/>
      <c r="W23" s="4">
        <v>14</v>
      </c>
      <c r="X23" s="217"/>
      <c r="Y23" s="4" t="s">
        <v>195</v>
      </c>
      <c r="Z23" s="230"/>
      <c r="AA23" s="230"/>
      <c r="AB23" s="229"/>
      <c r="AC23" s="229"/>
      <c r="AD23" s="208">
        <v>21</v>
      </c>
      <c r="AG23" s="206"/>
      <c r="AH23" s="189"/>
      <c r="AI23" s="189"/>
      <c r="AJ23" s="189"/>
      <c r="AK23" s="189"/>
    </row>
    <row r="24" spans="1:39">
      <c r="A24" s="197"/>
      <c r="B24" s="4" t="s">
        <v>196</v>
      </c>
      <c r="C24" s="207"/>
      <c r="D24" s="208"/>
      <c r="E24" s="208"/>
      <c r="F24" s="208"/>
      <c r="G24" s="208"/>
      <c r="H24" s="208"/>
      <c r="I24" s="208"/>
      <c r="J24" s="208"/>
      <c r="K24" s="4">
        <v>5</v>
      </c>
      <c r="L24" s="212"/>
      <c r="M24" s="212"/>
      <c r="N24" s="4" t="s">
        <v>197</v>
      </c>
      <c r="O24" s="207"/>
      <c r="P24" s="208"/>
      <c r="Q24" s="208"/>
      <c r="R24" s="208"/>
      <c r="S24" s="208"/>
      <c r="T24" s="208"/>
      <c r="U24" s="208"/>
      <c r="V24" s="208"/>
      <c r="W24" s="4">
        <v>15</v>
      </c>
      <c r="X24" s="192"/>
      <c r="Y24" s="231" t="s">
        <v>198</v>
      </c>
      <c r="Z24" s="232"/>
      <c r="AA24" s="232"/>
      <c r="AB24" s="232"/>
      <c r="AC24" s="232"/>
      <c r="AD24" s="230">
        <v>22</v>
      </c>
      <c r="AE24" s="2"/>
      <c r="AF24" s="2"/>
      <c r="AK24" s="206"/>
    </row>
    <row r="25" spans="1:39">
      <c r="A25" s="197"/>
      <c r="B25" s="341" t="s">
        <v>199</v>
      </c>
      <c r="C25" s="342"/>
      <c r="D25" s="342"/>
      <c r="E25" s="342"/>
      <c r="F25" s="342"/>
      <c r="G25" s="342"/>
      <c r="H25" s="342"/>
      <c r="I25" s="342"/>
      <c r="J25" s="342"/>
      <c r="K25" s="344">
        <v>6</v>
      </c>
      <c r="L25" s="212"/>
      <c r="M25" s="212"/>
      <c r="N25" s="231" t="s">
        <v>200</v>
      </c>
      <c r="O25" s="207"/>
      <c r="P25" s="208"/>
      <c r="Q25" s="208"/>
      <c r="R25" s="208"/>
      <c r="S25" s="208"/>
      <c r="T25" s="208"/>
      <c r="U25" s="208"/>
      <c r="V25" s="208"/>
      <c r="W25" s="4">
        <v>16</v>
      </c>
      <c r="X25" s="192"/>
      <c r="Y25" s="233" t="s">
        <v>201</v>
      </c>
      <c r="AD25" s="232">
        <v>23</v>
      </c>
      <c r="AE25" s="2"/>
      <c r="AF25" s="2"/>
      <c r="AK25" s="206"/>
    </row>
    <row r="26" spans="1:39" ht="15">
      <c r="A26" s="197"/>
      <c r="B26" s="343"/>
      <c r="C26" s="343"/>
      <c r="D26" s="343"/>
      <c r="E26" s="343"/>
      <c r="F26" s="343"/>
      <c r="G26" s="343"/>
      <c r="H26" s="343"/>
      <c r="I26" s="343"/>
      <c r="J26" s="343"/>
      <c r="K26" s="345"/>
      <c r="L26" s="212"/>
      <c r="M26" s="212"/>
      <c r="N26" s="231" t="s">
        <v>202</v>
      </c>
      <c r="O26" s="207"/>
      <c r="P26" s="208"/>
      <c r="Q26" s="208"/>
      <c r="R26" s="234"/>
      <c r="S26" s="208"/>
      <c r="T26" s="208"/>
      <c r="U26" s="235"/>
      <c r="V26" s="235"/>
      <c r="W26" s="208">
        <v>17</v>
      </c>
      <c r="X26" s="192"/>
      <c r="Y26" s="4" t="s">
        <v>142</v>
      </c>
      <c r="Z26" s="207"/>
      <c r="AA26" s="208"/>
      <c r="AB26" s="208"/>
      <c r="AC26" s="208"/>
      <c r="AD26" s="236" t="s">
        <v>138</v>
      </c>
      <c r="AF26" s="2"/>
      <c r="AK26" s="206"/>
    </row>
    <row r="27" spans="1:39">
      <c r="A27" s="197"/>
      <c r="B27" s="341" t="s">
        <v>203</v>
      </c>
      <c r="C27" s="342"/>
      <c r="D27" s="342"/>
      <c r="E27" s="342"/>
      <c r="F27" s="342"/>
      <c r="G27" s="342"/>
      <c r="H27" s="342"/>
      <c r="I27" s="342"/>
      <c r="J27" s="342"/>
      <c r="K27" s="344">
        <v>7</v>
      </c>
      <c r="L27" s="212"/>
      <c r="M27" s="212"/>
      <c r="N27" s="4" t="s">
        <v>204</v>
      </c>
      <c r="O27" s="207"/>
      <c r="P27" s="208"/>
      <c r="Q27" s="208"/>
      <c r="R27" s="234"/>
      <c r="S27" s="234"/>
      <c r="T27" s="234"/>
      <c r="U27" s="234"/>
      <c r="V27" s="234"/>
      <c r="W27" s="208">
        <v>18</v>
      </c>
      <c r="X27" s="192"/>
      <c r="Y27" s="237"/>
      <c r="Z27" s="238"/>
      <c r="AA27" s="239"/>
      <c r="AB27" s="239"/>
      <c r="AC27" s="239"/>
      <c r="AF27" s="2"/>
      <c r="AK27" s="206"/>
    </row>
    <row r="28" spans="1:39">
      <c r="A28" s="197"/>
      <c r="B28" s="343"/>
      <c r="C28" s="343"/>
      <c r="D28" s="343"/>
      <c r="E28" s="343"/>
      <c r="F28" s="343"/>
      <c r="G28" s="343"/>
      <c r="H28" s="343"/>
      <c r="I28" s="343"/>
      <c r="J28" s="343"/>
      <c r="K28" s="345"/>
      <c r="L28" s="212"/>
      <c r="M28" s="212"/>
      <c r="X28" s="217"/>
      <c r="Y28" s="237"/>
      <c r="Z28" s="238"/>
      <c r="AA28" s="239"/>
      <c r="AB28" s="239"/>
      <c r="AC28" s="239"/>
      <c r="AD28" s="1"/>
      <c r="AF28" s="240"/>
      <c r="AG28" s="205"/>
      <c r="AH28" s="205"/>
      <c r="AI28" s="205"/>
      <c r="AK28" s="188"/>
    </row>
    <row r="29" spans="1:39">
      <c r="A29" s="197"/>
      <c r="B29" s="4" t="s">
        <v>205</v>
      </c>
      <c r="C29" s="207"/>
      <c r="D29" s="208"/>
      <c r="E29" s="208"/>
      <c r="F29" s="208"/>
      <c r="G29" s="208"/>
      <c r="H29" s="208"/>
      <c r="I29" s="208"/>
      <c r="J29" s="208"/>
      <c r="K29" s="4">
        <v>8</v>
      </c>
      <c r="X29" s="205"/>
      <c r="AF29" s="205"/>
      <c r="AG29" s="205"/>
      <c r="AH29" s="205"/>
      <c r="AI29" s="205"/>
      <c r="AK29" s="206"/>
    </row>
    <row r="30" spans="1:39">
      <c r="B30" s="4" t="s">
        <v>268</v>
      </c>
      <c r="C30" s="207"/>
      <c r="D30" s="208"/>
      <c r="E30" s="208"/>
      <c r="F30" s="208"/>
      <c r="G30" s="208"/>
      <c r="H30" s="208"/>
      <c r="I30" s="208"/>
      <c r="J30" s="208"/>
      <c r="K30" s="4">
        <v>9</v>
      </c>
    </row>
    <row r="31" spans="1:39">
      <c r="B31" s="4" t="s">
        <v>269</v>
      </c>
      <c r="C31" s="207"/>
      <c r="D31" s="208"/>
      <c r="E31" s="208"/>
      <c r="F31" s="208"/>
      <c r="G31" s="208"/>
      <c r="H31" s="208"/>
      <c r="I31" s="208"/>
      <c r="J31" s="208"/>
      <c r="K31" s="4">
        <v>10</v>
      </c>
    </row>
    <row r="33" spans="18:18">
      <c r="R33" s="241"/>
    </row>
  </sheetData>
  <mergeCells count="12">
    <mergeCell ref="Q3:T4"/>
    <mergeCell ref="U3:Y3"/>
    <mergeCell ref="AC4:AI7"/>
    <mergeCell ref="B6:AB7"/>
    <mergeCell ref="B8:AB8"/>
    <mergeCell ref="AC8:AI8"/>
    <mergeCell ref="B9:W10"/>
    <mergeCell ref="B16:X18"/>
    <mergeCell ref="B25:J26"/>
    <mergeCell ref="K25:K26"/>
    <mergeCell ref="B27:J28"/>
    <mergeCell ref="K27:K28"/>
  </mergeCells>
  <phoneticPr fontId="5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 SES (i)</vt:lpstr>
      <vt:lpstr>3 SES (ii)</vt:lpstr>
      <vt:lpstr>3 SES (iii)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Sean Dalby</cp:lastModifiedBy>
  <cp:lastPrinted>2011-12-20T03:09:01Z</cp:lastPrinted>
  <dcterms:created xsi:type="dcterms:W3CDTF">2009-07-03T14:13:48Z</dcterms:created>
  <dcterms:modified xsi:type="dcterms:W3CDTF">2011-12-20T20:20:18Z</dcterms:modified>
</cp:coreProperties>
</file>