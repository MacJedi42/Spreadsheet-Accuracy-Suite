
<file path=[Content_Types].xml><?xml version="1.0" encoding="utf-8"?>
<Types xmlns="http://schemas.openxmlformats.org/package/2006/content-types">
  <Override PartName="/xl/ctrlProps/ctrlProp49.xml" ContentType="application/vnd.ms-excel.controlproperties+xml"/>
  <Override PartName="/xl/theme/theme1.xml" ContentType="application/vnd.openxmlformats-officedocument.theme+xml"/>
  <Override PartName="/xl/styles.xml" ContentType="application/vnd.openxmlformats-officedocument.spreadsheetml.styles+xml"/>
  <Override PartName="/xl/ctrlProps/ctrlProp38.xml" ContentType="application/vnd.ms-excel.controlproperties+xml"/>
  <Override PartName="/xl/ctrlProps/ctrlProp47.xml" ContentType="application/vnd.ms-excel.controlproperties+xml"/>
  <Override PartName="/xl/ctrlProps/ctrlProp18.xml" ContentType="application/vnd.ms-excel.controlproperties+xml"/>
  <Override PartName="/xl/ctrlProps/ctrlProp36.xml" ContentType="application/vnd.ms-excel.controlproperties+xml"/>
  <Override PartName="/xl/ctrlProps/ctrlProp45.xml" ContentType="application/vnd.ms-excel.controlproperti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trlProps/ctrlProp15.xml" ContentType="application/vnd.ms-excel.controlproperties+xml"/>
  <Override PartName="/xl/ctrlProps/ctrlProp16.xml" ContentType="application/vnd.ms-excel.controlproperties+xml"/>
  <Override PartName="/xl/ctrlProps/ctrlProp35.xml" ContentType="application/vnd.ms-excel.controlproperties+xml"/>
  <Override PartName="/xl/ctrlProps/ctrlProp34.xml" ContentType="application/vnd.ms-excel.controlproperties+xml"/>
  <Override PartName="/xl/ctrlProps/ctrlProp52.xml" ContentType="application/vnd.ms-excel.controlproperties+xml"/>
  <Override PartName="/xl/ctrlProps/ctrlProp44.xml" ContentType="application/vnd.ms-excel.controlproperties+xml"/>
  <Override PartName="/xl/ctrlProps/ctrlProp43.xml" ContentType="application/vnd.ms-excel.controlproperties+xml"/>
  <Override PartName="/xl/ctrlProps/ctrlProp9.xml" ContentType="application/vnd.ms-excel.control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ctrlProps/ctrlProp14.xml" ContentType="application/vnd.ms-excel.controlproperties+xml"/>
  <Override PartName="/xl/ctrlProps/ctrlProp13.xml" ContentType="application/vnd.ms-excel.controlproperties+xml"/>
  <Override PartName="/xl/ctrlProps/ctrlProp22.xml" ContentType="application/vnd.ms-excel.controlproperties+xml"/>
  <Override PartName="/xl/ctrlProps/ctrlProp42.xml" ContentType="application/vnd.ms-excel.controlproperties+xml"/>
  <Override PartName="/xl/ctrlProps/ctrlProp41.xml" ContentType="application/vnd.ms-excel.controlproperties+xml"/>
  <Override PartName="/xl/ctrlProps/ctrlProp33.xml" ContentType="application/vnd.ms-excel.controlproperties+xml"/>
  <Override PartName="/xl/ctrlProps/ctrlProp51.xml" ContentType="application/vnd.ms-excel.controlproperties+xml"/>
  <Override PartName="/xl/ctrlProps/ctrlProp50.xml" ContentType="application/vnd.ms-excel.controlproperties+xml"/>
  <Override PartName="/xl/ctrlProps/ctrlProp8.xml" ContentType="application/vnd.ms-excel.controlproperties+xml"/>
  <Override PartName="/xl/ctrlProps/ctrlProp7.xml" ContentType="application/vnd.ms-excel.controlpropertie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ctrlProps/ctrlProp20.xml" ContentType="application/vnd.ms-excel.controlproperties+xml"/>
  <Override PartName="/xl/ctrlProps/ctrlProp12.xml" ContentType="application/vnd.ms-excel.controlproperties+xml"/>
  <Override PartName="/xl/ctrlProps/ctrlProp11.xml" ContentType="application/vnd.ms-excel.controlproperties+xml"/>
  <Override PartName="/xl/ctrlProps/ctrlProp21.xml" ContentType="application/vnd.ms-excel.controlproperties+xml"/>
  <Override PartName="/xl/ctrlProps/ctrlProp40.xml" ContentType="application/vnd.ms-excel.controlproperties+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10.xml" ContentType="application/vnd.ms-excel.controlpropertie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Default Extension="bin" ContentType="application/vnd.openxmlformats-officedocument.spreadsheetml.printerSettings"/>
  <Default Extension="png" ContentType="image/png"/>
  <Override PartName="/xl/ctrlProps/ctrlProp19.xml" ContentType="application/vnd.ms-excel.controlproperties+xml"/>
  <Override PartName="/xl/ctrlProps/ctrlProp39.xml" ContentType="application/vnd.ms-excel.controlproperties+xml"/>
  <Override PartName="/xl/ctrlProps/ctrlProp48.xml" ContentType="application/vnd.ms-excel.controlproperties+xml"/>
  <Override PartName="/xl/worksheets/sheet6.xml" ContentType="application/vnd.openxmlformats-officedocument.spreadsheetml.worksheet+xml"/>
  <Override PartName="/xl/ctrlProps/ctrlProp17.xml" ContentType="application/vnd.ms-excel.controlproperties+xml"/>
  <Override PartName="/xl/ctrlProps/ctrlProp37.xml" ContentType="application/vnd.ms-excel.controlproperties+xml"/>
  <Override PartName="/xl/ctrlProps/ctrlProp46.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15" windowWidth="19200" windowHeight="11100"/>
  </bookViews>
  <sheets>
    <sheet name="Page 1" sheetId="1" r:id="rId1"/>
    <sheet name="Page 2" sheetId="14" r:id="rId2"/>
    <sheet name="Page 3" sheetId="12" r:id="rId3"/>
    <sheet name="Certification Page" sheetId="9" r:id="rId4"/>
    <sheet name="Formulas &amp; Weather Codes" sheetId="7" r:id="rId5"/>
    <sheet name="Dropdown Menu" sheetId="8" state="hidden" r:id="rId6"/>
  </sheets>
  <externalReferences>
    <externalReference r:id="rId7"/>
    <externalReference r:id="rId8"/>
  </externalReferences>
  <definedNames>
    <definedName name="County" localSheetId="1">'[1]Dropdown Menu'!$B$1:$B$101</definedName>
    <definedName name="County" localSheetId="2">'[2]Dropdown Menu'!$B$1:$B$101</definedName>
    <definedName name="County">'Dropdown Menu'!$B$1:$B$101</definedName>
    <definedName name="Flow" localSheetId="3">'Dropdown Menu'!#REF!</definedName>
    <definedName name="Flow" localSheetId="1">'[1]Dropdown Menu'!#REF!</definedName>
    <definedName name="Flow" localSheetId="2">'[2]Dropdown Menu'!#REF!</definedName>
    <definedName name="Flow">'Dropdown Menu'!#REF!</definedName>
    <definedName name="Month" localSheetId="1">'[1]Dropdown Menu'!$A$1:$A$13</definedName>
    <definedName name="Month" localSheetId="2">'[2]Dropdown Menu'!$A$1:$A$13</definedName>
    <definedName name="Month">'Dropdown Menu'!$A$1:$A$13</definedName>
    <definedName name="Parameters" localSheetId="3">'Formulas &amp; Weather Codes'!#REF!</definedName>
    <definedName name="Parameters" localSheetId="1">'[1]Formulas &amp; Weather Codes'!#REF!</definedName>
    <definedName name="Parameters" localSheetId="2">'[2]Formulas &amp; Weather Codes'!#REF!</definedName>
    <definedName name="Parameters">'Formulas &amp; Weather Codes'!#REF!</definedName>
    <definedName name="PCS" localSheetId="3">'Formulas &amp; Weather Codes'!#REF!</definedName>
    <definedName name="PCS" localSheetId="1">'[1]Formulas &amp; Weather Codes'!#REF!</definedName>
    <definedName name="PCS" localSheetId="2">'[2]Formulas &amp; Weather Codes'!#REF!</definedName>
    <definedName name="PCS">'Formulas &amp; Weather Codes'!#REF!</definedName>
    <definedName name="PCSCODE" localSheetId="3">'Formulas &amp; Weather Codes'!#REF!</definedName>
    <definedName name="PCSCODE" localSheetId="1">'[1]Formulas &amp; Weather Codes'!#REF!</definedName>
    <definedName name="PCSCODE" localSheetId="2">'[2]Formulas &amp; Weather Codes'!#REF!</definedName>
    <definedName name="PCSCODE">'Formulas &amp; Weather Codes'!#REF!</definedName>
    <definedName name="PPI" localSheetId="3">'Dropdown Menu'!#REF!</definedName>
    <definedName name="PPI" localSheetId="1">'[1]Dropdown Menu'!#REF!</definedName>
    <definedName name="PPI" localSheetId="2">'[2]Dropdown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1'!$A$1:$V$42</definedName>
    <definedName name="_xlnm.Print_Area" localSheetId="1">'Page 2'!$A$1:$V$42</definedName>
    <definedName name="_xlnm.Print_Area" localSheetId="2">'Page 3'!$A$1:$V$42</definedName>
    <definedName name="SamplingType" localSheetId="3">'Dropdown Menu'!#REF!</definedName>
    <definedName name="SamplingType" localSheetId="1">'[1]Dropdown Menu'!#REF!</definedName>
    <definedName name="SamplingType" localSheetId="2">'[2]Dropdown Menu'!#REF!</definedName>
    <definedName name="SamplingType">'Dropdown Menu'!#REF!</definedName>
    <definedName name="Weather" localSheetId="1">'[1]Dropdown Menu'!$D$1:$D$7</definedName>
    <definedName name="Weather" localSheetId="2">'[2]Dropdown Menu'!$D$1:$D$7</definedName>
    <definedName name="Weather">'Dropdown Menu'!$D$1:$D$7</definedName>
    <definedName name="Year" localSheetId="1">'[1]Dropdown Menu'!$C$1:$C$21</definedName>
    <definedName name="Year" localSheetId="2">'[2]Dropdown Menu'!$C$1:$C$21</definedName>
    <definedName name="Year">'Dropdown Menu'!$C$1:$C$21</definedName>
  </definedNames>
  <calcPr calcId="125725"/>
</workbook>
</file>

<file path=xl/calcChain.xml><?xml version="1.0" encoding="utf-8"?>
<calcChain xmlns="http://schemas.openxmlformats.org/spreadsheetml/2006/main">
  <c r="I10" i="14"/>
  <c r="J10"/>
  <c r="M10"/>
  <c r="N10"/>
  <c r="Q10"/>
  <c r="R10"/>
  <c r="U10"/>
  <c r="V10"/>
  <c r="I11"/>
  <c r="J11"/>
  <c r="M11"/>
  <c r="N11"/>
  <c r="Q11"/>
  <c r="R11"/>
  <c r="U11"/>
  <c r="V11"/>
  <c r="I12"/>
  <c r="J12"/>
  <c r="M12"/>
  <c r="N12"/>
  <c r="Q12"/>
  <c r="R12"/>
  <c r="U12"/>
  <c r="V12"/>
  <c r="I13"/>
  <c r="J13"/>
  <c r="M13"/>
  <c r="N13"/>
  <c r="Q13"/>
  <c r="R13"/>
  <c r="U13"/>
  <c r="V13"/>
  <c r="I14"/>
  <c r="J14"/>
  <c r="M14"/>
  <c r="N14"/>
  <c r="Q14"/>
  <c r="R14"/>
  <c r="U14"/>
  <c r="V14"/>
  <c r="I15"/>
  <c r="J15"/>
  <c r="M15"/>
  <c r="N15"/>
  <c r="Q15"/>
  <c r="R15"/>
  <c r="U15"/>
  <c r="V15"/>
  <c r="I16"/>
  <c r="J16"/>
  <c r="M16"/>
  <c r="N16"/>
  <c r="Q16"/>
  <c r="R16"/>
  <c r="U16"/>
  <c r="V16"/>
  <c r="I17"/>
  <c r="J17"/>
  <c r="M17"/>
  <c r="N17"/>
  <c r="Q17"/>
  <c r="R17"/>
  <c r="U17"/>
  <c r="V17"/>
  <c r="I18"/>
  <c r="J18"/>
  <c r="M18"/>
  <c r="N18"/>
  <c r="Q18"/>
  <c r="R18"/>
  <c r="U18"/>
  <c r="V18"/>
  <c r="I19"/>
  <c r="J19"/>
  <c r="M19"/>
  <c r="N19"/>
  <c r="Q19"/>
  <c r="R19"/>
  <c r="U19"/>
  <c r="V19"/>
  <c r="I20"/>
  <c r="J20"/>
  <c r="M20"/>
  <c r="N20"/>
  <c r="Q20"/>
  <c r="R20"/>
  <c r="U20"/>
  <c r="V20"/>
  <c r="I21"/>
  <c r="J21"/>
  <c r="M21"/>
  <c r="N21"/>
  <c r="Q21"/>
  <c r="R21"/>
  <c r="U21"/>
  <c r="V21"/>
  <c r="I22"/>
  <c r="J22"/>
  <c r="M22"/>
  <c r="N22"/>
  <c r="Q22"/>
  <c r="R22"/>
  <c r="U22"/>
  <c r="V22"/>
  <c r="I23"/>
  <c r="J23"/>
  <c r="M23"/>
  <c r="N23"/>
  <c r="Q23"/>
  <c r="R23"/>
  <c r="U23"/>
  <c r="V23"/>
  <c r="I24"/>
  <c r="J24"/>
  <c r="M24"/>
  <c r="N24"/>
  <c r="Q24"/>
  <c r="R24"/>
  <c r="U24"/>
  <c r="V24"/>
  <c r="I25"/>
  <c r="J25"/>
  <c r="M25"/>
  <c r="N25"/>
  <c r="Q25"/>
  <c r="R25"/>
  <c r="U25"/>
  <c r="V25"/>
  <c r="I26"/>
  <c r="J26"/>
  <c r="M26"/>
  <c r="N26"/>
  <c r="Q26"/>
  <c r="R26"/>
  <c r="U26"/>
  <c r="V26"/>
  <c r="I27"/>
  <c r="J27"/>
  <c r="M27"/>
  <c r="N27"/>
  <c r="Q27"/>
  <c r="R27"/>
  <c r="U27"/>
  <c r="V27"/>
  <c r="I28"/>
  <c r="J28"/>
  <c r="M28"/>
  <c r="N28"/>
  <c r="Q28"/>
  <c r="R28"/>
  <c r="U28"/>
  <c r="V28"/>
  <c r="I29"/>
  <c r="J29"/>
  <c r="M29"/>
  <c r="N29"/>
  <c r="Q29"/>
  <c r="R29"/>
  <c r="U29"/>
  <c r="V29"/>
  <c r="I30"/>
  <c r="J30"/>
  <c r="M30"/>
  <c r="N30"/>
  <c r="Q30"/>
  <c r="R30"/>
  <c r="U30"/>
  <c r="V30"/>
  <c r="I31"/>
  <c r="J31"/>
  <c r="M31"/>
  <c r="N31"/>
  <c r="Q31"/>
  <c r="R31"/>
  <c r="U31"/>
  <c r="V31"/>
  <c r="I32"/>
  <c r="J32"/>
  <c r="M32"/>
  <c r="N32"/>
  <c r="Q32"/>
  <c r="R32"/>
  <c r="U32"/>
  <c r="V32"/>
  <c r="I33"/>
  <c r="J33"/>
  <c r="M33"/>
  <c r="N33"/>
  <c r="Q33"/>
  <c r="R33"/>
  <c r="U33"/>
  <c r="V33"/>
  <c r="I34"/>
  <c r="J34"/>
  <c r="M34"/>
  <c r="N34"/>
  <c r="Q34"/>
  <c r="R34"/>
  <c r="U34"/>
  <c r="V34"/>
  <c r="I35"/>
  <c r="J35"/>
  <c r="M35"/>
  <c r="N35"/>
  <c r="Q35"/>
  <c r="R35"/>
  <c r="U35"/>
  <c r="V35"/>
  <c r="I36"/>
  <c r="J36"/>
  <c r="M36"/>
  <c r="N36"/>
  <c r="Q36"/>
  <c r="R36"/>
  <c r="U36"/>
  <c r="V36"/>
  <c r="I37"/>
  <c r="J37"/>
  <c r="M37"/>
  <c r="N37"/>
  <c r="Q37"/>
  <c r="R37"/>
  <c r="U37"/>
  <c r="V37"/>
  <c r="I38"/>
  <c r="J38"/>
  <c r="M38"/>
  <c r="N38"/>
  <c r="Q38"/>
  <c r="R38"/>
  <c r="U38"/>
  <c r="V38"/>
  <c r="I39"/>
  <c r="J39"/>
  <c r="M39"/>
  <c r="N39"/>
  <c r="Q39"/>
  <c r="R39"/>
  <c r="U39"/>
  <c r="V39"/>
  <c r="I40"/>
  <c r="J40"/>
  <c r="M40"/>
  <c r="N40"/>
  <c r="Q40"/>
  <c r="R40"/>
  <c r="U40"/>
  <c r="V40"/>
  <c r="G41"/>
  <c r="I41"/>
  <c r="K41"/>
  <c r="M41"/>
  <c r="O41"/>
  <c r="Q41"/>
  <c r="S41"/>
  <c r="U41"/>
  <c r="I10" i="12"/>
  <c r="J10"/>
  <c r="M10"/>
  <c r="N10"/>
  <c r="Q10"/>
  <c r="R10"/>
  <c r="U10"/>
  <c r="V10"/>
  <c r="I11"/>
  <c r="J11"/>
  <c r="M11"/>
  <c r="N11"/>
  <c r="Q11"/>
  <c r="R11"/>
  <c r="U11"/>
  <c r="V11"/>
  <c r="I12"/>
  <c r="J12"/>
  <c r="M12"/>
  <c r="N12"/>
  <c r="Q12"/>
  <c r="R12"/>
  <c r="U12"/>
  <c r="V12"/>
  <c r="I13"/>
  <c r="J13"/>
  <c r="M13"/>
  <c r="N13"/>
  <c r="Q13"/>
  <c r="R13"/>
  <c r="U13"/>
  <c r="V13"/>
  <c r="I14"/>
  <c r="J14"/>
  <c r="M14"/>
  <c r="N14"/>
  <c r="Q14"/>
  <c r="R14"/>
  <c r="U14"/>
  <c r="V14"/>
  <c r="I15"/>
  <c r="J15"/>
  <c r="M15"/>
  <c r="N15"/>
  <c r="Q15"/>
  <c r="R15"/>
  <c r="U15"/>
  <c r="V15"/>
  <c r="I16"/>
  <c r="J16"/>
  <c r="M16"/>
  <c r="N16"/>
  <c r="Q16"/>
  <c r="R16"/>
  <c r="U16"/>
  <c r="V16"/>
  <c r="I17"/>
  <c r="J17"/>
  <c r="M17"/>
  <c r="N17"/>
  <c r="Q17"/>
  <c r="R17"/>
  <c r="U17"/>
  <c r="V17"/>
  <c r="I18"/>
  <c r="J18"/>
  <c r="M18"/>
  <c r="N18"/>
  <c r="Q18"/>
  <c r="R18"/>
  <c r="U18"/>
  <c r="V18"/>
  <c r="I19"/>
  <c r="J19"/>
  <c r="M19"/>
  <c r="N19"/>
  <c r="Q19"/>
  <c r="R19"/>
  <c r="U19"/>
  <c r="V19"/>
  <c r="I20"/>
  <c r="J20"/>
  <c r="M20"/>
  <c r="N20"/>
  <c r="Q20"/>
  <c r="R20"/>
  <c r="U20"/>
  <c r="V20"/>
  <c r="I21"/>
  <c r="J21"/>
  <c r="M21"/>
  <c r="N21"/>
  <c r="Q21"/>
  <c r="R21"/>
  <c r="U21"/>
  <c r="V21"/>
  <c r="I22"/>
  <c r="J22"/>
  <c r="M22"/>
  <c r="N22"/>
  <c r="Q22"/>
  <c r="R22"/>
  <c r="U22"/>
  <c r="V22"/>
  <c r="I23"/>
  <c r="J23"/>
  <c r="M23"/>
  <c r="N23"/>
  <c r="Q23"/>
  <c r="R23"/>
  <c r="U23"/>
  <c r="V23"/>
  <c r="I24"/>
  <c r="J24"/>
  <c r="M24"/>
  <c r="N24"/>
  <c r="Q24"/>
  <c r="R24"/>
  <c r="U24"/>
  <c r="V24"/>
  <c r="I25"/>
  <c r="J25"/>
  <c r="M25"/>
  <c r="N25"/>
  <c r="Q25"/>
  <c r="R25"/>
  <c r="U25"/>
  <c r="V25"/>
  <c r="I26"/>
  <c r="J26"/>
  <c r="M26"/>
  <c r="N26"/>
  <c r="Q26"/>
  <c r="R26"/>
  <c r="U26"/>
  <c r="V26"/>
  <c r="I27"/>
  <c r="J27"/>
  <c r="M27"/>
  <c r="N27"/>
  <c r="Q27"/>
  <c r="R27"/>
  <c r="U27"/>
  <c r="V27"/>
  <c r="I28"/>
  <c r="J28"/>
  <c r="M28"/>
  <c r="N28"/>
  <c r="Q28"/>
  <c r="R28"/>
  <c r="U28"/>
  <c r="V28"/>
  <c r="I29"/>
  <c r="J29"/>
  <c r="M29"/>
  <c r="N29"/>
  <c r="Q29"/>
  <c r="R29"/>
  <c r="U29"/>
  <c r="V29"/>
  <c r="I30"/>
  <c r="J30"/>
  <c r="M30"/>
  <c r="N30"/>
  <c r="Q30"/>
  <c r="R30"/>
  <c r="U30"/>
  <c r="V30"/>
  <c r="I31"/>
  <c r="J31"/>
  <c r="M31"/>
  <c r="N31"/>
  <c r="Q31"/>
  <c r="R31"/>
  <c r="U31"/>
  <c r="V31"/>
  <c r="I32"/>
  <c r="J32"/>
  <c r="M32"/>
  <c r="N32"/>
  <c r="Q32"/>
  <c r="R32"/>
  <c r="U32"/>
  <c r="V32"/>
  <c r="I33"/>
  <c r="J33"/>
  <c r="M33"/>
  <c r="N33"/>
  <c r="Q33"/>
  <c r="R33"/>
  <c r="U33"/>
  <c r="V33"/>
  <c r="I34"/>
  <c r="J34"/>
  <c r="M34"/>
  <c r="N34"/>
  <c r="Q34"/>
  <c r="R34"/>
  <c r="U34"/>
  <c r="V34"/>
  <c r="I35"/>
  <c r="J35"/>
  <c r="M35"/>
  <c r="N35"/>
  <c r="Q35"/>
  <c r="R35"/>
  <c r="U35"/>
  <c r="V35"/>
  <c r="I36"/>
  <c r="J36"/>
  <c r="M36"/>
  <c r="N36"/>
  <c r="Q36"/>
  <c r="R36"/>
  <c r="U36"/>
  <c r="V36"/>
  <c r="I37"/>
  <c r="J37"/>
  <c r="M37"/>
  <c r="N37"/>
  <c r="Q37"/>
  <c r="R37"/>
  <c r="U37"/>
  <c r="V37"/>
  <c r="I38"/>
  <c r="J38"/>
  <c r="M38"/>
  <c r="N38"/>
  <c r="Q38"/>
  <c r="R38"/>
  <c r="U38"/>
  <c r="V38"/>
  <c r="I39"/>
  <c r="J39"/>
  <c r="M39"/>
  <c r="N39"/>
  <c r="Q39"/>
  <c r="R39"/>
  <c r="U39"/>
  <c r="V39"/>
  <c r="I40"/>
  <c r="J40"/>
  <c r="M40"/>
  <c r="N40"/>
  <c r="Q40"/>
  <c r="R40"/>
  <c r="U40"/>
  <c r="V40"/>
  <c r="G41"/>
  <c r="I41"/>
  <c r="K41"/>
  <c r="M41"/>
  <c r="O41"/>
  <c r="Q41"/>
  <c r="S41"/>
  <c r="U41"/>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<sst xmlns="http://schemas.openxmlformats.org/spreadsheetml/2006/main" count="400" uniqueCount="189">
  <si>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</si>
  <si>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</si>
  <si>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</si>
  <si>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</si>
  <si>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</si>
  <si>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</si>
  <si>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</si>
  <si>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</si>
  <si>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</si>
  <si>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</si>
  <si>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</si>
  <si>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</si>
  <si>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</si>
  <si>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</si>
  <si>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</si>
  <si>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</si>
  <si>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</si>
  <si>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</si>
  <si>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</si>
  <si>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</si>
  <si>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</si>
  <si>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</si>
  <si>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</si>
  <si>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</si>
  <si>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</si>
  <si>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</si>
  <si>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</si>
  <si>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</si>
  <si>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</si>
  <si>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</si>
  <si>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</si>
  <si>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</si>
  <si>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</si>
  <si>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</si>
  <si>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</si>
  <si>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</si>
  <si>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</si>
  <si>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</si>
  <si>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</si>
  <si>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</si>
  <si>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</si>
  <si>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</si>
  <si>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</si>
  <si>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</si>
  <si>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</si>
  <si>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</si>
  <si>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</si>
  <si>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</si>
  <si>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</si>
  <si>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</si>
  <si>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</si>
  <si>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</si>
  <si>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</si>
  <si>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</si>
  <si>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</si>
  <si>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</si>
  <si>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</si>
  <si>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</si>
  <si>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</si>
  <si>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</si>
  <si>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</si>
  <si>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</si>
  <si>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</si>
  <si>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</si>
  <si>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</si>
  <si>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</si>
  <si>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</si>
  <si>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</si>
  <si>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</si>
  <si>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</si>
  <si>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</si>
  <si>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</si>
  <si>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</si>
  <si>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</si>
  <si>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</si>
  <si>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</si>
  <si>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</si>
  <si>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</si>
  <si>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</si>
  <si>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</si>
  <si>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</si>
  <si>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</si>
  <si>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</si>
  <si>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</si>
  <si>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</si>
  <si>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</si>
  <si>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</si>
  <si>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</si>
  <si>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</si>
  <si>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</si>
  <si>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</si>
  <si>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</si>
  <si>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</si>
  <si>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</si>
  <si>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</si>
  <si>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</si>
  <si>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</si>
  <si>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</si>
  <si>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</si>
  <si>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</si>
  <si>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</si>
  <si>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</si>
  <si>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</si>
  <si>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</si>
  <si>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</si>
  <si>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</si>
  <si>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</si>
  <si>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</si>
  <si>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</si>
  <si>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</si>
  <si>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</si>
  <si>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</si>
  <si>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</si>
  <si>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</si>
  <si>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</si>
  <si>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</si>
  <si>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</si>
  <si>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</si>
  <si>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</si>
  <si>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</si>
  <si>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</si>
  <si>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</si>
  <si>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</si>
  <si>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</si>
  <si>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</si>
  <si>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</si>
  <si>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</si>
  <si>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</si>
  <si>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</si>
  <si>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</si>
  <si>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</si>
  <si>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</si>
  <si>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</si>
  <si>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</si>
  <si>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</si>
  <si>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</si>
  <si>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</si>
  <si>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</si>
  <si>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</si>
  <si>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</si>
  <si>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</si>
  <si>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</si>
  <si>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</si>
  <si>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</si>
  <si>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</si>
  <si>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</si>
  <si>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</si>
  <si>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</si>
  <si>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</si>
  <si>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</si>
  <si>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</si>
  <si>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</si>
  <si>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</si>
  <si>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</si>
  <si>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</si>
  <si>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</si>
  <si>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</si>
  <si>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</si>
  <si>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</si>
  <si>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</si>
  <si>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</si>
  <si>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</si>
  <si>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</si>
  <si>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</si>
  <si>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</si>
  <si>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</si>
  <si>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</si>
  <si>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</si>
  <si>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</si>
  <si>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</si>
  <si>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</si>
  <si>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</si>
  <si>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</si>
  <si>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</si>
  <si>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</si>
  <si>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</si>
  <si>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</si>
  <si>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</si>
  <si>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</si>
  <si>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</si>
  <si>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</si>
  <si>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</si>
  <si>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</si>
  <si>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</si>
  <si>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</si>
  <si>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</si>
  <si>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</si>
  <si>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WQ0033097</t>
  </si>
  <si>
    <t>Eaton's Crossing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</si>
</sst>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
      <sz val="8"/>
      <color rgb="FF000000"/>
      <name val="Tahoma"/>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3" fillId="0" borderId="0"/>
  </cellStyleXfs>
  <cellXfs count="39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8"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7" fillId="2" borderId="0" xfId="0" applyFont="1" applyFill="1" applyAlignment="1">
      <alignment horizontal="center" vertical="center"/>
    </xf>
    <xf numFmtId="0" fontId="15" fillId="0" borderId="18" xfId="0" applyFont="1" applyBorder="1" applyAlignment="1">
      <alignment horizontal="center" vertical="center"/>
    </xf>
    <xf numFmtId="0" fontId="15" fillId="0" borderId="7" xfId="0" applyFont="1" applyBorder="1" applyAlignment="1">
      <alignment horizontal="center" vertical="center"/>
    </xf>
    <xf numFmtId="0" fontId="14" fillId="2" borderId="49" xfId="0" applyFont="1" applyFill="1" applyBorder="1" applyAlignment="1">
      <alignment horizontal="left" vertical="center"/>
    </xf>
    <xf numFmtId="0" fontId="7" fillId="2" borderId="13" xfId="0" applyFont="1" applyFill="1" applyBorder="1" applyAlignment="1">
      <alignment horizontal="center" vertical="center"/>
    </xf>
    <xf numFmtId="0" fontId="7" fillId="2" borderId="69" xfId="0" applyFont="1" applyFill="1" applyBorder="1" applyAlignment="1">
      <alignment horizontal="center" vertical="center"/>
    </xf>
    <xf numFmtId="0" fontId="13" fillId="2" borderId="70" xfId="0" applyFont="1" applyFill="1" applyBorder="1"/>
    <xf numFmtId="0" fontId="7" fillId="2" borderId="0" xfId="0" applyFont="1" applyFill="1" applyBorder="1" applyAlignment="1">
      <alignment horizontal="center" vertical="center"/>
    </xf>
    <xf numFmtId="0" fontId="7" fillId="2" borderId="71" xfId="0" applyFont="1" applyFill="1" applyBorder="1" applyAlignment="1">
      <alignment horizontal="center" vertical="center"/>
    </xf>
    <xf numFmtId="0" fontId="0" fillId="2" borderId="70" xfId="0" applyFill="1" applyBorder="1"/>
    <xf numFmtId="0" fontId="7" fillId="2" borderId="70" xfId="0" applyFont="1" applyFill="1" applyBorder="1" applyAlignment="1">
      <alignment horizontal="center" vertical="center"/>
    </xf>
    <xf numFmtId="0" fontId="7" fillId="2" borderId="72"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5"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3" fillId="0" borderId="0" xfId="1" applyFont="1" applyProtection="1"/>
    <xf numFmtId="0" fontId="3" fillId="0" borderId="0" xfId="1" applyFont="1" applyAlignment="1" applyProtection="1"/>
    <xf numFmtId="0" fontId="3" fillId="5" borderId="4" xfId="1" applyFont="1" applyFill="1" applyBorder="1" applyProtection="1"/>
    <xf numFmtId="2" fontId="3" fillId="2" borderId="3" xfId="1" applyNumberFormat="1" applyFont="1" applyFill="1" applyBorder="1" applyProtection="1">
      <protection locked="0"/>
    </xf>
    <xf numFmtId="4" fontId="3" fillId="5" borderId="14" xfId="1" applyNumberFormat="1" applyFont="1" applyFill="1" applyBorder="1" applyAlignment="1" applyProtection="1">
      <alignment horizontal="center" vertical="center"/>
    </xf>
    <xf numFmtId="4" fontId="3" fillId="5" borderId="75" xfId="1" applyNumberFormat="1" applyFont="1" applyFill="1" applyBorder="1" applyAlignment="1" applyProtection="1">
      <alignment horizontal="center" vertical="center"/>
    </xf>
    <xf numFmtId="4" fontId="3" fillId="4" borderId="64" xfId="1" applyNumberFormat="1" applyFont="1" applyFill="1" applyBorder="1" applyAlignment="1" applyProtection="1">
      <alignment horizontal="center" vertical="center"/>
    </xf>
    <xf numFmtId="2" fontId="3" fillId="3" borderId="14" xfId="1" applyNumberFormat="1" applyFont="1" applyFill="1" applyBorder="1" applyAlignment="1" applyProtection="1">
      <alignment horizontal="center" vertical="center"/>
      <protection locked="0"/>
    </xf>
    <xf numFmtId="4" fontId="3" fillId="4" borderId="14" xfId="1" applyNumberFormat="1" applyFont="1" applyFill="1" applyBorder="1" applyAlignment="1" applyProtection="1">
      <alignment horizontal="center" vertical="center"/>
    </xf>
    <xf numFmtId="4" fontId="3" fillId="4" borderId="75" xfId="1" applyNumberFormat="1" applyFont="1" applyFill="1" applyBorder="1" applyAlignment="1" applyProtection="1">
      <alignment horizontal="center" vertical="center"/>
    </xf>
    <xf numFmtId="4" fontId="3" fillId="5" borderId="64" xfId="1" applyNumberFormat="1" applyFont="1" applyFill="1" applyBorder="1" applyAlignment="1" applyProtection="1">
      <alignment horizontal="center" vertical="center"/>
    </xf>
    <xf numFmtId="2" fontId="3" fillId="2" borderId="14" xfId="1" applyNumberFormat="1" applyFont="1" applyFill="1" applyBorder="1" applyAlignment="1" applyProtection="1">
      <alignment horizontal="center" vertical="center"/>
      <protection locked="0"/>
    </xf>
    <xf numFmtId="0" fontId="3" fillId="5" borderId="48" xfId="1" applyFont="1" applyFill="1" applyBorder="1" applyProtection="1"/>
    <xf numFmtId="2" fontId="3" fillId="2" borderId="19" xfId="1" applyNumberFormat="1" applyFont="1" applyFill="1" applyBorder="1" applyAlignment="1" applyProtection="1">
      <alignment horizontal="center" vertical="center"/>
    </xf>
    <xf numFmtId="4" fontId="3" fillId="5" borderId="9" xfId="1" applyNumberFormat="1" applyFont="1" applyFill="1" applyBorder="1" applyAlignment="1" applyProtection="1">
      <alignment horizontal="center" vertical="center"/>
    </xf>
    <xf numFmtId="3" fontId="3" fillId="2" borderId="54" xfId="1" applyNumberFormat="1" applyFont="1" applyFill="1" applyBorder="1" applyAlignment="1" applyProtection="1">
      <alignment horizontal="center" vertical="center"/>
    </xf>
    <xf numFmtId="4" fontId="3" fillId="4" borderId="60" xfId="1" applyNumberFormat="1" applyFont="1" applyFill="1" applyBorder="1" applyAlignment="1" applyProtection="1">
      <alignment horizontal="center" vertical="center"/>
    </xf>
    <xf numFmtId="2" fontId="3" fillId="3" borderId="19" xfId="1" applyNumberFormat="1" applyFont="1" applyFill="1" applyBorder="1" applyAlignment="1" applyProtection="1">
      <alignment horizontal="center" vertical="center"/>
    </xf>
    <xf numFmtId="4" fontId="3" fillId="4" borderId="9" xfId="1" applyNumberFormat="1" applyFont="1" applyFill="1" applyBorder="1" applyAlignment="1" applyProtection="1">
      <alignment horizontal="center" vertical="center"/>
    </xf>
    <xf numFmtId="3" fontId="3" fillId="3" borderId="54" xfId="1" applyNumberFormat="1" applyFont="1" applyFill="1" applyBorder="1" applyAlignment="1" applyProtection="1">
      <alignment horizontal="center" vertical="center"/>
    </xf>
    <xf numFmtId="4" fontId="3" fillId="5" borderId="60" xfId="1" applyNumberFormat="1" applyFont="1" applyFill="1" applyBorder="1" applyAlignment="1" applyProtection="1">
      <alignment horizontal="center" vertical="center"/>
    </xf>
    <xf numFmtId="2" fontId="3" fillId="0" borderId="79" xfId="1" applyNumberFormat="1" applyFont="1" applyFill="1" applyBorder="1" applyAlignment="1" applyProtection="1">
      <alignment horizontal="center" vertical="center"/>
    </xf>
    <xf numFmtId="2" fontId="3" fillId="2" borderId="7" xfId="1" applyNumberFormat="1" applyFont="1" applyFill="1" applyBorder="1" applyAlignment="1" applyProtection="1">
      <alignment horizontal="center" vertical="center"/>
    </xf>
    <xf numFmtId="0" fontId="3" fillId="2" borderId="14" xfId="1" applyNumberFormat="1" applyFont="1" applyFill="1" applyBorder="1" applyAlignment="1" applyProtection="1">
      <alignment horizontal="center" vertical="center"/>
      <protection locked="0"/>
    </xf>
    <xf numFmtId="3" fontId="3" fillId="2" borderId="63" xfId="1" applyNumberFormat="1" applyFont="1" applyFill="1" applyBorder="1" applyAlignment="1" applyProtection="1">
      <alignment horizontal="center" vertical="center"/>
      <protection locked="0"/>
    </xf>
    <xf numFmtId="2" fontId="3" fillId="3" borderId="78" xfId="1" applyNumberFormat="1" applyFont="1" applyFill="1" applyBorder="1" applyAlignment="1" applyProtection="1">
      <alignment horizontal="center" vertical="center"/>
    </xf>
    <xf numFmtId="2" fontId="3" fillId="3" borderId="7" xfId="1" applyNumberFormat="1" applyFont="1" applyFill="1" applyBorder="1" applyAlignment="1" applyProtection="1">
      <alignment horizontal="center" vertical="center"/>
    </xf>
    <xf numFmtId="0" fontId="3" fillId="3" borderId="3" xfId="1" applyNumberFormat="1" applyFont="1" applyFill="1" applyBorder="1" applyAlignment="1" applyProtection="1">
      <alignment horizontal="center" vertical="center"/>
      <protection locked="0"/>
    </xf>
    <xf numFmtId="3" fontId="3" fillId="3" borderId="63" xfId="1" applyNumberFormat="1" applyFont="1" applyFill="1" applyBorder="1" applyAlignment="1" applyProtection="1">
      <alignment horizontal="center" vertical="center"/>
      <protection locked="0"/>
    </xf>
    <xf numFmtId="2" fontId="3" fillId="0" borderId="78" xfId="1" applyNumberFormat="1" applyFont="1" applyFill="1" applyBorder="1" applyAlignment="1" applyProtection="1">
      <alignment horizontal="center" vertical="center"/>
    </xf>
    <xf numFmtId="2" fontId="3" fillId="2" borderId="77" xfId="1" applyNumberFormat="1" applyFont="1" applyFill="1" applyBorder="1" applyAlignment="1" applyProtection="1">
      <alignment horizontal="center" vertical="center"/>
    </xf>
    <xf numFmtId="0" fontId="3" fillId="2" borderId="18" xfId="1" applyNumberFormat="1" applyFont="1" applyFill="1" applyBorder="1" applyAlignment="1" applyProtection="1">
      <alignment horizontal="center" vertical="center"/>
      <protection locked="0"/>
    </xf>
    <xf numFmtId="3" fontId="3" fillId="2" borderId="45" xfId="1" applyNumberFormat="1" applyFont="1" applyFill="1" applyBorder="1" applyAlignment="1" applyProtection="1">
      <alignment horizontal="center" vertical="center"/>
      <protection locked="0"/>
    </xf>
    <xf numFmtId="2" fontId="3" fillId="3" borderId="18" xfId="1" applyNumberFormat="1" applyFont="1" applyFill="1" applyBorder="1" applyAlignment="1" applyProtection="1">
      <alignment horizontal="center" vertical="center"/>
    </xf>
    <xf numFmtId="0" fontId="3" fillId="2" borderId="74" xfId="1" applyNumberFormat="1" applyFont="1" applyFill="1" applyBorder="1" applyAlignment="1" applyProtection="1">
      <alignment horizontal="center" vertical="center"/>
      <protection locked="0"/>
    </xf>
    <xf numFmtId="0" fontId="3" fillId="2" borderId="82" xfId="1" applyNumberFormat="1" applyFont="1" applyFill="1" applyBorder="1" applyAlignment="1" applyProtection="1">
      <alignment horizontal="center" vertical="center"/>
      <protection locked="0"/>
    </xf>
    <xf numFmtId="0" fontId="3" fillId="2" borderId="4" xfId="1" applyNumberFormat="1" applyFont="1" applyFill="1" applyBorder="1" applyAlignment="1" applyProtection="1">
      <alignment horizontal="center" vertical="center"/>
      <protection locked="0"/>
    </xf>
    <xf numFmtId="0" fontId="3" fillId="2" borderId="3" xfId="1" applyNumberFormat="1" applyFont="1" applyFill="1" applyBorder="1" applyAlignment="1" applyProtection="1">
      <alignment horizontal="center" vertical="center"/>
      <protection locked="0"/>
    </xf>
    <xf numFmtId="165" fontId="3" fillId="2" borderId="16" xfId="1" applyNumberFormat="1" applyFont="1" applyFill="1" applyBorder="1" applyAlignment="1" applyProtection="1">
      <alignment horizontal="center" vertical="center"/>
      <protection locked="0"/>
    </xf>
    <xf numFmtId="0" fontId="4" fillId="2" borderId="22" xfId="1" applyFont="1" applyFill="1" applyBorder="1" applyAlignment="1" applyProtection="1">
      <alignment horizontal="center" vertical="center"/>
    </xf>
    <xf numFmtId="2" fontId="3" fillId="0" borderId="17" xfId="1" applyNumberFormat="1" applyFont="1" applyFill="1" applyBorder="1" applyAlignment="1" applyProtection="1">
      <alignment horizontal="center" vertical="center"/>
    </xf>
    <xf numFmtId="0" fontId="3" fillId="2" borderId="10" xfId="1" applyNumberFormat="1" applyFont="1" applyFill="1" applyBorder="1" applyAlignment="1" applyProtection="1">
      <alignment horizontal="center" vertical="center"/>
      <protection locked="0"/>
    </xf>
    <xf numFmtId="3" fontId="3" fillId="2" borderId="61" xfId="1" applyNumberFormat="1" applyFont="1" applyFill="1" applyBorder="1" applyAlignment="1" applyProtection="1">
      <alignment horizontal="center" vertical="center"/>
      <protection locked="0"/>
    </xf>
    <xf numFmtId="2" fontId="3" fillId="3" borderId="62" xfId="1" applyNumberFormat="1" applyFont="1" applyFill="1" applyBorder="1" applyAlignment="1" applyProtection="1">
      <alignment horizontal="center" vertical="center"/>
    </xf>
    <xf numFmtId="0" fontId="3" fillId="3" borderId="7" xfId="1" applyNumberFormat="1" applyFont="1" applyFill="1" applyBorder="1" applyAlignment="1" applyProtection="1">
      <alignment horizontal="center" vertical="center"/>
      <protection locked="0"/>
    </xf>
    <xf numFmtId="3" fontId="3" fillId="3" borderId="61" xfId="1" applyNumberFormat="1" applyFont="1" applyFill="1" applyBorder="1" applyAlignment="1" applyProtection="1">
      <alignment horizontal="center" vertical="center"/>
      <protection locked="0"/>
    </xf>
    <xf numFmtId="2" fontId="3" fillId="0" borderId="62" xfId="1" applyNumberFormat="1" applyFont="1" applyFill="1" applyBorder="1" applyAlignment="1" applyProtection="1">
      <alignment horizontal="center" vertical="center"/>
    </xf>
    <xf numFmtId="0" fontId="3" fillId="2" borderId="7" xfId="1" applyNumberFormat="1" applyFont="1" applyFill="1" applyBorder="1" applyAlignment="1" applyProtection="1">
      <alignment horizontal="center" vertical="center"/>
      <protection locked="0"/>
    </xf>
    <xf numFmtId="3" fontId="3" fillId="2" borderId="1" xfId="1" applyNumberFormat="1" applyFont="1" applyFill="1" applyBorder="1" applyAlignment="1" applyProtection="1">
      <alignment horizontal="center" vertical="center"/>
      <protection locked="0"/>
    </xf>
    <xf numFmtId="0" fontId="3" fillId="2" borderId="6" xfId="1" applyNumberFormat="1" applyFont="1" applyFill="1" applyBorder="1" applyAlignment="1" applyProtection="1">
      <alignment horizontal="center" vertical="center"/>
      <protection locked="0"/>
    </xf>
    <xf numFmtId="0" fontId="3" fillId="2" borderId="81" xfId="1" applyNumberFormat="1" applyFont="1" applyFill="1" applyBorder="1" applyAlignment="1" applyProtection="1">
      <alignment horizontal="center" vertical="center"/>
      <protection locked="0"/>
    </xf>
    <xf numFmtId="0" fontId="3" fillId="2" borderId="17" xfId="1" applyNumberFormat="1" applyFont="1" applyFill="1" applyBorder="1" applyAlignment="1" applyProtection="1">
      <alignment horizontal="center" vertical="center"/>
      <protection locked="0"/>
    </xf>
    <xf numFmtId="2" fontId="3" fillId="0" borderId="68" xfId="1" applyNumberFormat="1" applyFont="1" applyFill="1" applyBorder="1" applyAlignment="1" applyProtection="1">
      <alignment horizontal="center" vertical="center"/>
    </xf>
    <xf numFmtId="2" fontId="3" fillId="2" borderId="66" xfId="1" applyNumberFormat="1" applyFont="1" applyFill="1" applyBorder="1" applyAlignment="1" applyProtection="1">
      <alignment horizontal="center" vertical="center"/>
    </xf>
    <xf numFmtId="0" fontId="3" fillId="2" borderId="9" xfId="1" applyNumberFormat="1" applyFont="1" applyFill="1" applyBorder="1" applyAlignment="1" applyProtection="1">
      <alignment horizontal="center" vertical="center"/>
      <protection locked="0"/>
    </xf>
    <xf numFmtId="3" fontId="3" fillId="2" borderId="59" xfId="1" applyNumberFormat="1" applyFont="1" applyFill="1" applyBorder="1" applyAlignment="1" applyProtection="1">
      <alignment horizontal="center" vertical="center"/>
      <protection locked="0"/>
    </xf>
    <xf numFmtId="2" fontId="3" fillId="3" borderId="67" xfId="1" applyNumberFormat="1" applyFont="1" applyFill="1" applyBorder="1" applyAlignment="1" applyProtection="1">
      <alignment horizontal="center" vertical="center"/>
    </xf>
    <xf numFmtId="2" fontId="3" fillId="3" borderId="66" xfId="1" applyNumberFormat="1" applyFont="1" applyFill="1" applyBorder="1" applyAlignment="1" applyProtection="1">
      <alignment horizontal="center" vertical="center"/>
    </xf>
    <xf numFmtId="0" fontId="3" fillId="3" borderId="19" xfId="1" applyNumberFormat="1" applyFont="1" applyFill="1" applyBorder="1" applyAlignment="1" applyProtection="1">
      <alignment horizontal="center" vertical="center"/>
      <protection locked="0"/>
    </xf>
    <xf numFmtId="3" fontId="3" fillId="3" borderId="59" xfId="1" applyNumberFormat="1" applyFont="1" applyFill="1" applyBorder="1" applyAlignment="1" applyProtection="1">
      <alignment horizontal="center" vertical="center"/>
      <protection locked="0"/>
    </xf>
    <xf numFmtId="2" fontId="3" fillId="0" borderId="67" xfId="1" applyNumberFormat="1" applyFont="1" applyFill="1" applyBorder="1" applyAlignment="1" applyProtection="1">
      <alignment horizontal="center" vertical="center"/>
    </xf>
    <xf numFmtId="0" fontId="3" fillId="2" borderId="66" xfId="1" applyNumberFormat="1" applyFont="1" applyFill="1" applyBorder="1" applyAlignment="1" applyProtection="1">
      <alignment horizontal="center" vertical="center"/>
      <protection locked="0"/>
    </xf>
    <xf numFmtId="3" fontId="3" fillId="2" borderId="76" xfId="1" applyNumberFormat="1" applyFont="1" applyFill="1" applyBorder="1" applyAlignment="1" applyProtection="1">
      <alignment horizontal="center" vertical="center"/>
      <protection locked="0"/>
    </xf>
    <xf numFmtId="0" fontId="3" fillId="2" borderId="8" xfId="1" applyNumberFormat="1" applyFont="1" applyFill="1" applyBorder="1" applyAlignment="1" applyProtection="1">
      <alignment horizontal="center" vertical="center"/>
      <protection locked="0"/>
    </xf>
    <xf numFmtId="0" fontId="3" fillId="2" borderId="80" xfId="1" applyNumberFormat="1" applyFont="1" applyFill="1" applyBorder="1" applyAlignment="1" applyProtection="1">
      <alignment horizontal="center" vertical="center"/>
      <protection locked="0"/>
    </xf>
    <xf numFmtId="0" fontId="3" fillId="2" borderId="48" xfId="1" applyNumberFormat="1" applyFont="1" applyFill="1" applyBorder="1" applyAlignment="1" applyProtection="1">
      <alignment horizontal="center" vertical="center"/>
      <protection locked="0"/>
    </xf>
    <xf numFmtId="164" fontId="4" fillId="2" borderId="17" xfId="1" applyNumberFormat="1" applyFont="1" applyFill="1" applyBorder="1" applyAlignment="1" applyProtection="1">
      <alignment horizontal="center" vertical="center"/>
    </xf>
    <xf numFmtId="164" fontId="4" fillId="2" borderId="3" xfId="1" applyNumberFormat="1" applyFont="1" applyFill="1" applyBorder="1" applyAlignment="1" applyProtection="1">
      <alignment horizontal="center" vertical="center"/>
    </xf>
    <xf numFmtId="164" fontId="4" fillId="2" borderId="18" xfId="1" applyNumberFormat="1" applyFont="1" applyFill="1" applyBorder="1" applyAlignment="1" applyProtection="1">
      <alignment horizontal="center" vertical="center"/>
    </xf>
    <xf numFmtId="164" fontId="4" fillId="2" borderId="57" xfId="1" applyNumberFormat="1" applyFont="1" applyFill="1" applyBorder="1" applyAlignment="1" applyProtection="1">
      <alignment horizontal="center" vertical="center"/>
    </xf>
    <xf numFmtId="164" fontId="4" fillId="3" borderId="58" xfId="1" applyNumberFormat="1" applyFont="1" applyFill="1" applyBorder="1" applyAlignment="1" applyProtection="1">
      <alignment horizontal="center" vertical="center"/>
    </xf>
    <xf numFmtId="164" fontId="4" fillId="3" borderId="18" xfId="1" applyNumberFormat="1" applyFont="1" applyFill="1" applyBorder="1" applyAlignment="1" applyProtection="1">
      <alignment horizontal="center" vertical="center"/>
    </xf>
    <xf numFmtId="164" fontId="4" fillId="3" borderId="57" xfId="1" applyNumberFormat="1" applyFont="1" applyFill="1" applyBorder="1" applyAlignment="1" applyProtection="1">
      <alignment horizontal="center" vertical="center"/>
    </xf>
    <xf numFmtId="164" fontId="4" fillId="2" borderId="58" xfId="1" applyNumberFormat="1" applyFont="1" applyFill="1" applyBorder="1" applyAlignment="1" applyProtection="1">
      <alignment horizontal="center" vertical="center"/>
    </xf>
    <xf numFmtId="164" fontId="4" fillId="2" borderId="5" xfId="1" applyNumberFormat="1" applyFont="1" applyFill="1" applyBorder="1" applyAlignment="1" applyProtection="1">
      <alignment horizontal="center" vertical="center"/>
    </xf>
    <xf numFmtId="164" fontId="4" fillId="2" borderId="46" xfId="1" applyNumberFormat="1" applyFont="1" applyFill="1" applyBorder="1" applyAlignment="1" applyProtection="1">
      <alignment horizontal="center" vertical="center"/>
    </xf>
    <xf numFmtId="164" fontId="4" fillId="2" borderId="4" xfId="1" applyNumberFormat="1" applyFont="1" applyFill="1" applyBorder="1" applyAlignment="1" applyProtection="1">
      <alignment horizontal="center" vertical="center"/>
    </xf>
    <xf numFmtId="0" fontId="4" fillId="2" borderId="3" xfId="1" applyFont="1" applyFill="1" applyBorder="1" applyAlignment="1" applyProtection="1">
      <alignment horizontal="center" vertical="center"/>
    </xf>
    <xf numFmtId="164" fontId="4" fillId="2" borderId="48" xfId="1" applyNumberFormat="1" applyFont="1" applyFill="1" applyBorder="1" applyAlignment="1" applyProtection="1">
      <alignment horizontal="center" vertical="center" textRotation="90" wrapText="1"/>
    </xf>
    <xf numFmtId="164" fontId="4" fillId="2" borderId="18" xfId="1" applyNumberFormat="1" applyFont="1" applyFill="1" applyBorder="1" applyAlignment="1" applyProtection="1">
      <alignment horizontal="center" vertical="center" textRotation="90" wrapText="1"/>
    </xf>
    <xf numFmtId="164" fontId="4" fillId="2" borderId="57" xfId="1" applyNumberFormat="1" applyFont="1" applyFill="1" applyBorder="1" applyAlignment="1" applyProtection="1">
      <alignment horizontal="center" vertical="center" textRotation="90" wrapText="1"/>
    </xf>
    <xf numFmtId="164" fontId="4" fillId="3" borderId="58" xfId="1" applyNumberFormat="1" applyFont="1" applyFill="1" applyBorder="1" applyAlignment="1" applyProtection="1">
      <alignment horizontal="center" vertical="center" textRotation="90" wrapText="1"/>
    </xf>
    <xf numFmtId="164" fontId="4" fillId="3" borderId="18" xfId="1" applyNumberFormat="1" applyFont="1" applyFill="1" applyBorder="1" applyAlignment="1" applyProtection="1">
      <alignment horizontal="center" vertical="center" textRotation="90" wrapText="1"/>
    </xf>
    <xf numFmtId="164" fontId="4" fillId="3" borderId="57" xfId="1" applyNumberFormat="1" applyFont="1" applyFill="1" applyBorder="1" applyAlignment="1" applyProtection="1">
      <alignment horizontal="center" vertical="center" textRotation="90" wrapText="1"/>
    </xf>
    <xf numFmtId="164" fontId="4" fillId="2" borderId="58" xfId="1" applyNumberFormat="1" applyFont="1" applyFill="1" applyBorder="1" applyAlignment="1" applyProtection="1">
      <alignment horizontal="center" vertical="center" textRotation="90" wrapText="1"/>
    </xf>
    <xf numFmtId="0" fontId="4" fillId="2" borderId="5" xfId="1" applyFont="1" applyFill="1" applyBorder="1" applyAlignment="1" applyProtection="1">
      <alignment horizontal="center" vertical="center" textRotation="90" wrapText="1"/>
    </xf>
    <xf numFmtId="0" fontId="4" fillId="2" borderId="80" xfId="1" applyFont="1" applyFill="1" applyBorder="1" applyAlignment="1" applyProtection="1">
      <alignment horizontal="center" vertical="center" textRotation="90" wrapText="1"/>
    </xf>
    <xf numFmtId="0" fontId="4" fillId="2" borderId="15" xfId="1" applyFont="1" applyFill="1" applyBorder="1" applyAlignment="1" applyProtection="1">
      <alignment horizontal="center" vertical="center" textRotation="90" wrapText="1"/>
    </xf>
    <xf numFmtId="0" fontId="4" fillId="2" borderId="19" xfId="1" applyFont="1" applyFill="1" applyBorder="1" applyAlignment="1" applyProtection="1">
      <alignment horizontal="center" vertical="center" textRotation="90" wrapText="1"/>
    </xf>
    <xf numFmtId="0" fontId="3" fillId="2" borderId="11" xfId="1" applyFill="1" applyBorder="1" applyAlignment="1" applyProtection="1">
      <alignment horizontal="left" vertical="center"/>
      <protection locked="0"/>
    </xf>
    <xf numFmtId="0" fontId="4" fillId="2" borderId="6" xfId="1" applyFont="1" applyFill="1" applyBorder="1" applyAlignment="1" applyProtection="1">
      <alignment horizontal="left" vertical="center"/>
      <protection locked="0"/>
    </xf>
    <xf numFmtId="0" fontId="3" fillId="3" borderId="56" xfId="1" applyFill="1" applyBorder="1" applyAlignment="1" applyProtection="1">
      <alignment horizontal="left" vertical="center"/>
      <protection locked="0"/>
    </xf>
    <xf numFmtId="0" fontId="4" fillId="3" borderId="6" xfId="1" applyFont="1" applyFill="1" applyBorder="1" applyAlignment="1" applyProtection="1">
      <alignment horizontal="left" vertical="center"/>
      <protection locked="0"/>
    </xf>
    <xf numFmtId="0" fontId="3" fillId="2" borderId="56" xfId="1" applyFill="1" applyBorder="1" applyAlignment="1" applyProtection="1">
      <alignment horizontal="left" vertical="center"/>
      <protection locked="0"/>
    </xf>
    <xf numFmtId="0" fontId="3" fillId="0" borderId="0" xfId="1" applyFont="1" applyAlignment="1" applyProtection="1">
      <alignment horizontal="left"/>
    </xf>
    <xf numFmtId="0" fontId="5" fillId="2" borderId="35" xfId="1" applyFont="1" applyFill="1" applyBorder="1" applyAlignment="1" applyProtection="1">
      <alignment horizontal="center" vertical="center"/>
      <protection locked="0"/>
    </xf>
    <xf numFmtId="0" fontId="4" fillId="2" borderId="33" xfId="1" applyFont="1" applyFill="1" applyBorder="1" applyAlignment="1" applyProtection="1">
      <alignment horizontal="center" vertical="center"/>
    </xf>
    <xf numFmtId="0" fontId="4" fillId="2" borderId="33" xfId="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wrapText="1"/>
    </xf>
    <xf numFmtId="0" fontId="11" fillId="2" borderId="0" xfId="0" applyFont="1" applyFill="1" applyBorder="1" applyAlignment="1" applyProtection="1">
      <alignment wrapText="1"/>
    </xf>
    <xf numFmtId="0" fontId="11"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9" fillId="0" borderId="14" xfId="0" applyFont="1" applyBorder="1" applyAlignment="1">
      <alignment horizontal="center" vertical="center"/>
    </xf>
    <xf numFmtId="0" fontId="9" fillId="0" borderId="73" xfId="0" applyFont="1" applyBorder="1" applyAlignment="1">
      <alignment horizontal="center" vertical="center"/>
    </xf>
    <xf numFmtId="0" fontId="4" fillId="2" borderId="28" xfId="1" applyFont="1" applyFill="1" applyBorder="1" applyAlignment="1" applyProtection="1">
      <alignment horizontal="right" vertical="center"/>
    </xf>
    <xf numFmtId="0" fontId="3" fillId="2" borderId="8" xfId="1" applyFont="1" applyFill="1" applyBorder="1" applyAlignment="1" applyProtection="1">
      <alignment horizontal="right" vertical="center"/>
    </xf>
    <xf numFmtId="0" fontId="3" fillId="0" borderId="8" xfId="1" applyBorder="1" applyAlignment="1" applyProtection="1">
      <alignment vertical="center"/>
    </xf>
    <xf numFmtId="0" fontId="4" fillId="2" borderId="30" xfId="1" applyFont="1" applyFill="1" applyBorder="1" applyAlignment="1" applyProtection="1">
      <alignment horizontal="right" vertical="center"/>
    </xf>
    <xf numFmtId="0" fontId="3" fillId="2" borderId="74" xfId="1" applyFont="1" applyFill="1" applyBorder="1" applyAlignment="1" applyProtection="1">
      <alignment horizontal="right" vertical="center"/>
    </xf>
    <xf numFmtId="0" fontId="3" fillId="0" borderId="74" xfId="1" applyBorder="1" applyAlignment="1" applyProtection="1">
      <alignment vertical="center"/>
    </xf>
    <xf numFmtId="164" fontId="4" fillId="2" borderId="55" xfId="1" applyNumberFormat="1" applyFont="1" applyFill="1" applyBorder="1" applyAlignment="1" applyProtection="1">
      <alignment horizontal="right" vertical="center"/>
    </xf>
    <xf numFmtId="0" fontId="3" fillId="2" borderId="1" xfId="1" applyFill="1" applyBorder="1" applyAlignment="1" applyProtection="1">
      <alignment horizontal="right" vertical="center"/>
    </xf>
    <xf numFmtId="0" fontId="3" fillId="2" borderId="6" xfId="1" applyFont="1" applyFill="1" applyBorder="1" applyAlignment="1" applyProtection="1">
      <alignment horizontal="center" vertical="center"/>
      <protection locked="0"/>
    </xf>
    <xf numFmtId="0" fontId="3" fillId="2" borderId="11" xfId="1" applyFont="1" applyFill="1" applyBorder="1" applyAlignment="1" applyProtection="1">
      <alignment horizontal="center" vertical="center"/>
      <protection locked="0"/>
    </xf>
    <xf numFmtId="0" fontId="4" fillId="2" borderId="47" xfId="1" applyFont="1" applyFill="1" applyBorder="1" applyAlignment="1" applyProtection="1">
      <alignment horizontal="center" vertical="center" textRotation="90"/>
    </xf>
    <xf numFmtId="0" fontId="3" fillId="2" borderId="47" xfId="1" applyFill="1" applyBorder="1" applyAlignment="1" applyProtection="1">
      <alignment horizontal="center" vertical="center"/>
    </xf>
    <xf numFmtId="0" fontId="3" fillId="2" borderId="27" xfId="1" applyFill="1" applyBorder="1" applyAlignment="1" applyProtection="1">
      <alignment horizontal="center" vertical="center"/>
    </xf>
    <xf numFmtId="0" fontId="4" fillId="2" borderId="23" xfId="1" applyFont="1" applyFill="1" applyBorder="1" applyAlignment="1" applyProtection="1">
      <alignment horizontal="center" vertical="center"/>
    </xf>
    <xf numFmtId="0" fontId="3" fillId="2" borderId="0" xfId="1" applyFont="1" applyFill="1" applyBorder="1" applyAlignment="1" applyProtection="1">
      <alignment horizontal="center" vertical="center"/>
    </xf>
    <xf numFmtId="0" fontId="3" fillId="2" borderId="21" xfId="1" applyFont="1" applyFill="1" applyBorder="1" applyAlignment="1" applyProtection="1">
      <alignment horizontal="center" vertical="center"/>
    </xf>
    <xf numFmtId="164" fontId="4" fillId="2" borderId="33" xfId="1" applyNumberFormat="1" applyFont="1" applyFill="1" applyBorder="1" applyAlignment="1" applyProtection="1">
      <alignment horizontal="center" vertical="center" wrapText="1"/>
    </xf>
    <xf numFmtId="0" fontId="3" fillId="0" borderId="50" xfId="1" applyBorder="1" applyAlignment="1">
      <alignment horizontal="center" vertical="center"/>
    </xf>
    <xf numFmtId="164" fontId="4" fillId="3" borderId="55" xfId="1" applyNumberFormat="1" applyFont="1" applyFill="1" applyBorder="1" applyAlignment="1" applyProtection="1">
      <alignment horizontal="right" vertical="center"/>
    </xf>
    <xf numFmtId="0" fontId="3" fillId="0" borderId="1" xfId="1" applyBorder="1" applyAlignment="1" applyProtection="1">
      <alignment horizontal="right" vertical="center"/>
    </xf>
    <xf numFmtId="0" fontId="4" fillId="2" borderId="65" xfId="1" applyFont="1" applyFill="1" applyBorder="1" applyAlignment="1" applyProtection="1">
      <alignment horizontal="center" vertical="center" textRotation="90" wrapText="1"/>
    </xf>
    <xf numFmtId="0" fontId="3" fillId="0" borderId="46" xfId="1" applyBorder="1" applyAlignment="1" applyProtection="1">
      <alignment horizontal="center" vertical="center"/>
    </xf>
    <xf numFmtId="0" fontId="4" fillId="3" borderId="55" xfId="1" applyFont="1" applyFill="1" applyBorder="1" applyAlignment="1" applyProtection="1">
      <alignment horizontal="right" vertical="center"/>
    </xf>
    <xf numFmtId="0" fontId="3" fillId="3" borderId="6" xfId="1" applyFont="1" applyFill="1" applyBorder="1" applyAlignment="1" applyProtection="1">
      <alignment horizontal="center" vertical="center"/>
      <protection locked="0"/>
    </xf>
    <xf numFmtId="0" fontId="3" fillId="0" borderId="56" xfId="1" applyFont="1" applyBorder="1" applyAlignment="1" applyProtection="1">
      <alignment horizontal="center" vertical="center"/>
      <protection locked="0"/>
    </xf>
    <xf numFmtId="0" fontId="4" fillId="2" borderId="55" xfId="1" applyFont="1" applyFill="1" applyBorder="1" applyAlignment="1" applyProtection="1">
      <alignment horizontal="right" vertical="center"/>
    </xf>
    <xf numFmtId="0" fontId="3" fillId="3" borderId="56" xfId="1" applyFont="1" applyFill="1" applyBorder="1" applyAlignment="1" applyProtection="1">
      <alignment horizontal="center" vertical="center"/>
      <protection locked="0"/>
    </xf>
    <xf numFmtId="0" fontId="3" fillId="2" borderId="56" xfId="1" applyFont="1" applyFill="1" applyBorder="1" applyAlignment="1" applyProtection="1">
      <alignment horizontal="center" vertical="center"/>
      <protection locked="0"/>
    </xf>
    <xf numFmtId="0" fontId="3" fillId="2" borderId="23" xfId="1" applyFont="1" applyFill="1" applyBorder="1" applyAlignment="1" applyProtection="1">
      <alignment wrapText="1"/>
      <protection locked="0"/>
    </xf>
    <xf numFmtId="0" fontId="3" fillId="2" borderId="0" xfId="1" applyFont="1" applyFill="1" applyBorder="1" applyAlignment="1" applyProtection="1">
      <alignment wrapText="1"/>
      <protection locked="0"/>
    </xf>
    <xf numFmtId="0" fontId="3" fillId="2" borderId="26" xfId="1" applyFont="1" applyFill="1" applyBorder="1" applyAlignment="1" applyProtection="1">
      <alignment wrapText="1"/>
      <protection locked="0"/>
    </xf>
    <xf numFmtId="0" fontId="3" fillId="2" borderId="2" xfId="1" applyFont="1" applyFill="1" applyBorder="1" applyAlignment="1" applyProtection="1">
      <alignment wrapText="1"/>
      <protection locked="0"/>
    </xf>
    <xf numFmtId="0" fontId="3" fillId="3" borderId="5" xfId="1" applyFont="1" applyFill="1" applyBorder="1" applyAlignment="1" applyProtection="1">
      <alignment horizontal="center" vertical="center"/>
      <protection locked="0"/>
    </xf>
    <xf numFmtId="0" fontId="3" fillId="0" borderId="39" xfId="1" applyFont="1" applyBorder="1" applyAlignment="1" applyProtection="1">
      <alignment horizontal="center" vertical="center"/>
      <protection locked="0"/>
    </xf>
    <xf numFmtId="0" fontId="4" fillId="2" borderId="51" xfId="1" applyFont="1" applyFill="1" applyBorder="1" applyAlignment="1" applyProtection="1">
      <alignment horizontal="right" vertical="center"/>
    </xf>
    <xf numFmtId="0" fontId="4" fillId="2" borderId="45" xfId="1" applyFont="1" applyFill="1" applyBorder="1" applyAlignment="1" applyProtection="1">
      <alignment horizontal="right" vertical="center"/>
    </xf>
    <xf numFmtId="0" fontId="3" fillId="2" borderId="5" xfId="1" applyFont="1" applyFill="1" applyBorder="1" applyAlignment="1" applyProtection="1">
      <alignment horizontal="center" vertical="center"/>
      <protection locked="0"/>
    </xf>
    <xf numFmtId="0" fontId="3" fillId="2" borderId="29" xfId="1" applyFont="1" applyFill="1" applyBorder="1" applyAlignment="1" applyProtection="1">
      <alignment horizontal="center" vertical="center"/>
      <protection locked="0"/>
    </xf>
    <xf numFmtId="0" fontId="4" fillId="0" borderId="1" xfId="1" applyFont="1" applyBorder="1" applyAlignment="1" applyProtection="1">
      <alignment horizontal="right" vertical="center"/>
    </xf>
    <xf numFmtId="0" fontId="4" fillId="2" borderId="1" xfId="1" applyFont="1" applyFill="1" applyBorder="1" applyAlignment="1" applyProtection="1">
      <alignment horizontal="right" vertical="center"/>
    </xf>
    <xf numFmtId="0" fontId="12" fillId="2" borderId="23" xfId="1" applyFont="1" applyFill="1" applyBorder="1" applyAlignment="1" applyProtection="1">
      <alignment horizontal="center" vertical="center" wrapText="1"/>
    </xf>
    <xf numFmtId="0" fontId="11" fillId="2" borderId="0" xfId="1" applyFont="1" applyFill="1" applyBorder="1" applyAlignment="1" applyProtection="1">
      <alignment wrapText="1"/>
    </xf>
    <xf numFmtId="0" fontId="11" fillId="2" borderId="23" xfId="1" applyFont="1" applyFill="1" applyBorder="1" applyAlignment="1" applyProtection="1">
      <alignment wrapText="1"/>
    </xf>
    <xf numFmtId="0" fontId="4" fillId="3" borderId="51" xfId="1" applyFont="1" applyFill="1" applyBorder="1" applyAlignment="1" applyProtection="1">
      <alignment horizontal="right" vertical="center"/>
    </xf>
    <xf numFmtId="0" fontId="4" fillId="3" borderId="45" xfId="1" applyFont="1" applyFill="1" applyBorder="1" applyAlignment="1" applyProtection="1">
      <alignment horizontal="right" vertical="center"/>
    </xf>
    <xf numFmtId="0" fontId="3" fillId="2" borderId="39" xfId="1" applyFont="1" applyFill="1" applyBorder="1" applyAlignment="1" applyProtection="1">
      <alignment horizontal="center" vertical="center"/>
      <protection locked="0"/>
    </xf>
    <xf numFmtId="0" fontId="4" fillId="2" borderId="33" xfId="1" applyFont="1" applyFill="1" applyBorder="1" applyAlignment="1" applyProtection="1">
      <alignment horizontal="center" vertical="center"/>
    </xf>
    <xf numFmtId="0" fontId="3" fillId="2" borderId="34" xfId="1" applyFill="1" applyBorder="1" applyAlignment="1" applyProtection="1">
      <alignment horizontal="center" vertical="center"/>
    </xf>
    <xf numFmtId="0" fontId="5" fillId="2" borderId="34" xfId="1" applyFont="1" applyFill="1" applyBorder="1" applyAlignment="1" applyProtection="1">
      <alignment horizontal="left" vertical="center"/>
      <protection locked="0"/>
    </xf>
    <xf numFmtId="0" fontId="5" fillId="2" borderId="35" xfId="1" applyFont="1" applyFill="1" applyBorder="1" applyAlignment="1" applyProtection="1">
      <alignment horizontal="left" vertical="center"/>
      <protection locked="0"/>
    </xf>
    <xf numFmtId="0" fontId="4" fillId="2" borderId="34" xfId="1" applyFont="1" applyFill="1" applyBorder="1" applyAlignment="1" applyProtection="1">
      <alignment horizontal="center" vertical="center"/>
    </xf>
    <xf numFmtId="0" fontId="3" fillId="2" borderId="34" xfId="1" applyFill="1" applyBorder="1" applyAlignment="1" applyProtection="1"/>
    <xf numFmtId="0" fontId="5" fillId="2" borderId="34" xfId="1" applyFont="1" applyFill="1" applyBorder="1" applyAlignment="1" applyProtection="1">
      <alignment horizontal="center" vertical="center"/>
      <protection locked="0"/>
    </xf>
    <xf numFmtId="0" fontId="5" fillId="2" borderId="35" xfId="1" applyFont="1" applyFill="1" applyBorder="1" applyAlignment="1" applyProtection="1">
      <alignment horizontal="center" vertical="center"/>
      <protection locked="0"/>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Q0033097p2%20(NDAR-1)%20Form%20131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Q0033097p3%20(NDAR-1)%20Form%201310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ertification Page (2)"/>
      <sheetName val="Formulas &amp; Weather Codes (2)"/>
      <sheetName val="Page 1"/>
      <sheetName val="Certification Page"/>
      <sheetName val="Formulas &amp; Weather Codes"/>
      <sheetName val="Dropdown Menu"/>
    </sheetNames>
    <sheetDataSet>
      <sheetData sheetId="0" refreshError="1"/>
      <sheetData sheetId="1" refreshError="1"/>
      <sheetData sheetId="2" refreshError="1"/>
      <sheetData sheetId="3" refreshError="1"/>
      <sheetData sheetId="4"/>
      <sheetData sheetId="5">
        <row r="2">
          <cell r="A2" t="str">
            <v>January</v>
          </cell>
          <cell r="B2" t="str">
            <v xml:space="preserve">Alamance  </v>
          </cell>
          <cell r="C2">
            <v>2011</v>
          </cell>
          <cell r="D2" t="str">
            <v>C</v>
          </cell>
        </row>
        <row r="3">
          <cell r="A3" t="str">
            <v>February</v>
          </cell>
          <cell r="B3" t="str">
            <v xml:space="preserve">Alexander  </v>
          </cell>
          <cell r="C3">
            <v>2012</v>
          </cell>
          <cell r="D3" t="str">
            <v>CL</v>
          </cell>
        </row>
        <row r="4">
          <cell r="A4" t="str">
            <v>March</v>
          </cell>
          <cell r="B4" t="str">
            <v xml:space="preserve">Alleghany  </v>
          </cell>
          <cell r="C4">
            <v>2013</v>
          </cell>
          <cell r="D4" t="str">
            <v>PC</v>
          </cell>
        </row>
        <row r="5">
          <cell r="A5" t="str">
            <v>April</v>
          </cell>
          <cell r="B5" t="str">
            <v xml:space="preserve">Anson  </v>
          </cell>
          <cell r="C5">
            <v>2014</v>
          </cell>
          <cell r="D5" t="str">
            <v>R</v>
          </cell>
        </row>
        <row r="6">
          <cell r="A6" t="str">
            <v>May</v>
          </cell>
          <cell r="B6" t="str">
            <v xml:space="preserve">Ashe  </v>
          </cell>
          <cell r="C6">
            <v>2015</v>
          </cell>
          <cell r="D6" t="str">
            <v>SN</v>
          </cell>
        </row>
        <row r="7">
          <cell r="A7" t="str">
            <v>June</v>
          </cell>
          <cell r="B7" t="str">
            <v xml:space="preserve">Avery  </v>
          </cell>
          <cell r="C7">
            <v>2016</v>
          </cell>
          <cell r="D7" t="str">
            <v>SL</v>
          </cell>
        </row>
        <row r="8">
          <cell r="A8" t="str">
            <v>July</v>
          </cell>
          <cell r="B8" t="str">
            <v xml:space="preserve">Beaufort  </v>
          </cell>
          <cell r="C8">
            <v>2017</v>
          </cell>
        </row>
        <row r="9">
          <cell r="A9" t="str">
            <v>August</v>
          </cell>
          <cell r="B9" t="str">
            <v xml:space="preserve">Bertie  </v>
          </cell>
          <cell r="C9">
            <v>2018</v>
          </cell>
        </row>
        <row r="10">
          <cell r="A10" t="str">
            <v>September</v>
          </cell>
          <cell r="B10" t="str">
            <v xml:space="preserve">Bladen  </v>
          </cell>
          <cell r="C10">
            <v>2019</v>
          </cell>
        </row>
        <row r="11">
          <cell r="A11" t="str">
            <v>October</v>
          </cell>
          <cell r="B11" t="str">
            <v xml:space="preserve">Brunswick  </v>
          </cell>
          <cell r="C11">
            <v>2020</v>
          </cell>
        </row>
        <row r="12">
          <cell r="A12" t="str">
            <v>November</v>
          </cell>
          <cell r="B12" t="str">
            <v xml:space="preserve">Buncombe  </v>
          </cell>
          <cell r="C12">
            <v>2021</v>
          </cell>
        </row>
        <row r="13">
          <cell r="A13" t="str">
            <v>December</v>
          </cell>
          <cell r="B13" t="str">
            <v xml:space="preserve">Burke  </v>
          </cell>
          <cell r="C13">
            <v>2022</v>
          </cell>
        </row>
        <row r="14">
          <cell r="B14" t="str">
            <v xml:space="preserve">Cabarrus  </v>
          </cell>
          <cell r="C14">
            <v>2023</v>
          </cell>
        </row>
        <row r="15">
          <cell r="B15" t="str">
            <v xml:space="preserve">Caldwell  </v>
          </cell>
          <cell r="C15">
            <v>2024</v>
          </cell>
        </row>
        <row r="16">
          <cell r="B16" t="str">
            <v xml:space="preserve">Camden  </v>
          </cell>
          <cell r="C16">
            <v>2025</v>
          </cell>
        </row>
        <row r="17">
          <cell r="B17" t="str">
            <v xml:space="preserve">Carteret  </v>
          </cell>
          <cell r="C17">
            <v>2026</v>
          </cell>
        </row>
        <row r="18">
          <cell r="B18" t="str">
            <v xml:space="preserve">Caswell  </v>
          </cell>
          <cell r="C18">
            <v>2027</v>
          </cell>
        </row>
        <row r="19">
          <cell r="B19" t="str">
            <v xml:space="preserve">Catawba  </v>
          </cell>
          <cell r="C19">
            <v>2028</v>
          </cell>
        </row>
        <row r="20">
          <cell r="B20" t="str">
            <v xml:space="preserve">Chatham  </v>
          </cell>
          <cell r="C20">
            <v>2029</v>
          </cell>
        </row>
        <row r="21">
          <cell r="B21" t="str">
            <v xml:space="preserve">Cherokee  </v>
          </cell>
          <cell r="C21">
            <v>2030</v>
          </cell>
        </row>
        <row r="22">
          <cell r="B22" t="str">
            <v xml:space="preserve">Chowan  </v>
          </cell>
        </row>
        <row r="23">
          <cell r="B23" t="str">
            <v xml:space="preserve">Clay  </v>
          </cell>
        </row>
        <row r="24">
          <cell r="B24" t="str">
            <v xml:space="preserve">Cleveland  </v>
          </cell>
        </row>
        <row r="25">
          <cell r="B25" t="str">
            <v xml:space="preserve">Columbus  </v>
          </cell>
        </row>
        <row r="26">
          <cell r="B26" t="str">
            <v xml:space="preserve">Craven  </v>
          </cell>
        </row>
        <row r="27">
          <cell r="B27" t="str">
            <v xml:space="preserve">Cumberland  </v>
          </cell>
        </row>
        <row r="28">
          <cell r="B28" t="str">
            <v xml:space="preserve">Currituck  </v>
          </cell>
        </row>
        <row r="29">
          <cell r="B29" t="str">
            <v xml:space="preserve">Dare  </v>
          </cell>
        </row>
        <row r="30">
          <cell r="B30" t="str">
            <v xml:space="preserve">Davidson  </v>
          </cell>
        </row>
        <row r="31">
          <cell r="B31" t="str">
            <v xml:space="preserve">Davie  </v>
          </cell>
        </row>
        <row r="32">
          <cell r="B32" t="str">
            <v xml:space="preserve">Duplin  </v>
          </cell>
        </row>
        <row r="33">
          <cell r="B33" t="str">
            <v xml:space="preserve">Durham  </v>
          </cell>
        </row>
        <row r="34">
          <cell r="B34" t="str">
            <v xml:space="preserve">Edgecombe  </v>
          </cell>
        </row>
        <row r="35">
          <cell r="B35" t="str">
            <v xml:space="preserve">Forsyth  </v>
          </cell>
        </row>
        <row r="36">
          <cell r="B36" t="str">
            <v xml:space="preserve">Franklin  </v>
          </cell>
        </row>
        <row r="37">
          <cell r="B37" t="str">
            <v xml:space="preserve">Gaston  </v>
          </cell>
        </row>
        <row r="38">
          <cell r="B38" t="str">
            <v xml:space="preserve">Gates  </v>
          </cell>
        </row>
        <row r="39">
          <cell r="B39" t="str">
            <v xml:space="preserve">Graham  </v>
          </cell>
        </row>
        <row r="40">
          <cell r="B40" t="str">
            <v xml:space="preserve">Granville  </v>
          </cell>
        </row>
        <row r="41">
          <cell r="B41" t="str">
            <v xml:space="preserve">Greene  </v>
          </cell>
        </row>
        <row r="42">
          <cell r="B42" t="str">
            <v xml:space="preserve">Guilford  </v>
          </cell>
        </row>
        <row r="43">
          <cell r="B43" t="str">
            <v xml:space="preserve">Halifax  </v>
          </cell>
        </row>
        <row r="44">
          <cell r="B44" t="str">
            <v xml:space="preserve">Harnett  </v>
          </cell>
        </row>
        <row r="45">
          <cell r="B45" t="str">
            <v xml:space="preserve">Haywood  </v>
          </cell>
        </row>
        <row r="46">
          <cell r="B46" t="str">
            <v xml:space="preserve">Henderson  </v>
          </cell>
        </row>
        <row r="47">
          <cell r="B47" t="str">
            <v xml:space="preserve">Hertford  </v>
          </cell>
        </row>
        <row r="48">
          <cell r="B48" t="str">
            <v xml:space="preserve">Hoke  </v>
          </cell>
        </row>
        <row r="49">
          <cell r="B49" t="str">
            <v xml:space="preserve">Hyde  </v>
          </cell>
        </row>
        <row r="50">
          <cell r="B50" t="str">
            <v xml:space="preserve">Iredell  </v>
          </cell>
        </row>
        <row r="51">
          <cell r="B51" t="str">
            <v xml:space="preserve">Jackson  </v>
          </cell>
        </row>
        <row r="52">
          <cell r="B52" t="str">
            <v xml:space="preserve">Johnston  </v>
          </cell>
        </row>
        <row r="53">
          <cell r="B53" t="str">
            <v xml:space="preserve">Jones  </v>
          </cell>
        </row>
        <row r="54">
          <cell r="B54" t="str">
            <v xml:space="preserve">Lee  </v>
          </cell>
        </row>
        <row r="55">
          <cell r="B55" t="str">
            <v xml:space="preserve">Lenoir  </v>
          </cell>
        </row>
        <row r="56">
          <cell r="B56" t="str">
            <v xml:space="preserve">Lincoln  </v>
          </cell>
        </row>
        <row r="57">
          <cell r="B57" t="str">
            <v xml:space="preserve">Macon  </v>
          </cell>
        </row>
        <row r="58">
          <cell r="B58" t="str">
            <v xml:space="preserve">Madison  </v>
          </cell>
        </row>
        <row r="59">
          <cell r="B59" t="str">
            <v xml:space="preserve">Martin  </v>
          </cell>
        </row>
        <row r="60">
          <cell r="B60" t="str">
            <v xml:space="preserve">McDowell  </v>
          </cell>
        </row>
        <row r="61">
          <cell r="B61" t="str">
            <v xml:space="preserve">Mecklenburg  </v>
          </cell>
        </row>
        <row r="62">
          <cell r="B62" t="str">
            <v xml:space="preserve">Mitchell  </v>
          </cell>
        </row>
        <row r="63">
          <cell r="B63" t="str">
            <v xml:space="preserve">Montgomery  </v>
          </cell>
        </row>
        <row r="64">
          <cell r="B64" t="str">
            <v xml:space="preserve">Moore  </v>
          </cell>
        </row>
        <row r="65">
          <cell r="B65" t="str">
            <v xml:space="preserve">Nash  </v>
          </cell>
        </row>
        <row r="66">
          <cell r="B66" t="str">
            <v xml:space="preserve">New Hanover  </v>
          </cell>
        </row>
        <row r="67">
          <cell r="B67" t="str">
            <v xml:space="preserve">Northampton  </v>
          </cell>
        </row>
        <row r="68">
          <cell r="B68" t="str">
            <v xml:space="preserve">Onslow  </v>
          </cell>
        </row>
        <row r="69">
          <cell r="B69" t="str">
            <v xml:space="preserve">Orange  </v>
          </cell>
        </row>
        <row r="70">
          <cell r="B70" t="str">
            <v xml:space="preserve">Pamlico  </v>
          </cell>
        </row>
        <row r="71">
          <cell r="B71" t="str">
            <v xml:space="preserve">Pasquotank  </v>
          </cell>
        </row>
        <row r="72">
          <cell r="B72" t="str">
            <v xml:space="preserve">Pender  </v>
          </cell>
        </row>
        <row r="73">
          <cell r="B73" t="str">
            <v xml:space="preserve">Perquimans  </v>
          </cell>
        </row>
        <row r="74">
          <cell r="B74" t="str">
            <v xml:space="preserve">Person  </v>
          </cell>
        </row>
        <row r="75">
          <cell r="B75" t="str">
            <v xml:space="preserve">Pitt  </v>
          </cell>
        </row>
        <row r="76">
          <cell r="B76" t="str">
            <v xml:space="preserve">Polk  </v>
          </cell>
        </row>
        <row r="77">
          <cell r="B77" t="str">
            <v xml:space="preserve">Randolph  </v>
          </cell>
        </row>
        <row r="78">
          <cell r="B78" t="str">
            <v xml:space="preserve">Richmond  </v>
          </cell>
        </row>
        <row r="79">
          <cell r="B79" t="str">
            <v xml:space="preserve">Robeson  </v>
          </cell>
        </row>
        <row r="80">
          <cell r="B80" t="str">
            <v xml:space="preserve">Rockingham  </v>
          </cell>
        </row>
        <row r="81">
          <cell r="B81" t="str">
            <v xml:space="preserve">Rowan  </v>
          </cell>
        </row>
        <row r="82">
          <cell r="B82" t="str">
            <v xml:space="preserve">Rutherford  </v>
          </cell>
        </row>
        <row r="83">
          <cell r="B83" t="str">
            <v xml:space="preserve">Sampson  </v>
          </cell>
        </row>
        <row r="84">
          <cell r="B84" t="str">
            <v xml:space="preserve">Scotland  </v>
          </cell>
        </row>
        <row r="85">
          <cell r="B85" t="str">
            <v xml:space="preserve">Stanly  </v>
          </cell>
        </row>
        <row r="86">
          <cell r="B86" t="str">
            <v xml:space="preserve">Stokes  </v>
          </cell>
        </row>
        <row r="87">
          <cell r="B87" t="str">
            <v xml:space="preserve">Surry  </v>
          </cell>
        </row>
        <row r="88">
          <cell r="B88" t="str">
            <v xml:space="preserve">Swain  </v>
          </cell>
        </row>
        <row r="89">
          <cell r="B89" t="str">
            <v xml:space="preserve">Transylvania  </v>
          </cell>
        </row>
        <row r="90">
          <cell r="B90" t="str">
            <v xml:space="preserve">Tyrrell  </v>
          </cell>
        </row>
        <row r="91">
          <cell r="B91" t="str">
            <v xml:space="preserve">Union  </v>
          </cell>
        </row>
        <row r="92">
          <cell r="B92" t="str">
            <v xml:space="preserve">Vance  </v>
          </cell>
        </row>
        <row r="93">
          <cell r="B93" t="str">
            <v xml:space="preserve">Wake  </v>
          </cell>
        </row>
        <row r="94">
          <cell r="B94" t="str">
            <v xml:space="preserve">Warren  </v>
          </cell>
        </row>
        <row r="95">
          <cell r="B95" t="str">
            <v xml:space="preserve">Washington  </v>
          </cell>
        </row>
        <row r="96">
          <cell r="B96" t="str">
            <v xml:space="preserve">Watauga  </v>
          </cell>
        </row>
        <row r="97">
          <cell r="B97" t="str">
            <v xml:space="preserve">Wayne  </v>
          </cell>
        </row>
        <row r="98">
          <cell r="B98" t="str">
            <v xml:space="preserve">Wilkes  </v>
          </cell>
        </row>
        <row r="99">
          <cell r="B99" t="str">
            <v xml:space="preserve">Wilson  </v>
          </cell>
        </row>
        <row r="100">
          <cell r="B100" t="str">
            <v xml:space="preserve">Yadkin  </v>
          </cell>
        </row>
        <row r="101">
          <cell r="B101" t="str">
            <v xml:space="preserve">Yancey  </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ertification Page"/>
      <sheetName val="Formulas &amp; Weather Codes"/>
      <sheetName val="Dropdown Menu"/>
    </sheetNames>
    <sheetDataSet>
      <sheetData sheetId="0" refreshError="1"/>
      <sheetData sheetId="1"/>
      <sheetData sheetId="2">
        <row r="2">
          <cell r="A2" t="str">
            <v>January</v>
          </cell>
          <cell r="B2" t="str">
            <v xml:space="preserve">Alamance  </v>
          </cell>
          <cell r="C2">
            <v>2011</v>
          </cell>
          <cell r="D2" t="str">
            <v>C</v>
          </cell>
        </row>
        <row r="3">
          <cell r="A3" t="str">
            <v>February</v>
          </cell>
          <cell r="B3" t="str">
            <v xml:space="preserve">Alexander  </v>
          </cell>
          <cell r="C3">
            <v>2012</v>
          </cell>
          <cell r="D3" t="str">
            <v>CL</v>
          </cell>
        </row>
        <row r="4">
          <cell r="A4" t="str">
            <v>March</v>
          </cell>
          <cell r="B4" t="str">
            <v xml:space="preserve">Alleghany  </v>
          </cell>
          <cell r="C4">
            <v>2013</v>
          </cell>
          <cell r="D4" t="str">
            <v>PC</v>
          </cell>
        </row>
        <row r="5">
          <cell r="A5" t="str">
            <v>April</v>
          </cell>
          <cell r="B5" t="str">
            <v xml:space="preserve">Anson  </v>
          </cell>
          <cell r="C5">
            <v>2014</v>
          </cell>
          <cell r="D5" t="str">
            <v>R</v>
          </cell>
        </row>
        <row r="6">
          <cell r="A6" t="str">
            <v>May</v>
          </cell>
          <cell r="B6" t="str">
            <v xml:space="preserve">Ashe  </v>
          </cell>
          <cell r="C6">
            <v>2015</v>
          </cell>
          <cell r="D6" t="str">
            <v>SN</v>
          </cell>
        </row>
        <row r="7">
          <cell r="A7" t="str">
            <v>June</v>
          </cell>
          <cell r="B7" t="str">
            <v xml:space="preserve">Avery  </v>
          </cell>
          <cell r="C7">
            <v>2016</v>
          </cell>
          <cell r="D7" t="str">
            <v>SL</v>
          </cell>
        </row>
        <row r="8">
          <cell r="A8" t="str">
            <v>July</v>
          </cell>
          <cell r="B8" t="str">
            <v xml:space="preserve">Beaufort  </v>
          </cell>
          <cell r="C8">
            <v>2017</v>
          </cell>
        </row>
        <row r="9">
          <cell r="A9" t="str">
            <v>August</v>
          </cell>
          <cell r="B9" t="str">
            <v xml:space="preserve">Bertie  </v>
          </cell>
          <cell r="C9">
            <v>2018</v>
          </cell>
        </row>
        <row r="10">
          <cell r="A10" t="str">
            <v>September</v>
          </cell>
          <cell r="B10" t="str">
            <v xml:space="preserve">Bladen  </v>
          </cell>
          <cell r="C10">
            <v>2019</v>
          </cell>
        </row>
        <row r="11">
          <cell r="A11" t="str">
            <v>October</v>
          </cell>
          <cell r="B11" t="str">
            <v xml:space="preserve">Brunswick  </v>
          </cell>
          <cell r="C11">
            <v>2020</v>
          </cell>
        </row>
        <row r="12">
          <cell r="A12" t="str">
            <v>November</v>
          </cell>
          <cell r="B12" t="str">
            <v xml:space="preserve">Buncombe  </v>
          </cell>
          <cell r="C12">
            <v>2021</v>
          </cell>
        </row>
        <row r="13">
          <cell r="A13" t="str">
            <v>December</v>
          </cell>
          <cell r="B13" t="str">
            <v xml:space="preserve">Burke  </v>
          </cell>
          <cell r="C13">
            <v>2022</v>
          </cell>
        </row>
        <row r="14">
          <cell r="B14" t="str">
            <v xml:space="preserve">Cabarrus  </v>
          </cell>
          <cell r="C14">
            <v>2023</v>
          </cell>
        </row>
        <row r="15">
          <cell r="B15" t="str">
            <v xml:space="preserve">Caldwell  </v>
          </cell>
          <cell r="C15">
            <v>2024</v>
          </cell>
        </row>
        <row r="16">
          <cell r="B16" t="str">
            <v xml:space="preserve">Camden  </v>
          </cell>
          <cell r="C16">
            <v>2025</v>
          </cell>
        </row>
        <row r="17">
          <cell r="B17" t="str">
            <v xml:space="preserve">Carteret  </v>
          </cell>
          <cell r="C17">
            <v>2026</v>
          </cell>
        </row>
        <row r="18">
          <cell r="B18" t="str">
            <v xml:space="preserve">Caswell  </v>
          </cell>
          <cell r="C18">
            <v>2027</v>
          </cell>
        </row>
        <row r="19">
          <cell r="B19" t="str">
            <v xml:space="preserve">Catawba  </v>
          </cell>
          <cell r="C19">
            <v>2028</v>
          </cell>
        </row>
        <row r="20">
          <cell r="B20" t="str">
            <v xml:space="preserve">Chatham  </v>
          </cell>
          <cell r="C20">
            <v>2029</v>
          </cell>
        </row>
        <row r="21">
          <cell r="B21" t="str">
            <v xml:space="preserve">Cherokee  </v>
          </cell>
          <cell r="C21">
            <v>2030</v>
          </cell>
        </row>
        <row r="22">
          <cell r="B22" t="str">
            <v xml:space="preserve">Chowan  </v>
          </cell>
        </row>
        <row r="23">
          <cell r="B23" t="str">
            <v xml:space="preserve">Clay  </v>
          </cell>
        </row>
        <row r="24">
          <cell r="B24" t="str">
            <v xml:space="preserve">Cleveland  </v>
          </cell>
        </row>
        <row r="25">
          <cell r="B25" t="str">
            <v xml:space="preserve">Columbus  </v>
          </cell>
        </row>
        <row r="26">
          <cell r="B26" t="str">
            <v xml:space="preserve">Craven  </v>
          </cell>
        </row>
        <row r="27">
          <cell r="B27" t="str">
            <v xml:space="preserve">Cumberland  </v>
          </cell>
        </row>
        <row r="28">
          <cell r="B28" t="str">
            <v xml:space="preserve">Currituck  </v>
          </cell>
        </row>
        <row r="29">
          <cell r="B29" t="str">
            <v xml:space="preserve">Dare  </v>
          </cell>
        </row>
        <row r="30">
          <cell r="B30" t="str">
            <v xml:space="preserve">Davidson  </v>
          </cell>
        </row>
        <row r="31">
          <cell r="B31" t="str">
            <v xml:space="preserve">Davie  </v>
          </cell>
        </row>
        <row r="32">
          <cell r="B32" t="str">
            <v xml:space="preserve">Duplin  </v>
          </cell>
        </row>
        <row r="33">
          <cell r="B33" t="str">
            <v xml:space="preserve">Durham  </v>
          </cell>
        </row>
        <row r="34">
          <cell r="B34" t="str">
            <v xml:space="preserve">Edgecombe  </v>
          </cell>
        </row>
        <row r="35">
          <cell r="B35" t="str">
            <v xml:space="preserve">Forsyth  </v>
          </cell>
        </row>
        <row r="36">
          <cell r="B36" t="str">
            <v xml:space="preserve">Franklin  </v>
          </cell>
        </row>
        <row r="37">
          <cell r="B37" t="str">
            <v xml:space="preserve">Gaston  </v>
          </cell>
        </row>
        <row r="38">
          <cell r="B38" t="str">
            <v xml:space="preserve">Gates  </v>
          </cell>
        </row>
        <row r="39">
          <cell r="B39" t="str">
            <v xml:space="preserve">Graham  </v>
          </cell>
        </row>
        <row r="40">
          <cell r="B40" t="str">
            <v xml:space="preserve">Granville  </v>
          </cell>
        </row>
        <row r="41">
          <cell r="B41" t="str">
            <v xml:space="preserve">Greene  </v>
          </cell>
        </row>
        <row r="42">
          <cell r="B42" t="str">
            <v xml:space="preserve">Guilford  </v>
          </cell>
        </row>
        <row r="43">
          <cell r="B43" t="str">
            <v xml:space="preserve">Halifax  </v>
          </cell>
        </row>
        <row r="44">
          <cell r="B44" t="str">
            <v xml:space="preserve">Harnett  </v>
          </cell>
        </row>
        <row r="45">
          <cell r="B45" t="str">
            <v xml:space="preserve">Haywood  </v>
          </cell>
        </row>
        <row r="46">
          <cell r="B46" t="str">
            <v xml:space="preserve">Henderson  </v>
          </cell>
        </row>
        <row r="47">
          <cell r="B47" t="str">
            <v xml:space="preserve">Hertford  </v>
          </cell>
        </row>
        <row r="48">
          <cell r="B48" t="str">
            <v xml:space="preserve">Hoke  </v>
          </cell>
        </row>
        <row r="49">
          <cell r="B49" t="str">
            <v xml:space="preserve">Hyde  </v>
          </cell>
        </row>
        <row r="50">
          <cell r="B50" t="str">
            <v xml:space="preserve">Iredell  </v>
          </cell>
        </row>
        <row r="51">
          <cell r="B51" t="str">
            <v xml:space="preserve">Jackson  </v>
          </cell>
        </row>
        <row r="52">
          <cell r="B52" t="str">
            <v xml:space="preserve">Johnston  </v>
          </cell>
        </row>
        <row r="53">
          <cell r="B53" t="str">
            <v xml:space="preserve">Jones  </v>
          </cell>
        </row>
        <row r="54">
          <cell r="B54" t="str">
            <v xml:space="preserve">Lee  </v>
          </cell>
        </row>
        <row r="55">
          <cell r="B55" t="str">
            <v xml:space="preserve">Lenoir  </v>
          </cell>
        </row>
        <row r="56">
          <cell r="B56" t="str">
            <v xml:space="preserve">Lincoln  </v>
          </cell>
        </row>
        <row r="57">
          <cell r="B57" t="str">
            <v xml:space="preserve">Macon  </v>
          </cell>
        </row>
        <row r="58">
          <cell r="B58" t="str">
            <v xml:space="preserve">Madison  </v>
          </cell>
        </row>
        <row r="59">
          <cell r="B59" t="str">
            <v xml:space="preserve">Martin  </v>
          </cell>
        </row>
        <row r="60">
          <cell r="B60" t="str">
            <v xml:space="preserve">McDowell  </v>
          </cell>
        </row>
        <row r="61">
          <cell r="B61" t="str">
            <v xml:space="preserve">Mecklenburg  </v>
          </cell>
        </row>
        <row r="62">
          <cell r="B62" t="str">
            <v xml:space="preserve">Mitchell  </v>
          </cell>
        </row>
        <row r="63">
          <cell r="B63" t="str">
            <v xml:space="preserve">Montgomery  </v>
          </cell>
        </row>
        <row r="64">
          <cell r="B64" t="str">
            <v xml:space="preserve">Moore  </v>
          </cell>
        </row>
        <row r="65">
          <cell r="B65" t="str">
            <v xml:space="preserve">Nash  </v>
          </cell>
        </row>
        <row r="66">
          <cell r="B66" t="str">
            <v xml:space="preserve">New Hanover  </v>
          </cell>
        </row>
        <row r="67">
          <cell r="B67" t="str">
            <v xml:space="preserve">Northampton  </v>
          </cell>
        </row>
        <row r="68">
          <cell r="B68" t="str">
            <v xml:space="preserve">Onslow  </v>
          </cell>
        </row>
        <row r="69">
          <cell r="B69" t="str">
            <v xml:space="preserve">Orange  </v>
          </cell>
        </row>
        <row r="70">
          <cell r="B70" t="str">
            <v xml:space="preserve">Pamlico  </v>
          </cell>
        </row>
        <row r="71">
          <cell r="B71" t="str">
            <v xml:space="preserve">Pasquotank  </v>
          </cell>
        </row>
        <row r="72">
          <cell r="B72" t="str">
            <v xml:space="preserve">Pender  </v>
          </cell>
        </row>
        <row r="73">
          <cell r="B73" t="str">
            <v xml:space="preserve">Perquimans  </v>
          </cell>
        </row>
        <row r="74">
          <cell r="B74" t="str">
            <v xml:space="preserve">Person  </v>
          </cell>
        </row>
        <row r="75">
          <cell r="B75" t="str">
            <v xml:space="preserve">Pitt  </v>
          </cell>
        </row>
        <row r="76">
          <cell r="B76" t="str">
            <v xml:space="preserve">Polk  </v>
          </cell>
        </row>
        <row r="77">
          <cell r="B77" t="str">
            <v xml:space="preserve">Randolph  </v>
          </cell>
        </row>
        <row r="78">
          <cell r="B78" t="str">
            <v xml:space="preserve">Richmond  </v>
          </cell>
        </row>
        <row r="79">
          <cell r="B79" t="str">
            <v xml:space="preserve">Robeson  </v>
          </cell>
        </row>
        <row r="80">
          <cell r="B80" t="str">
            <v xml:space="preserve">Rockingham  </v>
          </cell>
        </row>
        <row r="81">
          <cell r="B81" t="str">
            <v xml:space="preserve">Rowan  </v>
          </cell>
        </row>
        <row r="82">
          <cell r="B82" t="str">
            <v xml:space="preserve">Rutherford  </v>
          </cell>
        </row>
        <row r="83">
          <cell r="B83" t="str">
            <v xml:space="preserve">Sampson  </v>
          </cell>
        </row>
        <row r="84">
          <cell r="B84" t="str">
            <v xml:space="preserve">Scotland  </v>
          </cell>
        </row>
        <row r="85">
          <cell r="B85" t="str">
            <v xml:space="preserve">Stanly  </v>
          </cell>
        </row>
        <row r="86">
          <cell r="B86" t="str">
            <v xml:space="preserve">Stokes  </v>
          </cell>
        </row>
        <row r="87">
          <cell r="B87" t="str">
            <v xml:space="preserve">Surry  </v>
          </cell>
        </row>
        <row r="88">
          <cell r="B88" t="str">
            <v xml:space="preserve">Swain  </v>
          </cell>
        </row>
        <row r="89">
          <cell r="B89" t="str">
            <v xml:space="preserve">Transylvania  </v>
          </cell>
        </row>
        <row r="90">
          <cell r="B90" t="str">
            <v xml:space="preserve">Tyrrell  </v>
          </cell>
        </row>
        <row r="91">
          <cell r="B91" t="str">
            <v xml:space="preserve">Union  </v>
          </cell>
        </row>
        <row r="92">
          <cell r="B92" t="str">
            <v xml:space="preserve">Vance  </v>
          </cell>
        </row>
        <row r="93">
          <cell r="B93" t="str">
            <v xml:space="preserve">Wake  </v>
          </cell>
        </row>
        <row r="94">
          <cell r="B94" t="str">
            <v xml:space="preserve">Warren  </v>
          </cell>
        </row>
        <row r="95">
          <cell r="B95" t="str">
            <v xml:space="preserve">Washington  </v>
          </cell>
        </row>
        <row r="96">
          <cell r="B96" t="str">
            <v xml:space="preserve">Watauga  </v>
          </cell>
        </row>
        <row r="97">
          <cell r="B97" t="str">
            <v xml:space="preserve">Wayne  </v>
          </cell>
        </row>
        <row r="98">
          <cell r="B98" t="str">
            <v xml:space="preserve">Wilkes  </v>
          </cell>
        </row>
        <row r="99">
          <cell r="B99" t="str">
            <v xml:space="preserve">Wilson  </v>
          </cell>
        </row>
        <row r="100">
          <cell r="B100" t="str">
            <v xml:space="preserve">Yadkin  </v>
          </cell>
        </row>
        <row r="101">
          <cell r="B101" t="str">
            <v xml:space="preserve">Yancey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7.xml"/><Relationship Id="rId13" Type="http://schemas.openxmlformats.org/officeDocument/2006/relationships/ctrlProp" Target="../ctrlProps/ctrlProp42.xml"/><Relationship Id="rId7" Type="http://schemas.openxmlformats.org/officeDocument/2006/relationships/ctrlProp" Target="../ctrlProps/ctrlProp36.xml"/><Relationship Id="rId12" Type="http://schemas.openxmlformats.org/officeDocument/2006/relationships/ctrlProp" Target="../ctrlProps/ctrlProp4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6" Type="http://schemas.openxmlformats.org/officeDocument/2006/relationships/ctrlProp" Target="../ctrlProps/ctrlProp35.xml"/><Relationship Id="rId11" Type="http://schemas.openxmlformats.org/officeDocument/2006/relationships/ctrlProp" Target="../ctrlProps/ctrlProp40.xml"/><Relationship Id="rId5" Type="http://schemas.openxmlformats.org/officeDocument/2006/relationships/ctrlProp" Target="../ctrlProps/ctrlProp34.xml"/><Relationship Id="rId10" Type="http://schemas.openxmlformats.org/officeDocument/2006/relationships/ctrlProp" Target="../ctrlProps/ctrlProp39.xml"/><Relationship Id="rId4" Type="http://schemas.openxmlformats.org/officeDocument/2006/relationships/ctrlProp" Target="../ctrlProps/ctrlProp33.xml"/><Relationship Id="rId9" Type="http://schemas.openxmlformats.org/officeDocument/2006/relationships/ctrlProp" Target="../ctrlProps/ctrlProp38.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47.xml"/><Relationship Id="rId13" Type="http://schemas.openxmlformats.org/officeDocument/2006/relationships/ctrlProp" Target="../ctrlProps/ctrlProp52.xml"/><Relationship Id="rId7" Type="http://schemas.openxmlformats.org/officeDocument/2006/relationships/ctrlProp" Target="../ctrlProps/ctrlProp46.xml"/><Relationship Id="rId12" Type="http://schemas.openxmlformats.org/officeDocument/2006/relationships/ctrlProp" Target="../ctrlProps/ctrlProp5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6" Type="http://schemas.openxmlformats.org/officeDocument/2006/relationships/ctrlProp" Target="../ctrlProps/ctrlProp45.xml"/><Relationship Id="rId11" Type="http://schemas.openxmlformats.org/officeDocument/2006/relationships/ctrlProp" Target="../ctrlProps/ctrlProp50.xml"/><Relationship Id="rId5" Type="http://schemas.openxmlformats.org/officeDocument/2006/relationships/ctrlProp" Target="../ctrlProps/ctrlProp44.xml"/><Relationship Id="rId10" Type="http://schemas.openxmlformats.org/officeDocument/2006/relationships/ctrlProp" Target="../ctrlProps/ctrlProp4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5" Type="http://schemas.openxmlformats.org/officeDocument/2006/relationships/ctrlProp" Target="../ctrlProps/ctrlProp2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 Id="rId14" Type="http://schemas.openxmlformats.org/officeDocument/2006/relationships/ctrlProp" Target="../ctrlProps/ctrlProp2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237" t="s">
        <v>181</v>
      </c>
      <c r="B1" s="238"/>
      <c r="C1" s="238"/>
      <c r="D1" s="231" t="s">
        <v>187</v>
      </c>
      <c r="E1" s="231"/>
      <c r="F1" s="232"/>
      <c r="G1" s="229" t="s">
        <v>3</v>
      </c>
      <c r="H1" s="230"/>
      <c r="I1" s="231" t="s">
        <v>188</v>
      </c>
      <c r="J1" s="231"/>
      <c r="K1" s="231"/>
      <c r="L1" s="231"/>
      <c r="M1" s="231"/>
      <c r="N1" s="232"/>
      <c r="O1" s="43" t="s">
        <v>6</v>
      </c>
      <c r="P1" s="227" t="s">
        <v>109</v>
      </c>
      <c r="Q1" s="228"/>
      <c r="R1" s="43" t="s">
        <v>4</v>
      </c>
      <c r="S1" s="227"/>
      <c r="T1" s="228"/>
      <c r="U1" s="14" t="s">
        <v>5</v>
      </c>
      <c r="V1" s="44"/>
      <c r="W1" s="2"/>
    </row>
    <row r="2" spans="1:23" ht="18.75" customHeight="1">
      <c r="A2" s="249" t="s">
        <v>176</v>
      </c>
      <c r="B2" s="250"/>
      <c r="C2" s="250"/>
      <c r="D2" s="250"/>
      <c r="E2" s="250"/>
      <c r="F2" s="250"/>
      <c r="G2" s="235" t="s">
        <v>142</v>
      </c>
      <c r="H2" s="236"/>
      <c r="I2" s="242">
        <v>1</v>
      </c>
      <c r="J2" s="243"/>
      <c r="K2" s="259" t="s">
        <v>142</v>
      </c>
      <c r="L2" s="260"/>
      <c r="M2" s="233">
        <v>2</v>
      </c>
      <c r="N2" s="234"/>
      <c r="O2" s="235" t="s">
        <v>142</v>
      </c>
      <c r="P2" s="236"/>
      <c r="Q2" s="242">
        <v>3</v>
      </c>
      <c r="R2" s="243"/>
      <c r="S2" s="259" t="s">
        <v>142</v>
      </c>
      <c r="T2" s="260"/>
      <c r="U2" s="233">
        <v>4</v>
      </c>
      <c r="V2" s="269"/>
    </row>
    <row r="3" spans="1:23" ht="18.75" customHeight="1">
      <c r="A3" s="251"/>
      <c r="B3" s="250"/>
      <c r="C3" s="250"/>
      <c r="D3" s="250"/>
      <c r="E3" s="250"/>
      <c r="F3" s="250"/>
      <c r="G3" s="244" t="s">
        <v>143</v>
      </c>
      <c r="H3" s="245"/>
      <c r="I3" s="221">
        <v>1.23</v>
      </c>
      <c r="J3" s="222"/>
      <c r="K3" s="223" t="s">
        <v>143</v>
      </c>
      <c r="L3" s="224"/>
      <c r="M3" s="225">
        <v>1.07</v>
      </c>
      <c r="N3" s="226"/>
      <c r="O3" s="244" t="s">
        <v>143</v>
      </c>
      <c r="P3" s="245"/>
      <c r="Q3" s="221">
        <v>1.28</v>
      </c>
      <c r="R3" s="222"/>
      <c r="S3" s="223" t="s">
        <v>143</v>
      </c>
      <c r="T3" s="224"/>
      <c r="U3" s="225">
        <v>0.97</v>
      </c>
      <c r="V3" s="248"/>
    </row>
    <row r="4" spans="1:23" ht="18.75" customHeight="1">
      <c r="A4" s="251"/>
      <c r="B4" s="250"/>
      <c r="C4" s="250"/>
      <c r="D4" s="250"/>
      <c r="E4" s="250"/>
      <c r="F4" s="250"/>
      <c r="G4" s="244" t="s">
        <v>144</v>
      </c>
      <c r="H4" s="220"/>
      <c r="I4" s="221"/>
      <c r="J4" s="222"/>
      <c r="K4" s="223" t="s">
        <v>144</v>
      </c>
      <c r="L4" s="218"/>
      <c r="M4" s="225"/>
      <c r="N4" s="226"/>
      <c r="O4" s="244" t="s">
        <v>144</v>
      </c>
      <c r="P4" s="220"/>
      <c r="Q4" s="221"/>
      <c r="R4" s="222"/>
      <c r="S4" s="223" t="s">
        <v>144</v>
      </c>
      <c r="T4" s="218"/>
      <c r="U4" s="225"/>
      <c r="V4" s="248"/>
    </row>
    <row r="5" spans="1:23" ht="18.75" customHeight="1">
      <c r="A5" s="252"/>
      <c r="B5" s="253"/>
      <c r="C5" s="253"/>
      <c r="D5" s="253"/>
      <c r="E5" s="253"/>
      <c r="F5" s="253"/>
      <c r="G5" s="244" t="s">
        <v>150</v>
      </c>
      <c r="H5" s="220"/>
      <c r="I5" s="221">
        <v>0.25</v>
      </c>
      <c r="J5" s="222"/>
      <c r="K5" s="223" t="s">
        <v>150</v>
      </c>
      <c r="L5" s="218"/>
      <c r="M5" s="225">
        <v>0.25</v>
      </c>
      <c r="N5" s="226"/>
      <c r="O5" s="244" t="s">
        <v>150</v>
      </c>
      <c r="P5" s="220"/>
      <c r="Q5" s="221">
        <v>0.25</v>
      </c>
      <c r="R5" s="222"/>
      <c r="S5" s="223" t="s">
        <v>150</v>
      </c>
      <c r="T5" s="218"/>
      <c r="U5" s="225">
        <v>0.25</v>
      </c>
      <c r="V5" s="248"/>
    </row>
    <row r="6" spans="1:23" ht="18.75" customHeight="1" thickBot="1">
      <c r="A6" s="254"/>
      <c r="B6" s="255"/>
      <c r="C6" s="255"/>
      <c r="D6" s="255"/>
      <c r="E6" s="255"/>
      <c r="F6" s="255"/>
      <c r="G6" s="219" t="s">
        <v>151</v>
      </c>
      <c r="H6" s="220"/>
      <c r="I6" s="221">
        <v>30.8</v>
      </c>
      <c r="J6" s="270"/>
      <c r="K6" s="217" t="s">
        <v>151</v>
      </c>
      <c r="L6" s="218"/>
      <c r="M6" s="225">
        <v>30.8</v>
      </c>
      <c r="N6" s="226"/>
      <c r="O6" s="219" t="s">
        <v>151</v>
      </c>
      <c r="P6" s="220"/>
      <c r="Q6" s="221">
        <v>30.8</v>
      </c>
      <c r="R6" s="222"/>
      <c r="S6" s="217" t="s">
        <v>151</v>
      </c>
      <c r="T6" s="218"/>
      <c r="U6" s="225">
        <v>30.8</v>
      </c>
      <c r="V6" s="248"/>
    </row>
    <row r="7" spans="1:23" ht="18.75" customHeight="1" thickBot="1">
      <c r="A7" s="239" t="s">
        <v>8</v>
      </c>
      <c r="B7" s="266" t="s">
        <v>183</v>
      </c>
      <c r="C7" s="267"/>
      <c r="D7" s="268"/>
      <c r="E7" s="246" t="s">
        <v>182</v>
      </c>
      <c r="F7" s="247"/>
      <c r="G7" s="219" t="s">
        <v>152</v>
      </c>
      <c r="H7" s="220"/>
      <c r="I7" s="26"/>
      <c r="J7" s="45"/>
      <c r="K7" s="217" t="s">
        <v>152</v>
      </c>
      <c r="L7" s="218"/>
      <c r="M7" s="20"/>
      <c r="N7" s="46"/>
      <c r="O7" s="219" t="s">
        <v>152</v>
      </c>
      <c r="P7" s="220"/>
      <c r="Q7" s="26"/>
      <c r="R7" s="45"/>
      <c r="S7" s="217" t="s">
        <v>152</v>
      </c>
      <c r="T7" s="218"/>
      <c r="U7" s="20"/>
      <c r="V7" s="47"/>
    </row>
    <row r="8" spans="1:23" ht="75" customHeight="1">
      <c r="A8" s="240"/>
      <c r="B8" s="261"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241"/>
      <c r="B9" s="262"/>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256" t="s">
        <v>154</v>
      </c>
      <c r="B41" s="257"/>
      <c r="C41" s="257"/>
      <c r="D41" s="258"/>
      <c r="E41" s="258"/>
      <c r="F41" s="258"/>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263" t="s">
        <v>153</v>
      </c>
      <c r="B42" s="264"/>
      <c r="C42" s="264"/>
      <c r="D42" s="265"/>
      <c r="E42" s="265"/>
      <c r="F42" s="265"/>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19" customWidth="1"/>
    <col min="7" max="7" width="9.42578125" style="119" customWidth="1"/>
    <col min="8" max="8" width="7.7109375" style="119" customWidth="1"/>
    <col min="9" max="10" width="8.5703125" style="119" customWidth="1"/>
    <col min="11" max="11" width="9.42578125" style="119" customWidth="1"/>
    <col min="12" max="12" width="7.7109375" style="119" customWidth="1"/>
    <col min="13" max="14" width="8.5703125" style="119" customWidth="1"/>
    <col min="15" max="15" width="9.42578125" style="119" customWidth="1"/>
    <col min="16" max="16" width="7.7109375" style="119" customWidth="1"/>
    <col min="17" max="18" width="8.5703125" style="119" customWidth="1"/>
    <col min="19" max="19" width="9.42578125" style="119" customWidth="1"/>
    <col min="20" max="20" width="7.7109375" style="119" customWidth="1"/>
    <col min="21" max="22" width="8.7109375" style="119" customWidth="1"/>
    <col min="23" max="16384" width="9.140625" style="119"/>
  </cols>
  <sheetData>
    <row r="1" spans="1:23" ht="22.5" customHeight="1" thickBot="1">
      <c r="A1" s="389" t="s">
        <v>181</v>
      </c>
      <c r="B1" s="390"/>
      <c r="C1" s="390"/>
      <c r="D1" s="391" t="s">
        <v>187</v>
      </c>
      <c r="E1" s="391"/>
      <c r="F1" s="392"/>
      <c r="G1" s="393" t="s">
        <v>3</v>
      </c>
      <c r="H1" s="394"/>
      <c r="I1" s="391" t="s">
        <v>188</v>
      </c>
      <c r="J1" s="391"/>
      <c r="K1" s="391"/>
      <c r="L1" s="391"/>
      <c r="M1" s="391"/>
      <c r="N1" s="392"/>
      <c r="O1" s="216" t="s">
        <v>6</v>
      </c>
      <c r="P1" s="395" t="s">
        <v>109</v>
      </c>
      <c r="Q1" s="396"/>
      <c r="R1" s="216" t="s">
        <v>4</v>
      </c>
      <c r="S1" s="395"/>
      <c r="T1" s="396"/>
      <c r="U1" s="215" t="s">
        <v>5</v>
      </c>
      <c r="V1" s="214"/>
      <c r="W1" s="213"/>
    </row>
    <row r="2" spans="1:23" ht="18.75" customHeight="1">
      <c r="A2" s="383" t="s">
        <v>176</v>
      </c>
      <c r="B2" s="384"/>
      <c r="C2" s="384"/>
      <c r="D2" s="384"/>
      <c r="E2" s="384"/>
      <c r="F2" s="384"/>
      <c r="G2" s="386" t="s">
        <v>142</v>
      </c>
      <c r="H2" s="387"/>
      <c r="I2" s="375">
        <v>5</v>
      </c>
      <c r="J2" s="376"/>
      <c r="K2" s="377" t="s">
        <v>142</v>
      </c>
      <c r="L2" s="378"/>
      <c r="M2" s="379">
        <v>6</v>
      </c>
      <c r="N2" s="388"/>
      <c r="O2" s="386" t="s">
        <v>142</v>
      </c>
      <c r="P2" s="387"/>
      <c r="Q2" s="375">
        <v>7</v>
      </c>
      <c r="R2" s="376"/>
      <c r="S2" s="377" t="s">
        <v>142</v>
      </c>
      <c r="T2" s="378"/>
      <c r="U2" s="379">
        <v>8</v>
      </c>
      <c r="V2" s="380"/>
    </row>
    <row r="3" spans="1:23" ht="18.75" customHeight="1">
      <c r="A3" s="385"/>
      <c r="B3" s="384"/>
      <c r="C3" s="384"/>
      <c r="D3" s="384"/>
      <c r="E3" s="384"/>
      <c r="F3" s="384"/>
      <c r="G3" s="365" t="s">
        <v>143</v>
      </c>
      <c r="H3" s="381"/>
      <c r="I3" s="366">
        <v>1.04</v>
      </c>
      <c r="J3" s="367"/>
      <c r="K3" s="368" t="s">
        <v>143</v>
      </c>
      <c r="L3" s="382"/>
      <c r="M3" s="351">
        <v>0.9</v>
      </c>
      <c r="N3" s="370"/>
      <c r="O3" s="365" t="s">
        <v>143</v>
      </c>
      <c r="P3" s="381"/>
      <c r="Q3" s="366">
        <v>0.89</v>
      </c>
      <c r="R3" s="367"/>
      <c r="S3" s="368" t="s">
        <v>143</v>
      </c>
      <c r="T3" s="382"/>
      <c r="U3" s="351">
        <v>0.86</v>
      </c>
      <c r="V3" s="352"/>
    </row>
    <row r="4" spans="1:23" ht="18.75" customHeight="1">
      <c r="A4" s="385"/>
      <c r="B4" s="384"/>
      <c r="C4" s="384"/>
      <c r="D4" s="384"/>
      <c r="E4" s="384"/>
      <c r="F4" s="384"/>
      <c r="G4" s="365" t="s">
        <v>144</v>
      </c>
      <c r="H4" s="362"/>
      <c r="I4" s="366"/>
      <c r="J4" s="367"/>
      <c r="K4" s="368" t="s">
        <v>144</v>
      </c>
      <c r="L4" s="350"/>
      <c r="M4" s="351"/>
      <c r="N4" s="370"/>
      <c r="O4" s="365" t="s">
        <v>144</v>
      </c>
      <c r="P4" s="362"/>
      <c r="Q4" s="366"/>
      <c r="R4" s="367"/>
      <c r="S4" s="368" t="s">
        <v>144</v>
      </c>
      <c r="T4" s="350"/>
      <c r="U4" s="351"/>
      <c r="V4" s="352"/>
    </row>
    <row r="5" spans="1:23" ht="18.75" customHeight="1">
      <c r="A5" s="371"/>
      <c r="B5" s="372"/>
      <c r="C5" s="372"/>
      <c r="D5" s="372"/>
      <c r="E5" s="372"/>
      <c r="F5" s="372"/>
      <c r="G5" s="365" t="s">
        <v>150</v>
      </c>
      <c r="H5" s="362"/>
      <c r="I5" s="366">
        <v>0.25</v>
      </c>
      <c r="J5" s="367"/>
      <c r="K5" s="368" t="s">
        <v>150</v>
      </c>
      <c r="L5" s="350"/>
      <c r="M5" s="351">
        <v>0.25</v>
      </c>
      <c r="N5" s="370"/>
      <c r="O5" s="365" t="s">
        <v>150</v>
      </c>
      <c r="P5" s="362"/>
      <c r="Q5" s="366">
        <v>0.25</v>
      </c>
      <c r="R5" s="367"/>
      <c r="S5" s="368" t="s">
        <v>150</v>
      </c>
      <c r="T5" s="350"/>
      <c r="U5" s="351">
        <v>0.25</v>
      </c>
      <c r="V5" s="352"/>
    </row>
    <row r="6" spans="1:23" ht="18.75" customHeight="1" thickBot="1">
      <c r="A6" s="373"/>
      <c r="B6" s="374"/>
      <c r="C6" s="374"/>
      <c r="D6" s="374"/>
      <c r="E6" s="374"/>
      <c r="F6" s="374"/>
      <c r="G6" s="361" t="s">
        <v>151</v>
      </c>
      <c r="H6" s="362"/>
      <c r="I6" s="366">
        <v>30.8</v>
      </c>
      <c r="J6" s="369"/>
      <c r="K6" s="349" t="s">
        <v>151</v>
      </c>
      <c r="L6" s="350"/>
      <c r="M6" s="351">
        <v>30.8</v>
      </c>
      <c r="N6" s="370"/>
      <c r="O6" s="361" t="s">
        <v>151</v>
      </c>
      <c r="P6" s="362"/>
      <c r="Q6" s="366">
        <v>30.8</v>
      </c>
      <c r="R6" s="367"/>
      <c r="S6" s="349" t="s">
        <v>151</v>
      </c>
      <c r="T6" s="350"/>
      <c r="U6" s="351">
        <v>30.8</v>
      </c>
      <c r="V6" s="352"/>
    </row>
    <row r="7" spans="1:23" ht="18.75" customHeight="1" thickBot="1">
      <c r="A7" s="353" t="s">
        <v>8</v>
      </c>
      <c r="B7" s="356" t="s">
        <v>183</v>
      </c>
      <c r="C7" s="357"/>
      <c r="D7" s="358"/>
      <c r="E7" s="359" t="s">
        <v>182</v>
      </c>
      <c r="F7" s="360"/>
      <c r="G7" s="361" t="s">
        <v>152</v>
      </c>
      <c r="H7" s="362"/>
      <c r="I7" s="211"/>
      <c r="J7" s="210"/>
      <c r="K7" s="349" t="s">
        <v>152</v>
      </c>
      <c r="L7" s="350"/>
      <c r="M7" s="209"/>
      <c r="N7" s="212"/>
      <c r="O7" s="361" t="s">
        <v>152</v>
      </c>
      <c r="P7" s="362"/>
      <c r="Q7" s="211"/>
      <c r="R7" s="210"/>
      <c r="S7" s="349" t="s">
        <v>152</v>
      </c>
      <c r="T7" s="350"/>
      <c r="U7" s="209"/>
      <c r="V7" s="208"/>
    </row>
    <row r="8" spans="1:23" ht="75" customHeight="1">
      <c r="A8" s="354"/>
      <c r="B8" s="363" t="s">
        <v>138</v>
      </c>
      <c r="C8" s="207" t="s">
        <v>2</v>
      </c>
      <c r="D8" s="206" t="s">
        <v>139</v>
      </c>
      <c r="E8" s="205" t="s">
        <v>184</v>
      </c>
      <c r="F8" s="204" t="s">
        <v>185</v>
      </c>
      <c r="G8" s="202" t="s">
        <v>145</v>
      </c>
      <c r="H8" s="201" t="s">
        <v>177</v>
      </c>
      <c r="I8" s="201" t="s">
        <v>147</v>
      </c>
      <c r="J8" s="200" t="s">
        <v>149</v>
      </c>
      <c r="K8" s="199" t="s">
        <v>145</v>
      </c>
      <c r="L8" s="198" t="s">
        <v>175</v>
      </c>
      <c r="M8" s="198" t="s">
        <v>147</v>
      </c>
      <c r="N8" s="203" t="s">
        <v>149</v>
      </c>
      <c r="O8" s="202" t="s">
        <v>145</v>
      </c>
      <c r="P8" s="201" t="s">
        <v>177</v>
      </c>
      <c r="Q8" s="201" t="s">
        <v>147</v>
      </c>
      <c r="R8" s="200" t="s">
        <v>149</v>
      </c>
      <c r="S8" s="199" t="s">
        <v>145</v>
      </c>
      <c r="T8" s="198" t="s">
        <v>177</v>
      </c>
      <c r="U8" s="198" t="s">
        <v>147</v>
      </c>
      <c r="V8" s="197" t="s">
        <v>149</v>
      </c>
    </row>
    <row r="9" spans="1:23" ht="15.75" customHeight="1" thickBot="1">
      <c r="A9" s="355"/>
      <c r="B9" s="364"/>
      <c r="C9" s="196" t="s">
        <v>141</v>
      </c>
      <c r="D9" s="195" t="s">
        <v>140</v>
      </c>
      <c r="E9" s="194" t="s">
        <v>137</v>
      </c>
      <c r="F9" s="193" t="s">
        <v>137</v>
      </c>
      <c r="G9" s="191" t="s">
        <v>148</v>
      </c>
      <c r="H9" s="190" t="s">
        <v>146</v>
      </c>
      <c r="I9" s="190" t="s">
        <v>140</v>
      </c>
      <c r="J9" s="189" t="s">
        <v>140</v>
      </c>
      <c r="K9" s="188" t="s">
        <v>148</v>
      </c>
      <c r="L9" s="187" t="s">
        <v>146</v>
      </c>
      <c r="M9" s="187" t="s">
        <v>140</v>
      </c>
      <c r="N9" s="192" t="s">
        <v>140</v>
      </c>
      <c r="O9" s="191" t="s">
        <v>148</v>
      </c>
      <c r="P9" s="190" t="s">
        <v>146</v>
      </c>
      <c r="Q9" s="190" t="s">
        <v>140</v>
      </c>
      <c r="R9" s="189" t="s">
        <v>140</v>
      </c>
      <c r="S9" s="188" t="s">
        <v>148</v>
      </c>
      <c r="T9" s="187" t="s">
        <v>146</v>
      </c>
      <c r="U9" s="186" t="s">
        <v>140</v>
      </c>
      <c r="V9" s="185" t="s">
        <v>140</v>
      </c>
    </row>
    <row r="10" spans="1:23" ht="15" customHeight="1">
      <c r="A10" s="158">
        <v>1</v>
      </c>
      <c r="B10" s="157"/>
      <c r="C10" s="150"/>
      <c r="D10" s="184"/>
      <c r="E10" s="183"/>
      <c r="F10" s="182"/>
      <c r="G10" s="178"/>
      <c r="H10" s="177"/>
      <c r="I10" s="176" t="str">
        <f t="shared" ref="I10:I40" si="0">IF((ISBLANK($G10))," ",($G10)/($I$3*27152))</f>
        <v xml:space="preserve"> </v>
      </c>
      <c r="J10" s="175" t="str">
        <f t="shared" ref="J10:J40" si="1">IF((ISBLANK(H10)), " ", IF(H10&lt;60, I10, (I10/H10)*60))</f>
        <v xml:space="preserve"> </v>
      </c>
      <c r="K10" s="181"/>
      <c r="L10" s="180"/>
      <c r="M10" s="172" t="str">
        <f t="shared" ref="M10:M40" si="2">IF((ISBLANK($K10))," ",($K10)/($M$3*27152))</f>
        <v xml:space="preserve"> </v>
      </c>
      <c r="N10" s="179" t="str">
        <f t="shared" ref="N10:N40" si="3">IF((ISBLANK(L10)), " ", IF(L10&lt;60, M10, (M10/L10)*60))</f>
        <v xml:space="preserve"> </v>
      </c>
      <c r="O10" s="178"/>
      <c r="P10" s="177"/>
      <c r="Q10" s="176" t="str">
        <f t="shared" ref="Q10:Q40" si="4">IF((ISBLANK($O10))," ",($O10)/($Q$3*27152))</f>
        <v xml:space="preserve"> </v>
      </c>
      <c r="R10" s="175" t="str">
        <f t="shared" ref="R10:R40" si="5">IF((ISBLANK(P10)), " ", IF(P10&lt;60, Q10, (Q10/P10)*60))</f>
        <v xml:space="preserve"> </v>
      </c>
      <c r="S10" s="174"/>
      <c r="T10" s="173"/>
      <c r="U10" s="172" t="str">
        <f t="shared" ref="U10:U40" si="6">IF((ISBLANK($S10))," ",($S10)/($U$3*27152))</f>
        <v xml:space="preserve"> </v>
      </c>
      <c r="V10" s="171" t="str">
        <f t="shared" ref="V10:V40" si="7">IF((ISBLANK(T10)), " ", IF(T10&lt;60, U10, (U10/T10)*60))</f>
        <v xml:space="preserve"> </v>
      </c>
    </row>
    <row r="11" spans="1:23" ht="15" customHeight="1">
      <c r="A11" s="158">
        <v>2</v>
      </c>
      <c r="B11" s="157"/>
      <c r="C11" s="166"/>
      <c r="D11" s="170"/>
      <c r="E11" s="169"/>
      <c r="F11" s="168"/>
      <c r="G11" s="164"/>
      <c r="H11" s="163"/>
      <c r="I11" s="145" t="str">
        <f t="shared" si="0"/>
        <v xml:space="preserve"> </v>
      </c>
      <c r="J11" s="162" t="str">
        <f t="shared" si="1"/>
        <v xml:space="preserve"> </v>
      </c>
      <c r="K11" s="167"/>
      <c r="L11" s="166"/>
      <c r="M11" s="141" t="str">
        <f t="shared" si="2"/>
        <v xml:space="preserve"> </v>
      </c>
      <c r="N11" s="165" t="str">
        <f t="shared" si="3"/>
        <v xml:space="preserve"> </v>
      </c>
      <c r="O11" s="164"/>
      <c r="P11" s="163"/>
      <c r="Q11" s="145" t="str">
        <f t="shared" si="4"/>
        <v xml:space="preserve"> </v>
      </c>
      <c r="R11" s="162" t="str">
        <f t="shared" si="5"/>
        <v xml:space="preserve"> </v>
      </c>
      <c r="S11" s="161"/>
      <c r="T11" s="160"/>
      <c r="U11" s="141" t="str">
        <f t="shared" si="6"/>
        <v xml:space="preserve"> </v>
      </c>
      <c r="V11" s="159" t="str">
        <f t="shared" si="7"/>
        <v xml:space="preserve"> </v>
      </c>
    </row>
    <row r="12" spans="1:23" ht="15" customHeight="1">
      <c r="A12" s="158">
        <v>3</v>
      </c>
      <c r="B12" s="157"/>
      <c r="C12" s="166"/>
      <c r="D12" s="170"/>
      <c r="E12" s="169"/>
      <c r="F12" s="168"/>
      <c r="G12" s="164"/>
      <c r="H12" s="163"/>
      <c r="I12" s="145" t="str">
        <f t="shared" si="0"/>
        <v xml:space="preserve"> </v>
      </c>
      <c r="J12" s="162" t="str">
        <f t="shared" si="1"/>
        <v xml:space="preserve"> </v>
      </c>
      <c r="K12" s="167"/>
      <c r="L12" s="166"/>
      <c r="M12" s="141" t="str">
        <f t="shared" si="2"/>
        <v xml:space="preserve"> </v>
      </c>
      <c r="N12" s="165" t="str">
        <f t="shared" si="3"/>
        <v xml:space="preserve"> </v>
      </c>
      <c r="O12" s="164"/>
      <c r="P12" s="163"/>
      <c r="Q12" s="145" t="str">
        <f t="shared" si="4"/>
        <v xml:space="preserve"> </v>
      </c>
      <c r="R12" s="162" t="str">
        <f t="shared" si="5"/>
        <v xml:space="preserve"> </v>
      </c>
      <c r="S12" s="161"/>
      <c r="T12" s="160"/>
      <c r="U12" s="141" t="str">
        <f t="shared" si="6"/>
        <v xml:space="preserve"> </v>
      </c>
      <c r="V12" s="159" t="str">
        <f t="shared" si="7"/>
        <v xml:space="preserve"> </v>
      </c>
    </row>
    <row r="13" spans="1:23" ht="15" customHeight="1">
      <c r="A13" s="158">
        <v>4</v>
      </c>
      <c r="B13" s="157"/>
      <c r="C13" s="166"/>
      <c r="D13" s="170"/>
      <c r="E13" s="169"/>
      <c r="F13" s="168"/>
      <c r="G13" s="164"/>
      <c r="H13" s="163"/>
      <c r="I13" s="145" t="str">
        <f t="shared" si="0"/>
        <v xml:space="preserve"> </v>
      </c>
      <c r="J13" s="162" t="str">
        <f t="shared" si="1"/>
        <v xml:space="preserve"> </v>
      </c>
      <c r="K13" s="167"/>
      <c r="L13" s="166"/>
      <c r="M13" s="141" t="str">
        <f t="shared" si="2"/>
        <v xml:space="preserve"> </v>
      </c>
      <c r="N13" s="165" t="str">
        <f t="shared" si="3"/>
        <v xml:space="preserve"> </v>
      </c>
      <c r="O13" s="164"/>
      <c r="P13" s="163"/>
      <c r="Q13" s="145" t="str">
        <f t="shared" si="4"/>
        <v xml:space="preserve"> </v>
      </c>
      <c r="R13" s="162" t="str">
        <f t="shared" si="5"/>
        <v xml:space="preserve"> </v>
      </c>
      <c r="S13" s="161"/>
      <c r="T13" s="160"/>
      <c r="U13" s="141" t="str">
        <f t="shared" si="6"/>
        <v xml:space="preserve"> </v>
      </c>
      <c r="V13" s="159" t="str">
        <f t="shared" si="7"/>
        <v xml:space="preserve"> </v>
      </c>
    </row>
    <row r="14" spans="1:23" ht="15" customHeight="1">
      <c r="A14" s="158">
        <v>5</v>
      </c>
      <c r="B14" s="157"/>
      <c r="C14" s="166"/>
      <c r="D14" s="170"/>
      <c r="E14" s="169"/>
      <c r="F14" s="168"/>
      <c r="G14" s="164"/>
      <c r="H14" s="163"/>
      <c r="I14" s="145" t="str">
        <f t="shared" si="0"/>
        <v xml:space="preserve"> </v>
      </c>
      <c r="J14" s="162" t="str">
        <f t="shared" si="1"/>
        <v xml:space="preserve"> </v>
      </c>
      <c r="K14" s="167"/>
      <c r="L14" s="166"/>
      <c r="M14" s="141" t="str">
        <f t="shared" si="2"/>
        <v xml:space="preserve"> </v>
      </c>
      <c r="N14" s="165" t="str">
        <f t="shared" si="3"/>
        <v xml:space="preserve"> </v>
      </c>
      <c r="O14" s="164"/>
      <c r="P14" s="163"/>
      <c r="Q14" s="145" t="str">
        <f t="shared" si="4"/>
        <v xml:space="preserve"> </v>
      </c>
      <c r="R14" s="162" t="str">
        <f t="shared" si="5"/>
        <v xml:space="preserve"> </v>
      </c>
      <c r="S14" s="161"/>
      <c r="T14" s="160"/>
      <c r="U14" s="141" t="str">
        <f t="shared" si="6"/>
        <v xml:space="preserve"> </v>
      </c>
      <c r="V14" s="159" t="str">
        <f t="shared" si="7"/>
        <v xml:space="preserve"> </v>
      </c>
    </row>
    <row r="15" spans="1:23" ht="15" customHeight="1">
      <c r="A15" s="158">
        <v>6</v>
      </c>
      <c r="B15" s="157"/>
      <c r="C15" s="166"/>
      <c r="D15" s="170"/>
      <c r="E15" s="169"/>
      <c r="F15" s="168"/>
      <c r="G15" s="164"/>
      <c r="H15" s="163"/>
      <c r="I15" s="145" t="str">
        <f t="shared" si="0"/>
        <v xml:space="preserve"> </v>
      </c>
      <c r="J15" s="162" t="str">
        <f t="shared" si="1"/>
        <v xml:space="preserve"> </v>
      </c>
      <c r="K15" s="167"/>
      <c r="L15" s="166"/>
      <c r="M15" s="141" t="str">
        <f t="shared" si="2"/>
        <v xml:space="preserve"> </v>
      </c>
      <c r="N15" s="165" t="str">
        <f t="shared" si="3"/>
        <v xml:space="preserve"> </v>
      </c>
      <c r="O15" s="164"/>
      <c r="P15" s="163"/>
      <c r="Q15" s="145" t="str">
        <f t="shared" si="4"/>
        <v xml:space="preserve"> </v>
      </c>
      <c r="R15" s="162" t="str">
        <f t="shared" si="5"/>
        <v xml:space="preserve"> </v>
      </c>
      <c r="S15" s="161"/>
      <c r="T15" s="160"/>
      <c r="U15" s="141" t="str">
        <f t="shared" si="6"/>
        <v xml:space="preserve"> </v>
      </c>
      <c r="V15" s="159" t="str">
        <f t="shared" si="7"/>
        <v xml:space="preserve"> </v>
      </c>
    </row>
    <row r="16" spans="1:23" ht="15" customHeight="1">
      <c r="A16" s="158">
        <v>7</v>
      </c>
      <c r="B16" s="157"/>
      <c r="C16" s="166"/>
      <c r="D16" s="170"/>
      <c r="E16" s="169"/>
      <c r="F16" s="168"/>
      <c r="G16" s="164"/>
      <c r="H16" s="163"/>
      <c r="I16" s="145" t="str">
        <f t="shared" si="0"/>
        <v xml:space="preserve"> </v>
      </c>
      <c r="J16" s="162" t="str">
        <f t="shared" si="1"/>
        <v xml:space="preserve"> </v>
      </c>
      <c r="K16" s="167"/>
      <c r="L16" s="166"/>
      <c r="M16" s="141" t="str">
        <f t="shared" si="2"/>
        <v xml:space="preserve"> </v>
      </c>
      <c r="N16" s="165" t="str">
        <f t="shared" si="3"/>
        <v xml:space="preserve"> </v>
      </c>
      <c r="O16" s="164"/>
      <c r="P16" s="163"/>
      <c r="Q16" s="145" t="str">
        <f t="shared" si="4"/>
        <v xml:space="preserve"> </v>
      </c>
      <c r="R16" s="162" t="str">
        <f t="shared" si="5"/>
        <v xml:space="preserve"> </v>
      </c>
      <c r="S16" s="161"/>
      <c r="T16" s="160"/>
      <c r="U16" s="141" t="str">
        <f t="shared" si="6"/>
        <v xml:space="preserve"> </v>
      </c>
      <c r="V16" s="159" t="str">
        <f t="shared" si="7"/>
        <v xml:space="preserve"> </v>
      </c>
    </row>
    <row r="17" spans="1:22" ht="15" customHeight="1">
      <c r="A17" s="158">
        <v>8</v>
      </c>
      <c r="B17" s="157"/>
      <c r="C17" s="166"/>
      <c r="D17" s="170"/>
      <c r="E17" s="169"/>
      <c r="F17" s="168"/>
      <c r="G17" s="164"/>
      <c r="H17" s="163"/>
      <c r="I17" s="152" t="str">
        <f t="shared" si="0"/>
        <v xml:space="preserve"> </v>
      </c>
      <c r="J17" s="162" t="str">
        <f t="shared" si="1"/>
        <v xml:space="preserve"> </v>
      </c>
      <c r="K17" s="167"/>
      <c r="L17" s="166"/>
      <c r="M17" s="141" t="str">
        <f t="shared" si="2"/>
        <v xml:space="preserve"> </v>
      </c>
      <c r="N17" s="165" t="str">
        <f t="shared" si="3"/>
        <v xml:space="preserve"> </v>
      </c>
      <c r="O17" s="164"/>
      <c r="P17" s="163"/>
      <c r="Q17" s="145" t="str">
        <f t="shared" si="4"/>
        <v xml:space="preserve"> </v>
      </c>
      <c r="R17" s="162" t="str">
        <f t="shared" si="5"/>
        <v xml:space="preserve"> </v>
      </c>
      <c r="S17" s="161"/>
      <c r="T17" s="160"/>
      <c r="U17" s="141" t="str">
        <f t="shared" si="6"/>
        <v xml:space="preserve"> </v>
      </c>
      <c r="V17" s="159" t="str">
        <f t="shared" si="7"/>
        <v xml:space="preserve"> </v>
      </c>
    </row>
    <row r="18" spans="1:22" ht="15" customHeight="1">
      <c r="A18" s="158">
        <v>9</v>
      </c>
      <c r="B18" s="157"/>
      <c r="C18" s="166"/>
      <c r="D18" s="170"/>
      <c r="E18" s="169"/>
      <c r="F18" s="168"/>
      <c r="G18" s="164"/>
      <c r="H18" s="163"/>
      <c r="I18" s="152" t="str">
        <f t="shared" si="0"/>
        <v xml:space="preserve"> </v>
      </c>
      <c r="J18" s="162" t="str">
        <f t="shared" si="1"/>
        <v xml:space="preserve"> </v>
      </c>
      <c r="K18" s="167"/>
      <c r="L18" s="166"/>
      <c r="M18" s="141" t="str">
        <f t="shared" si="2"/>
        <v xml:space="preserve"> </v>
      </c>
      <c r="N18" s="165" t="str">
        <f t="shared" si="3"/>
        <v xml:space="preserve"> </v>
      </c>
      <c r="O18" s="164"/>
      <c r="P18" s="163"/>
      <c r="Q18" s="145" t="str">
        <f t="shared" si="4"/>
        <v xml:space="preserve"> </v>
      </c>
      <c r="R18" s="162" t="str">
        <f t="shared" si="5"/>
        <v xml:space="preserve"> </v>
      </c>
      <c r="S18" s="161"/>
      <c r="T18" s="160"/>
      <c r="U18" s="141" t="str">
        <f t="shared" si="6"/>
        <v xml:space="preserve"> </v>
      </c>
      <c r="V18" s="159" t="str">
        <f t="shared" si="7"/>
        <v xml:space="preserve"> </v>
      </c>
    </row>
    <row r="19" spans="1:22" ht="15" customHeight="1">
      <c r="A19" s="158">
        <v>10</v>
      </c>
      <c r="B19" s="157"/>
      <c r="C19" s="166"/>
      <c r="D19" s="170"/>
      <c r="E19" s="169"/>
      <c r="F19" s="168"/>
      <c r="G19" s="164"/>
      <c r="H19" s="163"/>
      <c r="I19" s="152" t="str">
        <f t="shared" si="0"/>
        <v xml:space="preserve"> </v>
      </c>
      <c r="J19" s="162" t="str">
        <f t="shared" si="1"/>
        <v xml:space="preserve"> </v>
      </c>
      <c r="K19" s="167"/>
      <c r="L19" s="166"/>
      <c r="M19" s="141" t="str">
        <f t="shared" si="2"/>
        <v xml:space="preserve"> </v>
      </c>
      <c r="N19" s="165" t="str">
        <f t="shared" si="3"/>
        <v xml:space="preserve"> </v>
      </c>
      <c r="O19" s="164"/>
      <c r="P19" s="163"/>
      <c r="Q19" s="145" t="str">
        <f t="shared" si="4"/>
        <v xml:space="preserve"> </v>
      </c>
      <c r="R19" s="162" t="str">
        <f t="shared" si="5"/>
        <v xml:space="preserve"> </v>
      </c>
      <c r="S19" s="161"/>
      <c r="T19" s="160"/>
      <c r="U19" s="141" t="str">
        <f t="shared" si="6"/>
        <v xml:space="preserve"> </v>
      </c>
      <c r="V19" s="159" t="str">
        <f t="shared" si="7"/>
        <v xml:space="preserve"> </v>
      </c>
    </row>
    <row r="20" spans="1:22" ht="15" customHeight="1">
      <c r="A20" s="158">
        <v>11</v>
      </c>
      <c r="B20" s="157"/>
      <c r="C20" s="166"/>
      <c r="D20" s="170"/>
      <c r="E20" s="169"/>
      <c r="F20" s="168"/>
      <c r="G20" s="164"/>
      <c r="H20" s="163"/>
      <c r="I20" s="152" t="str">
        <f t="shared" si="0"/>
        <v xml:space="preserve"> </v>
      </c>
      <c r="J20" s="162" t="str">
        <f t="shared" si="1"/>
        <v xml:space="preserve"> </v>
      </c>
      <c r="K20" s="167"/>
      <c r="L20" s="166"/>
      <c r="M20" s="141" t="str">
        <f t="shared" si="2"/>
        <v xml:space="preserve"> </v>
      </c>
      <c r="N20" s="165" t="str">
        <f t="shared" si="3"/>
        <v xml:space="preserve"> </v>
      </c>
      <c r="O20" s="164"/>
      <c r="P20" s="163"/>
      <c r="Q20" s="145" t="str">
        <f t="shared" si="4"/>
        <v xml:space="preserve"> </v>
      </c>
      <c r="R20" s="162" t="str">
        <f t="shared" si="5"/>
        <v xml:space="preserve"> </v>
      </c>
      <c r="S20" s="161"/>
      <c r="T20" s="160"/>
      <c r="U20" s="141" t="str">
        <f t="shared" si="6"/>
        <v xml:space="preserve"> </v>
      </c>
      <c r="V20" s="159" t="str">
        <f t="shared" si="7"/>
        <v xml:space="preserve"> </v>
      </c>
    </row>
    <row r="21" spans="1:22" ht="15" customHeight="1">
      <c r="A21" s="158">
        <v>12</v>
      </c>
      <c r="B21" s="157"/>
      <c r="C21" s="166"/>
      <c r="D21" s="170"/>
      <c r="E21" s="169"/>
      <c r="F21" s="168"/>
      <c r="G21" s="164"/>
      <c r="H21" s="163"/>
      <c r="I21" s="152" t="str">
        <f t="shared" si="0"/>
        <v xml:space="preserve"> </v>
      </c>
      <c r="J21" s="162" t="str">
        <f t="shared" si="1"/>
        <v xml:space="preserve"> </v>
      </c>
      <c r="K21" s="167"/>
      <c r="L21" s="166"/>
      <c r="M21" s="141" t="str">
        <f t="shared" si="2"/>
        <v xml:space="preserve"> </v>
      </c>
      <c r="N21" s="165" t="str">
        <f t="shared" si="3"/>
        <v xml:space="preserve"> </v>
      </c>
      <c r="O21" s="164"/>
      <c r="P21" s="163"/>
      <c r="Q21" s="145" t="str">
        <f t="shared" si="4"/>
        <v xml:space="preserve"> </v>
      </c>
      <c r="R21" s="162" t="str">
        <f t="shared" si="5"/>
        <v xml:space="preserve"> </v>
      </c>
      <c r="S21" s="161"/>
      <c r="T21" s="160"/>
      <c r="U21" s="141" t="str">
        <f t="shared" si="6"/>
        <v xml:space="preserve"> </v>
      </c>
      <c r="V21" s="159" t="str">
        <f t="shared" si="7"/>
        <v xml:space="preserve"> </v>
      </c>
    </row>
    <row r="22" spans="1:22" ht="15" customHeight="1">
      <c r="A22" s="158">
        <v>13</v>
      </c>
      <c r="B22" s="157"/>
      <c r="C22" s="166"/>
      <c r="D22" s="170"/>
      <c r="E22" s="169"/>
      <c r="F22" s="168"/>
      <c r="G22" s="164"/>
      <c r="H22" s="163"/>
      <c r="I22" s="152" t="str">
        <f t="shared" si="0"/>
        <v xml:space="preserve"> </v>
      </c>
      <c r="J22" s="162" t="str">
        <f t="shared" si="1"/>
        <v xml:space="preserve"> </v>
      </c>
      <c r="K22" s="167"/>
      <c r="L22" s="166"/>
      <c r="M22" s="141" t="str">
        <f t="shared" si="2"/>
        <v xml:space="preserve"> </v>
      </c>
      <c r="N22" s="165" t="str">
        <f t="shared" si="3"/>
        <v xml:space="preserve"> </v>
      </c>
      <c r="O22" s="164"/>
      <c r="P22" s="163"/>
      <c r="Q22" s="145" t="str">
        <f t="shared" si="4"/>
        <v xml:space="preserve"> </v>
      </c>
      <c r="R22" s="162" t="str">
        <f t="shared" si="5"/>
        <v xml:space="preserve"> </v>
      </c>
      <c r="S22" s="161"/>
      <c r="T22" s="160"/>
      <c r="U22" s="141" t="str">
        <f t="shared" si="6"/>
        <v xml:space="preserve"> </v>
      </c>
      <c r="V22" s="159" t="str">
        <f t="shared" si="7"/>
        <v xml:space="preserve"> </v>
      </c>
    </row>
    <row r="23" spans="1:22" ht="15" customHeight="1">
      <c r="A23" s="158">
        <v>14</v>
      </c>
      <c r="B23" s="157"/>
      <c r="C23" s="166"/>
      <c r="D23" s="170"/>
      <c r="E23" s="169"/>
      <c r="F23" s="168"/>
      <c r="G23" s="164"/>
      <c r="H23" s="163"/>
      <c r="I23" s="152" t="str">
        <f t="shared" si="0"/>
        <v xml:space="preserve"> </v>
      </c>
      <c r="J23" s="162" t="str">
        <f t="shared" si="1"/>
        <v xml:space="preserve"> </v>
      </c>
      <c r="K23" s="167"/>
      <c r="L23" s="166"/>
      <c r="M23" s="141" t="str">
        <f t="shared" si="2"/>
        <v xml:space="preserve"> </v>
      </c>
      <c r="N23" s="165" t="str">
        <f t="shared" si="3"/>
        <v xml:space="preserve"> </v>
      </c>
      <c r="O23" s="164"/>
      <c r="P23" s="163"/>
      <c r="Q23" s="145" t="str">
        <f t="shared" si="4"/>
        <v xml:space="preserve"> </v>
      </c>
      <c r="R23" s="162" t="str">
        <f t="shared" si="5"/>
        <v xml:space="preserve"> </v>
      </c>
      <c r="S23" s="161"/>
      <c r="T23" s="160"/>
      <c r="U23" s="141" t="str">
        <f t="shared" si="6"/>
        <v xml:space="preserve"> </v>
      </c>
      <c r="V23" s="159" t="str">
        <f t="shared" si="7"/>
        <v xml:space="preserve"> </v>
      </c>
    </row>
    <row r="24" spans="1:22" ht="15" customHeight="1">
      <c r="A24" s="158">
        <v>15</v>
      </c>
      <c r="B24" s="157"/>
      <c r="C24" s="166"/>
      <c r="D24" s="170"/>
      <c r="E24" s="169"/>
      <c r="F24" s="168"/>
      <c r="G24" s="164"/>
      <c r="H24" s="163"/>
      <c r="I24" s="152" t="str">
        <f t="shared" si="0"/>
        <v xml:space="preserve"> </v>
      </c>
      <c r="J24" s="162" t="str">
        <f t="shared" si="1"/>
        <v xml:space="preserve"> </v>
      </c>
      <c r="K24" s="167"/>
      <c r="L24" s="166"/>
      <c r="M24" s="141" t="str">
        <f t="shared" si="2"/>
        <v xml:space="preserve"> </v>
      </c>
      <c r="N24" s="165" t="str">
        <f t="shared" si="3"/>
        <v xml:space="preserve"> </v>
      </c>
      <c r="O24" s="164"/>
      <c r="P24" s="163"/>
      <c r="Q24" s="145" t="str">
        <f t="shared" si="4"/>
        <v xml:space="preserve"> </v>
      </c>
      <c r="R24" s="162" t="str">
        <f t="shared" si="5"/>
        <v xml:space="preserve"> </v>
      </c>
      <c r="S24" s="161"/>
      <c r="T24" s="160"/>
      <c r="U24" s="141" t="str">
        <f t="shared" si="6"/>
        <v xml:space="preserve"> </v>
      </c>
      <c r="V24" s="159" t="str">
        <f t="shared" si="7"/>
        <v xml:space="preserve"> </v>
      </c>
    </row>
    <row r="25" spans="1:22" ht="15" customHeight="1">
      <c r="A25" s="158">
        <v>16</v>
      </c>
      <c r="B25" s="157"/>
      <c r="C25" s="166"/>
      <c r="D25" s="170"/>
      <c r="E25" s="169"/>
      <c r="F25" s="168"/>
      <c r="G25" s="164"/>
      <c r="H25" s="163"/>
      <c r="I25" s="152" t="str">
        <f t="shared" si="0"/>
        <v xml:space="preserve"> </v>
      </c>
      <c r="J25" s="162" t="str">
        <f t="shared" si="1"/>
        <v xml:space="preserve"> </v>
      </c>
      <c r="K25" s="167"/>
      <c r="L25" s="166"/>
      <c r="M25" s="141" t="str">
        <f t="shared" si="2"/>
        <v xml:space="preserve"> </v>
      </c>
      <c r="N25" s="165" t="str">
        <f t="shared" si="3"/>
        <v xml:space="preserve"> </v>
      </c>
      <c r="O25" s="164"/>
      <c r="P25" s="163"/>
      <c r="Q25" s="145" t="str">
        <f t="shared" si="4"/>
        <v xml:space="preserve"> </v>
      </c>
      <c r="R25" s="162" t="str">
        <f t="shared" si="5"/>
        <v xml:space="preserve"> </v>
      </c>
      <c r="S25" s="161"/>
      <c r="T25" s="160"/>
      <c r="U25" s="141" t="str">
        <f t="shared" si="6"/>
        <v xml:space="preserve"> </v>
      </c>
      <c r="V25" s="159" t="str">
        <f t="shared" si="7"/>
        <v xml:space="preserve"> </v>
      </c>
    </row>
    <row r="26" spans="1:22" ht="15" customHeight="1">
      <c r="A26" s="158">
        <v>17</v>
      </c>
      <c r="B26" s="157"/>
      <c r="C26" s="166"/>
      <c r="D26" s="170"/>
      <c r="E26" s="169"/>
      <c r="F26" s="168"/>
      <c r="G26" s="164"/>
      <c r="H26" s="163"/>
      <c r="I26" s="152" t="str">
        <f t="shared" si="0"/>
        <v xml:space="preserve"> </v>
      </c>
      <c r="J26" s="162" t="str">
        <f t="shared" si="1"/>
        <v xml:space="preserve"> </v>
      </c>
      <c r="K26" s="167"/>
      <c r="L26" s="166"/>
      <c r="M26" s="141" t="str">
        <f t="shared" si="2"/>
        <v xml:space="preserve"> </v>
      </c>
      <c r="N26" s="165" t="str">
        <f t="shared" si="3"/>
        <v xml:space="preserve"> </v>
      </c>
      <c r="O26" s="164"/>
      <c r="P26" s="163"/>
      <c r="Q26" s="145" t="str">
        <f t="shared" si="4"/>
        <v xml:space="preserve"> </v>
      </c>
      <c r="R26" s="162" t="str">
        <f t="shared" si="5"/>
        <v xml:space="preserve"> </v>
      </c>
      <c r="S26" s="161"/>
      <c r="T26" s="160"/>
      <c r="U26" s="141" t="str">
        <f t="shared" si="6"/>
        <v xml:space="preserve"> </v>
      </c>
      <c r="V26" s="159" t="str">
        <f t="shared" si="7"/>
        <v xml:space="preserve"> </v>
      </c>
    </row>
    <row r="27" spans="1:22" ht="15" customHeight="1">
      <c r="A27" s="158">
        <v>18</v>
      </c>
      <c r="B27" s="157"/>
      <c r="C27" s="166"/>
      <c r="D27" s="170"/>
      <c r="E27" s="169"/>
      <c r="F27" s="168"/>
      <c r="G27" s="164"/>
      <c r="H27" s="163"/>
      <c r="I27" s="152" t="str">
        <f t="shared" si="0"/>
        <v xml:space="preserve"> </v>
      </c>
      <c r="J27" s="162" t="str">
        <f t="shared" si="1"/>
        <v xml:space="preserve"> </v>
      </c>
      <c r="K27" s="167"/>
      <c r="L27" s="166"/>
      <c r="M27" s="141" t="str">
        <f t="shared" si="2"/>
        <v xml:space="preserve"> </v>
      </c>
      <c r="N27" s="165" t="str">
        <f t="shared" si="3"/>
        <v xml:space="preserve"> </v>
      </c>
      <c r="O27" s="164"/>
      <c r="P27" s="163"/>
      <c r="Q27" s="145" t="str">
        <f t="shared" si="4"/>
        <v xml:space="preserve"> </v>
      </c>
      <c r="R27" s="162" t="str">
        <f t="shared" si="5"/>
        <v xml:space="preserve"> </v>
      </c>
      <c r="S27" s="161"/>
      <c r="T27" s="160"/>
      <c r="U27" s="141" t="str">
        <f t="shared" si="6"/>
        <v xml:space="preserve"> </v>
      </c>
      <c r="V27" s="159" t="str">
        <f t="shared" si="7"/>
        <v xml:space="preserve"> </v>
      </c>
    </row>
    <row r="28" spans="1:22" ht="15" customHeight="1">
      <c r="A28" s="158">
        <v>19</v>
      </c>
      <c r="B28" s="157"/>
      <c r="C28" s="166"/>
      <c r="D28" s="170"/>
      <c r="E28" s="169"/>
      <c r="F28" s="168"/>
      <c r="G28" s="164"/>
      <c r="H28" s="163"/>
      <c r="I28" s="152" t="str">
        <f t="shared" si="0"/>
        <v xml:space="preserve"> </v>
      </c>
      <c r="J28" s="162" t="str">
        <f t="shared" si="1"/>
        <v xml:space="preserve"> </v>
      </c>
      <c r="K28" s="167"/>
      <c r="L28" s="166"/>
      <c r="M28" s="141" t="str">
        <f t="shared" si="2"/>
        <v xml:space="preserve"> </v>
      </c>
      <c r="N28" s="165" t="str">
        <f t="shared" si="3"/>
        <v xml:space="preserve"> </v>
      </c>
      <c r="O28" s="164"/>
      <c r="P28" s="163"/>
      <c r="Q28" s="145" t="str">
        <f t="shared" si="4"/>
        <v xml:space="preserve"> </v>
      </c>
      <c r="R28" s="162" t="str">
        <f t="shared" si="5"/>
        <v xml:space="preserve"> </v>
      </c>
      <c r="S28" s="161"/>
      <c r="T28" s="160"/>
      <c r="U28" s="141" t="str">
        <f t="shared" si="6"/>
        <v xml:space="preserve"> </v>
      </c>
      <c r="V28" s="159" t="str">
        <f t="shared" si="7"/>
        <v xml:space="preserve"> </v>
      </c>
    </row>
    <row r="29" spans="1:22" ht="15" customHeight="1">
      <c r="A29" s="158">
        <v>20</v>
      </c>
      <c r="B29" s="157"/>
      <c r="C29" s="166"/>
      <c r="D29" s="170"/>
      <c r="E29" s="169"/>
      <c r="F29" s="168"/>
      <c r="G29" s="164"/>
      <c r="H29" s="163"/>
      <c r="I29" s="152" t="str">
        <f t="shared" si="0"/>
        <v xml:space="preserve"> </v>
      </c>
      <c r="J29" s="162" t="str">
        <f t="shared" si="1"/>
        <v xml:space="preserve"> </v>
      </c>
      <c r="K29" s="167"/>
      <c r="L29" s="166"/>
      <c r="M29" s="141" t="str">
        <f t="shared" si="2"/>
        <v xml:space="preserve"> </v>
      </c>
      <c r="N29" s="165" t="str">
        <f t="shared" si="3"/>
        <v xml:space="preserve"> </v>
      </c>
      <c r="O29" s="164"/>
      <c r="P29" s="163"/>
      <c r="Q29" s="145" t="str">
        <f t="shared" si="4"/>
        <v xml:space="preserve"> </v>
      </c>
      <c r="R29" s="162" t="str">
        <f t="shared" si="5"/>
        <v xml:space="preserve"> </v>
      </c>
      <c r="S29" s="161"/>
      <c r="T29" s="160"/>
      <c r="U29" s="141" t="str">
        <f t="shared" si="6"/>
        <v xml:space="preserve"> </v>
      </c>
      <c r="V29" s="159" t="str">
        <f t="shared" si="7"/>
        <v xml:space="preserve"> </v>
      </c>
    </row>
    <row r="30" spans="1:22" ht="15" customHeight="1">
      <c r="A30" s="158">
        <v>21</v>
      </c>
      <c r="B30" s="157"/>
      <c r="C30" s="166"/>
      <c r="D30" s="170"/>
      <c r="E30" s="169"/>
      <c r="F30" s="168"/>
      <c r="G30" s="164"/>
      <c r="H30" s="163"/>
      <c r="I30" s="152" t="str">
        <f t="shared" si="0"/>
        <v xml:space="preserve"> </v>
      </c>
      <c r="J30" s="162" t="str">
        <f t="shared" si="1"/>
        <v xml:space="preserve"> </v>
      </c>
      <c r="K30" s="167"/>
      <c r="L30" s="166"/>
      <c r="M30" s="141" t="str">
        <f t="shared" si="2"/>
        <v xml:space="preserve"> </v>
      </c>
      <c r="N30" s="165" t="str">
        <f t="shared" si="3"/>
        <v xml:space="preserve"> </v>
      </c>
      <c r="O30" s="164"/>
      <c r="P30" s="163"/>
      <c r="Q30" s="145" t="str">
        <f t="shared" si="4"/>
        <v xml:space="preserve"> </v>
      </c>
      <c r="R30" s="162" t="str">
        <f t="shared" si="5"/>
        <v xml:space="preserve"> </v>
      </c>
      <c r="S30" s="161"/>
      <c r="T30" s="160"/>
      <c r="U30" s="141" t="str">
        <f t="shared" si="6"/>
        <v xml:space="preserve"> </v>
      </c>
      <c r="V30" s="159" t="str">
        <f t="shared" si="7"/>
        <v xml:space="preserve"> </v>
      </c>
    </row>
    <row r="31" spans="1:22" ht="15" customHeight="1">
      <c r="A31" s="158">
        <v>22</v>
      </c>
      <c r="B31" s="157"/>
      <c r="C31" s="166"/>
      <c r="D31" s="170"/>
      <c r="E31" s="169"/>
      <c r="F31" s="168"/>
      <c r="G31" s="164"/>
      <c r="H31" s="163"/>
      <c r="I31" s="152" t="str">
        <f t="shared" si="0"/>
        <v xml:space="preserve"> </v>
      </c>
      <c r="J31" s="162" t="str">
        <f t="shared" si="1"/>
        <v xml:space="preserve"> </v>
      </c>
      <c r="K31" s="167"/>
      <c r="L31" s="166"/>
      <c r="M31" s="141" t="str">
        <f t="shared" si="2"/>
        <v xml:space="preserve"> </v>
      </c>
      <c r="N31" s="165" t="str">
        <f t="shared" si="3"/>
        <v xml:space="preserve"> </v>
      </c>
      <c r="O31" s="164"/>
      <c r="P31" s="163"/>
      <c r="Q31" s="145" t="str">
        <f t="shared" si="4"/>
        <v xml:space="preserve"> </v>
      </c>
      <c r="R31" s="162" t="str">
        <f t="shared" si="5"/>
        <v xml:space="preserve"> </v>
      </c>
      <c r="S31" s="161"/>
      <c r="T31" s="160"/>
      <c r="U31" s="141" t="str">
        <f t="shared" si="6"/>
        <v xml:space="preserve"> </v>
      </c>
      <c r="V31" s="159" t="str">
        <f t="shared" si="7"/>
        <v xml:space="preserve"> </v>
      </c>
    </row>
    <row r="32" spans="1:22" ht="15" customHeight="1">
      <c r="A32" s="158">
        <v>23</v>
      </c>
      <c r="B32" s="157"/>
      <c r="C32" s="166"/>
      <c r="D32" s="170"/>
      <c r="E32" s="169"/>
      <c r="F32" s="168"/>
      <c r="G32" s="164"/>
      <c r="H32" s="163"/>
      <c r="I32" s="152" t="str">
        <f t="shared" si="0"/>
        <v xml:space="preserve"> </v>
      </c>
      <c r="J32" s="162" t="str">
        <f t="shared" si="1"/>
        <v xml:space="preserve"> </v>
      </c>
      <c r="K32" s="167"/>
      <c r="L32" s="166"/>
      <c r="M32" s="141" t="str">
        <f t="shared" si="2"/>
        <v xml:space="preserve"> </v>
      </c>
      <c r="N32" s="165" t="str">
        <f t="shared" si="3"/>
        <v xml:space="preserve"> </v>
      </c>
      <c r="O32" s="164"/>
      <c r="P32" s="163"/>
      <c r="Q32" s="145" t="str">
        <f t="shared" si="4"/>
        <v xml:space="preserve"> </v>
      </c>
      <c r="R32" s="162" t="str">
        <f t="shared" si="5"/>
        <v xml:space="preserve"> </v>
      </c>
      <c r="S32" s="161"/>
      <c r="T32" s="160"/>
      <c r="U32" s="141" t="str">
        <f t="shared" si="6"/>
        <v xml:space="preserve"> </v>
      </c>
      <c r="V32" s="159" t="str">
        <f t="shared" si="7"/>
        <v xml:space="preserve"> </v>
      </c>
    </row>
    <row r="33" spans="1:22" ht="15" customHeight="1">
      <c r="A33" s="158">
        <v>24</v>
      </c>
      <c r="B33" s="157"/>
      <c r="C33" s="166"/>
      <c r="D33" s="170"/>
      <c r="E33" s="169"/>
      <c r="F33" s="168"/>
      <c r="G33" s="164"/>
      <c r="H33" s="163"/>
      <c r="I33" s="152" t="str">
        <f t="shared" si="0"/>
        <v xml:space="preserve"> </v>
      </c>
      <c r="J33" s="162" t="str">
        <f t="shared" si="1"/>
        <v xml:space="preserve"> </v>
      </c>
      <c r="K33" s="167"/>
      <c r="L33" s="166"/>
      <c r="M33" s="141" t="str">
        <f t="shared" si="2"/>
        <v xml:space="preserve"> </v>
      </c>
      <c r="N33" s="165" t="str">
        <f t="shared" si="3"/>
        <v xml:space="preserve"> </v>
      </c>
      <c r="O33" s="164"/>
      <c r="P33" s="163"/>
      <c r="Q33" s="145" t="str">
        <f t="shared" si="4"/>
        <v xml:space="preserve"> </v>
      </c>
      <c r="R33" s="162" t="str">
        <f t="shared" si="5"/>
        <v xml:space="preserve"> </v>
      </c>
      <c r="S33" s="161"/>
      <c r="T33" s="160"/>
      <c r="U33" s="141" t="str">
        <f t="shared" si="6"/>
        <v xml:space="preserve"> </v>
      </c>
      <c r="V33" s="159" t="str">
        <f t="shared" si="7"/>
        <v xml:space="preserve"> </v>
      </c>
    </row>
    <row r="34" spans="1:22" ht="15" customHeight="1">
      <c r="A34" s="158">
        <v>25</v>
      </c>
      <c r="B34" s="157"/>
      <c r="C34" s="166"/>
      <c r="D34" s="170"/>
      <c r="E34" s="169"/>
      <c r="F34" s="168"/>
      <c r="G34" s="164"/>
      <c r="H34" s="163"/>
      <c r="I34" s="152" t="str">
        <f t="shared" si="0"/>
        <v xml:space="preserve"> </v>
      </c>
      <c r="J34" s="162" t="str">
        <f t="shared" si="1"/>
        <v xml:space="preserve"> </v>
      </c>
      <c r="K34" s="167"/>
      <c r="L34" s="166"/>
      <c r="M34" s="141" t="str">
        <f t="shared" si="2"/>
        <v xml:space="preserve"> </v>
      </c>
      <c r="N34" s="165" t="str">
        <f t="shared" si="3"/>
        <v xml:space="preserve"> </v>
      </c>
      <c r="O34" s="164"/>
      <c r="P34" s="163"/>
      <c r="Q34" s="145" t="str">
        <f t="shared" si="4"/>
        <v xml:space="preserve"> </v>
      </c>
      <c r="R34" s="162" t="str">
        <f t="shared" si="5"/>
        <v xml:space="preserve"> </v>
      </c>
      <c r="S34" s="161"/>
      <c r="T34" s="160"/>
      <c r="U34" s="141" t="str">
        <f t="shared" si="6"/>
        <v xml:space="preserve"> </v>
      </c>
      <c r="V34" s="159" t="str">
        <f t="shared" si="7"/>
        <v xml:space="preserve"> </v>
      </c>
    </row>
    <row r="35" spans="1:22" ht="15" customHeight="1">
      <c r="A35" s="158">
        <v>26</v>
      </c>
      <c r="B35" s="157"/>
      <c r="C35" s="166"/>
      <c r="D35" s="170"/>
      <c r="E35" s="169"/>
      <c r="F35" s="168"/>
      <c r="G35" s="164"/>
      <c r="H35" s="163"/>
      <c r="I35" s="152" t="str">
        <f t="shared" si="0"/>
        <v xml:space="preserve"> </v>
      </c>
      <c r="J35" s="162" t="str">
        <f t="shared" si="1"/>
        <v xml:space="preserve"> </v>
      </c>
      <c r="K35" s="167"/>
      <c r="L35" s="166"/>
      <c r="M35" s="141" t="str">
        <f t="shared" si="2"/>
        <v xml:space="preserve"> </v>
      </c>
      <c r="N35" s="165" t="str">
        <f t="shared" si="3"/>
        <v xml:space="preserve"> </v>
      </c>
      <c r="O35" s="164"/>
      <c r="P35" s="163"/>
      <c r="Q35" s="145" t="str">
        <f t="shared" si="4"/>
        <v xml:space="preserve"> </v>
      </c>
      <c r="R35" s="162" t="str">
        <f t="shared" si="5"/>
        <v xml:space="preserve"> </v>
      </c>
      <c r="S35" s="161"/>
      <c r="T35" s="160"/>
      <c r="U35" s="141" t="str">
        <f t="shared" si="6"/>
        <v xml:space="preserve"> </v>
      </c>
      <c r="V35" s="159" t="str">
        <f t="shared" si="7"/>
        <v xml:space="preserve"> </v>
      </c>
    </row>
    <row r="36" spans="1:22" ht="15" customHeight="1">
      <c r="A36" s="158">
        <v>27</v>
      </c>
      <c r="B36" s="157"/>
      <c r="C36" s="166"/>
      <c r="D36" s="170"/>
      <c r="E36" s="169"/>
      <c r="F36" s="168"/>
      <c r="G36" s="164"/>
      <c r="H36" s="163"/>
      <c r="I36" s="152" t="str">
        <f t="shared" si="0"/>
        <v xml:space="preserve"> </v>
      </c>
      <c r="J36" s="162" t="str">
        <f t="shared" si="1"/>
        <v xml:space="preserve"> </v>
      </c>
      <c r="K36" s="167"/>
      <c r="L36" s="166"/>
      <c r="M36" s="141" t="str">
        <f t="shared" si="2"/>
        <v xml:space="preserve"> </v>
      </c>
      <c r="N36" s="165" t="str">
        <f t="shared" si="3"/>
        <v xml:space="preserve"> </v>
      </c>
      <c r="O36" s="164"/>
      <c r="P36" s="163"/>
      <c r="Q36" s="145" t="str">
        <f t="shared" si="4"/>
        <v xml:space="preserve"> </v>
      </c>
      <c r="R36" s="162" t="str">
        <f t="shared" si="5"/>
        <v xml:space="preserve"> </v>
      </c>
      <c r="S36" s="161"/>
      <c r="T36" s="160"/>
      <c r="U36" s="141" t="str">
        <f t="shared" si="6"/>
        <v xml:space="preserve"> </v>
      </c>
      <c r="V36" s="159" t="str">
        <f t="shared" si="7"/>
        <v xml:space="preserve"> </v>
      </c>
    </row>
    <row r="37" spans="1:22" ht="15" customHeight="1">
      <c r="A37" s="158">
        <v>28</v>
      </c>
      <c r="B37" s="157"/>
      <c r="C37" s="166"/>
      <c r="D37" s="170"/>
      <c r="E37" s="169"/>
      <c r="F37" s="168"/>
      <c r="G37" s="164"/>
      <c r="H37" s="163"/>
      <c r="I37" s="152" t="str">
        <f t="shared" si="0"/>
        <v xml:space="preserve"> </v>
      </c>
      <c r="J37" s="162" t="str">
        <f t="shared" si="1"/>
        <v xml:space="preserve"> </v>
      </c>
      <c r="K37" s="167"/>
      <c r="L37" s="166"/>
      <c r="M37" s="141" t="str">
        <f t="shared" si="2"/>
        <v xml:space="preserve"> </v>
      </c>
      <c r="N37" s="165" t="str">
        <f t="shared" si="3"/>
        <v xml:space="preserve"> </v>
      </c>
      <c r="O37" s="164"/>
      <c r="P37" s="163"/>
      <c r="Q37" s="145" t="str">
        <f t="shared" si="4"/>
        <v xml:space="preserve"> </v>
      </c>
      <c r="R37" s="162" t="str">
        <f t="shared" si="5"/>
        <v xml:space="preserve"> </v>
      </c>
      <c r="S37" s="161"/>
      <c r="T37" s="160"/>
      <c r="U37" s="141" t="str">
        <f t="shared" si="6"/>
        <v xml:space="preserve"> </v>
      </c>
      <c r="V37" s="159" t="str">
        <f t="shared" si="7"/>
        <v xml:space="preserve"> </v>
      </c>
    </row>
    <row r="38" spans="1:22" ht="15" customHeight="1">
      <c r="A38" s="158">
        <v>29</v>
      </c>
      <c r="B38" s="157"/>
      <c r="C38" s="166"/>
      <c r="D38" s="170"/>
      <c r="E38" s="169"/>
      <c r="F38" s="168"/>
      <c r="G38" s="164"/>
      <c r="H38" s="163"/>
      <c r="I38" s="152" t="str">
        <f t="shared" si="0"/>
        <v xml:space="preserve"> </v>
      </c>
      <c r="J38" s="162" t="str">
        <f t="shared" si="1"/>
        <v xml:space="preserve"> </v>
      </c>
      <c r="K38" s="167"/>
      <c r="L38" s="166"/>
      <c r="M38" s="141" t="str">
        <f t="shared" si="2"/>
        <v xml:space="preserve"> </v>
      </c>
      <c r="N38" s="165" t="str">
        <f t="shared" si="3"/>
        <v xml:space="preserve"> </v>
      </c>
      <c r="O38" s="164"/>
      <c r="P38" s="163"/>
      <c r="Q38" s="145" t="str">
        <f t="shared" si="4"/>
        <v xml:space="preserve"> </v>
      </c>
      <c r="R38" s="162" t="str">
        <f t="shared" si="5"/>
        <v xml:space="preserve"> </v>
      </c>
      <c r="S38" s="161"/>
      <c r="T38" s="160"/>
      <c r="U38" s="141" t="str">
        <f t="shared" si="6"/>
        <v xml:space="preserve"> </v>
      </c>
      <c r="V38" s="159" t="str">
        <f t="shared" si="7"/>
        <v xml:space="preserve"> </v>
      </c>
    </row>
    <row r="39" spans="1:22" ht="15" customHeight="1">
      <c r="A39" s="158">
        <v>30</v>
      </c>
      <c r="B39" s="157"/>
      <c r="C39" s="166"/>
      <c r="D39" s="170"/>
      <c r="E39" s="169"/>
      <c r="F39" s="168"/>
      <c r="G39" s="164"/>
      <c r="H39" s="163"/>
      <c r="I39" s="152" t="str">
        <f t="shared" si="0"/>
        <v xml:space="preserve"> </v>
      </c>
      <c r="J39" s="162" t="str">
        <f t="shared" si="1"/>
        <v xml:space="preserve"> </v>
      </c>
      <c r="K39" s="167"/>
      <c r="L39" s="166"/>
      <c r="M39" s="141" t="str">
        <f t="shared" si="2"/>
        <v xml:space="preserve"> </v>
      </c>
      <c r="N39" s="165" t="str">
        <f t="shared" si="3"/>
        <v xml:space="preserve"> </v>
      </c>
      <c r="O39" s="164"/>
      <c r="P39" s="163"/>
      <c r="Q39" s="145" t="str">
        <f t="shared" si="4"/>
        <v xml:space="preserve"> </v>
      </c>
      <c r="R39" s="162" t="str">
        <f t="shared" si="5"/>
        <v xml:space="preserve"> </v>
      </c>
      <c r="S39" s="161"/>
      <c r="T39" s="160"/>
      <c r="U39" s="141" t="str">
        <f t="shared" si="6"/>
        <v xml:space="preserve"> </v>
      </c>
      <c r="V39" s="159" t="str">
        <f t="shared" si="7"/>
        <v xml:space="preserve"> </v>
      </c>
    </row>
    <row r="40" spans="1:22" ht="15" customHeight="1" thickBot="1">
      <c r="A40" s="158">
        <v>31</v>
      </c>
      <c r="B40" s="157"/>
      <c r="C40" s="156"/>
      <c r="D40" s="155"/>
      <c r="E40" s="154"/>
      <c r="F40" s="153"/>
      <c r="G40" s="147"/>
      <c r="H40" s="146"/>
      <c r="I40" s="152" t="str">
        <f t="shared" si="0"/>
        <v xml:space="preserve"> </v>
      </c>
      <c r="J40" s="144" t="str">
        <f t="shared" si="1"/>
        <v xml:space="preserve"> </v>
      </c>
      <c r="K40" s="151"/>
      <c r="L40" s="150"/>
      <c r="M40" s="149" t="str">
        <f t="shared" si="2"/>
        <v xml:space="preserve"> </v>
      </c>
      <c r="N40" s="148" t="str">
        <f t="shared" si="3"/>
        <v xml:space="preserve"> </v>
      </c>
      <c r="O40" s="147"/>
      <c r="P40" s="146"/>
      <c r="Q40" s="145" t="str">
        <f t="shared" si="4"/>
        <v xml:space="preserve"> </v>
      </c>
      <c r="R40" s="144" t="str">
        <f t="shared" si="5"/>
        <v xml:space="preserve"> </v>
      </c>
      <c r="S40" s="143"/>
      <c r="T40" s="142"/>
      <c r="U40" s="141" t="str">
        <f t="shared" si="6"/>
        <v xml:space="preserve"> </v>
      </c>
      <c r="V40" s="140" t="str">
        <f t="shared" si="7"/>
        <v xml:space="preserve"> </v>
      </c>
    </row>
    <row r="41" spans="1:22" ht="15" customHeight="1">
      <c r="A41" s="343" t="s">
        <v>154</v>
      </c>
      <c r="B41" s="344"/>
      <c r="C41" s="344"/>
      <c r="D41" s="345"/>
      <c r="E41" s="345"/>
      <c r="F41" s="345"/>
      <c r="G41" s="138" t="str">
        <f>IF(ISBLANK($S1)," ",SUM(G10:G40))</f>
        <v xml:space="preserve"> </v>
      </c>
      <c r="H41" s="137"/>
      <c r="I41" s="136" t="str">
        <f>IF(ISBLANK($S1)," ",SUM(I10:I40))</f>
        <v xml:space="preserve"> </v>
      </c>
      <c r="J41" s="135"/>
      <c r="K41" s="134" t="str">
        <f>IF(ISBLANK($S1)," ",SUM(K10:K40))</f>
        <v xml:space="preserve"> </v>
      </c>
      <c r="L41" s="133"/>
      <c r="M41" s="132" t="str">
        <f>IF(ISBLANK($S1)," ",SUM(M10:M40))</f>
        <v xml:space="preserve"> </v>
      </c>
      <c r="N41" s="139"/>
      <c r="O41" s="138" t="str">
        <f>IF(ISBLANK($S1)," ",SUM(O10:O40))</f>
        <v xml:space="preserve"> </v>
      </c>
      <c r="P41" s="137"/>
      <c r="Q41" s="136" t="str">
        <f>IF(ISBLANK($S1)," ",SUM(Q10:Q40))</f>
        <v xml:space="preserve"> </v>
      </c>
      <c r="R41" s="135"/>
      <c r="S41" s="134" t="str">
        <f>IF(ISBLANK($S1)," ",SUM(S10:S40))</f>
        <v xml:space="preserve"> </v>
      </c>
      <c r="T41" s="133"/>
      <c r="U41" s="132" t="str">
        <f>IF(ISBLANK($S1)," ",SUM(U10:U40))</f>
        <v xml:space="preserve"> </v>
      </c>
      <c r="V41" s="131"/>
    </row>
    <row r="42" spans="1:22" ht="15" customHeight="1" thickBot="1">
      <c r="A42" s="346" t="s">
        <v>153</v>
      </c>
      <c r="B42" s="347"/>
      <c r="C42" s="347"/>
      <c r="D42" s="348"/>
      <c r="E42" s="348"/>
      <c r="F42" s="348"/>
      <c r="G42" s="128"/>
      <c r="H42" s="127"/>
      <c r="I42" s="126"/>
      <c r="J42" s="125"/>
      <c r="K42" s="124"/>
      <c r="L42" s="123"/>
      <c r="M42" s="130"/>
      <c r="N42" s="129"/>
      <c r="O42" s="128"/>
      <c r="P42" s="127"/>
      <c r="Q42" s="126"/>
      <c r="R42" s="125"/>
      <c r="S42" s="124"/>
      <c r="T42" s="123"/>
      <c r="U42" s="122"/>
      <c r="V42" s="121"/>
    </row>
  </sheetData>
  <sheetProtection password="CD14" sheet="1" objects="1" scenarios="1" selectLockedCells="1"/>
  <mergeCells count="59">
    <mergeCell ref="A1:C1"/>
    <mergeCell ref="D1:F1"/>
    <mergeCell ref="G1:H1"/>
    <mergeCell ref="I1:N1"/>
    <mergeCell ref="P1:Q1"/>
    <mergeCell ref="S1:T1"/>
    <mergeCell ref="A2:F4"/>
    <mergeCell ref="G2:H2"/>
    <mergeCell ref="I2:J2"/>
    <mergeCell ref="K2:L2"/>
    <mergeCell ref="M2:N2"/>
    <mergeCell ref="O2:P2"/>
    <mergeCell ref="Q2:R2"/>
    <mergeCell ref="S2:T2"/>
    <mergeCell ref="G4:H4"/>
    <mergeCell ref="I4:J4"/>
    <mergeCell ref="K4:L4"/>
    <mergeCell ref="M4:N4"/>
    <mergeCell ref="O4:P4"/>
    <mergeCell ref="Q4:R4"/>
    <mergeCell ref="S4:T4"/>
    <mergeCell ref="U2:V2"/>
    <mergeCell ref="G3:H3"/>
    <mergeCell ref="I3:J3"/>
    <mergeCell ref="K3:L3"/>
    <mergeCell ref="M3:N3"/>
    <mergeCell ref="O3:P3"/>
    <mergeCell ref="Q3:R3"/>
    <mergeCell ref="S3:T3"/>
    <mergeCell ref="U3:V3"/>
    <mergeCell ref="U4:V4"/>
    <mergeCell ref="O6:P6"/>
    <mergeCell ref="Q6:R6"/>
    <mergeCell ref="A5:C6"/>
    <mergeCell ref="D5:F6"/>
    <mergeCell ref="G5:H5"/>
    <mergeCell ref="I5:J5"/>
    <mergeCell ref="K5:L5"/>
    <mergeCell ref="M5:N5"/>
    <mergeCell ref="U5:V5"/>
    <mergeCell ref="O5:P5"/>
    <mergeCell ref="Q5:R5"/>
    <mergeCell ref="S5:T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19" customWidth="1"/>
    <col min="7" max="7" width="9.42578125" style="119" customWidth="1"/>
    <col min="8" max="8" width="7.7109375" style="119" customWidth="1"/>
    <col min="9" max="10" width="8.5703125" style="119" customWidth="1"/>
    <col min="11" max="11" width="9.42578125" style="119" customWidth="1"/>
    <col min="12" max="12" width="7.7109375" style="119" customWidth="1"/>
    <col min="13" max="14" width="8.5703125" style="119" customWidth="1"/>
    <col min="15" max="15" width="9.42578125" style="119" customWidth="1"/>
    <col min="16" max="16" width="7.7109375" style="119" customWidth="1"/>
    <col min="17" max="18" width="8.5703125" style="119" customWidth="1"/>
    <col min="19" max="19" width="9.42578125" style="119" customWidth="1"/>
    <col min="20" max="20" width="7.7109375" style="119" customWidth="1"/>
    <col min="21" max="22" width="8.7109375" style="119" customWidth="1"/>
    <col min="23" max="16384" width="9.140625" style="119"/>
  </cols>
  <sheetData>
    <row r="1" spans="1:23" ht="22.5" customHeight="1" thickBot="1">
      <c r="A1" s="389" t="s">
        <v>181</v>
      </c>
      <c r="B1" s="390"/>
      <c r="C1" s="390"/>
      <c r="D1" s="391" t="s">
        <v>187</v>
      </c>
      <c r="E1" s="391"/>
      <c r="F1" s="392"/>
      <c r="G1" s="393" t="s">
        <v>3</v>
      </c>
      <c r="H1" s="394"/>
      <c r="I1" s="391" t="s">
        <v>188</v>
      </c>
      <c r="J1" s="391"/>
      <c r="K1" s="391"/>
      <c r="L1" s="391"/>
      <c r="M1" s="391"/>
      <c r="N1" s="392"/>
      <c r="O1" s="216" t="s">
        <v>6</v>
      </c>
      <c r="P1" s="395" t="s">
        <v>109</v>
      </c>
      <c r="Q1" s="396"/>
      <c r="R1" s="216" t="s">
        <v>4</v>
      </c>
      <c r="S1" s="395"/>
      <c r="T1" s="396"/>
      <c r="U1" s="215" t="s">
        <v>5</v>
      </c>
      <c r="V1" s="214"/>
      <c r="W1" s="213"/>
    </row>
    <row r="2" spans="1:23" ht="18.75" customHeight="1">
      <c r="A2" s="383" t="s">
        <v>176</v>
      </c>
      <c r="B2" s="384"/>
      <c r="C2" s="384"/>
      <c r="D2" s="384"/>
      <c r="E2" s="384"/>
      <c r="F2" s="384"/>
      <c r="G2" s="386" t="s">
        <v>142</v>
      </c>
      <c r="H2" s="387"/>
      <c r="I2" s="375">
        <v>9</v>
      </c>
      <c r="J2" s="376"/>
      <c r="K2" s="377" t="s">
        <v>142</v>
      </c>
      <c r="L2" s="378"/>
      <c r="M2" s="379">
        <v>10</v>
      </c>
      <c r="N2" s="388"/>
      <c r="O2" s="386" t="s">
        <v>142</v>
      </c>
      <c r="P2" s="387"/>
      <c r="Q2" s="375"/>
      <c r="R2" s="376"/>
      <c r="S2" s="377" t="s">
        <v>142</v>
      </c>
      <c r="T2" s="378"/>
      <c r="U2" s="379"/>
      <c r="V2" s="380"/>
    </row>
    <row r="3" spans="1:23" ht="18.75" customHeight="1">
      <c r="A3" s="385"/>
      <c r="B3" s="384"/>
      <c r="C3" s="384"/>
      <c r="D3" s="384"/>
      <c r="E3" s="384"/>
      <c r="F3" s="384"/>
      <c r="G3" s="365" t="s">
        <v>143</v>
      </c>
      <c r="H3" s="381"/>
      <c r="I3" s="366">
        <v>1.02</v>
      </c>
      <c r="J3" s="367"/>
      <c r="K3" s="368" t="s">
        <v>143</v>
      </c>
      <c r="L3" s="382"/>
      <c r="M3" s="351">
        <v>1.51</v>
      </c>
      <c r="N3" s="370"/>
      <c r="O3" s="365" t="s">
        <v>143</v>
      </c>
      <c r="P3" s="381"/>
      <c r="Q3" s="366"/>
      <c r="R3" s="367"/>
      <c r="S3" s="368" t="s">
        <v>143</v>
      </c>
      <c r="T3" s="382"/>
      <c r="U3" s="351"/>
      <c r="V3" s="352"/>
    </row>
    <row r="4" spans="1:23" ht="18.75" customHeight="1">
      <c r="A4" s="385"/>
      <c r="B4" s="384"/>
      <c r="C4" s="384"/>
      <c r="D4" s="384"/>
      <c r="E4" s="384"/>
      <c r="F4" s="384"/>
      <c r="G4" s="365" t="s">
        <v>144</v>
      </c>
      <c r="H4" s="362"/>
      <c r="I4" s="366"/>
      <c r="J4" s="367"/>
      <c r="K4" s="368" t="s">
        <v>144</v>
      </c>
      <c r="L4" s="350"/>
      <c r="M4" s="351"/>
      <c r="N4" s="370"/>
      <c r="O4" s="365" t="s">
        <v>144</v>
      </c>
      <c r="P4" s="362"/>
      <c r="Q4" s="366"/>
      <c r="R4" s="367"/>
      <c r="S4" s="368" t="s">
        <v>144</v>
      </c>
      <c r="T4" s="350"/>
      <c r="U4" s="351"/>
      <c r="V4" s="352"/>
    </row>
    <row r="5" spans="1:23" ht="18.75" customHeight="1">
      <c r="A5" s="371"/>
      <c r="B5" s="372"/>
      <c r="C5" s="372"/>
      <c r="D5" s="372"/>
      <c r="E5" s="372"/>
      <c r="F5" s="372"/>
      <c r="G5" s="365" t="s">
        <v>150</v>
      </c>
      <c r="H5" s="362"/>
      <c r="I5" s="366">
        <v>0.25</v>
      </c>
      <c r="J5" s="367"/>
      <c r="K5" s="368" t="s">
        <v>150</v>
      </c>
      <c r="L5" s="350"/>
      <c r="M5" s="351">
        <v>0.25</v>
      </c>
      <c r="N5" s="370"/>
      <c r="O5" s="365" t="s">
        <v>150</v>
      </c>
      <c r="P5" s="362"/>
      <c r="Q5" s="366"/>
      <c r="R5" s="367"/>
      <c r="S5" s="368" t="s">
        <v>150</v>
      </c>
      <c r="T5" s="350"/>
      <c r="U5" s="351"/>
      <c r="V5" s="352"/>
    </row>
    <row r="6" spans="1:23" ht="18.75" customHeight="1" thickBot="1">
      <c r="A6" s="373"/>
      <c r="B6" s="374"/>
      <c r="C6" s="374"/>
      <c r="D6" s="374"/>
      <c r="E6" s="374"/>
      <c r="F6" s="374"/>
      <c r="G6" s="361" t="s">
        <v>151</v>
      </c>
      <c r="H6" s="362"/>
      <c r="I6" s="366">
        <v>30.8</v>
      </c>
      <c r="J6" s="369"/>
      <c r="K6" s="349" t="s">
        <v>151</v>
      </c>
      <c r="L6" s="350"/>
      <c r="M6" s="351">
        <v>30.8</v>
      </c>
      <c r="N6" s="370"/>
      <c r="O6" s="361" t="s">
        <v>151</v>
      </c>
      <c r="P6" s="362"/>
      <c r="Q6" s="366"/>
      <c r="R6" s="367"/>
      <c r="S6" s="349" t="s">
        <v>151</v>
      </c>
      <c r="T6" s="350"/>
      <c r="U6" s="351"/>
      <c r="V6" s="352"/>
    </row>
    <row r="7" spans="1:23" ht="18.75" customHeight="1" thickBot="1">
      <c r="A7" s="353" t="s">
        <v>8</v>
      </c>
      <c r="B7" s="356" t="s">
        <v>183</v>
      </c>
      <c r="C7" s="357"/>
      <c r="D7" s="358"/>
      <c r="E7" s="359" t="s">
        <v>182</v>
      </c>
      <c r="F7" s="360"/>
      <c r="G7" s="361" t="s">
        <v>152</v>
      </c>
      <c r="H7" s="362"/>
      <c r="I7" s="211"/>
      <c r="J7" s="210"/>
      <c r="K7" s="349" t="s">
        <v>152</v>
      </c>
      <c r="L7" s="350"/>
      <c r="M7" s="209"/>
      <c r="N7" s="212"/>
      <c r="O7" s="361" t="s">
        <v>152</v>
      </c>
      <c r="P7" s="362"/>
      <c r="Q7" s="211"/>
      <c r="R7" s="210"/>
      <c r="S7" s="349" t="s">
        <v>152</v>
      </c>
      <c r="T7" s="350"/>
      <c r="U7" s="209"/>
      <c r="V7" s="208"/>
    </row>
    <row r="8" spans="1:23" ht="75" customHeight="1">
      <c r="A8" s="354"/>
      <c r="B8" s="363" t="s">
        <v>138</v>
      </c>
      <c r="C8" s="207" t="s">
        <v>2</v>
      </c>
      <c r="D8" s="206" t="s">
        <v>139</v>
      </c>
      <c r="E8" s="205" t="s">
        <v>184</v>
      </c>
      <c r="F8" s="204" t="s">
        <v>185</v>
      </c>
      <c r="G8" s="202" t="s">
        <v>145</v>
      </c>
      <c r="H8" s="201" t="s">
        <v>177</v>
      </c>
      <c r="I8" s="201" t="s">
        <v>147</v>
      </c>
      <c r="J8" s="200" t="s">
        <v>149</v>
      </c>
      <c r="K8" s="199" t="s">
        <v>145</v>
      </c>
      <c r="L8" s="198" t="s">
        <v>175</v>
      </c>
      <c r="M8" s="198" t="s">
        <v>147</v>
      </c>
      <c r="N8" s="203" t="s">
        <v>149</v>
      </c>
      <c r="O8" s="202" t="s">
        <v>145</v>
      </c>
      <c r="P8" s="201" t="s">
        <v>177</v>
      </c>
      <c r="Q8" s="201" t="s">
        <v>147</v>
      </c>
      <c r="R8" s="200" t="s">
        <v>149</v>
      </c>
      <c r="S8" s="199" t="s">
        <v>145</v>
      </c>
      <c r="T8" s="198" t="s">
        <v>177</v>
      </c>
      <c r="U8" s="198" t="s">
        <v>147</v>
      </c>
      <c r="V8" s="197" t="s">
        <v>149</v>
      </c>
    </row>
    <row r="9" spans="1:23" ht="15.75" customHeight="1" thickBot="1">
      <c r="A9" s="355"/>
      <c r="B9" s="364"/>
      <c r="C9" s="196" t="s">
        <v>141</v>
      </c>
      <c r="D9" s="195" t="s">
        <v>140</v>
      </c>
      <c r="E9" s="194" t="s">
        <v>137</v>
      </c>
      <c r="F9" s="193" t="s">
        <v>137</v>
      </c>
      <c r="G9" s="191" t="s">
        <v>148</v>
      </c>
      <c r="H9" s="190" t="s">
        <v>146</v>
      </c>
      <c r="I9" s="190" t="s">
        <v>140</v>
      </c>
      <c r="J9" s="189" t="s">
        <v>140</v>
      </c>
      <c r="K9" s="188" t="s">
        <v>148</v>
      </c>
      <c r="L9" s="187" t="s">
        <v>146</v>
      </c>
      <c r="M9" s="187" t="s">
        <v>140</v>
      </c>
      <c r="N9" s="192" t="s">
        <v>140</v>
      </c>
      <c r="O9" s="191" t="s">
        <v>148</v>
      </c>
      <c r="P9" s="190" t="s">
        <v>146</v>
      </c>
      <c r="Q9" s="190" t="s">
        <v>140</v>
      </c>
      <c r="R9" s="189" t="s">
        <v>140</v>
      </c>
      <c r="S9" s="188" t="s">
        <v>148</v>
      </c>
      <c r="T9" s="187" t="s">
        <v>146</v>
      </c>
      <c r="U9" s="186" t="s">
        <v>140</v>
      </c>
      <c r="V9" s="185" t="s">
        <v>140</v>
      </c>
    </row>
    <row r="10" spans="1:23" ht="15" customHeight="1">
      <c r="A10" s="158">
        <v>1</v>
      </c>
      <c r="B10" s="157"/>
      <c r="C10" s="150"/>
      <c r="D10" s="184"/>
      <c r="E10" s="183"/>
      <c r="F10" s="182"/>
      <c r="G10" s="178"/>
      <c r="H10" s="177"/>
      <c r="I10" s="176" t="str">
        <f t="shared" ref="I10:I40" si="0">IF((ISBLANK($G10))," ",($G10)/($I$3*27152))</f>
        <v xml:space="preserve"> </v>
      </c>
      <c r="J10" s="175" t="str">
        <f t="shared" ref="J10:J40" si="1">IF((ISBLANK(H10)), " ", IF(H10&lt;60, I10, (I10/H10)*60))</f>
        <v xml:space="preserve"> </v>
      </c>
      <c r="K10" s="181"/>
      <c r="L10" s="180"/>
      <c r="M10" s="172" t="str">
        <f t="shared" ref="M10:M40" si="2">IF((ISBLANK($K10))," ",($K10)/($M$3*27152))</f>
        <v xml:space="preserve"> </v>
      </c>
      <c r="N10" s="179" t="str">
        <f t="shared" ref="N10:N40" si="3">IF((ISBLANK(L10)), " ", IF(L10&lt;60, M10, (M10/L10)*60))</f>
        <v xml:space="preserve"> </v>
      </c>
      <c r="O10" s="178"/>
      <c r="P10" s="177"/>
      <c r="Q10" s="176" t="str">
        <f t="shared" ref="Q10:Q40" si="4">IF((ISBLANK($O10))," ",($O10)/($Q$3*27152))</f>
        <v xml:space="preserve"> </v>
      </c>
      <c r="R10" s="175" t="str">
        <f t="shared" ref="R10:R40" si="5">IF((ISBLANK(P10)), " ", IF(P10&lt;60, Q10, (Q10/P10)*60))</f>
        <v xml:space="preserve"> </v>
      </c>
      <c r="S10" s="174"/>
      <c r="T10" s="173"/>
      <c r="U10" s="172" t="str">
        <f t="shared" ref="U10:U40" si="6">IF((ISBLANK($S10))," ",($S10)/($U$3*27152))</f>
        <v xml:space="preserve"> </v>
      </c>
      <c r="V10" s="171" t="str">
        <f t="shared" ref="V10:V40" si="7">IF((ISBLANK(T10)), " ", IF(T10&lt;60, U10, (U10/T10)*60))</f>
        <v xml:space="preserve"> </v>
      </c>
    </row>
    <row r="11" spans="1:23" ht="15" customHeight="1">
      <c r="A11" s="158">
        <v>2</v>
      </c>
      <c r="B11" s="157"/>
      <c r="C11" s="166"/>
      <c r="D11" s="170"/>
      <c r="E11" s="169"/>
      <c r="F11" s="168"/>
      <c r="G11" s="164"/>
      <c r="H11" s="163"/>
      <c r="I11" s="145" t="str">
        <f t="shared" si="0"/>
        <v xml:space="preserve"> </v>
      </c>
      <c r="J11" s="162" t="str">
        <f t="shared" si="1"/>
        <v xml:space="preserve"> </v>
      </c>
      <c r="K11" s="167"/>
      <c r="L11" s="166"/>
      <c r="M11" s="141" t="str">
        <f t="shared" si="2"/>
        <v xml:space="preserve"> </v>
      </c>
      <c r="N11" s="165" t="str">
        <f t="shared" si="3"/>
        <v xml:space="preserve"> </v>
      </c>
      <c r="O11" s="164"/>
      <c r="P11" s="163"/>
      <c r="Q11" s="145" t="str">
        <f t="shared" si="4"/>
        <v xml:space="preserve"> </v>
      </c>
      <c r="R11" s="162" t="str">
        <f t="shared" si="5"/>
        <v xml:space="preserve"> </v>
      </c>
      <c r="S11" s="161"/>
      <c r="T11" s="160"/>
      <c r="U11" s="141" t="str">
        <f t="shared" si="6"/>
        <v xml:space="preserve"> </v>
      </c>
      <c r="V11" s="159" t="str">
        <f t="shared" si="7"/>
        <v xml:space="preserve"> </v>
      </c>
    </row>
    <row r="12" spans="1:23" ht="15" customHeight="1">
      <c r="A12" s="158">
        <v>3</v>
      </c>
      <c r="B12" s="157"/>
      <c r="C12" s="166"/>
      <c r="D12" s="170"/>
      <c r="E12" s="169"/>
      <c r="F12" s="168"/>
      <c r="G12" s="164"/>
      <c r="H12" s="163"/>
      <c r="I12" s="145" t="str">
        <f t="shared" si="0"/>
        <v xml:space="preserve"> </v>
      </c>
      <c r="J12" s="162" t="str">
        <f t="shared" si="1"/>
        <v xml:space="preserve"> </v>
      </c>
      <c r="K12" s="167"/>
      <c r="L12" s="166"/>
      <c r="M12" s="141" t="str">
        <f t="shared" si="2"/>
        <v xml:space="preserve"> </v>
      </c>
      <c r="N12" s="165" t="str">
        <f t="shared" si="3"/>
        <v xml:space="preserve"> </v>
      </c>
      <c r="O12" s="164"/>
      <c r="P12" s="163"/>
      <c r="Q12" s="145" t="str">
        <f t="shared" si="4"/>
        <v xml:space="preserve"> </v>
      </c>
      <c r="R12" s="162" t="str">
        <f t="shared" si="5"/>
        <v xml:space="preserve"> </v>
      </c>
      <c r="S12" s="161"/>
      <c r="T12" s="160"/>
      <c r="U12" s="141" t="str">
        <f t="shared" si="6"/>
        <v xml:space="preserve"> </v>
      </c>
      <c r="V12" s="159" t="str">
        <f t="shared" si="7"/>
        <v xml:space="preserve"> </v>
      </c>
    </row>
    <row r="13" spans="1:23" ht="15" customHeight="1">
      <c r="A13" s="158">
        <v>4</v>
      </c>
      <c r="B13" s="157"/>
      <c r="C13" s="166"/>
      <c r="D13" s="170"/>
      <c r="E13" s="169"/>
      <c r="F13" s="168"/>
      <c r="G13" s="164"/>
      <c r="H13" s="163"/>
      <c r="I13" s="145" t="str">
        <f t="shared" si="0"/>
        <v xml:space="preserve"> </v>
      </c>
      <c r="J13" s="162" t="str">
        <f t="shared" si="1"/>
        <v xml:space="preserve"> </v>
      </c>
      <c r="K13" s="167"/>
      <c r="L13" s="166"/>
      <c r="M13" s="141" t="str">
        <f t="shared" si="2"/>
        <v xml:space="preserve"> </v>
      </c>
      <c r="N13" s="165" t="str">
        <f t="shared" si="3"/>
        <v xml:space="preserve"> </v>
      </c>
      <c r="O13" s="164"/>
      <c r="P13" s="163"/>
      <c r="Q13" s="145" t="str">
        <f t="shared" si="4"/>
        <v xml:space="preserve"> </v>
      </c>
      <c r="R13" s="162" t="str">
        <f t="shared" si="5"/>
        <v xml:space="preserve"> </v>
      </c>
      <c r="S13" s="161"/>
      <c r="T13" s="160"/>
      <c r="U13" s="141" t="str">
        <f t="shared" si="6"/>
        <v xml:space="preserve"> </v>
      </c>
      <c r="V13" s="159" t="str">
        <f t="shared" si="7"/>
        <v xml:space="preserve"> </v>
      </c>
    </row>
    <row r="14" spans="1:23" ht="15" customHeight="1">
      <c r="A14" s="158">
        <v>5</v>
      </c>
      <c r="B14" s="157"/>
      <c r="C14" s="166"/>
      <c r="D14" s="170"/>
      <c r="E14" s="169"/>
      <c r="F14" s="168"/>
      <c r="G14" s="164"/>
      <c r="H14" s="163"/>
      <c r="I14" s="145" t="str">
        <f t="shared" si="0"/>
        <v xml:space="preserve"> </v>
      </c>
      <c r="J14" s="162" t="str">
        <f t="shared" si="1"/>
        <v xml:space="preserve"> </v>
      </c>
      <c r="K14" s="167"/>
      <c r="L14" s="166"/>
      <c r="M14" s="141" t="str">
        <f t="shared" si="2"/>
        <v xml:space="preserve"> </v>
      </c>
      <c r="N14" s="165" t="str">
        <f t="shared" si="3"/>
        <v xml:space="preserve"> </v>
      </c>
      <c r="O14" s="164"/>
      <c r="P14" s="163"/>
      <c r="Q14" s="145" t="str">
        <f t="shared" si="4"/>
        <v xml:space="preserve"> </v>
      </c>
      <c r="R14" s="162" t="str">
        <f t="shared" si="5"/>
        <v xml:space="preserve"> </v>
      </c>
      <c r="S14" s="161"/>
      <c r="T14" s="160"/>
      <c r="U14" s="141" t="str">
        <f t="shared" si="6"/>
        <v xml:space="preserve"> </v>
      </c>
      <c r="V14" s="159" t="str">
        <f t="shared" si="7"/>
        <v xml:space="preserve"> </v>
      </c>
    </row>
    <row r="15" spans="1:23" ht="15" customHeight="1">
      <c r="A15" s="158">
        <v>6</v>
      </c>
      <c r="B15" s="157"/>
      <c r="C15" s="166"/>
      <c r="D15" s="170"/>
      <c r="E15" s="169"/>
      <c r="F15" s="168"/>
      <c r="G15" s="164"/>
      <c r="H15" s="163"/>
      <c r="I15" s="145" t="str">
        <f t="shared" si="0"/>
        <v xml:space="preserve"> </v>
      </c>
      <c r="J15" s="162" t="str">
        <f t="shared" si="1"/>
        <v xml:space="preserve"> </v>
      </c>
      <c r="K15" s="167"/>
      <c r="L15" s="166"/>
      <c r="M15" s="141" t="str">
        <f t="shared" si="2"/>
        <v xml:space="preserve"> </v>
      </c>
      <c r="N15" s="165" t="str">
        <f t="shared" si="3"/>
        <v xml:space="preserve"> </v>
      </c>
      <c r="O15" s="164"/>
      <c r="P15" s="163"/>
      <c r="Q15" s="145" t="str">
        <f t="shared" si="4"/>
        <v xml:space="preserve"> </v>
      </c>
      <c r="R15" s="162" t="str">
        <f t="shared" si="5"/>
        <v xml:space="preserve"> </v>
      </c>
      <c r="S15" s="161"/>
      <c r="T15" s="160"/>
      <c r="U15" s="141" t="str">
        <f t="shared" si="6"/>
        <v xml:space="preserve"> </v>
      </c>
      <c r="V15" s="159" t="str">
        <f t="shared" si="7"/>
        <v xml:space="preserve"> </v>
      </c>
    </row>
    <row r="16" spans="1:23" ht="15" customHeight="1">
      <c r="A16" s="158">
        <v>7</v>
      </c>
      <c r="B16" s="157"/>
      <c r="C16" s="166"/>
      <c r="D16" s="170"/>
      <c r="E16" s="169"/>
      <c r="F16" s="168"/>
      <c r="G16" s="164"/>
      <c r="H16" s="163"/>
      <c r="I16" s="145" t="str">
        <f t="shared" si="0"/>
        <v xml:space="preserve"> </v>
      </c>
      <c r="J16" s="162" t="str">
        <f t="shared" si="1"/>
        <v xml:space="preserve"> </v>
      </c>
      <c r="K16" s="167"/>
      <c r="L16" s="166"/>
      <c r="M16" s="141" t="str">
        <f t="shared" si="2"/>
        <v xml:space="preserve"> </v>
      </c>
      <c r="N16" s="165" t="str">
        <f t="shared" si="3"/>
        <v xml:space="preserve"> </v>
      </c>
      <c r="O16" s="164"/>
      <c r="P16" s="163"/>
      <c r="Q16" s="145" t="str">
        <f t="shared" si="4"/>
        <v xml:space="preserve"> </v>
      </c>
      <c r="R16" s="162" t="str">
        <f t="shared" si="5"/>
        <v xml:space="preserve"> </v>
      </c>
      <c r="S16" s="161"/>
      <c r="T16" s="160"/>
      <c r="U16" s="141" t="str">
        <f t="shared" si="6"/>
        <v xml:space="preserve"> </v>
      </c>
      <c r="V16" s="159" t="str">
        <f t="shared" si="7"/>
        <v xml:space="preserve"> </v>
      </c>
    </row>
    <row r="17" spans="1:22" ht="15" customHeight="1">
      <c r="A17" s="158">
        <v>8</v>
      </c>
      <c r="B17" s="157"/>
      <c r="C17" s="166"/>
      <c r="D17" s="170"/>
      <c r="E17" s="169"/>
      <c r="F17" s="168"/>
      <c r="G17" s="164"/>
      <c r="H17" s="163"/>
      <c r="I17" s="152" t="str">
        <f t="shared" si="0"/>
        <v xml:space="preserve"> </v>
      </c>
      <c r="J17" s="162" t="str">
        <f t="shared" si="1"/>
        <v xml:space="preserve"> </v>
      </c>
      <c r="K17" s="167"/>
      <c r="L17" s="166"/>
      <c r="M17" s="141" t="str">
        <f t="shared" si="2"/>
        <v xml:space="preserve"> </v>
      </c>
      <c r="N17" s="165" t="str">
        <f t="shared" si="3"/>
        <v xml:space="preserve"> </v>
      </c>
      <c r="O17" s="164"/>
      <c r="P17" s="163"/>
      <c r="Q17" s="145" t="str">
        <f t="shared" si="4"/>
        <v xml:space="preserve"> </v>
      </c>
      <c r="R17" s="162" t="str">
        <f t="shared" si="5"/>
        <v xml:space="preserve"> </v>
      </c>
      <c r="S17" s="161"/>
      <c r="T17" s="160"/>
      <c r="U17" s="141" t="str">
        <f t="shared" si="6"/>
        <v xml:space="preserve"> </v>
      </c>
      <c r="V17" s="159" t="str">
        <f t="shared" si="7"/>
        <v xml:space="preserve"> </v>
      </c>
    </row>
    <row r="18" spans="1:22" ht="15" customHeight="1">
      <c r="A18" s="158">
        <v>9</v>
      </c>
      <c r="B18" s="157"/>
      <c r="C18" s="166"/>
      <c r="D18" s="170"/>
      <c r="E18" s="169"/>
      <c r="F18" s="168"/>
      <c r="G18" s="164"/>
      <c r="H18" s="163"/>
      <c r="I18" s="152" t="str">
        <f t="shared" si="0"/>
        <v xml:space="preserve"> </v>
      </c>
      <c r="J18" s="162" t="str">
        <f t="shared" si="1"/>
        <v xml:space="preserve"> </v>
      </c>
      <c r="K18" s="167"/>
      <c r="L18" s="166"/>
      <c r="M18" s="141" t="str">
        <f t="shared" si="2"/>
        <v xml:space="preserve"> </v>
      </c>
      <c r="N18" s="165" t="str">
        <f t="shared" si="3"/>
        <v xml:space="preserve"> </v>
      </c>
      <c r="O18" s="164"/>
      <c r="P18" s="163"/>
      <c r="Q18" s="145" t="str">
        <f t="shared" si="4"/>
        <v xml:space="preserve"> </v>
      </c>
      <c r="R18" s="162" t="str">
        <f t="shared" si="5"/>
        <v xml:space="preserve"> </v>
      </c>
      <c r="S18" s="161"/>
      <c r="T18" s="160"/>
      <c r="U18" s="141" t="str">
        <f t="shared" si="6"/>
        <v xml:space="preserve"> </v>
      </c>
      <c r="V18" s="159" t="str">
        <f t="shared" si="7"/>
        <v xml:space="preserve"> </v>
      </c>
    </row>
    <row r="19" spans="1:22" ht="15" customHeight="1">
      <c r="A19" s="158">
        <v>10</v>
      </c>
      <c r="B19" s="157"/>
      <c r="C19" s="166"/>
      <c r="D19" s="170"/>
      <c r="E19" s="169"/>
      <c r="F19" s="168"/>
      <c r="G19" s="164"/>
      <c r="H19" s="163"/>
      <c r="I19" s="152" t="str">
        <f t="shared" si="0"/>
        <v xml:space="preserve"> </v>
      </c>
      <c r="J19" s="162" t="str">
        <f t="shared" si="1"/>
        <v xml:space="preserve"> </v>
      </c>
      <c r="K19" s="167"/>
      <c r="L19" s="166"/>
      <c r="M19" s="141" t="str">
        <f t="shared" si="2"/>
        <v xml:space="preserve"> </v>
      </c>
      <c r="N19" s="165" t="str">
        <f t="shared" si="3"/>
        <v xml:space="preserve"> </v>
      </c>
      <c r="O19" s="164"/>
      <c r="P19" s="163"/>
      <c r="Q19" s="145" t="str">
        <f t="shared" si="4"/>
        <v xml:space="preserve"> </v>
      </c>
      <c r="R19" s="162" t="str">
        <f t="shared" si="5"/>
        <v xml:space="preserve"> </v>
      </c>
      <c r="S19" s="161"/>
      <c r="T19" s="160"/>
      <c r="U19" s="141" t="str">
        <f t="shared" si="6"/>
        <v xml:space="preserve"> </v>
      </c>
      <c r="V19" s="159" t="str">
        <f t="shared" si="7"/>
        <v xml:space="preserve"> </v>
      </c>
    </row>
    <row r="20" spans="1:22" ht="15" customHeight="1">
      <c r="A20" s="158">
        <v>11</v>
      </c>
      <c r="B20" s="157"/>
      <c r="C20" s="166"/>
      <c r="D20" s="170"/>
      <c r="E20" s="169"/>
      <c r="F20" s="168"/>
      <c r="G20" s="164"/>
      <c r="H20" s="163"/>
      <c r="I20" s="152" t="str">
        <f t="shared" si="0"/>
        <v xml:space="preserve"> </v>
      </c>
      <c r="J20" s="162" t="str">
        <f t="shared" si="1"/>
        <v xml:space="preserve"> </v>
      </c>
      <c r="K20" s="167"/>
      <c r="L20" s="166"/>
      <c r="M20" s="141" t="str">
        <f t="shared" si="2"/>
        <v xml:space="preserve"> </v>
      </c>
      <c r="N20" s="165" t="str">
        <f t="shared" si="3"/>
        <v xml:space="preserve"> </v>
      </c>
      <c r="O20" s="164"/>
      <c r="P20" s="163"/>
      <c r="Q20" s="145" t="str">
        <f t="shared" si="4"/>
        <v xml:space="preserve"> </v>
      </c>
      <c r="R20" s="162" t="str">
        <f t="shared" si="5"/>
        <v xml:space="preserve"> </v>
      </c>
      <c r="S20" s="161"/>
      <c r="T20" s="160"/>
      <c r="U20" s="141" t="str">
        <f t="shared" si="6"/>
        <v xml:space="preserve"> </v>
      </c>
      <c r="V20" s="159" t="str">
        <f t="shared" si="7"/>
        <v xml:space="preserve"> </v>
      </c>
    </row>
    <row r="21" spans="1:22" ht="15" customHeight="1">
      <c r="A21" s="158">
        <v>12</v>
      </c>
      <c r="B21" s="157"/>
      <c r="C21" s="166"/>
      <c r="D21" s="170"/>
      <c r="E21" s="169"/>
      <c r="F21" s="168"/>
      <c r="G21" s="164"/>
      <c r="H21" s="163"/>
      <c r="I21" s="152" t="str">
        <f t="shared" si="0"/>
        <v xml:space="preserve"> </v>
      </c>
      <c r="J21" s="162" t="str">
        <f t="shared" si="1"/>
        <v xml:space="preserve"> </v>
      </c>
      <c r="K21" s="167"/>
      <c r="L21" s="166"/>
      <c r="M21" s="141" t="str">
        <f t="shared" si="2"/>
        <v xml:space="preserve"> </v>
      </c>
      <c r="N21" s="165" t="str">
        <f t="shared" si="3"/>
        <v xml:space="preserve"> </v>
      </c>
      <c r="O21" s="164"/>
      <c r="P21" s="163"/>
      <c r="Q21" s="145" t="str">
        <f t="shared" si="4"/>
        <v xml:space="preserve"> </v>
      </c>
      <c r="R21" s="162" t="str">
        <f t="shared" si="5"/>
        <v xml:space="preserve"> </v>
      </c>
      <c r="S21" s="161"/>
      <c r="T21" s="160"/>
      <c r="U21" s="141" t="str">
        <f t="shared" si="6"/>
        <v xml:space="preserve"> </v>
      </c>
      <c r="V21" s="159" t="str">
        <f t="shared" si="7"/>
        <v xml:space="preserve"> </v>
      </c>
    </row>
    <row r="22" spans="1:22" ht="15" customHeight="1">
      <c r="A22" s="158">
        <v>13</v>
      </c>
      <c r="B22" s="157"/>
      <c r="C22" s="166"/>
      <c r="D22" s="170"/>
      <c r="E22" s="169"/>
      <c r="F22" s="168"/>
      <c r="G22" s="164"/>
      <c r="H22" s="163"/>
      <c r="I22" s="152" t="str">
        <f t="shared" si="0"/>
        <v xml:space="preserve"> </v>
      </c>
      <c r="J22" s="162" t="str">
        <f t="shared" si="1"/>
        <v xml:space="preserve"> </v>
      </c>
      <c r="K22" s="167"/>
      <c r="L22" s="166"/>
      <c r="M22" s="141" t="str">
        <f t="shared" si="2"/>
        <v xml:space="preserve"> </v>
      </c>
      <c r="N22" s="165" t="str">
        <f t="shared" si="3"/>
        <v xml:space="preserve"> </v>
      </c>
      <c r="O22" s="164"/>
      <c r="P22" s="163"/>
      <c r="Q22" s="145" t="str">
        <f t="shared" si="4"/>
        <v xml:space="preserve"> </v>
      </c>
      <c r="R22" s="162" t="str">
        <f t="shared" si="5"/>
        <v xml:space="preserve"> </v>
      </c>
      <c r="S22" s="161"/>
      <c r="T22" s="160"/>
      <c r="U22" s="141" t="str">
        <f t="shared" si="6"/>
        <v xml:space="preserve"> </v>
      </c>
      <c r="V22" s="159" t="str">
        <f t="shared" si="7"/>
        <v xml:space="preserve"> </v>
      </c>
    </row>
    <row r="23" spans="1:22" ht="15" customHeight="1">
      <c r="A23" s="158">
        <v>14</v>
      </c>
      <c r="B23" s="157"/>
      <c r="C23" s="166"/>
      <c r="D23" s="170"/>
      <c r="E23" s="169"/>
      <c r="F23" s="168"/>
      <c r="G23" s="164"/>
      <c r="H23" s="163"/>
      <c r="I23" s="152" t="str">
        <f t="shared" si="0"/>
        <v xml:space="preserve"> </v>
      </c>
      <c r="J23" s="162" t="str">
        <f t="shared" si="1"/>
        <v xml:space="preserve"> </v>
      </c>
      <c r="K23" s="167"/>
      <c r="L23" s="166"/>
      <c r="M23" s="141" t="str">
        <f t="shared" si="2"/>
        <v xml:space="preserve"> </v>
      </c>
      <c r="N23" s="165" t="str">
        <f t="shared" si="3"/>
        <v xml:space="preserve"> </v>
      </c>
      <c r="O23" s="164"/>
      <c r="P23" s="163"/>
      <c r="Q23" s="145" t="str">
        <f t="shared" si="4"/>
        <v xml:space="preserve"> </v>
      </c>
      <c r="R23" s="162" t="str">
        <f t="shared" si="5"/>
        <v xml:space="preserve"> </v>
      </c>
      <c r="S23" s="161"/>
      <c r="T23" s="160"/>
      <c r="U23" s="141" t="str">
        <f t="shared" si="6"/>
        <v xml:space="preserve"> </v>
      </c>
      <c r="V23" s="159" t="str">
        <f t="shared" si="7"/>
        <v xml:space="preserve"> </v>
      </c>
    </row>
    <row r="24" spans="1:22" ht="15" customHeight="1">
      <c r="A24" s="158">
        <v>15</v>
      </c>
      <c r="B24" s="157"/>
      <c r="C24" s="166"/>
      <c r="D24" s="170"/>
      <c r="E24" s="169"/>
      <c r="F24" s="168"/>
      <c r="G24" s="164"/>
      <c r="H24" s="163"/>
      <c r="I24" s="152" t="str">
        <f t="shared" si="0"/>
        <v xml:space="preserve"> </v>
      </c>
      <c r="J24" s="162" t="str">
        <f t="shared" si="1"/>
        <v xml:space="preserve"> </v>
      </c>
      <c r="K24" s="167"/>
      <c r="L24" s="166"/>
      <c r="M24" s="141" t="str">
        <f t="shared" si="2"/>
        <v xml:space="preserve"> </v>
      </c>
      <c r="N24" s="165" t="str">
        <f t="shared" si="3"/>
        <v xml:space="preserve"> </v>
      </c>
      <c r="O24" s="164"/>
      <c r="P24" s="163"/>
      <c r="Q24" s="145" t="str">
        <f t="shared" si="4"/>
        <v xml:space="preserve"> </v>
      </c>
      <c r="R24" s="162" t="str">
        <f t="shared" si="5"/>
        <v xml:space="preserve"> </v>
      </c>
      <c r="S24" s="161"/>
      <c r="T24" s="160"/>
      <c r="U24" s="141" t="str">
        <f t="shared" si="6"/>
        <v xml:space="preserve"> </v>
      </c>
      <c r="V24" s="159" t="str">
        <f t="shared" si="7"/>
        <v xml:space="preserve"> </v>
      </c>
    </row>
    <row r="25" spans="1:22" ht="15" customHeight="1">
      <c r="A25" s="158">
        <v>16</v>
      </c>
      <c r="B25" s="157"/>
      <c r="C25" s="166"/>
      <c r="D25" s="170"/>
      <c r="E25" s="169"/>
      <c r="F25" s="168"/>
      <c r="G25" s="164"/>
      <c r="H25" s="163"/>
      <c r="I25" s="152" t="str">
        <f t="shared" si="0"/>
        <v xml:space="preserve"> </v>
      </c>
      <c r="J25" s="162" t="str">
        <f t="shared" si="1"/>
        <v xml:space="preserve"> </v>
      </c>
      <c r="K25" s="167"/>
      <c r="L25" s="166"/>
      <c r="M25" s="141" t="str">
        <f t="shared" si="2"/>
        <v xml:space="preserve"> </v>
      </c>
      <c r="N25" s="165" t="str">
        <f t="shared" si="3"/>
        <v xml:space="preserve"> </v>
      </c>
      <c r="O25" s="164"/>
      <c r="P25" s="163"/>
      <c r="Q25" s="145" t="str">
        <f t="shared" si="4"/>
        <v xml:space="preserve"> </v>
      </c>
      <c r="R25" s="162" t="str">
        <f t="shared" si="5"/>
        <v xml:space="preserve"> </v>
      </c>
      <c r="S25" s="161"/>
      <c r="T25" s="160"/>
      <c r="U25" s="141" t="str">
        <f t="shared" si="6"/>
        <v xml:space="preserve"> </v>
      </c>
      <c r="V25" s="159" t="str">
        <f t="shared" si="7"/>
        <v xml:space="preserve"> </v>
      </c>
    </row>
    <row r="26" spans="1:22" ht="15" customHeight="1">
      <c r="A26" s="158">
        <v>17</v>
      </c>
      <c r="B26" s="157"/>
      <c r="C26" s="166"/>
      <c r="D26" s="170"/>
      <c r="E26" s="169"/>
      <c r="F26" s="168"/>
      <c r="G26" s="164"/>
      <c r="H26" s="163"/>
      <c r="I26" s="152" t="str">
        <f t="shared" si="0"/>
        <v xml:space="preserve"> </v>
      </c>
      <c r="J26" s="162" t="str">
        <f t="shared" si="1"/>
        <v xml:space="preserve"> </v>
      </c>
      <c r="K26" s="167"/>
      <c r="L26" s="166"/>
      <c r="M26" s="141" t="str">
        <f t="shared" si="2"/>
        <v xml:space="preserve"> </v>
      </c>
      <c r="N26" s="165" t="str">
        <f t="shared" si="3"/>
        <v xml:space="preserve"> </v>
      </c>
      <c r="O26" s="164"/>
      <c r="P26" s="163"/>
      <c r="Q26" s="145" t="str">
        <f t="shared" si="4"/>
        <v xml:space="preserve"> </v>
      </c>
      <c r="R26" s="162" t="str">
        <f t="shared" si="5"/>
        <v xml:space="preserve"> </v>
      </c>
      <c r="S26" s="161"/>
      <c r="T26" s="160"/>
      <c r="U26" s="141" t="str">
        <f t="shared" si="6"/>
        <v xml:space="preserve"> </v>
      </c>
      <c r="V26" s="159" t="str">
        <f t="shared" si="7"/>
        <v xml:space="preserve"> </v>
      </c>
    </row>
    <row r="27" spans="1:22" ht="15" customHeight="1">
      <c r="A27" s="158">
        <v>18</v>
      </c>
      <c r="B27" s="157"/>
      <c r="C27" s="166"/>
      <c r="D27" s="170"/>
      <c r="E27" s="169"/>
      <c r="F27" s="168"/>
      <c r="G27" s="164"/>
      <c r="H27" s="163"/>
      <c r="I27" s="152" t="str">
        <f t="shared" si="0"/>
        <v xml:space="preserve"> </v>
      </c>
      <c r="J27" s="162" t="str">
        <f t="shared" si="1"/>
        <v xml:space="preserve"> </v>
      </c>
      <c r="K27" s="167"/>
      <c r="L27" s="166"/>
      <c r="M27" s="141" t="str">
        <f t="shared" si="2"/>
        <v xml:space="preserve"> </v>
      </c>
      <c r="N27" s="165" t="str">
        <f t="shared" si="3"/>
        <v xml:space="preserve"> </v>
      </c>
      <c r="O27" s="164"/>
      <c r="P27" s="163"/>
      <c r="Q27" s="145" t="str">
        <f t="shared" si="4"/>
        <v xml:space="preserve"> </v>
      </c>
      <c r="R27" s="162" t="str">
        <f t="shared" si="5"/>
        <v xml:space="preserve"> </v>
      </c>
      <c r="S27" s="161"/>
      <c r="T27" s="160"/>
      <c r="U27" s="141" t="str">
        <f t="shared" si="6"/>
        <v xml:space="preserve"> </v>
      </c>
      <c r="V27" s="159" t="str">
        <f t="shared" si="7"/>
        <v xml:space="preserve"> </v>
      </c>
    </row>
    <row r="28" spans="1:22" ht="15" customHeight="1">
      <c r="A28" s="158">
        <v>19</v>
      </c>
      <c r="B28" s="157"/>
      <c r="C28" s="166"/>
      <c r="D28" s="170"/>
      <c r="E28" s="169"/>
      <c r="F28" s="168"/>
      <c r="G28" s="164"/>
      <c r="H28" s="163"/>
      <c r="I28" s="152" t="str">
        <f t="shared" si="0"/>
        <v xml:space="preserve"> </v>
      </c>
      <c r="J28" s="162" t="str">
        <f t="shared" si="1"/>
        <v xml:space="preserve"> </v>
      </c>
      <c r="K28" s="167"/>
      <c r="L28" s="166"/>
      <c r="M28" s="141" t="str">
        <f t="shared" si="2"/>
        <v xml:space="preserve"> </v>
      </c>
      <c r="N28" s="165" t="str">
        <f t="shared" si="3"/>
        <v xml:space="preserve"> </v>
      </c>
      <c r="O28" s="164"/>
      <c r="P28" s="163"/>
      <c r="Q28" s="145" t="str">
        <f t="shared" si="4"/>
        <v xml:space="preserve"> </v>
      </c>
      <c r="R28" s="162" t="str">
        <f t="shared" si="5"/>
        <v xml:space="preserve"> </v>
      </c>
      <c r="S28" s="161"/>
      <c r="T28" s="160"/>
      <c r="U28" s="141" t="str">
        <f t="shared" si="6"/>
        <v xml:space="preserve"> </v>
      </c>
      <c r="V28" s="159" t="str">
        <f t="shared" si="7"/>
        <v xml:space="preserve"> </v>
      </c>
    </row>
    <row r="29" spans="1:22" ht="15" customHeight="1">
      <c r="A29" s="158">
        <v>20</v>
      </c>
      <c r="B29" s="157"/>
      <c r="C29" s="166"/>
      <c r="D29" s="170"/>
      <c r="E29" s="169"/>
      <c r="F29" s="168"/>
      <c r="G29" s="164"/>
      <c r="H29" s="163"/>
      <c r="I29" s="152" t="str">
        <f t="shared" si="0"/>
        <v xml:space="preserve"> </v>
      </c>
      <c r="J29" s="162" t="str">
        <f t="shared" si="1"/>
        <v xml:space="preserve"> </v>
      </c>
      <c r="K29" s="167"/>
      <c r="L29" s="166"/>
      <c r="M29" s="141" t="str">
        <f t="shared" si="2"/>
        <v xml:space="preserve"> </v>
      </c>
      <c r="N29" s="165" t="str">
        <f t="shared" si="3"/>
        <v xml:space="preserve"> </v>
      </c>
      <c r="O29" s="164"/>
      <c r="P29" s="163"/>
      <c r="Q29" s="145" t="str">
        <f t="shared" si="4"/>
        <v xml:space="preserve"> </v>
      </c>
      <c r="R29" s="162" t="str">
        <f t="shared" si="5"/>
        <v xml:space="preserve"> </v>
      </c>
      <c r="S29" s="161"/>
      <c r="T29" s="160"/>
      <c r="U29" s="141" t="str">
        <f t="shared" si="6"/>
        <v xml:space="preserve"> </v>
      </c>
      <c r="V29" s="159" t="str">
        <f t="shared" si="7"/>
        <v xml:space="preserve"> </v>
      </c>
    </row>
    <row r="30" spans="1:22" ht="15" customHeight="1">
      <c r="A30" s="158">
        <v>21</v>
      </c>
      <c r="B30" s="157"/>
      <c r="C30" s="166"/>
      <c r="D30" s="170"/>
      <c r="E30" s="169"/>
      <c r="F30" s="168"/>
      <c r="G30" s="164"/>
      <c r="H30" s="163"/>
      <c r="I30" s="152" t="str">
        <f t="shared" si="0"/>
        <v xml:space="preserve"> </v>
      </c>
      <c r="J30" s="162" t="str">
        <f t="shared" si="1"/>
        <v xml:space="preserve"> </v>
      </c>
      <c r="K30" s="167"/>
      <c r="L30" s="166"/>
      <c r="M30" s="141" t="str">
        <f t="shared" si="2"/>
        <v xml:space="preserve"> </v>
      </c>
      <c r="N30" s="165" t="str">
        <f t="shared" si="3"/>
        <v xml:space="preserve"> </v>
      </c>
      <c r="O30" s="164"/>
      <c r="P30" s="163"/>
      <c r="Q30" s="145" t="str">
        <f t="shared" si="4"/>
        <v xml:space="preserve"> </v>
      </c>
      <c r="R30" s="162" t="str">
        <f t="shared" si="5"/>
        <v xml:space="preserve"> </v>
      </c>
      <c r="S30" s="161"/>
      <c r="T30" s="160"/>
      <c r="U30" s="141" t="str">
        <f t="shared" si="6"/>
        <v xml:space="preserve"> </v>
      </c>
      <c r="V30" s="159" t="str">
        <f t="shared" si="7"/>
        <v xml:space="preserve"> </v>
      </c>
    </row>
    <row r="31" spans="1:22" ht="15" customHeight="1">
      <c r="A31" s="158">
        <v>22</v>
      </c>
      <c r="B31" s="157"/>
      <c r="C31" s="166"/>
      <c r="D31" s="170"/>
      <c r="E31" s="169"/>
      <c r="F31" s="168"/>
      <c r="G31" s="164"/>
      <c r="H31" s="163"/>
      <c r="I31" s="152" t="str">
        <f t="shared" si="0"/>
        <v xml:space="preserve"> </v>
      </c>
      <c r="J31" s="162" t="str">
        <f t="shared" si="1"/>
        <v xml:space="preserve"> </v>
      </c>
      <c r="K31" s="167"/>
      <c r="L31" s="166"/>
      <c r="M31" s="141" t="str">
        <f t="shared" si="2"/>
        <v xml:space="preserve"> </v>
      </c>
      <c r="N31" s="165" t="str">
        <f t="shared" si="3"/>
        <v xml:space="preserve"> </v>
      </c>
      <c r="O31" s="164"/>
      <c r="P31" s="163"/>
      <c r="Q31" s="145" t="str">
        <f t="shared" si="4"/>
        <v xml:space="preserve"> </v>
      </c>
      <c r="R31" s="162" t="str">
        <f t="shared" si="5"/>
        <v xml:space="preserve"> </v>
      </c>
      <c r="S31" s="161"/>
      <c r="T31" s="160"/>
      <c r="U31" s="141" t="str">
        <f t="shared" si="6"/>
        <v xml:space="preserve"> </v>
      </c>
      <c r="V31" s="159" t="str">
        <f t="shared" si="7"/>
        <v xml:space="preserve"> </v>
      </c>
    </row>
    <row r="32" spans="1:22" ht="15" customHeight="1">
      <c r="A32" s="158">
        <v>23</v>
      </c>
      <c r="B32" s="157"/>
      <c r="C32" s="166"/>
      <c r="D32" s="170"/>
      <c r="E32" s="169"/>
      <c r="F32" s="168"/>
      <c r="G32" s="164"/>
      <c r="H32" s="163"/>
      <c r="I32" s="152" t="str">
        <f t="shared" si="0"/>
        <v xml:space="preserve"> </v>
      </c>
      <c r="J32" s="162" t="str">
        <f t="shared" si="1"/>
        <v xml:space="preserve"> </v>
      </c>
      <c r="K32" s="167"/>
      <c r="L32" s="166"/>
      <c r="M32" s="141" t="str">
        <f t="shared" si="2"/>
        <v xml:space="preserve"> </v>
      </c>
      <c r="N32" s="165" t="str">
        <f t="shared" si="3"/>
        <v xml:space="preserve"> </v>
      </c>
      <c r="O32" s="164"/>
      <c r="P32" s="163"/>
      <c r="Q32" s="145" t="str">
        <f t="shared" si="4"/>
        <v xml:space="preserve"> </v>
      </c>
      <c r="R32" s="162" t="str">
        <f t="shared" si="5"/>
        <v xml:space="preserve"> </v>
      </c>
      <c r="S32" s="161"/>
      <c r="T32" s="160"/>
      <c r="U32" s="141" t="str">
        <f t="shared" si="6"/>
        <v xml:space="preserve"> </v>
      </c>
      <c r="V32" s="159" t="str">
        <f t="shared" si="7"/>
        <v xml:space="preserve"> </v>
      </c>
    </row>
    <row r="33" spans="1:22" ht="15" customHeight="1">
      <c r="A33" s="158">
        <v>24</v>
      </c>
      <c r="B33" s="157"/>
      <c r="C33" s="166"/>
      <c r="D33" s="170"/>
      <c r="E33" s="169"/>
      <c r="F33" s="168"/>
      <c r="G33" s="164"/>
      <c r="H33" s="163"/>
      <c r="I33" s="152" t="str">
        <f t="shared" si="0"/>
        <v xml:space="preserve"> </v>
      </c>
      <c r="J33" s="162" t="str">
        <f t="shared" si="1"/>
        <v xml:space="preserve"> </v>
      </c>
      <c r="K33" s="167"/>
      <c r="L33" s="166"/>
      <c r="M33" s="141" t="str">
        <f t="shared" si="2"/>
        <v xml:space="preserve"> </v>
      </c>
      <c r="N33" s="165" t="str">
        <f t="shared" si="3"/>
        <v xml:space="preserve"> </v>
      </c>
      <c r="O33" s="164"/>
      <c r="P33" s="163"/>
      <c r="Q33" s="145" t="str">
        <f t="shared" si="4"/>
        <v xml:space="preserve"> </v>
      </c>
      <c r="R33" s="162" t="str">
        <f t="shared" si="5"/>
        <v xml:space="preserve"> </v>
      </c>
      <c r="S33" s="161"/>
      <c r="T33" s="160"/>
      <c r="U33" s="141" t="str">
        <f t="shared" si="6"/>
        <v xml:space="preserve"> </v>
      </c>
      <c r="V33" s="159" t="str">
        <f t="shared" si="7"/>
        <v xml:space="preserve"> </v>
      </c>
    </row>
    <row r="34" spans="1:22" ht="15" customHeight="1">
      <c r="A34" s="158">
        <v>25</v>
      </c>
      <c r="B34" s="157"/>
      <c r="C34" s="166"/>
      <c r="D34" s="170"/>
      <c r="E34" s="169"/>
      <c r="F34" s="168"/>
      <c r="G34" s="164"/>
      <c r="H34" s="163"/>
      <c r="I34" s="152" t="str">
        <f t="shared" si="0"/>
        <v xml:space="preserve"> </v>
      </c>
      <c r="J34" s="162" t="str">
        <f t="shared" si="1"/>
        <v xml:space="preserve"> </v>
      </c>
      <c r="K34" s="167"/>
      <c r="L34" s="166"/>
      <c r="M34" s="141" t="str">
        <f t="shared" si="2"/>
        <v xml:space="preserve"> </v>
      </c>
      <c r="N34" s="165" t="str">
        <f t="shared" si="3"/>
        <v xml:space="preserve"> </v>
      </c>
      <c r="O34" s="164"/>
      <c r="P34" s="163"/>
      <c r="Q34" s="145" t="str">
        <f t="shared" si="4"/>
        <v xml:space="preserve"> </v>
      </c>
      <c r="R34" s="162" t="str">
        <f t="shared" si="5"/>
        <v xml:space="preserve"> </v>
      </c>
      <c r="S34" s="161"/>
      <c r="T34" s="160"/>
      <c r="U34" s="141" t="str">
        <f t="shared" si="6"/>
        <v xml:space="preserve"> </v>
      </c>
      <c r="V34" s="159" t="str">
        <f t="shared" si="7"/>
        <v xml:space="preserve"> </v>
      </c>
    </row>
    <row r="35" spans="1:22" ht="15" customHeight="1">
      <c r="A35" s="158">
        <v>26</v>
      </c>
      <c r="B35" s="157"/>
      <c r="C35" s="166"/>
      <c r="D35" s="170"/>
      <c r="E35" s="169"/>
      <c r="F35" s="168"/>
      <c r="G35" s="164"/>
      <c r="H35" s="163"/>
      <c r="I35" s="152" t="str">
        <f t="shared" si="0"/>
        <v xml:space="preserve"> </v>
      </c>
      <c r="J35" s="162" t="str">
        <f t="shared" si="1"/>
        <v xml:space="preserve"> </v>
      </c>
      <c r="K35" s="167"/>
      <c r="L35" s="166"/>
      <c r="M35" s="141" t="str">
        <f t="shared" si="2"/>
        <v xml:space="preserve"> </v>
      </c>
      <c r="N35" s="165" t="str">
        <f t="shared" si="3"/>
        <v xml:space="preserve"> </v>
      </c>
      <c r="O35" s="164"/>
      <c r="P35" s="163"/>
      <c r="Q35" s="145" t="str">
        <f t="shared" si="4"/>
        <v xml:space="preserve"> </v>
      </c>
      <c r="R35" s="162" t="str">
        <f t="shared" si="5"/>
        <v xml:space="preserve"> </v>
      </c>
      <c r="S35" s="161"/>
      <c r="T35" s="160"/>
      <c r="U35" s="141" t="str">
        <f t="shared" si="6"/>
        <v xml:space="preserve"> </v>
      </c>
      <c r="V35" s="159" t="str">
        <f t="shared" si="7"/>
        <v xml:space="preserve"> </v>
      </c>
    </row>
    <row r="36" spans="1:22" ht="15" customHeight="1">
      <c r="A36" s="158">
        <v>27</v>
      </c>
      <c r="B36" s="157"/>
      <c r="C36" s="166"/>
      <c r="D36" s="170"/>
      <c r="E36" s="169"/>
      <c r="F36" s="168"/>
      <c r="G36" s="164"/>
      <c r="H36" s="163"/>
      <c r="I36" s="152" t="str">
        <f t="shared" si="0"/>
        <v xml:space="preserve"> </v>
      </c>
      <c r="J36" s="162" t="str">
        <f t="shared" si="1"/>
        <v xml:space="preserve"> </v>
      </c>
      <c r="K36" s="167"/>
      <c r="L36" s="166"/>
      <c r="M36" s="141" t="str">
        <f t="shared" si="2"/>
        <v xml:space="preserve"> </v>
      </c>
      <c r="N36" s="165" t="str">
        <f t="shared" si="3"/>
        <v xml:space="preserve"> </v>
      </c>
      <c r="O36" s="164"/>
      <c r="P36" s="163"/>
      <c r="Q36" s="145" t="str">
        <f t="shared" si="4"/>
        <v xml:space="preserve"> </v>
      </c>
      <c r="R36" s="162" t="str">
        <f t="shared" si="5"/>
        <v xml:space="preserve"> </v>
      </c>
      <c r="S36" s="161"/>
      <c r="T36" s="160"/>
      <c r="U36" s="141" t="str">
        <f t="shared" si="6"/>
        <v xml:space="preserve"> </v>
      </c>
      <c r="V36" s="159" t="str">
        <f t="shared" si="7"/>
        <v xml:space="preserve"> </v>
      </c>
    </row>
    <row r="37" spans="1:22" ht="15" customHeight="1">
      <c r="A37" s="158">
        <v>28</v>
      </c>
      <c r="B37" s="157"/>
      <c r="C37" s="166"/>
      <c r="D37" s="170"/>
      <c r="E37" s="169"/>
      <c r="F37" s="168"/>
      <c r="G37" s="164"/>
      <c r="H37" s="163"/>
      <c r="I37" s="152" t="str">
        <f t="shared" si="0"/>
        <v xml:space="preserve"> </v>
      </c>
      <c r="J37" s="162" t="str">
        <f t="shared" si="1"/>
        <v xml:space="preserve"> </v>
      </c>
      <c r="K37" s="167"/>
      <c r="L37" s="166"/>
      <c r="M37" s="141" t="str">
        <f t="shared" si="2"/>
        <v xml:space="preserve"> </v>
      </c>
      <c r="N37" s="165" t="str">
        <f t="shared" si="3"/>
        <v xml:space="preserve"> </v>
      </c>
      <c r="O37" s="164"/>
      <c r="P37" s="163"/>
      <c r="Q37" s="145" t="str">
        <f t="shared" si="4"/>
        <v xml:space="preserve"> </v>
      </c>
      <c r="R37" s="162" t="str">
        <f t="shared" si="5"/>
        <v xml:space="preserve"> </v>
      </c>
      <c r="S37" s="161"/>
      <c r="T37" s="160"/>
      <c r="U37" s="141" t="str">
        <f t="shared" si="6"/>
        <v xml:space="preserve"> </v>
      </c>
      <c r="V37" s="159" t="str">
        <f t="shared" si="7"/>
        <v xml:space="preserve"> </v>
      </c>
    </row>
    <row r="38" spans="1:22" ht="15" customHeight="1">
      <c r="A38" s="158">
        <v>29</v>
      </c>
      <c r="B38" s="157"/>
      <c r="C38" s="166"/>
      <c r="D38" s="170"/>
      <c r="E38" s="169"/>
      <c r="F38" s="168"/>
      <c r="G38" s="164"/>
      <c r="H38" s="163"/>
      <c r="I38" s="152" t="str">
        <f t="shared" si="0"/>
        <v xml:space="preserve"> </v>
      </c>
      <c r="J38" s="162" t="str">
        <f t="shared" si="1"/>
        <v xml:space="preserve"> </v>
      </c>
      <c r="K38" s="167"/>
      <c r="L38" s="166"/>
      <c r="M38" s="141" t="str">
        <f t="shared" si="2"/>
        <v xml:space="preserve"> </v>
      </c>
      <c r="N38" s="165" t="str">
        <f t="shared" si="3"/>
        <v xml:space="preserve"> </v>
      </c>
      <c r="O38" s="164"/>
      <c r="P38" s="163"/>
      <c r="Q38" s="145" t="str">
        <f t="shared" si="4"/>
        <v xml:space="preserve"> </v>
      </c>
      <c r="R38" s="162" t="str">
        <f t="shared" si="5"/>
        <v xml:space="preserve"> </v>
      </c>
      <c r="S38" s="161"/>
      <c r="T38" s="160"/>
      <c r="U38" s="141" t="str">
        <f t="shared" si="6"/>
        <v xml:space="preserve"> </v>
      </c>
      <c r="V38" s="159" t="str">
        <f t="shared" si="7"/>
        <v xml:space="preserve"> </v>
      </c>
    </row>
    <row r="39" spans="1:22" ht="15" customHeight="1">
      <c r="A39" s="158">
        <v>30</v>
      </c>
      <c r="B39" s="157"/>
      <c r="C39" s="166"/>
      <c r="D39" s="170"/>
      <c r="E39" s="169"/>
      <c r="F39" s="168"/>
      <c r="G39" s="164"/>
      <c r="H39" s="163"/>
      <c r="I39" s="152" t="str">
        <f t="shared" si="0"/>
        <v xml:space="preserve"> </v>
      </c>
      <c r="J39" s="162" t="str">
        <f t="shared" si="1"/>
        <v xml:space="preserve"> </v>
      </c>
      <c r="K39" s="167"/>
      <c r="L39" s="166"/>
      <c r="M39" s="141" t="str">
        <f t="shared" si="2"/>
        <v xml:space="preserve"> </v>
      </c>
      <c r="N39" s="165" t="str">
        <f t="shared" si="3"/>
        <v xml:space="preserve"> </v>
      </c>
      <c r="O39" s="164"/>
      <c r="P39" s="163"/>
      <c r="Q39" s="145" t="str">
        <f t="shared" si="4"/>
        <v xml:space="preserve"> </v>
      </c>
      <c r="R39" s="162" t="str">
        <f t="shared" si="5"/>
        <v xml:space="preserve"> </v>
      </c>
      <c r="S39" s="161"/>
      <c r="T39" s="160"/>
      <c r="U39" s="141" t="str">
        <f t="shared" si="6"/>
        <v xml:space="preserve"> </v>
      </c>
      <c r="V39" s="159" t="str">
        <f t="shared" si="7"/>
        <v xml:space="preserve"> </v>
      </c>
    </row>
    <row r="40" spans="1:22" ht="15" customHeight="1" thickBot="1">
      <c r="A40" s="158">
        <v>31</v>
      </c>
      <c r="B40" s="157"/>
      <c r="C40" s="156"/>
      <c r="D40" s="155"/>
      <c r="E40" s="154"/>
      <c r="F40" s="153"/>
      <c r="G40" s="147"/>
      <c r="H40" s="146"/>
      <c r="I40" s="152" t="str">
        <f t="shared" si="0"/>
        <v xml:space="preserve"> </v>
      </c>
      <c r="J40" s="144" t="str">
        <f t="shared" si="1"/>
        <v xml:space="preserve"> </v>
      </c>
      <c r="K40" s="151"/>
      <c r="L40" s="150"/>
      <c r="M40" s="149" t="str">
        <f t="shared" si="2"/>
        <v xml:space="preserve"> </v>
      </c>
      <c r="N40" s="148" t="str">
        <f t="shared" si="3"/>
        <v xml:space="preserve"> </v>
      </c>
      <c r="O40" s="147"/>
      <c r="P40" s="146"/>
      <c r="Q40" s="145" t="str">
        <f t="shared" si="4"/>
        <v xml:space="preserve"> </v>
      </c>
      <c r="R40" s="144" t="str">
        <f t="shared" si="5"/>
        <v xml:space="preserve"> </v>
      </c>
      <c r="S40" s="143"/>
      <c r="T40" s="142"/>
      <c r="U40" s="141" t="str">
        <f t="shared" si="6"/>
        <v xml:space="preserve"> </v>
      </c>
      <c r="V40" s="140" t="str">
        <f t="shared" si="7"/>
        <v xml:space="preserve"> </v>
      </c>
    </row>
    <row r="41" spans="1:22" ht="15" customHeight="1">
      <c r="A41" s="343" t="s">
        <v>154</v>
      </c>
      <c r="B41" s="344"/>
      <c r="C41" s="344"/>
      <c r="D41" s="345"/>
      <c r="E41" s="345"/>
      <c r="F41" s="345"/>
      <c r="G41" s="138" t="str">
        <f>IF(ISBLANK($S1)," ",SUM(G10:G40))</f>
        <v xml:space="preserve"> </v>
      </c>
      <c r="H41" s="137"/>
      <c r="I41" s="136" t="str">
        <f>IF(ISBLANK($S1)," ",SUM(I10:I40))</f>
        <v xml:space="preserve"> </v>
      </c>
      <c r="J41" s="135"/>
      <c r="K41" s="134" t="str">
        <f>IF(ISBLANK($S1)," ",SUM(K10:K40))</f>
        <v xml:space="preserve"> </v>
      </c>
      <c r="L41" s="133"/>
      <c r="M41" s="132" t="str">
        <f>IF(ISBLANK($S1)," ",SUM(M10:M40))</f>
        <v xml:space="preserve"> </v>
      </c>
      <c r="N41" s="139"/>
      <c r="O41" s="138" t="str">
        <f>IF(ISBLANK($S1)," ",SUM(O10:O40))</f>
        <v xml:space="preserve"> </v>
      </c>
      <c r="P41" s="137"/>
      <c r="Q41" s="136" t="str">
        <f>IF(ISBLANK($S1)," ",SUM(Q10:Q40))</f>
        <v xml:space="preserve"> </v>
      </c>
      <c r="R41" s="135"/>
      <c r="S41" s="134" t="str">
        <f>IF(ISBLANK($S1)," ",SUM(S10:S40))</f>
        <v xml:space="preserve"> </v>
      </c>
      <c r="T41" s="133"/>
      <c r="U41" s="132" t="str">
        <f>IF(ISBLANK($S1)," ",SUM(U10:U40))</f>
        <v xml:space="preserve"> </v>
      </c>
      <c r="V41" s="131"/>
    </row>
    <row r="42" spans="1:22" ht="15" customHeight="1" thickBot="1">
      <c r="A42" s="346" t="s">
        <v>153</v>
      </c>
      <c r="B42" s="347"/>
      <c r="C42" s="347"/>
      <c r="D42" s="348"/>
      <c r="E42" s="348"/>
      <c r="F42" s="348"/>
      <c r="G42" s="128"/>
      <c r="H42" s="127"/>
      <c r="I42" s="126"/>
      <c r="J42" s="125"/>
      <c r="K42" s="124"/>
      <c r="L42" s="123"/>
      <c r="M42" s="130"/>
      <c r="N42" s="129"/>
      <c r="O42" s="128"/>
      <c r="P42" s="127"/>
      <c r="Q42" s="126"/>
      <c r="R42" s="125"/>
      <c r="S42" s="124"/>
      <c r="T42" s="123"/>
      <c r="U42" s="122"/>
      <c r="V42" s="121"/>
    </row>
  </sheetData>
  <sheetProtection password="CD14" sheet="1" objects="1" scenarios="1" selectLockedCells="1"/>
  <mergeCells count="59">
    <mergeCell ref="M3:N3"/>
    <mergeCell ref="K4:L4"/>
    <mergeCell ref="M4:N4"/>
    <mergeCell ref="M5:N5"/>
    <mergeCell ref="P1:Q1"/>
    <mergeCell ref="O3:P3"/>
    <mergeCell ref="Q3:R3"/>
    <mergeCell ref="O4:P4"/>
    <mergeCell ref="Q4:R4"/>
    <mergeCell ref="S1:T1"/>
    <mergeCell ref="G1:H1"/>
    <mergeCell ref="I1:N1"/>
    <mergeCell ref="M2:N2"/>
    <mergeCell ref="O2:P2"/>
    <mergeCell ref="Q2:R2"/>
    <mergeCell ref="A1:C1"/>
    <mergeCell ref="D1:F1"/>
    <mergeCell ref="A7:A9"/>
    <mergeCell ref="G2:H2"/>
    <mergeCell ref="I2:J2"/>
    <mergeCell ref="G3:H3"/>
    <mergeCell ref="I3:J3"/>
    <mergeCell ref="I4:J4"/>
    <mergeCell ref="I5:J5"/>
    <mergeCell ref="G4:H4"/>
    <mergeCell ref="B8:B9"/>
    <mergeCell ref="G5:H5"/>
    <mergeCell ref="G7:H7"/>
    <mergeCell ref="E7:F7"/>
    <mergeCell ref="A2:F4"/>
    <mergeCell ref="A5:C6"/>
    <mergeCell ref="D5:F6"/>
    <mergeCell ref="K5:L5"/>
    <mergeCell ref="K7:L7"/>
    <mergeCell ref="K2:L2"/>
    <mergeCell ref="K3:L3"/>
    <mergeCell ref="I6:J6"/>
    <mergeCell ref="S6:T6"/>
    <mergeCell ref="O6:P6"/>
    <mergeCell ref="Q6:R6"/>
    <mergeCell ref="A41:F41"/>
    <mergeCell ref="K6:L6"/>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U6:V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340" t="s">
        <v>165</v>
      </c>
      <c r="B1" s="340"/>
      <c r="C1" s="340"/>
      <c r="D1" s="340"/>
      <c r="E1" s="340"/>
      <c r="F1" s="340"/>
      <c r="G1" s="340"/>
      <c r="H1" s="340"/>
      <c r="I1" s="340"/>
      <c r="J1" s="340"/>
      <c r="K1" s="340"/>
      <c r="L1" s="340"/>
      <c r="M1" s="340"/>
      <c r="N1" s="340"/>
      <c r="O1" s="340"/>
      <c r="P1" s="340"/>
      <c r="Q1" s="340"/>
      <c r="R1" s="340"/>
      <c r="S1" s="340"/>
      <c r="T1" s="340"/>
      <c r="U1" s="311"/>
      <c r="V1" s="311"/>
    </row>
    <row r="2" spans="1:22" ht="30" customHeight="1">
      <c r="A2" s="340" t="s">
        <v>166</v>
      </c>
      <c r="B2" s="340"/>
      <c r="C2" s="340"/>
      <c r="D2" s="340"/>
      <c r="E2" s="340"/>
      <c r="F2" s="340"/>
      <c r="G2" s="340"/>
      <c r="H2" s="340"/>
      <c r="I2" s="340"/>
      <c r="J2" s="340"/>
      <c r="K2" s="340"/>
      <c r="L2" s="340"/>
      <c r="M2" s="340"/>
      <c r="N2" s="340"/>
      <c r="O2" s="340"/>
      <c r="P2" s="340"/>
      <c r="Q2" s="340"/>
      <c r="R2" s="340"/>
      <c r="S2" s="340"/>
      <c r="T2" s="340"/>
      <c r="U2" s="311"/>
      <c r="V2" s="311"/>
    </row>
    <row r="3" spans="1:22" ht="30" customHeight="1">
      <c r="A3" s="340" t="s">
        <v>167</v>
      </c>
      <c r="B3" s="340"/>
      <c r="C3" s="340"/>
      <c r="D3" s="340"/>
      <c r="E3" s="340"/>
      <c r="F3" s="340"/>
      <c r="G3" s="340"/>
      <c r="H3" s="340"/>
      <c r="I3" s="340"/>
      <c r="J3" s="340"/>
      <c r="K3" s="340"/>
      <c r="L3" s="340"/>
      <c r="M3" s="340"/>
      <c r="N3" s="340"/>
      <c r="O3" s="340"/>
      <c r="P3" s="340"/>
      <c r="Q3" s="340"/>
      <c r="R3" s="340"/>
      <c r="S3" s="340"/>
      <c r="T3" s="340"/>
      <c r="U3" s="311"/>
      <c r="V3" s="311"/>
    </row>
    <row r="4" spans="1:22" ht="30" customHeight="1">
      <c r="A4" s="340" t="s">
        <v>168</v>
      </c>
      <c r="B4" s="340"/>
      <c r="C4" s="340"/>
      <c r="D4" s="340"/>
      <c r="E4" s="340"/>
      <c r="F4" s="340"/>
      <c r="G4" s="340"/>
      <c r="H4" s="340"/>
      <c r="I4" s="340"/>
      <c r="J4" s="340"/>
      <c r="K4" s="340"/>
      <c r="L4" s="340"/>
      <c r="M4" s="340"/>
      <c r="N4" s="340"/>
      <c r="O4" s="340"/>
      <c r="P4" s="340"/>
      <c r="Q4" s="340"/>
      <c r="R4" s="340"/>
      <c r="S4" s="340"/>
      <c r="T4" s="340"/>
      <c r="U4" s="311"/>
      <c r="V4" s="311"/>
    </row>
    <row r="5" spans="1:22" ht="30" customHeight="1">
      <c r="A5" s="340" t="s">
        <v>169</v>
      </c>
      <c r="B5" s="340"/>
      <c r="C5" s="340"/>
      <c r="D5" s="340"/>
      <c r="E5" s="340"/>
      <c r="F5" s="340"/>
      <c r="G5" s="340"/>
      <c r="H5" s="340"/>
      <c r="I5" s="340"/>
      <c r="J5" s="340"/>
      <c r="K5" s="340"/>
      <c r="L5" s="340"/>
      <c r="M5" s="340"/>
      <c r="N5" s="340"/>
      <c r="O5" s="340"/>
      <c r="P5" s="340"/>
      <c r="Q5" s="340"/>
      <c r="R5" s="340"/>
      <c r="S5" s="340"/>
      <c r="T5" s="340"/>
      <c r="U5" s="311"/>
      <c r="V5" s="311"/>
    </row>
    <row r="6" spans="1:22" ht="30" customHeight="1" thickBot="1">
      <c r="A6" s="330" t="s">
        <v>129</v>
      </c>
      <c r="B6" s="331"/>
      <c r="C6" s="331"/>
      <c r="D6" s="331"/>
      <c r="E6" s="331"/>
      <c r="F6" s="331"/>
      <c r="G6" s="331"/>
      <c r="H6" s="331"/>
      <c r="I6" s="331"/>
      <c r="J6" s="331"/>
      <c r="K6" s="331"/>
      <c r="L6" s="331"/>
      <c r="M6" s="331"/>
      <c r="N6" s="331"/>
      <c r="O6" s="331"/>
      <c r="P6" s="331"/>
      <c r="Q6" s="331"/>
      <c r="R6" s="331"/>
      <c r="S6" s="331"/>
      <c r="T6" s="331"/>
      <c r="U6" s="331"/>
      <c r="V6" s="331"/>
    </row>
    <row r="7" spans="1:22" ht="138.75" customHeight="1" thickBot="1">
      <c r="A7" s="332"/>
      <c r="B7" s="333"/>
      <c r="C7" s="333"/>
      <c r="D7" s="333"/>
      <c r="E7" s="333"/>
      <c r="F7" s="333"/>
      <c r="G7" s="333"/>
      <c r="H7" s="333"/>
      <c r="I7" s="333"/>
      <c r="J7" s="333"/>
      <c r="K7" s="333"/>
      <c r="L7" s="333"/>
      <c r="M7" s="333"/>
      <c r="N7" s="333"/>
      <c r="O7" s="333"/>
      <c r="P7" s="333"/>
      <c r="Q7" s="333"/>
      <c r="R7" s="333"/>
      <c r="S7" s="333"/>
      <c r="T7" s="333"/>
      <c r="U7" s="333"/>
      <c r="V7" s="334"/>
    </row>
    <row r="8" spans="1:22" ht="15" customHeight="1" thickBot="1">
      <c r="A8" s="335"/>
      <c r="B8" s="336"/>
      <c r="C8" s="336"/>
      <c r="D8" s="336"/>
      <c r="E8" s="336"/>
      <c r="F8" s="336"/>
      <c r="G8" s="336"/>
      <c r="H8" s="336"/>
      <c r="I8" s="336"/>
      <c r="J8" s="336"/>
      <c r="K8" s="336"/>
      <c r="L8" s="336"/>
      <c r="M8" s="336"/>
      <c r="N8" s="336"/>
      <c r="O8" s="336"/>
      <c r="P8" s="336"/>
      <c r="Q8" s="336"/>
      <c r="R8" s="336"/>
      <c r="S8" s="336"/>
      <c r="T8" s="336"/>
      <c r="U8" s="336"/>
      <c r="V8" s="336"/>
    </row>
    <row r="9" spans="1:22" ht="30.75" customHeight="1" thickBot="1">
      <c r="A9" s="237" t="s">
        <v>9</v>
      </c>
      <c r="B9" s="336"/>
      <c r="C9" s="336"/>
      <c r="D9" s="336"/>
      <c r="E9" s="336"/>
      <c r="F9" s="336"/>
      <c r="G9" s="336"/>
      <c r="H9" s="336"/>
      <c r="I9" s="336"/>
      <c r="J9" s="336"/>
      <c r="K9" s="336"/>
      <c r="L9" s="337"/>
      <c r="M9" s="338" t="s">
        <v>10</v>
      </c>
      <c r="N9" s="336"/>
      <c r="O9" s="336"/>
      <c r="P9" s="336"/>
      <c r="Q9" s="336"/>
      <c r="R9" s="336"/>
      <c r="S9" s="336"/>
      <c r="T9" s="336"/>
      <c r="U9" s="336"/>
      <c r="V9" s="339"/>
    </row>
    <row r="10" spans="1:22" ht="30.75" customHeight="1">
      <c r="A10" s="313" t="s">
        <v>134</v>
      </c>
      <c r="B10" s="314"/>
      <c r="C10" s="315"/>
      <c r="D10" s="316"/>
      <c r="E10" s="316"/>
      <c r="F10" s="316"/>
      <c r="G10" s="316"/>
      <c r="H10" s="316"/>
      <c r="I10" s="316"/>
      <c r="J10" s="316"/>
      <c r="K10" s="316"/>
      <c r="L10" s="317"/>
      <c r="M10" s="318" t="s">
        <v>130</v>
      </c>
      <c r="N10" s="314"/>
      <c r="O10" s="319"/>
      <c r="P10" s="319"/>
      <c r="Q10" s="319"/>
      <c r="R10" s="319"/>
      <c r="S10" s="319"/>
      <c r="T10" s="319"/>
      <c r="U10" s="319"/>
      <c r="V10" s="320"/>
    </row>
    <row r="11" spans="1:22" ht="30.75" customHeight="1">
      <c r="A11" s="321" t="s">
        <v>135</v>
      </c>
      <c r="B11" s="322"/>
      <c r="C11" s="322"/>
      <c r="D11" s="323"/>
      <c r="E11" s="305"/>
      <c r="F11" s="324"/>
      <c r="G11" s="324"/>
      <c r="H11" s="324"/>
      <c r="I11" s="324"/>
      <c r="J11" s="324"/>
      <c r="K11" s="324"/>
      <c r="L11" s="105"/>
      <c r="M11" s="303" t="s">
        <v>131</v>
      </c>
      <c r="N11" s="322"/>
      <c r="O11" s="325"/>
      <c r="P11" s="326"/>
      <c r="Q11" s="326"/>
      <c r="R11" s="326"/>
      <c r="S11" s="326"/>
      <c r="T11" s="326"/>
      <c r="U11" s="326"/>
      <c r="V11" s="327"/>
    </row>
    <row r="12" spans="1:22" ht="30.75" customHeight="1">
      <c r="A12" s="321" t="s">
        <v>136</v>
      </c>
      <c r="B12" s="322"/>
      <c r="C12" s="325"/>
      <c r="D12" s="325"/>
      <c r="E12" s="328"/>
      <c r="F12" s="329" t="s">
        <v>11</v>
      </c>
      <c r="G12" s="322"/>
      <c r="H12" s="322"/>
      <c r="I12" s="305"/>
      <c r="J12" s="301"/>
      <c r="K12" s="301"/>
      <c r="L12" s="302"/>
      <c r="M12" s="303" t="s">
        <v>132</v>
      </c>
      <c r="N12" s="322"/>
      <c r="O12" s="322"/>
      <c r="P12" s="310"/>
      <c r="Q12" s="311"/>
      <c r="R12" s="311"/>
      <c r="S12" s="311"/>
      <c r="T12" s="311"/>
      <c r="U12" s="311"/>
      <c r="V12" s="312"/>
    </row>
    <row r="13" spans="1:22" ht="30.75" customHeight="1">
      <c r="A13" s="300" t="s">
        <v>156</v>
      </c>
      <c r="B13" s="301"/>
      <c r="C13" s="301"/>
      <c r="D13" s="301"/>
      <c r="E13" s="301"/>
      <c r="F13" s="301"/>
      <c r="G13" s="301"/>
      <c r="H13" s="301"/>
      <c r="I13" s="301"/>
      <c r="J13" s="301"/>
      <c r="K13" s="301"/>
      <c r="L13" s="302"/>
      <c r="M13" s="303" t="s">
        <v>133</v>
      </c>
      <c r="N13" s="304"/>
      <c r="O13" s="305"/>
      <c r="P13" s="301"/>
      <c r="Q13" s="301"/>
      <c r="R13" s="306" t="s">
        <v>155</v>
      </c>
      <c r="S13" s="304"/>
      <c r="T13" s="307"/>
      <c r="U13" s="308"/>
      <c r="V13" s="309"/>
    </row>
    <row r="14" spans="1:22" ht="22.5" customHeight="1">
      <c r="A14" s="290"/>
      <c r="B14" s="273"/>
      <c r="C14" s="273"/>
      <c r="D14" s="273"/>
      <c r="E14" s="273"/>
      <c r="F14" s="273"/>
      <c r="G14" s="273"/>
      <c r="H14" s="273"/>
      <c r="I14" s="273"/>
      <c r="J14" s="293"/>
      <c r="K14" s="274"/>
      <c r="L14" s="294"/>
      <c r="M14" s="296"/>
      <c r="N14" s="273"/>
      <c r="O14" s="273"/>
      <c r="P14" s="273"/>
      <c r="Q14" s="273"/>
      <c r="R14" s="273"/>
      <c r="S14" s="273"/>
      <c r="T14" s="293"/>
      <c r="U14" s="274"/>
      <c r="V14" s="275"/>
    </row>
    <row r="15" spans="1:22" ht="22.5" customHeight="1">
      <c r="A15" s="291"/>
      <c r="B15" s="292"/>
      <c r="C15" s="292"/>
      <c r="D15" s="292"/>
      <c r="E15" s="292"/>
      <c r="F15" s="292"/>
      <c r="G15" s="292"/>
      <c r="H15" s="292"/>
      <c r="I15" s="292"/>
      <c r="J15" s="293"/>
      <c r="K15" s="276"/>
      <c r="L15" s="295"/>
      <c r="M15" s="297"/>
      <c r="N15" s="292"/>
      <c r="O15" s="292"/>
      <c r="P15" s="292"/>
      <c r="Q15" s="292"/>
      <c r="R15" s="292"/>
      <c r="S15" s="292"/>
      <c r="T15" s="293"/>
      <c r="U15" s="276"/>
      <c r="V15" s="277"/>
    </row>
    <row r="16" spans="1:22" ht="30" customHeight="1">
      <c r="A16" s="278" t="s">
        <v>12</v>
      </c>
      <c r="B16" s="279"/>
      <c r="C16" s="279"/>
      <c r="D16" s="279"/>
      <c r="E16" s="279"/>
      <c r="F16" s="279"/>
      <c r="G16" s="279"/>
      <c r="H16" s="279"/>
      <c r="I16" s="279"/>
      <c r="J16" s="293"/>
      <c r="K16" s="280" t="s">
        <v>1</v>
      </c>
      <c r="L16" s="281"/>
      <c r="M16" s="282" t="s">
        <v>12</v>
      </c>
      <c r="N16" s="279"/>
      <c r="O16" s="279"/>
      <c r="P16" s="279"/>
      <c r="Q16" s="279"/>
      <c r="R16" s="279"/>
      <c r="S16" s="279"/>
      <c r="T16" s="293"/>
      <c r="U16" s="280" t="s">
        <v>1</v>
      </c>
      <c r="V16" s="283"/>
    </row>
    <row r="17" spans="1:22" ht="68.25" customHeight="1" thickBot="1">
      <c r="A17" s="284" t="s">
        <v>13</v>
      </c>
      <c r="B17" s="285"/>
      <c r="C17" s="285"/>
      <c r="D17" s="285"/>
      <c r="E17" s="285"/>
      <c r="F17" s="285"/>
      <c r="G17" s="285"/>
      <c r="H17" s="285"/>
      <c r="I17" s="285"/>
      <c r="J17" s="285"/>
      <c r="K17" s="285"/>
      <c r="L17" s="286"/>
      <c r="M17" s="287" t="s">
        <v>14</v>
      </c>
      <c r="N17" s="288"/>
      <c r="O17" s="288"/>
      <c r="P17" s="288"/>
      <c r="Q17" s="288"/>
      <c r="R17" s="288"/>
      <c r="S17" s="288"/>
      <c r="T17" s="288"/>
      <c r="U17" s="288"/>
      <c r="V17" s="289"/>
    </row>
    <row r="18" spans="1:22" ht="15" customHeight="1">
      <c r="A18" s="298"/>
      <c r="B18" s="298"/>
      <c r="C18" s="298"/>
      <c r="D18" s="298"/>
      <c r="E18" s="298"/>
      <c r="F18" s="298"/>
      <c r="G18" s="298"/>
      <c r="H18" s="298"/>
      <c r="I18" s="298"/>
      <c r="J18" s="298"/>
      <c r="K18" s="298"/>
      <c r="L18" s="298"/>
      <c r="M18" s="298"/>
      <c r="N18" s="298"/>
      <c r="O18" s="298"/>
      <c r="P18" s="298"/>
      <c r="Q18" s="298"/>
      <c r="R18" s="298"/>
      <c r="S18" s="298"/>
      <c r="T18" s="298"/>
      <c r="U18" s="299"/>
      <c r="V18" s="299"/>
    </row>
    <row r="19" spans="1:22" ht="15" customHeight="1">
      <c r="A19" s="271" t="s">
        <v>16</v>
      </c>
      <c r="B19" s="272"/>
      <c r="C19" s="272"/>
      <c r="D19" s="272"/>
      <c r="E19" s="272"/>
      <c r="F19" s="272"/>
      <c r="G19" s="272"/>
      <c r="H19" s="272"/>
      <c r="I19" s="272"/>
      <c r="J19" s="272"/>
      <c r="K19" s="272"/>
      <c r="L19" s="272"/>
      <c r="M19" s="272"/>
      <c r="N19" s="272"/>
      <c r="O19" s="272"/>
      <c r="P19" s="272"/>
      <c r="Q19" s="272"/>
      <c r="R19" s="272"/>
      <c r="S19" s="272"/>
      <c r="T19" s="272"/>
      <c r="U19" s="273"/>
      <c r="V19" s="273"/>
    </row>
    <row r="20" spans="1:22" ht="15" customHeight="1">
      <c r="A20" s="271" t="s">
        <v>186</v>
      </c>
      <c r="B20" s="272"/>
      <c r="C20" s="272"/>
      <c r="D20" s="272"/>
      <c r="E20" s="272"/>
      <c r="F20" s="272"/>
      <c r="G20" s="272"/>
      <c r="H20" s="272"/>
      <c r="I20" s="272"/>
      <c r="J20" s="272"/>
      <c r="K20" s="272"/>
      <c r="L20" s="272"/>
      <c r="M20" s="272"/>
      <c r="N20" s="272"/>
      <c r="O20" s="272"/>
      <c r="P20" s="272"/>
      <c r="Q20" s="272"/>
      <c r="R20" s="272"/>
      <c r="S20" s="272"/>
      <c r="T20" s="272"/>
      <c r="U20" s="273"/>
      <c r="V20" s="273"/>
    </row>
    <row r="21" spans="1:22" ht="15" customHeight="1">
      <c r="A21" s="271" t="s">
        <v>7</v>
      </c>
      <c r="B21" s="272"/>
      <c r="C21" s="272"/>
      <c r="D21" s="272"/>
      <c r="E21" s="272"/>
      <c r="F21" s="272"/>
      <c r="G21" s="272"/>
      <c r="H21" s="272"/>
      <c r="I21" s="272"/>
      <c r="J21" s="272"/>
      <c r="K21" s="272"/>
      <c r="L21" s="272"/>
      <c r="M21" s="272"/>
      <c r="N21" s="272"/>
      <c r="O21" s="272"/>
      <c r="P21" s="272"/>
      <c r="Q21" s="272"/>
      <c r="R21" s="272"/>
      <c r="S21" s="272"/>
      <c r="T21" s="272"/>
      <c r="U21" s="273"/>
      <c r="V21" s="273"/>
    </row>
    <row r="22" spans="1:22" ht="15" customHeight="1">
      <c r="A22" s="271" t="s">
        <v>0</v>
      </c>
      <c r="B22" s="272"/>
      <c r="C22" s="272"/>
      <c r="D22" s="272"/>
      <c r="E22" s="272"/>
      <c r="F22" s="272"/>
      <c r="G22" s="272"/>
      <c r="H22" s="272"/>
      <c r="I22" s="272"/>
      <c r="J22" s="272"/>
      <c r="K22" s="272"/>
      <c r="L22" s="272"/>
      <c r="M22" s="272"/>
      <c r="N22" s="272"/>
      <c r="O22" s="272"/>
      <c r="P22" s="272"/>
      <c r="Q22" s="272"/>
      <c r="R22" s="272"/>
      <c r="S22" s="272"/>
      <c r="T22" s="272"/>
      <c r="U22" s="273"/>
      <c r="V22" s="273"/>
    </row>
    <row r="23" spans="1:22" ht="15" customHeight="1">
      <c r="A23" s="271" t="s">
        <v>15</v>
      </c>
      <c r="B23" s="272"/>
      <c r="C23" s="272"/>
      <c r="D23" s="272"/>
      <c r="E23" s="272"/>
      <c r="F23" s="272"/>
      <c r="G23" s="272"/>
      <c r="H23" s="272"/>
      <c r="I23" s="272"/>
      <c r="J23" s="272"/>
      <c r="K23" s="272"/>
      <c r="L23" s="272"/>
      <c r="M23" s="272"/>
      <c r="N23" s="272"/>
      <c r="O23" s="272"/>
      <c r="P23" s="272"/>
      <c r="Q23" s="272"/>
      <c r="R23" s="272"/>
      <c r="S23" s="272"/>
      <c r="T23" s="272"/>
      <c r="U23" s="273"/>
      <c r="V23" s="273"/>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341" t="s">
        <v>170</v>
      </c>
      <c r="B18" s="342"/>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2013-12-05T18:31:04Z</dcterms:modified>
</cp:coreProperties>
</file>