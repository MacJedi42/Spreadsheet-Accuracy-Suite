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155" yWindow="405" windowWidth="15165"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79" i="1"/>
  <c r="J179" i="1"/>
  <c r="K179" i="1"/>
  <c r="D179" i="1"/>
  <c r="I178" i="1" l="1"/>
  <c r="J178" i="1"/>
  <c r="K178" i="1"/>
  <c r="D178" i="1"/>
  <c r="I177" i="1" l="1"/>
  <c r="J177" i="1"/>
  <c r="K177" i="1"/>
  <c r="D177" i="1"/>
  <c r="I176" i="1" l="1"/>
  <c r="J176" i="1"/>
  <c r="K176" i="1"/>
  <c r="D176" i="1"/>
  <c r="D175" i="1" l="1"/>
  <c r="I175" i="1" l="1"/>
  <c r="J175" i="1"/>
  <c r="K175" i="1"/>
  <c r="I174" i="1" l="1"/>
  <c r="J174" i="1"/>
  <c r="K174" i="1"/>
  <c r="D174" i="1"/>
  <c r="I173" i="1" l="1"/>
  <c r="J173" i="1"/>
  <c r="K173" i="1"/>
  <c r="D173" i="1"/>
  <c r="I172" i="1" l="1"/>
  <c r="J172" i="1"/>
  <c r="K172" i="1"/>
  <c r="D172" i="1"/>
  <c r="K171" i="1" l="1"/>
  <c r="J171" i="1"/>
  <c r="I171" i="1"/>
  <c r="K170" i="1"/>
  <c r="J170" i="1"/>
  <c r="D171" i="1"/>
  <c r="I197" i="1" l="1"/>
  <c r="I170" i="1" l="1"/>
  <c r="D170" i="1"/>
  <c r="I169" i="1" l="1"/>
  <c r="J169" i="1"/>
  <c r="K169" i="1"/>
  <c r="D169" i="1" l="1"/>
  <c r="C15" i="9" l="1"/>
  <c r="E15" i="9"/>
  <c r="F15" i="9"/>
  <c r="G15" i="9"/>
  <c r="H15" i="9"/>
  <c r="B15" i="9"/>
  <c r="C14" i="9"/>
  <c r="E14" i="9"/>
  <c r="F14" i="9"/>
  <c r="G14" i="9"/>
  <c r="H14" i="9"/>
  <c r="B14" i="9"/>
  <c r="D168" i="1"/>
  <c r="I168" i="1" s="1"/>
  <c r="J168" i="1" l="1"/>
  <c r="D167" i="1"/>
  <c r="I167" i="1" s="1"/>
  <c r="J167" i="1" l="1"/>
  <c r="D166" i="1"/>
  <c r="I166" i="1" s="1"/>
  <c r="J166" i="1" l="1"/>
  <c r="B69" i="9"/>
  <c r="D165" i="1"/>
  <c r="I165" i="1" s="1"/>
  <c r="J165" i="1" l="1"/>
  <c r="D164" i="1"/>
  <c r="I164" i="1" s="1"/>
  <c r="J164" i="1" l="1"/>
  <c r="B68" i="9" s="1"/>
  <c r="D163" i="1"/>
  <c r="I163" i="1" s="1"/>
  <c r="J163" i="1" l="1"/>
  <c r="D162" i="1"/>
  <c r="I162" i="1" s="1"/>
  <c r="J162" i="1" l="1"/>
  <c r="J161" i="1"/>
  <c r="B67" i="9" s="1"/>
  <c r="D161" i="1"/>
  <c r="I161" i="1" s="1"/>
  <c r="D160" i="1" l="1"/>
  <c r="J160" i="1" s="1"/>
  <c r="I160" i="1" l="1"/>
  <c r="J159" i="1"/>
  <c r="D159" i="1"/>
  <c r="I159" i="1" s="1"/>
  <c r="I196" i="1" l="1"/>
  <c r="D158" i="1" l="1"/>
  <c r="D15" i="9" l="1"/>
  <c r="J158" i="1"/>
  <c r="I158" i="1"/>
  <c r="I15" i="9" s="1"/>
  <c r="D157" i="1"/>
  <c r="J157" i="1" s="1"/>
  <c r="I157" i="1" l="1"/>
  <c r="J15" i="9"/>
  <c r="B66" i="9"/>
  <c r="J156" i="1"/>
  <c r="D156" i="1"/>
  <c r="I156" i="1" s="1"/>
  <c r="I186" i="1" l="1"/>
  <c r="I187" i="1"/>
  <c r="I188" i="1"/>
  <c r="I189" i="1"/>
  <c r="I190" i="1"/>
  <c r="I191" i="1"/>
  <c r="I192" i="1"/>
  <c r="I193" i="1"/>
  <c r="I194" i="1"/>
  <c r="I195" i="1"/>
  <c r="D155" i="1" l="1"/>
  <c r="J155" i="1" s="1"/>
  <c r="B65" i="9" l="1"/>
  <c r="I155" i="1"/>
  <c r="D154" i="1"/>
  <c r="I154" i="1" s="1"/>
  <c r="J154" i="1" l="1"/>
  <c r="D153" i="1"/>
  <c r="I153" i="1" s="1"/>
  <c r="J153" i="1" l="1"/>
  <c r="D152" i="1"/>
  <c r="J152" i="1" s="1"/>
  <c r="B64" i="9" l="1"/>
  <c r="I152" i="1"/>
  <c r="D151" i="1"/>
  <c r="J151" i="1" s="1"/>
  <c r="I151" i="1" l="1"/>
  <c r="D150" i="1"/>
  <c r="J150" i="1" s="1"/>
  <c r="I150" i="1" l="1"/>
  <c r="H13" i="9"/>
  <c r="G13" i="9"/>
  <c r="F13" i="9"/>
  <c r="E13" i="9"/>
  <c r="C13" i="9"/>
  <c r="B13" i="9"/>
  <c r="D149" i="1"/>
  <c r="I149" i="1" s="1"/>
  <c r="J149" i="1" l="1"/>
  <c r="D148" i="1"/>
  <c r="I148" i="1" s="1"/>
  <c r="B63" i="9" l="1"/>
  <c r="J148" i="1"/>
  <c r="D147" i="1"/>
  <c r="J147" i="1" s="1"/>
  <c r="D146" i="1"/>
  <c r="D14" i="9" s="1"/>
  <c r="I147" i="1" l="1"/>
  <c r="J146" i="1"/>
  <c r="B62" i="9" l="1"/>
  <c r="J14" i="9"/>
  <c r="I146" i="1"/>
  <c r="I14" i="9" s="1"/>
  <c r="D145" i="1" l="1"/>
  <c r="J145" i="1" s="1"/>
  <c r="I145" i="1" l="1"/>
  <c r="D144" i="1"/>
  <c r="J144" i="1" l="1"/>
  <c r="I144" i="1"/>
  <c r="D143" i="1"/>
  <c r="J143" i="1" l="1"/>
  <c r="I143" i="1"/>
  <c r="D142" i="1"/>
  <c r="J142" i="1" s="1"/>
  <c r="B61" i="9" l="1"/>
  <c r="I142" i="1"/>
  <c r="D141" i="1"/>
  <c r="J141" i="1" l="1"/>
  <c r="I141" i="1"/>
  <c r="D140" i="1" l="1"/>
  <c r="J140" i="1" l="1"/>
  <c r="I140" i="1"/>
  <c r="B60" i="9" l="1"/>
  <c r="D139" i="1"/>
  <c r="J139" i="1" l="1"/>
  <c r="I139" i="1"/>
  <c r="D138" i="1"/>
  <c r="I138" i="1" s="1"/>
  <c r="J138" i="1" l="1"/>
  <c r="D135" i="1"/>
  <c r="D137" i="1" l="1"/>
  <c r="I137" i="1" l="1"/>
  <c r="J137" i="1"/>
  <c r="J135" i="1"/>
  <c r="B59" i="9" l="1"/>
  <c r="D136" i="1"/>
  <c r="J136" i="1" s="1"/>
  <c r="I136" i="1" l="1"/>
  <c r="C12" i="9"/>
  <c r="E12" i="9"/>
  <c r="F12" i="9"/>
  <c r="G12" i="9"/>
  <c r="H12" i="9"/>
  <c r="B12" i="9"/>
  <c r="I135" i="1"/>
  <c r="D134" i="1" l="1"/>
  <c r="J134" i="1" l="1"/>
  <c r="D13" i="9"/>
  <c r="I134" i="1"/>
  <c r="I13" i="9" s="1"/>
  <c r="B58" i="9" l="1"/>
  <c r="J13" i="9"/>
  <c r="D133" i="1"/>
  <c r="J133" i="1" s="1"/>
  <c r="D132" i="1"/>
  <c r="I132" i="1" s="1"/>
  <c r="D131" i="1"/>
  <c r="I131" i="1" s="1"/>
  <c r="I133" i="1" l="1"/>
  <c r="J131" i="1"/>
  <c r="K167" i="1" s="1"/>
  <c r="J132" i="1"/>
  <c r="D130" i="1"/>
  <c r="J130" i="1" s="1"/>
  <c r="K166" i="1" s="1"/>
  <c r="D129" i="1"/>
  <c r="J129" i="1" s="1"/>
  <c r="K165" i="1" s="1"/>
  <c r="D128" i="1"/>
  <c r="J128" i="1" s="1"/>
  <c r="K164" i="1" s="1"/>
  <c r="I129" i="1"/>
  <c r="K168" i="1" l="1"/>
  <c r="I130" i="1"/>
  <c r="I128" i="1"/>
  <c r="B56" i="9"/>
  <c r="B57" i="9"/>
  <c r="D127" i="1"/>
  <c r="D126" i="1"/>
  <c r="J126" i="1" s="1"/>
  <c r="K162" i="1" s="1"/>
  <c r="D125" i="1"/>
  <c r="J125" i="1" s="1"/>
  <c r="K161" i="1" s="1"/>
  <c r="I126" i="1" l="1"/>
  <c r="I127" i="1"/>
  <c r="J127" i="1"/>
  <c r="K163" i="1" s="1"/>
  <c r="I125" i="1"/>
  <c r="D124" i="1"/>
  <c r="J124" i="1" s="1"/>
  <c r="K160" i="1" s="1"/>
  <c r="B55" i="9" l="1"/>
  <c r="I124" i="1"/>
  <c r="D123" i="1"/>
  <c r="J123" i="1" s="1"/>
  <c r="K159"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K158" i="1" s="1"/>
  <c r="D12" i="9"/>
  <c r="I120" i="1"/>
  <c r="J120" i="1"/>
  <c r="K156" i="1" s="1"/>
  <c r="I121" i="1"/>
  <c r="J121" i="1"/>
  <c r="K157" i="1" s="1"/>
  <c r="I123" i="1"/>
  <c r="U8" i="9"/>
  <c r="U7" i="9"/>
  <c r="I122" i="1"/>
  <c r="I119" i="1"/>
  <c r="I12" i="9" l="1"/>
  <c r="B53" i="9"/>
  <c r="B54" i="9"/>
  <c r="J12" i="9"/>
  <c r="D118" i="1"/>
  <c r="J118" i="1" s="1"/>
  <c r="K154" i="1" s="1"/>
  <c r="D117" i="1"/>
  <c r="J117" i="1" s="1"/>
  <c r="K153" i="1" s="1"/>
  <c r="D116" i="1"/>
  <c r="J116" i="1" s="1"/>
  <c r="K152" i="1" s="1"/>
  <c r="D115" i="1"/>
  <c r="D113" i="1"/>
  <c r="J113" i="1" s="1"/>
  <c r="K149" i="1" s="1"/>
  <c r="D114" i="1"/>
  <c r="J114" i="1" s="1"/>
  <c r="K150" i="1" s="1"/>
  <c r="I116" i="1" l="1"/>
  <c r="B52" i="9"/>
  <c r="I115" i="1"/>
  <c r="J115" i="1"/>
  <c r="K151" i="1" s="1"/>
  <c r="I118" i="1"/>
  <c r="I117" i="1"/>
  <c r="I114" i="1"/>
  <c r="B51"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3" i="9"/>
  <c r="K55" i="1"/>
  <c r="K134" i="1"/>
  <c r="K57" i="1"/>
  <c r="K133" i="1"/>
  <c r="B25" i="9"/>
  <c r="K54" i="1"/>
  <c r="B45" i="9"/>
  <c r="B21" i="9"/>
  <c r="K61" i="1"/>
  <c r="K60" i="1"/>
  <c r="K51" i="1"/>
  <c r="B47" i="9"/>
  <c r="B48" i="9"/>
  <c r="K132" i="1"/>
  <c r="I112" i="1"/>
  <c r="J112" i="1"/>
  <c r="J10" i="9"/>
  <c r="B46" i="9"/>
  <c r="K126" i="1"/>
  <c r="K130" i="1"/>
  <c r="B49" i="9"/>
  <c r="K131" i="1"/>
  <c r="I111" i="1"/>
  <c r="J111" i="1"/>
  <c r="K147" i="1" s="1"/>
  <c r="B31" i="9"/>
  <c r="B36" i="9"/>
  <c r="B37" i="9"/>
  <c r="B39" i="9"/>
  <c r="B40" i="9"/>
  <c r="B41" i="9"/>
  <c r="K128" i="1"/>
  <c r="D11" i="9"/>
  <c r="K127" i="1"/>
  <c r="K129" i="1"/>
  <c r="K125" i="1"/>
  <c r="B44" i="9"/>
  <c r="K59" i="1"/>
  <c r="B29" i="9"/>
  <c r="K53" i="1"/>
  <c r="B27" i="9"/>
  <c r="B34" i="9"/>
  <c r="J7" i="9"/>
  <c r="I9" i="9"/>
  <c r="B43" i="9"/>
  <c r="K56" i="1"/>
  <c r="B28" i="9"/>
  <c r="K50" i="1"/>
  <c r="B26" i="9"/>
  <c r="J5" i="9"/>
  <c r="B30" i="9"/>
  <c r="J6" i="9"/>
  <c r="B38" i="9"/>
  <c r="J8" i="9"/>
  <c r="B42" i="9"/>
  <c r="J9" i="9"/>
  <c r="T5" i="9"/>
  <c r="T6" i="9"/>
  <c r="T7" i="9"/>
  <c r="T8" i="9"/>
  <c r="I5" i="9"/>
  <c r="I6" i="9"/>
  <c r="I7" i="9"/>
  <c r="I8" i="9"/>
  <c r="B32" i="9"/>
  <c r="B33" i="9"/>
  <c r="B35" i="9"/>
  <c r="I10" i="9"/>
  <c r="B22" i="9"/>
  <c r="B24"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50"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<sst xmlns="http://schemas.openxmlformats.org/spreadsheetml/2006/main" count="155" uniqueCount="106">
  <si>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</si>
  <si>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</si>
  <si>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</si>
  <si>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</si>
  <si>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</si>
  <si>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</si>
  <si>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</si>
  <si>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</si>
  <si>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</si>
  <si>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</si>
  <si>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</si>
  <si>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</si>
  <si>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</si>
  <si>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</si>
  <si>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</si>
  <si>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</si>
  <si>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</si>
  <si>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</si>
  <si>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</si>
  <si>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</si>
  <si>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</si>
  <si>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</si>
  <si>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</si>
  <si>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</si>
  <si>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</si>
  <si>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</si>
  <si>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</si>
  <si>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</si>
  <si>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</si>
  <si>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</si>
  <si>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</si>
  <si>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</si>
  <si>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</si>
  <si>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</si>
  <si>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</si>
  <si>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</si>
  <si>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</si>
  <si>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</si>
  <si>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</si>
  <si>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</si>
  <si>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</si>
  <si>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</si>
  <si>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</si>
  <si>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</si>
  <si>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</si>
  <si>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</si>
  <si>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</si>
  <si>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</si>
  <si>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</si>
  <si>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</si>
  <si>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</si>
  <si>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</si>
  <si>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</si>
  <si>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</si>
  <si>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</si>
  <si>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</si>
  <si>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</si>
  <si>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</si>
  <si>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</si>
  <si>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</si>
  <si>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</si>
  <si>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</si>
  <si>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</si>
  <si>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</si>
  <si>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</si>
  <si>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</si>
  <si>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</si>
  <si>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</si>
  <si>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</si>
  <si>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</si>
  <si>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</si>
  <si>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</si>
  <si>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</si>
  <si>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</si>
  <si>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</si>
  <si>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</si>
  <si>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</si>
  <si>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</si>
  <si>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</si>
  <si>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</si>
  <si>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</si>
  <si>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</si>
  <si>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</si>
  <si>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</si>
  <si>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</si>
  <si>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</si>
  <si>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</si>
  <si>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</si>
  <si>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</si>
  <si>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</si>
  <si>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</si>
  <si>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</si>
  <si>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</si>
  <si>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</si>
  <si>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</si>
  <si>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</si>
  <si>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</si>
  <si>
    <t>2Q12</t>
  </si>
  <si>
    <t>3Q12</t>
  </si>
  <si>
    <t>4Q12</t>
  </si>
  <si>
    <t>1Q13</t>
  </si>
  <si>
    <t>2Q13</t>
  </si>
  <si>
    <t>3Q13</t>
  </si>
  <si>
    <t>4Q13</t>
  </si>
  <si>
    <t>2012 average</t>
  </si>
  <si>
    <t>2013 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</si>
</sst>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xf numFmtId="167" fontId="0" fillId="0" borderId="0" xfId="0" applyNumberFormat="1"/>
    <xf numFmtId="169"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Data!$J$155:$J$179</c:f>
              <c:numCache>
                <c:formatCode>_(* #,##0.000_);_(* \(#,##0.000\);_(* "-"??_);_(@_)</c:formatCode>
                <c:ptCount val="25"/>
                <c:pt idx="0">
                  <c:v>0.34851879999999996</c:v>
                </c:pt>
                <c:pt idx="1">
                  <c:v>0.37033880000000002</c:v>
                </c:pt>
                <c:pt idx="2">
                  <c:v>0.35927699999999996</c:v>
                </c:pt>
                <c:pt idx="3">
                  <c:v>0.34331166000000002</c:v>
                </c:pt>
                <c:pt idx="4">
                  <c:v>0.33396989999999993</c:v>
                </c:pt>
                <c:pt idx="5">
                  <c:v>0.33132710000000004</c:v>
                </c:pt>
                <c:pt idx="6">
                  <c:v>0.36586275999999995</c:v>
                </c:pt>
                <c:pt idx="7">
                  <c:v>0.35350146000000005</c:v>
                </c:pt>
                <c:pt idx="8">
                  <c:v>0.32553686000000004</c:v>
                </c:pt>
                <c:pt idx="9">
                  <c:v>0.31752406</c:v>
                </c:pt>
                <c:pt idx="10">
                  <c:v>0.31144130000000003</c:v>
                </c:pt>
                <c:pt idx="11">
                  <c:v>0.31931406000000001</c:v>
                </c:pt>
                <c:pt idx="12">
                  <c:v>0.32864210000000005</c:v>
                </c:pt>
                <c:pt idx="13">
                  <c:v>0.33396989999999993</c:v>
                </c:pt>
                <c:pt idx="14">
                  <c:v>0.31765056000000003</c:v>
                </c:pt>
                <c:pt idx="15">
                  <c:v>0.31211350595161891</c:v>
                </c:pt>
                <c:pt idx="16">
                  <c:v>0.32019904648220449</c:v>
                </c:pt>
                <c:pt idx="17">
                  <c:v>0.3234125738185985</c:v>
                </c:pt>
                <c:pt idx="18">
                  <c:v>0.34261695469360054</c:v>
                </c:pt>
                <c:pt idx="19">
                  <c:v>0.34336191192762655</c:v>
                </c:pt>
                <c:pt idx="20">
                  <c:v>0.33638247385371528</c:v>
                </c:pt>
                <c:pt idx="21">
                  <c:v>0.33096092200564875</c:v>
                </c:pt>
                <c:pt idx="22">
                  <c:v>0.32605878417183348</c:v>
                </c:pt>
                <c:pt idx="23">
                  <c:v>0.31776060101946019</c:v>
                </c:pt>
                <c:pt idx="24">
                  <c:v>0.30967506048887461</c:v>
                </c:pt>
              </c:numCache>
            </c:numRef>
          </c:val>
        </c:ser>
        <c:dLbls>
          <c:showLegendKey val="0"/>
          <c:showVal val="0"/>
          <c:showCatName val="0"/>
          <c:showSerName val="0"/>
          <c:showPercent val="0"/>
          <c:showBubbleSize val="0"/>
        </c:dLbls>
        <c:gapWidth val="150"/>
        <c:axId val="116334976"/>
        <c:axId val="116336512"/>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Data!$A$155:$A$179</c:f>
              <c:numCache>
                <c:formatCode>[$-409]mmm\-yy;@</c:formatCode>
                <c:ptCount val="25"/>
                <c:pt idx="0">
                  <c:v>41206</c:v>
                </c:pt>
                <c:pt idx="1">
                  <c:v>41238</c:v>
                </c:pt>
                <c:pt idx="2">
                  <c:v>41270</c:v>
                </c:pt>
                <c:pt idx="3">
                  <c:v>41284</c:v>
                </c:pt>
                <c:pt idx="4">
                  <c:v>41316</c:v>
                </c:pt>
                <c:pt idx="5">
                  <c:v>41347</c:v>
                </c:pt>
                <c:pt idx="6">
                  <c:v>41379</c:v>
                </c:pt>
                <c:pt idx="7">
                  <c:v>41411</c:v>
                </c:pt>
                <c:pt idx="8">
                  <c:v>41443</c:v>
                </c:pt>
                <c:pt idx="9">
                  <c:v>41475</c:v>
                </c:pt>
                <c:pt idx="10">
                  <c:v>41507</c:v>
                </c:pt>
                <c:pt idx="11">
                  <c:v>41539</c:v>
                </c:pt>
                <c:pt idx="12">
                  <c:v>41571</c:v>
                </c:pt>
                <c:pt idx="13">
                  <c:v>41603</c:v>
                </c:pt>
                <c:pt idx="14">
                  <c:v>41635</c:v>
                </c:pt>
                <c:pt idx="15">
                  <c:v>41640</c:v>
                </c:pt>
                <c:pt idx="16">
                  <c:v>41671</c:v>
                </c:pt>
                <c:pt idx="17">
                  <c:v>41699</c:v>
                </c:pt>
                <c:pt idx="18">
                  <c:v>41730</c:v>
                </c:pt>
                <c:pt idx="19">
                  <c:v>41760</c:v>
                </c:pt>
                <c:pt idx="20">
                  <c:v>41791</c:v>
                </c:pt>
                <c:pt idx="21">
                  <c:v>41821</c:v>
                </c:pt>
                <c:pt idx="22">
                  <c:v>41852</c:v>
                </c:pt>
                <c:pt idx="23">
                  <c:v>41883</c:v>
                </c:pt>
                <c:pt idx="24">
                  <c:v>41913</c:v>
                </c:pt>
              </c:numCache>
            </c:numRef>
          </c:cat>
          <c:val>
            <c:numRef>
              <c:f>Data!$K$155:$K$179</c:f>
              <c:numCache>
                <c:formatCode>0.000</c:formatCode>
                <c:ptCount val="25"/>
                <c:pt idx="0">
                  <c:v>0.24370432333333333</c:v>
                </c:pt>
                <c:pt idx="1">
                  <c:v>0.24098059666666671</c:v>
                </c:pt>
                <c:pt idx="2">
                  <c:v>0.25250244666666666</c:v>
                </c:pt>
                <c:pt idx="3">
                  <c:v>0.27233748000000002</c:v>
                </c:pt>
                <c:pt idx="4">
                  <c:v>0.27203842333333333</c:v>
                </c:pt>
                <c:pt idx="5">
                  <c:v>0.25042706333333331</c:v>
                </c:pt>
                <c:pt idx="6">
                  <c:v>0.27356446333333334</c:v>
                </c:pt>
                <c:pt idx="7">
                  <c:v>0.31135697333333334</c:v>
                </c:pt>
                <c:pt idx="8">
                  <c:v>0.32868527333333336</c:v>
                </c:pt>
                <c:pt idx="9">
                  <c:v>0.31240759000000001</c:v>
                </c:pt>
                <c:pt idx="10">
                  <c:v>0.28572713999999999</c:v>
                </c:pt>
                <c:pt idx="11">
                  <c:v>0.2840022066666667</c:v>
                </c:pt>
                <c:pt idx="12">
                  <c:v>0.30089368999999999</c:v>
                </c:pt>
                <c:pt idx="13">
                  <c:v>0.30569941666666667</c:v>
                </c:pt>
                <c:pt idx="14">
                  <c:v>0.30946835</c:v>
                </c:pt>
                <c:pt idx="15">
                  <c:v>0.32012570999999995</c:v>
                </c:pt>
                <c:pt idx="16">
                  <c:v>0.31811384999999998</c:v>
                </c:pt>
                <c:pt idx="17">
                  <c:v>0.29090223999999998</c:v>
                </c:pt>
                <c:pt idx="18">
                  <c:v>0.32687747666666667</c:v>
                </c:pt>
                <c:pt idx="19">
                  <c:v>0.35210298666666667</c:v>
                </c:pt>
                <c:pt idx="20">
                  <c:v>0.35088321000000006</c:v>
                </c:pt>
                <c:pt idx="21">
                  <c:v>0.33369259333333329</c:v>
                </c:pt>
                <c:pt idx="22">
                  <c:v>0.31220512333333333</c:v>
                </c:pt>
                <c:pt idx="23">
                  <c:v>0.31427191999999998</c:v>
                </c:pt>
                <c:pt idx="24">
                  <c:v>0.33220810666666667</c:v>
                </c:pt>
              </c:numCache>
            </c:numRef>
          </c:val>
          <c:smooth val="0"/>
        </c:ser>
        <c:dLbls>
          <c:showLegendKey val="0"/>
          <c:showVal val="0"/>
          <c:showCatName val="0"/>
          <c:showSerName val="0"/>
          <c:showPercent val="0"/>
          <c:showBubbleSize val="0"/>
        </c:dLbls>
        <c:marker val="1"/>
        <c:smooth val="0"/>
        <c:axId val="116334976"/>
        <c:axId val="116336512"/>
      </c:lineChart>
      <c:catAx>
        <c:axId val="116334976"/>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16336512"/>
        <c:crossesAt val="0"/>
        <c:auto val="0"/>
        <c:lblAlgn val="ctr"/>
        <c:lblOffset val="0"/>
        <c:tickLblSkip val="1"/>
        <c:tickMarkSkip val="2"/>
        <c:noMultiLvlLbl val="0"/>
      </c:catAx>
      <c:valAx>
        <c:axId val="116336512"/>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16334976"/>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Data!$J$86:$J$169</c:f>
              <c:numCache>
                <c:formatCode>_(* #,##0.000_);_(* \(#,##0.000\);_(* "-"??_);_(@_)</c:formatCode>
                <c:ptCount val="84"/>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pt idx="72">
                  <c:v>0.34331166000000002</c:v>
                </c:pt>
                <c:pt idx="73">
                  <c:v>0.33396989999999993</c:v>
                </c:pt>
                <c:pt idx="74">
                  <c:v>0.33132710000000004</c:v>
                </c:pt>
                <c:pt idx="75">
                  <c:v>0.36586275999999995</c:v>
                </c:pt>
                <c:pt idx="76">
                  <c:v>0.35350146000000005</c:v>
                </c:pt>
                <c:pt idx="77">
                  <c:v>0.32553686000000004</c:v>
                </c:pt>
                <c:pt idx="78">
                  <c:v>0.31752406</c:v>
                </c:pt>
                <c:pt idx="79">
                  <c:v>0.31144130000000003</c:v>
                </c:pt>
                <c:pt idx="80">
                  <c:v>0.31931406000000001</c:v>
                </c:pt>
                <c:pt idx="81">
                  <c:v>0.32864210000000005</c:v>
                </c:pt>
                <c:pt idx="82">
                  <c:v>0.33396989999999993</c:v>
                </c:pt>
                <c:pt idx="83">
                  <c:v>0.31765056000000003</c:v>
                </c:pt>
              </c:numCache>
            </c:numRef>
          </c:val>
        </c:ser>
        <c:dLbls>
          <c:showLegendKey val="0"/>
          <c:showVal val="0"/>
          <c:showCatName val="0"/>
          <c:showSerName val="0"/>
          <c:showPercent val="0"/>
          <c:showBubbleSize val="0"/>
        </c:dLbls>
        <c:gapWidth val="150"/>
        <c:axId val="116586368"/>
        <c:axId val="116596736"/>
      </c:barChart>
      <c:lineChart>
        <c:grouping val="standard"/>
        <c:varyColors val="0"/>
        <c:ser>
          <c:idx val="0"/>
          <c:order val="1"/>
          <c:tx>
            <c:v>Highway diesel fuel ($/gallon)</c:v>
          </c:tx>
          <c:spPr>
            <a:ln>
              <a:solidFill>
                <a:srgbClr val="FF0000"/>
              </a:solidFill>
            </a:ln>
          </c:spPr>
          <c:marker>
            <c:symbol val="none"/>
          </c:marker>
          <c:cat>
            <c:numRef>
              <c:f>'WTI vs. HDF'!$A$94:$A$177</c:f>
              <c:numCache>
                <c:formatCode>[$-409]mmm\-yy;@</c:formatCode>
                <c:ptCount val="84"/>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pt idx="72">
                  <c:v>41275</c:v>
                </c:pt>
                <c:pt idx="73">
                  <c:v>41306</c:v>
                </c:pt>
                <c:pt idx="74">
                  <c:v>41334</c:v>
                </c:pt>
                <c:pt idx="75">
                  <c:v>41365</c:v>
                </c:pt>
                <c:pt idx="76">
                  <c:v>41395</c:v>
                </c:pt>
                <c:pt idx="77">
                  <c:v>41426</c:v>
                </c:pt>
                <c:pt idx="78">
                  <c:v>41456</c:v>
                </c:pt>
                <c:pt idx="79">
                  <c:v>41487</c:v>
                </c:pt>
                <c:pt idx="80">
                  <c:v>41518</c:v>
                </c:pt>
                <c:pt idx="81">
                  <c:v>41548</c:v>
                </c:pt>
                <c:pt idx="82">
                  <c:v>41579</c:v>
                </c:pt>
                <c:pt idx="83">
                  <c:v>41609</c:v>
                </c:pt>
              </c:numCache>
            </c:numRef>
          </c:cat>
          <c:val>
            <c:numRef>
              <c:f>'WTI vs. HDF'!$B$94:$B$177</c:f>
              <c:numCache>
                <c:formatCode>0.000</c:formatCode>
                <c:ptCount val="84"/>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pt idx="72">
                  <c:v>3.9089999999999998</c:v>
                </c:pt>
                <c:pt idx="73">
                  <c:v>4.1109999999999998</c:v>
                </c:pt>
                <c:pt idx="74">
                  <c:v>4.0679999999999996</c:v>
                </c:pt>
                <c:pt idx="75">
                  <c:v>3.93</c:v>
                </c:pt>
                <c:pt idx="76">
                  <c:v>3.87</c:v>
                </c:pt>
                <c:pt idx="77">
                  <c:v>3.8490000000000002</c:v>
                </c:pt>
                <c:pt idx="78">
                  <c:v>3.8660000000000001</c:v>
                </c:pt>
                <c:pt idx="79">
                  <c:v>3.9049999999999998</c:v>
                </c:pt>
                <c:pt idx="80">
                  <c:v>3.9609999999999999</c:v>
                </c:pt>
                <c:pt idx="81">
                  <c:v>3.8849999999999998</c:v>
                </c:pt>
                <c:pt idx="82">
                  <c:v>3.839</c:v>
                </c:pt>
                <c:pt idx="83">
                  <c:v>3.8820000000000001</c:v>
                </c:pt>
              </c:numCache>
            </c:numRef>
          </c:val>
          <c:smooth val="0"/>
        </c:ser>
        <c:dLbls>
          <c:showLegendKey val="0"/>
          <c:showVal val="0"/>
          <c:showCatName val="0"/>
          <c:showSerName val="0"/>
          <c:showPercent val="0"/>
          <c:showBubbleSize val="0"/>
        </c:dLbls>
        <c:marker val="1"/>
        <c:smooth val="0"/>
        <c:axId val="116613120"/>
        <c:axId val="116598656"/>
      </c:lineChart>
      <c:catAx>
        <c:axId val="116586368"/>
        <c:scaling>
          <c:orientation val="minMax"/>
        </c:scaling>
        <c:delete val="0"/>
        <c:axPos val="b"/>
        <c:title>
          <c:overlay val="0"/>
        </c:title>
        <c:numFmt formatCode="[$-409]mmm\-yy;@" sourceLinked="0"/>
        <c:majorTickMark val="out"/>
        <c:minorTickMark val="none"/>
        <c:tickLblPos val="nextTo"/>
        <c:txPr>
          <a:bodyPr rot="-5400000" vert="horz"/>
          <a:lstStyle/>
          <a:p>
            <a:pPr>
              <a:defRPr/>
            </a:pPr>
            <a:endParaRPr lang="en-US"/>
          </a:p>
        </c:txPr>
        <c:crossAx val="116596736"/>
        <c:crossesAt val="0"/>
        <c:auto val="0"/>
        <c:lblAlgn val="ctr"/>
        <c:lblOffset val="0"/>
        <c:tickLblSkip val="3"/>
        <c:tickMarkSkip val="2"/>
        <c:noMultiLvlLbl val="0"/>
      </c:catAx>
      <c:valAx>
        <c:axId val="116596736"/>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16586368"/>
        <c:crosses val="autoZero"/>
        <c:crossBetween val="between"/>
      </c:valAx>
      <c:valAx>
        <c:axId val="116598656"/>
        <c:scaling>
          <c:orientation val="minMax"/>
        </c:scaling>
        <c:delete val="0"/>
        <c:axPos val="r"/>
        <c:title>
          <c:tx>
            <c:rich>
              <a:bodyPr rot="-5400000" vert="horz"/>
              <a:lstStyle/>
              <a:p>
                <a:pPr>
                  <a:defRPr/>
                </a:pPr>
                <a:r>
                  <a:rPr lang="en-US"/>
                  <a:t>Highway diesel fuel $/gal.</a:t>
                </a:r>
              </a:p>
            </c:rich>
          </c:tx>
          <c:overlay val="0"/>
        </c:title>
        <c:numFmt formatCode="&quot;$&quot;#,##0.00" sourceLinked="0"/>
        <c:majorTickMark val="out"/>
        <c:minorTickMark val="none"/>
        <c:tickLblPos val="nextTo"/>
        <c:crossAx val="116613120"/>
        <c:crosses val="max"/>
        <c:crossBetween val="between"/>
      </c:valAx>
      <c:dateAx>
        <c:axId val="116613120"/>
        <c:scaling>
          <c:orientation val="minMax"/>
        </c:scaling>
        <c:delete val="1"/>
        <c:axPos val="b"/>
        <c:numFmt formatCode="[$-409]mmm\-yy;@" sourceLinked="1"/>
        <c:majorTickMark val="out"/>
        <c:minorTickMark val="none"/>
        <c:tickLblPos val="nextTo"/>
        <c:crossAx val="116598656"/>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October 2014: $</a:t>
          </a:r>
          <a:r>
            <a:rPr lang="en-US" sz="800" b="0" i="0">
              <a:latin typeface="Times New Roman" pitchFamily="18" charset="0"/>
              <a:ea typeface="+mn-ea"/>
              <a:cs typeface="Times New Roman" pitchFamily="18" charset="0"/>
            </a:rPr>
            <a:t>0.310, down 3% from l</a:t>
          </a:r>
          <a:r>
            <a:rPr lang="en-US" sz="800" b="0" i="0" strike="noStrike">
              <a:solidFill>
                <a:srgbClr val="000000"/>
              </a:solidFill>
              <a:latin typeface="Times New Roman" pitchFamily="18" charset="0"/>
              <a:cs typeface="Times New Roman" pitchFamily="18" charset="0"/>
            </a:rPr>
            <a:t>ast month's surcharge of $0.318/mile; down 6% from the</a:t>
          </a:r>
          <a:r>
            <a:rPr lang="en-US" sz="800" b="0" i="0" strike="noStrike" baseline="0">
              <a:solidFill>
                <a:srgbClr val="000000"/>
              </a:solidFill>
              <a:latin typeface="Times New Roman" pitchFamily="18" charset="0"/>
              <a:cs typeface="Times New Roman" pitchFamily="18" charset="0"/>
            </a:rPr>
            <a:t> October </a:t>
          </a:r>
          <a:r>
            <a:rPr lang="en-US" sz="800" b="0" i="0" strike="noStrike">
              <a:solidFill>
                <a:srgbClr val="000000"/>
              </a:solidFill>
              <a:latin typeface="Times New Roman" pitchFamily="18" charset="0"/>
              <a:cs typeface="Times New Roman" pitchFamily="18" charset="0"/>
            </a:rPr>
            <a:t>2013 surcharge of $0.329/mile; and down 7% from the October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$0.332/mile.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39119" y="913933"/>
          <a:ext cx="512950" cy="238411"/>
        </a:xfrm>
        <a:prstGeom xmlns:a="http://schemas.openxmlformats.org/drawingml/2006/main" prst="borderCallout1">
          <a:avLst>
            <a:gd name="adj1" fmla="val 102321"/>
            <a:gd name="adj2" fmla="val 76982"/>
            <a:gd name="adj3" fmla="val 193017"/>
            <a:gd name="adj4" fmla="val 90874"/>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$0.310</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15"/>
  <sheetViews>
    <sheetView workbookViewId="0">
      <pane xSplit="1" ySplit="7" topLeftCell="B149" activePane="bottomRight" state="frozen"/>
      <selection pane="topRight" activeCell="B1" sqref="B1"/>
      <selection pane="bottomLeft" activeCell="A7" sqref="A7"/>
      <selection pane="bottomRight" activeCell="A179" sqref="A179:XFD179"/>
    </sheetView>
  </sheetViews>
  <sheetFormatPr defaultRowHeight="12.75"/>
  <cols>
    <col min="1" max="1" width="19" customWidth="1"/>
    <col min="2" max="8" width="8.5703125" customWidth="1"/>
    <col min="9" max="9" width="15.140625" bestFit="1" customWidth="1"/>
    <col min="10" max="10" width="10.7109375" customWidth="1"/>
    <col min="11" max="11" width="8.28515625" bestFit="1" customWidth="1"/>
    <col min="12" max="12" width="2.7109375" customWidth="1"/>
    <col min="13" max="13" width="17.5703125" customWidth="1"/>
    <col min="14" max="21" width="7.5703125" customWidth="1"/>
    <col min="23" max="23" width="3.2851562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5"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SUM(B23*$B$186,C23*$C$186,D23*$D$186,E23*$E$186,F23*$F$186,G23*$G$186,H23*$H$186)</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SUM(B50*$B$187,C50*$C$187,D50*$D$187,E50*$E$187,F50*$F$187,G50*$G$187,H50*$H$187)</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SUM(N61*$B$187,O61*$C$187,P61*$D$187,Q61*$E$187,R61*$F$187,S61*$G$187,T61*$H$187)</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SUM(B62*$B$188,C62*$C$188,D62*$D$188,E62*$E$188,F62*$F$188,G62*$G$188,H62*$H$188)</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SUM(N62*$B$188,O62*$C$188,P62*$D$188,Q62*$E$188,R62*$F$188,S62*$G$188,T62*$H$188)</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SUM(B74*$B$189,C74*$C$189,D74*$D$189,E74*$E$189,F74*$F$189,G74*$G$189,H74*$H$189)</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SUM(N74*$B$189,O74*$C$189,P74*$D$189,Q74*$E$189,R74*$F$189,S74*$G$189,T74*$H$189)</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SUM(B86*$B$190,C86*$C$190,D86*$D$190,E86*$E$190,F86*$F$190,G86*$G$190,H86*$H$190)</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SUM(N86*$B$190,O86*$C$190,P86*$D$190,Q86*$E$190,R86*$F$190,S86*$G$190,T86*$H$190)</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SUM(B98*$B$191,C98*$C$191,D98*$D$191,E98*$E$191,F98*$F$191,G98*$G$191,H98*$H$191)</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SUM(N98*$B$191,O98*$C$191,P98*$D$191,Q98*$E$191,R98*$F$191,S98*$G$191,T98*$H$191)</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SUM(B110*$B$192,C110*$C$192,D110*$D$192,E110*$E$192,F110*$F$192,G110*$G$192,H110*$H$192)</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SUM(B122*$B$193,C122*$C$193,D122*$D$193,E122*$E$193,F122*$F$193,G122*$G$193,H122*$H$193)</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SUM(B134*$B$194,C134*$C$194,D134*$D$194,E134*$E$194,F134*$F$194,G134*$G$194,H134*$H$194)</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7" si="48">SUM(B146*$B$195,C146*$C$195,D146*$D$195,E146*$E$195,F146*$F$195,G146*$G$195,H146*$H$195)</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si="48"/>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 t="shared" ref="J158:J168" si="56">SUM(B158*$B$196,C158*$C$196,D158*$D$196,E158*$E$196,F158*$F$196,G158*$G$196,H158*$H$196)</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 t="shared" si="56"/>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 t="shared" si="56"/>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 t="shared" ref="I161:I166" si="57">AVERAGE(B161,C161,D161,E161,F161,G161,H161)</f>
        <v>0.36940000000000001</v>
      </c>
      <c r="J161" s="41">
        <f t="shared" si="56"/>
        <v>0.36586275999999995</v>
      </c>
      <c r="K161" s="50">
        <f t="shared" ref="K161:K166" si="58">AVERAGE(J149,J137,J125)</f>
        <v>0.27356446333333334</v>
      </c>
      <c r="L161" s="50"/>
      <c r="M161" s="4">
        <v>41365</v>
      </c>
      <c r="U161" s="5"/>
      <c r="V161" s="3"/>
      <c r="X161" s="3">
        <v>0.22500000000000001</v>
      </c>
      <c r="Y161" s="3">
        <v>0.23</v>
      </c>
    </row>
    <row r="162" spans="1:25">
      <c r="A162" s="4">
        <v>41411</v>
      </c>
      <c r="B162" s="18">
        <v>0.4</v>
      </c>
      <c r="C162" s="59">
        <v>0.33929999999999999</v>
      </c>
      <c r="D162" s="49">
        <f>AVERAGE(0.365,0.35)</f>
        <v>0.35749999999999998</v>
      </c>
      <c r="E162" s="18">
        <v>0.52</v>
      </c>
      <c r="F162" s="18">
        <v>0.49</v>
      </c>
      <c r="G162" s="18">
        <v>0</v>
      </c>
      <c r="H162" s="18">
        <v>0.4</v>
      </c>
      <c r="I162" s="42">
        <f t="shared" si="57"/>
        <v>0.35811428571428566</v>
      </c>
      <c r="J162" s="41">
        <f t="shared" si="56"/>
        <v>0.35350146000000005</v>
      </c>
      <c r="K162" s="50">
        <f t="shared" si="58"/>
        <v>0.31135697333333334</v>
      </c>
      <c r="L162" s="50"/>
      <c r="M162" s="4">
        <v>41395</v>
      </c>
      <c r="U162" s="5"/>
      <c r="V162" s="3"/>
      <c r="X162" s="3">
        <v>0.23</v>
      </c>
      <c r="Y162" s="3">
        <v>0.23</v>
      </c>
    </row>
    <row r="163" spans="1:25">
      <c r="A163" s="4">
        <v>41443</v>
      </c>
      <c r="B163" s="18">
        <v>0.36</v>
      </c>
      <c r="C163" s="59">
        <v>0.31630000000000003</v>
      </c>
      <c r="D163" s="49">
        <f>AVERAGE(0.335,0.34)</f>
        <v>0.33750000000000002</v>
      </c>
      <c r="E163" s="18">
        <v>0.49</v>
      </c>
      <c r="F163" s="18">
        <v>0.45</v>
      </c>
      <c r="G163" s="18">
        <v>0</v>
      </c>
      <c r="H163" s="18">
        <v>0.37</v>
      </c>
      <c r="I163" s="42">
        <f t="shared" si="57"/>
        <v>0.33197142857142853</v>
      </c>
      <c r="J163" s="41">
        <f t="shared" si="56"/>
        <v>0.32553686000000004</v>
      </c>
      <c r="K163" s="50">
        <f t="shared" si="58"/>
        <v>0.32868527333333336</v>
      </c>
      <c r="L163" s="50"/>
      <c r="M163" s="4">
        <v>41426</v>
      </c>
      <c r="U163" s="5"/>
      <c r="V163" s="3"/>
      <c r="X163" s="3">
        <v>0.23</v>
      </c>
      <c r="Y163" s="3">
        <v>0.23499999999999999</v>
      </c>
    </row>
    <row r="164" spans="1:25">
      <c r="A164" s="4">
        <v>41475</v>
      </c>
      <c r="B164" s="18">
        <v>0.35</v>
      </c>
      <c r="C164" s="59">
        <v>0.30480000000000002</v>
      </c>
      <c r="D164" s="49">
        <f>AVERAGE(0.335,0.34)</f>
        <v>0.33750000000000002</v>
      </c>
      <c r="E164" s="18">
        <v>0.47</v>
      </c>
      <c r="F164" s="18">
        <v>0.44</v>
      </c>
      <c r="G164" s="18">
        <v>0</v>
      </c>
      <c r="H164" s="18">
        <v>0.36</v>
      </c>
      <c r="I164" s="42">
        <f t="shared" si="57"/>
        <v>0.32318571428571424</v>
      </c>
      <c r="J164" s="41">
        <f t="shared" si="56"/>
        <v>0.31752406</v>
      </c>
      <c r="K164" s="50">
        <f t="shared" si="58"/>
        <v>0.31240759000000001</v>
      </c>
      <c r="L164" s="50"/>
      <c r="M164" s="4">
        <v>41456</v>
      </c>
      <c r="U164" s="5"/>
      <c r="V164" s="3"/>
      <c r="X164" s="3">
        <v>0.23499999999999999</v>
      </c>
      <c r="Y164" s="3">
        <v>0.23499999999999999</v>
      </c>
    </row>
    <row r="165" spans="1:25">
      <c r="A165" s="4">
        <v>41507</v>
      </c>
      <c r="B165" s="18">
        <v>0.34</v>
      </c>
      <c r="C165" s="59">
        <v>0.29899999999999999</v>
      </c>
      <c r="D165" s="49">
        <f>AVERAGE(0.33,0.345)</f>
        <v>0.33750000000000002</v>
      </c>
      <c r="E165" s="18">
        <v>0.47</v>
      </c>
      <c r="F165" s="18">
        <v>0.43</v>
      </c>
      <c r="G165" s="18">
        <v>0</v>
      </c>
      <c r="H165" s="18">
        <v>0.35</v>
      </c>
      <c r="I165" s="42">
        <f t="shared" si="57"/>
        <v>0.31807142857142851</v>
      </c>
      <c r="J165" s="41">
        <f t="shared" si="56"/>
        <v>0.31144130000000003</v>
      </c>
      <c r="K165" s="50">
        <f t="shared" si="58"/>
        <v>0.28572713999999999</v>
      </c>
      <c r="L165" s="50"/>
      <c r="M165" s="4">
        <v>41487</v>
      </c>
      <c r="U165" s="5"/>
      <c r="V165" s="3"/>
      <c r="X165" s="3">
        <v>0.24</v>
      </c>
      <c r="Y165" s="3">
        <v>0.24</v>
      </c>
    </row>
    <row r="166" spans="1:25">
      <c r="A166" s="4">
        <v>41539</v>
      </c>
      <c r="B166" s="18">
        <v>0.35</v>
      </c>
      <c r="C166" s="59">
        <v>0.30480000000000002</v>
      </c>
      <c r="D166" s="49">
        <f>AVERAGE(0.35,0.345)</f>
        <v>0.34749999999999998</v>
      </c>
      <c r="E166" s="18">
        <v>0.47</v>
      </c>
      <c r="F166" s="18">
        <v>0.44</v>
      </c>
      <c r="G166" s="18">
        <v>0</v>
      </c>
      <c r="H166" s="18">
        <v>0.36</v>
      </c>
      <c r="I166" s="42">
        <f t="shared" si="57"/>
        <v>0.32461428571428569</v>
      </c>
      <c r="J166" s="41">
        <f t="shared" si="56"/>
        <v>0.31931406000000001</v>
      </c>
      <c r="K166" s="50">
        <f t="shared" si="58"/>
        <v>0.2840022066666667</v>
      </c>
      <c r="L166" s="50"/>
      <c r="M166" s="4">
        <v>41518</v>
      </c>
      <c r="U166" s="5"/>
      <c r="V166" s="3"/>
      <c r="X166" s="3">
        <v>0.24</v>
      </c>
      <c r="Y166" s="3">
        <v>0.24</v>
      </c>
    </row>
    <row r="167" spans="1:25">
      <c r="A167" s="4">
        <v>41571</v>
      </c>
      <c r="B167" s="18">
        <v>0.36</v>
      </c>
      <c r="C167" s="59">
        <v>0.3105</v>
      </c>
      <c r="D167" s="49">
        <f>AVERAGE(0.36,0.365)</f>
        <v>0.36249999999999999</v>
      </c>
      <c r="E167" s="18">
        <v>0.48</v>
      </c>
      <c r="F167" s="18">
        <v>0.45</v>
      </c>
      <c r="G167" s="18">
        <v>0</v>
      </c>
      <c r="H167" s="18">
        <v>0.37</v>
      </c>
      <c r="I167" s="42">
        <f t="shared" ref="I167" si="59">AVERAGE(B167,C167,D167,E167,F167,G167,H167)</f>
        <v>0.33328571428571424</v>
      </c>
      <c r="J167" s="41">
        <f t="shared" si="56"/>
        <v>0.32864210000000005</v>
      </c>
      <c r="K167" s="50">
        <f t="shared" ref="K167" si="60">AVERAGE(J155,J143,J131)</f>
        <v>0.30089368999999999</v>
      </c>
      <c r="L167" s="50"/>
      <c r="M167" s="4">
        <v>41548</v>
      </c>
      <c r="U167" s="5"/>
      <c r="V167" s="3"/>
      <c r="X167" s="3">
        <v>0.245</v>
      </c>
      <c r="Y167" s="3">
        <v>0.245</v>
      </c>
    </row>
    <row r="168" spans="1:25">
      <c r="A168" s="4">
        <v>41603</v>
      </c>
      <c r="B168" s="18">
        <v>0.37</v>
      </c>
      <c r="C168" s="59">
        <v>0.32200000000000001</v>
      </c>
      <c r="D168" s="49">
        <f>AVERAGE(0.35,0.345)</f>
        <v>0.34749999999999998</v>
      </c>
      <c r="E168" s="18">
        <v>0.5</v>
      </c>
      <c r="F168" s="18">
        <v>0.46</v>
      </c>
      <c r="G168" s="18">
        <v>0</v>
      </c>
      <c r="H168" s="18">
        <v>0.38</v>
      </c>
      <c r="I168" s="42">
        <f t="shared" ref="I168" si="61">AVERAGE(B168,C168,D168,E168,F168,G168,H168)</f>
        <v>0.33992857142857141</v>
      </c>
      <c r="J168" s="41">
        <f t="shared" si="56"/>
        <v>0.33396989999999993</v>
      </c>
      <c r="K168" s="50">
        <f t="shared" ref="K168" si="62">AVERAGE(J156,J144,J132)</f>
        <v>0.30569941666666667</v>
      </c>
      <c r="L168" s="50"/>
      <c r="M168" s="4">
        <v>41579</v>
      </c>
      <c r="U168" s="5"/>
      <c r="V168" s="3"/>
      <c r="X168" s="3">
        <v>0.245</v>
      </c>
      <c r="Y168" s="3">
        <v>0.25</v>
      </c>
    </row>
    <row r="169" spans="1:25">
      <c r="A169" s="4">
        <v>41635</v>
      </c>
      <c r="B169" s="18">
        <v>0.35</v>
      </c>
      <c r="C169" s="59">
        <v>0.30480000000000002</v>
      </c>
      <c r="D169" s="49">
        <f>AVERAGE(0.34,0.33)</f>
        <v>0.33500000000000002</v>
      </c>
      <c r="E169" s="18">
        <v>0.48</v>
      </c>
      <c r="F169" s="18">
        <v>0.44</v>
      </c>
      <c r="G169" s="18">
        <v>0</v>
      </c>
      <c r="H169" s="18">
        <v>0.36</v>
      </c>
      <c r="I169" s="42">
        <f t="shared" ref="I169" si="63">AVERAGE(B169,C169,D169,E169,F169,G169,H169)</f>
        <v>0.32425714285714285</v>
      </c>
      <c r="J169" s="41">
        <f t="shared" ref="J169" si="64">SUM(B169*$B$196,C169*$C$196,D169*$D$196,E169*$E$196,F169*$F$196,G169*$G$196,H169*$H$196)</f>
        <v>0.31765056000000003</v>
      </c>
      <c r="K169" s="50">
        <f t="shared" ref="K169" si="65">AVERAGE(J157,J145,J133)</f>
        <v>0.30946835</v>
      </c>
      <c r="L169" s="50"/>
      <c r="M169" s="4">
        <v>41609</v>
      </c>
      <c r="U169" s="5"/>
      <c r="V169" s="3"/>
      <c r="X169" s="3">
        <v>0.25</v>
      </c>
      <c r="Y169" s="3">
        <v>0.25</v>
      </c>
    </row>
    <row r="170" spans="1:25">
      <c r="A170" s="4">
        <v>41640</v>
      </c>
      <c r="B170" s="18">
        <v>0.34</v>
      </c>
      <c r="C170" s="59">
        <v>0.29899999999999999</v>
      </c>
      <c r="D170" s="49">
        <f>AVERAGE(0.34,0.34)</f>
        <v>0.34</v>
      </c>
      <c r="E170" s="18">
        <v>0.46</v>
      </c>
      <c r="F170" s="18">
        <v>0.43</v>
      </c>
      <c r="G170" s="18">
        <v>0</v>
      </c>
      <c r="H170" s="18">
        <v>0.35</v>
      </c>
      <c r="I170" s="42">
        <f t="shared" ref="I170" si="66">AVERAGE(B170,C170,D170,E170,F170,G170,H170)</f>
        <v>0.317</v>
      </c>
      <c r="J170" s="41">
        <f t="shared" ref="J170:J175" si="67">SUM(B170*$B$197,C170*$C$197,D170*$D$197,E170*$E$197,F170*$F$197,G170*$G$197,H170*$H$197)</f>
        <v>0.31211350595161891</v>
      </c>
      <c r="K170" s="50">
        <f t="shared" ref="K170:K175" si="68">AVERAGE(J158,J146,J134)</f>
        <v>0.32012570999999995</v>
      </c>
      <c r="L170" s="50"/>
      <c r="M170" s="4">
        <v>41640</v>
      </c>
      <c r="U170" s="5"/>
      <c r="V170" s="3"/>
      <c r="X170" s="3">
        <v>0.255</v>
      </c>
      <c r="Y170" s="3">
        <v>0.255</v>
      </c>
    </row>
    <row r="171" spans="1:25">
      <c r="A171" s="4">
        <v>41671</v>
      </c>
      <c r="B171" s="18">
        <v>0.35</v>
      </c>
      <c r="C171" s="59">
        <v>0.30480000000000002</v>
      </c>
      <c r="D171" s="49">
        <f>AVERAGE(0.35,0.34)</f>
        <v>0.34499999999999997</v>
      </c>
      <c r="E171" s="18">
        <v>0.48</v>
      </c>
      <c r="F171" s="18">
        <v>0.44</v>
      </c>
      <c r="G171" s="18">
        <v>0</v>
      </c>
      <c r="H171" s="18">
        <v>0.36</v>
      </c>
      <c r="I171" s="42">
        <f t="shared" ref="I171" si="69">AVERAGE(B171,C171,D171,E171,F171,G171,H171)</f>
        <v>0.32568571428571425</v>
      </c>
      <c r="J171" s="41">
        <f t="shared" si="67"/>
        <v>0.32019904648220449</v>
      </c>
      <c r="K171" s="50">
        <f t="shared" si="68"/>
        <v>0.31811384999999998</v>
      </c>
      <c r="L171" s="50"/>
      <c r="M171" s="4">
        <v>41671</v>
      </c>
      <c r="U171" s="5"/>
      <c r="V171" s="3"/>
      <c r="X171" s="3">
        <v>0.255</v>
      </c>
      <c r="Y171" s="3">
        <v>0.26</v>
      </c>
    </row>
    <row r="172" spans="1:25">
      <c r="A172" s="4">
        <v>41699</v>
      </c>
      <c r="B172" s="18">
        <v>0.35</v>
      </c>
      <c r="C172" s="59">
        <v>0.3105</v>
      </c>
      <c r="D172" s="49">
        <f>AVERAGE(0.35,0.365)</f>
        <v>0.35749999999999998</v>
      </c>
      <c r="E172" s="18">
        <v>0.48</v>
      </c>
      <c r="F172" s="18">
        <v>0.44</v>
      </c>
      <c r="G172" s="18">
        <v>0</v>
      </c>
      <c r="H172" s="18">
        <v>0.36</v>
      </c>
      <c r="I172" s="42">
        <f t="shared" ref="I172" si="70">AVERAGE(B172,C172,D172,E172,F172,G172,H172)</f>
        <v>0.32828571428571429</v>
      </c>
      <c r="J172" s="41">
        <f t="shared" si="67"/>
        <v>0.3234125738185985</v>
      </c>
      <c r="K172" s="50">
        <f t="shared" si="68"/>
        <v>0.29090223999999998</v>
      </c>
      <c r="L172" s="50"/>
      <c r="M172" s="4">
        <v>41699</v>
      </c>
      <c r="U172" s="5"/>
      <c r="V172" s="3"/>
      <c r="X172" s="3">
        <v>0.26500000000000001</v>
      </c>
      <c r="Y172" s="3">
        <v>0.26</v>
      </c>
    </row>
    <row r="173" spans="1:25">
      <c r="A173" s="4">
        <v>41730</v>
      </c>
      <c r="B173" s="18">
        <v>0.38</v>
      </c>
      <c r="C173" s="59">
        <v>0.32779999999999998</v>
      </c>
      <c r="D173" s="49">
        <f>AVERAGE(0.37,0.365)</f>
        <v>0.36749999999999999</v>
      </c>
      <c r="E173" s="18">
        <v>0.5</v>
      </c>
      <c r="F173" s="18">
        <v>0.47</v>
      </c>
      <c r="G173" s="18">
        <v>0</v>
      </c>
      <c r="H173" s="18">
        <v>0.38</v>
      </c>
      <c r="I173" s="42">
        <f t="shared" ref="I173" si="71">AVERAGE(B173,C173,D173,E173,F173,G173,H173)</f>
        <v>0.3464714285714286</v>
      </c>
      <c r="J173" s="41">
        <f t="shared" si="67"/>
        <v>0.34261695469360054</v>
      </c>
      <c r="K173" s="50">
        <f t="shared" si="68"/>
        <v>0.32687747666666667</v>
      </c>
      <c r="L173" s="50"/>
      <c r="M173" s="4">
        <v>41730</v>
      </c>
      <c r="U173" s="5"/>
      <c r="V173" s="3"/>
      <c r="X173" s="3">
        <v>0.26500000000000001</v>
      </c>
      <c r="Y173" s="3">
        <v>0.26500000000000001</v>
      </c>
    </row>
    <row r="174" spans="1:25">
      <c r="A174" s="4">
        <v>41760</v>
      </c>
      <c r="B174" s="18">
        <v>0.38</v>
      </c>
      <c r="C174" s="59">
        <v>0.32779999999999998</v>
      </c>
      <c r="D174" s="49">
        <f>AVERAGE(0.36,0.36)</f>
        <v>0.36</v>
      </c>
      <c r="E174" s="18">
        <v>0.51</v>
      </c>
      <c r="F174" s="18">
        <v>0.47</v>
      </c>
      <c r="G174" s="18">
        <v>0</v>
      </c>
      <c r="H174" s="18">
        <v>0.39</v>
      </c>
      <c r="I174" s="42">
        <f t="shared" ref="I174:I175" si="72">AVERAGE(B174,C174,D174,E174,F174,G174,H174)</f>
        <v>0.34825714285714288</v>
      </c>
      <c r="J174" s="41">
        <f t="shared" si="67"/>
        <v>0.34336191192762655</v>
      </c>
      <c r="K174" s="50">
        <f t="shared" si="68"/>
        <v>0.35210298666666667</v>
      </c>
      <c r="L174" s="50"/>
      <c r="M174" s="4">
        <v>41760</v>
      </c>
      <c r="U174" s="5"/>
      <c r="V174" s="3"/>
      <c r="X174" s="3">
        <v>0.27</v>
      </c>
      <c r="Y174" s="3">
        <v>0.26500000000000001</v>
      </c>
    </row>
    <row r="175" spans="1:25">
      <c r="A175" s="4">
        <v>41791</v>
      </c>
      <c r="B175" s="18">
        <v>0.37</v>
      </c>
      <c r="C175" s="59">
        <v>0.32200000000000001</v>
      </c>
      <c r="D175" s="49">
        <f>AVERAGE(0.36,0.355)</f>
        <v>0.35749999999999998</v>
      </c>
      <c r="E175" s="18">
        <v>0.5</v>
      </c>
      <c r="F175" s="18">
        <v>0.46</v>
      </c>
      <c r="G175" s="18">
        <v>0</v>
      </c>
      <c r="H175" s="18">
        <v>0.38</v>
      </c>
      <c r="I175" s="42">
        <f t="shared" si="72"/>
        <v>0.34135714285714286</v>
      </c>
      <c r="J175" s="41">
        <f t="shared" si="67"/>
        <v>0.33638247385371528</v>
      </c>
      <c r="K175" s="50">
        <f t="shared" si="68"/>
        <v>0.35088321000000006</v>
      </c>
      <c r="L175" s="50"/>
      <c r="M175" s="4">
        <v>41791</v>
      </c>
      <c r="U175" s="5"/>
      <c r="V175" s="3"/>
      <c r="X175" s="3">
        <v>0.27</v>
      </c>
      <c r="Y175" s="3">
        <v>0.27</v>
      </c>
    </row>
    <row r="176" spans="1:25">
      <c r="A176" s="4">
        <v>41821</v>
      </c>
      <c r="B176" s="18">
        <v>0.37</v>
      </c>
      <c r="C176" s="59">
        <v>0.31630000000000003</v>
      </c>
      <c r="D176" s="49">
        <f>AVERAGE(0.345,0.345)</f>
        <v>0.34499999999999997</v>
      </c>
      <c r="E176" s="18">
        <v>0.49</v>
      </c>
      <c r="F176" s="18">
        <v>0.46</v>
      </c>
      <c r="G176" s="18">
        <v>0</v>
      </c>
      <c r="H176" s="18">
        <v>0.37</v>
      </c>
      <c r="I176" s="42">
        <f t="shared" ref="I176" si="73">AVERAGE(B176,C176,D176,E176,F176,G176,H176)</f>
        <v>0.33589999999999998</v>
      </c>
      <c r="J176" s="41">
        <f t="shared" ref="J176" si="74">SUM(B176*$B$197,C176*$C$197,D176*$D$197,E176*$E$197,F176*$F$197,G176*$G$197,H176*$H$197)</f>
        <v>0.33096092200564875</v>
      </c>
      <c r="K176" s="50">
        <f t="shared" ref="K176" si="75">AVERAGE(J164,J152,J140)</f>
        <v>0.33369259333333329</v>
      </c>
      <c r="L176" s="50"/>
      <c r="M176" s="4">
        <v>41821</v>
      </c>
      <c r="U176" s="5"/>
      <c r="V176" s="3"/>
      <c r="X176" s="3">
        <v>0.27500000000000002</v>
      </c>
      <c r="Y176" s="3">
        <v>0.27500000000000002</v>
      </c>
    </row>
    <row r="177" spans="1:25">
      <c r="A177" s="4">
        <v>41852</v>
      </c>
      <c r="B177" s="18">
        <v>0.36</v>
      </c>
      <c r="C177" s="59">
        <v>0.3105</v>
      </c>
      <c r="D177" s="49">
        <f>AVERAGE(0.34,0.35)</f>
        <v>0.34499999999999997</v>
      </c>
      <c r="E177" s="18">
        <v>0.48</v>
      </c>
      <c r="F177" s="18">
        <v>0.45</v>
      </c>
      <c r="G177" s="18">
        <v>0</v>
      </c>
      <c r="H177" s="18">
        <v>0.37</v>
      </c>
      <c r="I177" s="42">
        <f t="shared" ref="I177" si="76">AVERAGE(B177,C177,D177,E177,F177,G177,H177)</f>
        <v>0.33078571428571424</v>
      </c>
      <c r="J177" s="41">
        <f t="shared" ref="J177" si="77">SUM(B177*$B$197,C177*$C$197,D177*$D$197,E177*$E$197,F177*$F$197,G177*$G$197,H177*$H$197)</f>
        <v>0.32605878417183348</v>
      </c>
      <c r="K177" s="50">
        <f t="shared" ref="K177" si="78">AVERAGE(J165,J153,J141)</f>
        <v>0.31220512333333333</v>
      </c>
      <c r="L177" s="50"/>
      <c r="M177" s="4">
        <v>41852</v>
      </c>
      <c r="U177" s="5"/>
      <c r="V177" s="3"/>
      <c r="X177" s="3">
        <v>0.28000000000000003</v>
      </c>
      <c r="Y177" s="3">
        <v>0.27500000000000002</v>
      </c>
    </row>
    <row r="178" spans="1:25">
      <c r="A178" s="4">
        <v>41883</v>
      </c>
      <c r="B178" s="18">
        <v>0.35</v>
      </c>
      <c r="C178" s="59">
        <v>0.30480000000000002</v>
      </c>
      <c r="D178" s="49">
        <f>AVERAGE(0.33,0.335)</f>
        <v>0.33250000000000002</v>
      </c>
      <c r="E178" s="18">
        <v>0.48</v>
      </c>
      <c r="F178" s="18">
        <v>0.44</v>
      </c>
      <c r="G178" s="18">
        <v>0</v>
      </c>
      <c r="H178" s="18">
        <v>0.36</v>
      </c>
      <c r="I178" s="42">
        <f t="shared" ref="I178" si="79">AVERAGE(B178,C178,D178,E178,F178,G178,H178)</f>
        <v>0.32390000000000002</v>
      </c>
      <c r="J178" s="41">
        <f t="shared" ref="J178" si="80">SUM(B178*$B$197,C178*$C$197,D178*$D$197,E178*$E$197,F178*$F$197,G178*$G$197,H178*$H$197)</f>
        <v>0.31776060101946019</v>
      </c>
      <c r="K178" s="50">
        <f t="shared" ref="K178" si="81">AVERAGE(J166,J154,J142)</f>
        <v>0.31427191999999998</v>
      </c>
      <c r="L178" s="50"/>
      <c r="M178" s="4">
        <v>41883</v>
      </c>
      <c r="U178" s="5"/>
      <c r="V178" s="3"/>
      <c r="X178" s="3">
        <v>0.28000000000000003</v>
      </c>
      <c r="Y178" s="3">
        <v>0.28000000000000003</v>
      </c>
    </row>
    <row r="179" spans="1:25">
      <c r="A179" s="4">
        <v>41913</v>
      </c>
      <c r="B179" s="18">
        <v>0.34</v>
      </c>
      <c r="C179" s="59">
        <v>0.29899999999999999</v>
      </c>
      <c r="D179" s="49">
        <f>AVERAGE(0.33,0.325)</f>
        <v>0.32750000000000001</v>
      </c>
      <c r="E179" s="18">
        <v>0.46</v>
      </c>
      <c r="F179" s="18">
        <v>0.43</v>
      </c>
      <c r="G179" s="18">
        <v>0</v>
      </c>
      <c r="H179" s="18">
        <v>0.35</v>
      </c>
      <c r="I179" s="42">
        <f t="shared" ref="I179" si="82">AVERAGE(B179,C179,D179,E179,F179,G179,H179)</f>
        <v>0.31521428571428572</v>
      </c>
      <c r="J179" s="41">
        <f t="shared" ref="J179" si="83">SUM(B179*$B$197,C179*$C$197,D179*$D$197,E179*$E$197,F179*$F$197,G179*$G$197,H179*$H$197)</f>
        <v>0.30967506048887461</v>
      </c>
      <c r="K179" s="50">
        <f t="shared" ref="K179" si="84">AVERAGE(J167,J155,J143)</f>
        <v>0.33220810666666667</v>
      </c>
      <c r="L179" s="50"/>
      <c r="M179" s="4">
        <v>41913</v>
      </c>
      <c r="U179" s="5"/>
      <c r="V179" s="3"/>
      <c r="X179" s="3">
        <v>0.28499999999999998</v>
      </c>
      <c r="Y179" s="3">
        <v>0.28000000000000003</v>
      </c>
    </row>
    <row r="180" spans="1:25">
      <c r="A180" s="4">
        <v>41944</v>
      </c>
      <c r="B180" s="18">
        <v>0.33</v>
      </c>
      <c r="C180" s="59"/>
      <c r="D180" s="49"/>
      <c r="E180" s="18">
        <v>0.45</v>
      </c>
      <c r="F180" s="18"/>
      <c r="G180" s="18"/>
      <c r="H180" s="18">
        <v>0.34</v>
      </c>
      <c r="I180" s="42"/>
      <c r="J180" s="41"/>
      <c r="K180" s="50"/>
      <c r="L180" s="50"/>
      <c r="M180" s="4">
        <v>41944</v>
      </c>
      <c r="U180" s="5"/>
      <c r="V180" s="3"/>
    </row>
    <row r="181" spans="1:25">
      <c r="A181" s="4">
        <v>41974</v>
      </c>
      <c r="B181" s="18"/>
      <c r="C181" s="59"/>
      <c r="D181" s="49"/>
      <c r="E181" s="18"/>
      <c r="F181" s="18"/>
      <c r="G181" s="18"/>
      <c r="H181" s="18"/>
      <c r="I181" s="42"/>
      <c r="J181" s="41"/>
      <c r="K181" s="50"/>
      <c r="L181" s="50"/>
      <c r="M181" s="4">
        <v>41974</v>
      </c>
      <c r="U181" s="5"/>
      <c r="V181" s="3"/>
    </row>
    <row r="182" spans="1:25">
      <c r="A182" s="60"/>
      <c r="B182" s="18"/>
      <c r="C182" s="59"/>
      <c r="D182" s="22"/>
      <c r="E182" s="18"/>
      <c r="F182" s="18"/>
      <c r="G182" s="18"/>
      <c r="H182" s="18"/>
      <c r="I182" s="42"/>
      <c r="J182" s="74"/>
      <c r="K182" s="50"/>
      <c r="L182" s="50"/>
      <c r="M182" s="4"/>
      <c r="U182" s="5"/>
      <c r="V182" s="3"/>
    </row>
    <row r="183" spans="1:25">
      <c r="A183" s="60"/>
      <c r="B183" s="18"/>
      <c r="C183" s="59"/>
      <c r="D183" s="22"/>
      <c r="E183" s="18"/>
      <c r="F183" s="18"/>
      <c r="G183" s="18"/>
      <c r="H183" s="18"/>
      <c r="I183" s="42"/>
      <c r="J183" s="74"/>
      <c r="K183" s="50"/>
      <c r="L183" s="50"/>
      <c r="M183" s="4"/>
      <c r="U183" s="5"/>
      <c r="V183" s="3"/>
    </row>
    <row r="184" spans="1:25">
      <c r="A184" s="1" t="s">
        <v>64</v>
      </c>
      <c r="N184" s="11"/>
      <c r="O184" s="11"/>
      <c r="P184" s="11"/>
      <c r="Q184" s="11"/>
      <c r="R184" s="11"/>
      <c r="S184" s="11"/>
      <c r="T184" s="11"/>
      <c r="U184" s="11"/>
      <c r="V184" s="11"/>
    </row>
    <row r="185" spans="1:25" ht="13.5" thickBot="1">
      <c r="B185" s="2" t="s">
        <v>4</v>
      </c>
      <c r="C185" s="2" t="s">
        <v>11</v>
      </c>
      <c r="D185" s="2" t="s">
        <v>7</v>
      </c>
      <c r="E185" s="2" t="s">
        <v>2</v>
      </c>
      <c r="F185" s="2" t="s">
        <v>5</v>
      </c>
      <c r="G185" s="2" t="s">
        <v>3</v>
      </c>
      <c r="H185" s="2" t="s">
        <v>6</v>
      </c>
      <c r="I185" s="2" t="s">
        <v>16</v>
      </c>
      <c r="J185" s="10"/>
      <c r="N185" s="11"/>
      <c r="O185" s="11"/>
      <c r="P185" s="11"/>
      <c r="Q185" s="11"/>
      <c r="R185" s="11"/>
      <c r="S185" s="11"/>
      <c r="T185" s="11"/>
      <c r="U185" s="11"/>
    </row>
    <row r="186" spans="1:25">
      <c r="A186">
        <v>2002</v>
      </c>
      <c r="B186" s="11">
        <v>0.27289999999999998</v>
      </c>
      <c r="C186" s="11">
        <v>0.1308</v>
      </c>
      <c r="D186" s="11">
        <v>0.13350000000000001</v>
      </c>
      <c r="E186" s="11">
        <v>9.7299999999999998E-2</v>
      </c>
      <c r="F186" s="11">
        <v>1.8499999999999999E-2</v>
      </c>
      <c r="G186" s="11">
        <v>0.1123</v>
      </c>
      <c r="H186" s="11">
        <v>0.23469999999999999</v>
      </c>
      <c r="I186" s="11">
        <f t="shared" ref="I186:I196" si="85">SUM(B186:H186)</f>
        <v>0.99999999999999978</v>
      </c>
      <c r="J186" s="11"/>
      <c r="N186" s="11"/>
      <c r="O186" s="11"/>
      <c r="P186" s="11"/>
      <c r="Q186" s="11"/>
      <c r="R186" s="11"/>
      <c r="S186" s="11"/>
      <c r="T186" s="11"/>
      <c r="U186" s="11"/>
    </row>
    <row r="187" spans="1:25">
      <c r="A187">
        <v>2003</v>
      </c>
      <c r="B187" s="11">
        <v>0.27939999999999998</v>
      </c>
      <c r="C187" s="11">
        <v>0.1328</v>
      </c>
      <c r="D187" s="11">
        <v>0.13289999999999999</v>
      </c>
      <c r="E187" s="11">
        <v>9.8199999999999996E-2</v>
      </c>
      <c r="F187" s="11">
        <v>1.6400000000000001E-2</v>
      </c>
      <c r="G187" s="11">
        <v>0.1149</v>
      </c>
      <c r="H187" s="11">
        <v>0.22539999999999999</v>
      </c>
      <c r="I187" s="11">
        <f t="shared" si="85"/>
        <v>1</v>
      </c>
      <c r="J187" s="11"/>
      <c r="N187" s="11"/>
      <c r="O187" s="11"/>
      <c r="P187" s="11"/>
      <c r="Q187" s="11"/>
      <c r="R187" s="11"/>
      <c r="S187" s="11"/>
      <c r="T187" s="11"/>
      <c r="U187" s="11"/>
    </row>
    <row r="188" spans="1:25">
      <c r="A188">
        <v>2004</v>
      </c>
      <c r="B188" s="11">
        <v>0.29139999999999999</v>
      </c>
      <c r="C188" s="11">
        <v>0.15110000000000001</v>
      </c>
      <c r="D188" s="11">
        <v>0.13350000000000001</v>
      </c>
      <c r="E188" s="11">
        <v>9.0399999999999994E-2</v>
      </c>
      <c r="F188" s="11">
        <v>1.7600000000000001E-2</v>
      </c>
      <c r="G188" s="11">
        <v>0.10780000000000001</v>
      </c>
      <c r="H188" s="11">
        <v>0.2082</v>
      </c>
      <c r="I188" s="11">
        <f t="shared" si="85"/>
        <v>1</v>
      </c>
      <c r="J188" s="11"/>
      <c r="N188" s="11"/>
      <c r="O188" s="11"/>
      <c r="P188" s="11"/>
      <c r="Q188" s="11"/>
      <c r="R188" s="11"/>
      <c r="S188" s="11"/>
      <c r="T188" s="11"/>
      <c r="U188" s="11"/>
    </row>
    <row r="189" spans="1:25">
      <c r="A189">
        <v>2005</v>
      </c>
      <c r="B189" s="11">
        <v>0.30299999999999999</v>
      </c>
      <c r="C189" s="11">
        <v>0.14369999999999999</v>
      </c>
      <c r="D189" s="11">
        <v>0.13689999999999999</v>
      </c>
      <c r="E189" s="11">
        <v>9.6799999999999997E-2</v>
      </c>
      <c r="F189" s="11">
        <v>1.7500000000000002E-2</v>
      </c>
      <c r="G189" s="11">
        <v>0.1066</v>
      </c>
      <c r="H189" s="11">
        <v>0.19550000000000001</v>
      </c>
      <c r="I189" s="11">
        <f t="shared" si="85"/>
        <v>1</v>
      </c>
      <c r="J189" s="11"/>
    </row>
    <row r="190" spans="1:25">
      <c r="A190">
        <v>2006</v>
      </c>
      <c r="B190" s="11">
        <v>0.30742999999999998</v>
      </c>
      <c r="C190" s="11">
        <v>0.15454000000000001</v>
      </c>
      <c r="D190" s="11">
        <v>0.14249999999999999</v>
      </c>
      <c r="E190" s="11">
        <v>9.7909999999999997E-2</v>
      </c>
      <c r="F190" s="11">
        <v>1.7090000000000001E-2</v>
      </c>
      <c r="G190" s="11">
        <v>0.10076</v>
      </c>
      <c r="H190" s="11">
        <v>0.17977000000000001</v>
      </c>
      <c r="I190" s="11">
        <f t="shared" si="85"/>
        <v>1</v>
      </c>
      <c r="J190" s="11"/>
    </row>
    <row r="191" spans="1:25">
      <c r="A191">
        <v>2007</v>
      </c>
      <c r="B191" s="11">
        <v>0.32129999999999997</v>
      </c>
      <c r="C191" s="11">
        <v>0.15029999999999999</v>
      </c>
      <c r="D191" s="11">
        <v>0.14399999999999999</v>
      </c>
      <c r="E191" s="11">
        <v>8.8599999999999998E-2</v>
      </c>
      <c r="F191" s="11">
        <v>2.0400000000000001E-2</v>
      </c>
      <c r="G191" s="11">
        <v>9.9900000000000003E-2</v>
      </c>
      <c r="H191" s="11">
        <v>0.17549999999999999</v>
      </c>
      <c r="I191" s="11">
        <f t="shared" si="85"/>
        <v>0.99999999999999989</v>
      </c>
    </row>
    <row r="192" spans="1:25">
      <c r="A192">
        <v>2008</v>
      </c>
      <c r="B192" s="11">
        <v>0.34110000000000001</v>
      </c>
      <c r="C192" s="11">
        <v>0.1348</v>
      </c>
      <c r="D192" s="11">
        <v>0.13150000000000001</v>
      </c>
      <c r="E192" s="11">
        <v>8.1100000000000005E-2</v>
      </c>
      <c r="F192" s="11">
        <v>2.2499999999999999E-2</v>
      </c>
      <c r="G192" s="11">
        <v>9.64E-2</v>
      </c>
      <c r="H192" s="11">
        <v>0.19259999999999999</v>
      </c>
      <c r="I192" s="11">
        <f t="shared" si="85"/>
        <v>0.99999999999999989</v>
      </c>
    </row>
    <row r="193" spans="1:9">
      <c r="A193">
        <v>2009</v>
      </c>
      <c r="B193" s="11">
        <v>0.31900000000000001</v>
      </c>
      <c r="C193" s="11">
        <v>0.13239999999999999</v>
      </c>
      <c r="D193" s="11">
        <v>0.18390000000000001</v>
      </c>
      <c r="E193" s="11">
        <v>6.9400000000000003E-2</v>
      </c>
      <c r="F193" s="11">
        <v>2.4299999999999999E-2</v>
      </c>
      <c r="G193" s="11">
        <v>9.3799999999999994E-2</v>
      </c>
      <c r="H193" s="11">
        <v>0.1772</v>
      </c>
      <c r="I193" s="11">
        <f t="shared" si="85"/>
        <v>1</v>
      </c>
    </row>
    <row r="194" spans="1:9">
      <c r="A194">
        <v>2010</v>
      </c>
      <c r="B194" s="11">
        <v>0.33800000000000002</v>
      </c>
      <c r="C194" s="11">
        <v>0.12540000000000001</v>
      </c>
      <c r="D194" s="11">
        <v>0.1643</v>
      </c>
      <c r="E194" s="11">
        <v>6.9099999999999995E-2</v>
      </c>
      <c r="F194" s="11">
        <v>2.2100000000000002E-2</v>
      </c>
      <c r="G194" s="11">
        <v>9.8599999999999993E-2</v>
      </c>
      <c r="H194" s="11">
        <v>0.1825</v>
      </c>
      <c r="I194" s="11">
        <f t="shared" si="85"/>
        <v>1</v>
      </c>
    </row>
    <row r="195" spans="1:9">
      <c r="A195">
        <v>2011</v>
      </c>
      <c r="B195" s="11">
        <v>0.34279999999999999</v>
      </c>
      <c r="C195" s="11">
        <v>0.126</v>
      </c>
      <c r="D195" s="11">
        <v>0.16919999999999999</v>
      </c>
      <c r="E195" s="11">
        <v>6.1899999999999997E-2</v>
      </c>
      <c r="F195" s="11">
        <v>2.18E-2</v>
      </c>
      <c r="G195" s="11">
        <v>9.4700000000000006E-2</v>
      </c>
      <c r="H195" s="11">
        <v>0.18360000000000001</v>
      </c>
      <c r="I195" s="11">
        <f t="shared" si="85"/>
        <v>1</v>
      </c>
    </row>
    <row r="196" spans="1:9">
      <c r="A196">
        <v>2012</v>
      </c>
      <c r="B196" s="11">
        <v>0.34649999999999997</v>
      </c>
      <c r="C196" s="11">
        <v>0.13719999999999999</v>
      </c>
      <c r="D196" s="11">
        <v>0.17899999999999999</v>
      </c>
      <c r="E196" s="11">
        <v>5.74E-2</v>
      </c>
      <c r="F196" s="11">
        <v>1.8100000000000002E-2</v>
      </c>
      <c r="G196" s="11">
        <v>9.7699999999999995E-2</v>
      </c>
      <c r="H196" s="11">
        <v>0.1641</v>
      </c>
      <c r="I196" s="11">
        <f t="shared" si="85"/>
        <v>1</v>
      </c>
    </row>
    <row r="197" spans="1:9">
      <c r="A197">
        <v>2013</v>
      </c>
      <c r="B197" s="11">
        <v>0.32489266487911883</v>
      </c>
      <c r="C197" s="11">
        <v>0.13597927607887619</v>
      </c>
      <c r="D197" s="11">
        <v>0.19507563701954883</v>
      </c>
      <c r="E197" s="11">
        <v>6.184133641255022E-2</v>
      </c>
      <c r="F197" s="11">
        <v>2.461180196410934E-2</v>
      </c>
      <c r="G197" s="11">
        <v>9.8638168891088562E-2</v>
      </c>
      <c r="H197" s="11">
        <v>0.15896111475470806</v>
      </c>
      <c r="I197" s="11">
        <f>SUM(B197:H197)</f>
        <v>1</v>
      </c>
    </row>
    <row r="198" spans="1:9">
      <c r="B198" s="80"/>
      <c r="C198" s="80"/>
      <c r="D198" s="80"/>
      <c r="E198" s="80"/>
      <c r="F198" s="80"/>
      <c r="G198" s="80"/>
      <c r="H198" s="80"/>
    </row>
    <row r="199" spans="1:9">
      <c r="B199" s="11"/>
      <c r="C199" s="11"/>
      <c r="D199" s="11"/>
      <c r="E199" s="11"/>
      <c r="F199" s="11"/>
      <c r="G199" s="11"/>
      <c r="H199" s="11"/>
      <c r="I199" s="79"/>
    </row>
    <row r="203" spans="1:9">
      <c r="C203" s="27"/>
      <c r="D203" s="27"/>
      <c r="E203" s="27"/>
      <c r="F203" s="27"/>
      <c r="G203" s="27"/>
      <c r="H203" s="27"/>
    </row>
    <row r="204" spans="1:9">
      <c r="C204" s="27"/>
      <c r="D204" s="27"/>
      <c r="E204" s="27"/>
      <c r="F204" s="27"/>
      <c r="G204" s="27"/>
      <c r="H204" s="27"/>
    </row>
    <row r="205" spans="1:9">
      <c r="C205" s="27"/>
      <c r="D205" s="27"/>
      <c r="E205" s="27"/>
      <c r="F205" s="27"/>
      <c r="G205" s="27"/>
      <c r="H205" s="27"/>
    </row>
    <row r="206" spans="1:9">
      <c r="C206" s="27"/>
      <c r="D206" s="27"/>
      <c r="E206" s="27"/>
      <c r="F206" s="27"/>
      <c r="G206" s="27"/>
      <c r="H206" s="27"/>
    </row>
    <row r="207" spans="1:9">
      <c r="C207" s="27"/>
      <c r="D207" s="27"/>
      <c r="E207" s="27"/>
      <c r="F207" s="27"/>
      <c r="G207" s="27"/>
      <c r="H207" s="27"/>
    </row>
    <row r="208" spans="1:9">
      <c r="C208" s="27"/>
      <c r="D208" s="27"/>
      <c r="E208" s="27"/>
      <c r="F208" s="27"/>
      <c r="G208" s="27"/>
      <c r="H208" s="27"/>
    </row>
    <row r="209" spans="3:8">
      <c r="C209" s="27"/>
      <c r="D209" s="27"/>
      <c r="E209" s="27"/>
      <c r="F209" s="27"/>
      <c r="G209" s="27"/>
      <c r="H209" s="27"/>
    </row>
    <row r="210" spans="3:8">
      <c r="C210" s="27"/>
      <c r="D210" s="27"/>
      <c r="E210" s="27"/>
      <c r="F210" s="27"/>
      <c r="G210" s="27"/>
      <c r="H210" s="27"/>
    </row>
    <row r="211" spans="3:8">
      <c r="C211" s="27"/>
      <c r="D211" s="27"/>
      <c r="E211" s="27"/>
      <c r="F211" s="27"/>
      <c r="G211" s="27"/>
      <c r="H211" s="27"/>
    </row>
    <row r="212" spans="3:8">
      <c r="C212" s="27"/>
      <c r="D212" s="27"/>
      <c r="E212" s="27"/>
      <c r="F212" s="27"/>
      <c r="G212" s="27"/>
      <c r="H212" s="27"/>
    </row>
    <row r="213" spans="3:8">
      <c r="C213" s="27"/>
      <c r="D213" s="27"/>
      <c r="E213" s="27"/>
      <c r="F213" s="27"/>
      <c r="G213" s="27"/>
      <c r="H213" s="27"/>
    </row>
    <row r="214" spans="3:8">
      <c r="C214" s="27"/>
      <c r="D214" s="27"/>
      <c r="E214" s="27"/>
      <c r="F214" s="27"/>
      <c r="G214" s="27"/>
      <c r="H214" s="27"/>
    </row>
    <row r="215" spans="3:8">
      <c r="C215" s="27"/>
      <c r="D215" s="27"/>
      <c r="E215" s="27"/>
      <c r="F215" s="27"/>
      <c r="G215" s="27"/>
      <c r="H215"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86:I197" formulaRange="1"/>
    <ignoredError sqref="D147 D16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K11" sqref="K11"/>
    </sheetView>
  </sheetViews>
  <sheetFormatPr defaultRowHeight="12.75"/>
  <cols>
    <col min="13" max="13" width="10.42578125" bestFit="1" customWidth="1"/>
  </cols>
  <sheetData>
    <row r="1" spans="1:13">
      <c r="A1" s="13" t="s">
        <v>18</v>
      </c>
      <c r="B1" s="14"/>
      <c r="C1" s="14"/>
      <c r="D1" s="14"/>
      <c r="E1" s="14"/>
      <c r="F1" s="14"/>
      <c r="G1" s="14"/>
      <c r="H1" s="14"/>
      <c r="I1" s="14"/>
      <c r="J1" s="14"/>
      <c r="K1" s="12"/>
    </row>
    <row r="2" spans="1:13" ht="16.5">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Data!J178</f>
        <v>0.31776060101946019</v>
      </c>
      <c r="H29" s="3">
        <f>(Data!$J$179/G29)-1</f>
        <v>-2.5445384055307718E-2</v>
      </c>
      <c r="M29" s="77"/>
    </row>
    <row r="30" spans="1:13">
      <c r="E30" s="4" t="s">
        <v>92</v>
      </c>
      <c r="F30" s="9"/>
      <c r="G30" s="16">
        <f>Data!J167</f>
        <v>0.32864210000000005</v>
      </c>
      <c r="H30" s="3">
        <f>(Data!$J$179/G30)-1</f>
        <v>-5.7713359034418987E-2</v>
      </c>
    </row>
    <row r="31" spans="1:13">
      <c r="E31" s="4" t="s">
        <v>93</v>
      </c>
      <c r="F31" s="4"/>
      <c r="G31" s="16">
        <f>Data!K179</f>
        <v>0.33220810666666667</v>
      </c>
      <c r="H31" s="3">
        <f>(Data!$J$179/G31)-1</f>
        <v>-6.7828104509205844E-2</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9"/>
  <sheetViews>
    <sheetView workbookViewId="0">
      <selection activeCell="E21" sqref="E21"/>
    </sheetView>
  </sheetViews>
  <sheetFormatPr defaultRowHeight="12.75"/>
  <cols>
    <col min="1" max="1" width="11.7109375" bestFit="1" customWidth="1"/>
    <col min="11" max="11" width="3.42578125" customWidth="1"/>
    <col min="12" max="12" width="11.7109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5"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4" spans="1:21">
      <c r="A14" t="s">
        <v>104</v>
      </c>
      <c r="B14" s="16">
        <f>AVERAGE(Data!B146:B157)</f>
        <v>0.37000000000000005</v>
      </c>
      <c r="C14" s="16">
        <f>AVERAGE(Data!C146:C157)</f>
        <v>0.32106666666666667</v>
      </c>
      <c r="D14" s="16">
        <f>AVERAGE(Data!D146:D157)</f>
        <v>0.35791666666666672</v>
      </c>
      <c r="E14" s="16">
        <f>AVERAGE(Data!E146:E157)</f>
        <v>0.49500000000000005</v>
      </c>
      <c r="F14" s="16">
        <f>AVERAGE(Data!F146:F157)</f>
        <v>0.46</v>
      </c>
      <c r="G14" s="16">
        <f>AVERAGE(Data!G146:G157)</f>
        <v>0</v>
      </c>
      <c r="H14" s="16">
        <f>AVERAGE(Data!H146:H157)</f>
        <v>0.37749999999999995</v>
      </c>
      <c r="I14" s="16">
        <f>AVERAGE(Data!I146:I157)</f>
        <v>0.34021190476190477</v>
      </c>
      <c r="J14" s="16">
        <f>AVERAGE(Data!J146:J157)</f>
        <v>0.33782739999999989</v>
      </c>
    </row>
    <row r="15" spans="1:21">
      <c r="A15" t="s">
        <v>105</v>
      </c>
      <c r="B15" s="16">
        <f>AVERAGE(Data!B158:B169)</f>
        <v>0.36666666666666664</v>
      </c>
      <c r="C15" s="16">
        <f>AVERAGE(Data!C158:C169)</f>
        <v>0.3177166666666667</v>
      </c>
      <c r="D15" s="16">
        <f>AVERAGE(Data!D158:D169)</f>
        <v>0.35291666666666671</v>
      </c>
      <c r="E15" s="16">
        <f>AVERAGE(Data!E158:E169)</f>
        <v>0.4916666666666667</v>
      </c>
      <c r="F15" s="16">
        <f>AVERAGE(Data!F158:F169)</f>
        <v>0.45666666666666678</v>
      </c>
      <c r="G15" s="16">
        <f>AVERAGE(Data!G158:G169)</f>
        <v>0</v>
      </c>
      <c r="H15" s="16">
        <f>AVERAGE(Data!H158:H169)</f>
        <v>0.37500000000000006</v>
      </c>
      <c r="I15" s="16">
        <f>AVERAGE(Data!I158:I169)</f>
        <v>0.33723333333333327</v>
      </c>
      <c r="J15" s="16">
        <f>AVERAGE(Data!J158:J169)</f>
        <v>0.33183764333333338</v>
      </c>
    </row>
    <row r="18" spans="1:2">
      <c r="B18" s="28" t="s">
        <v>59</v>
      </c>
    </row>
    <row r="19" spans="1:2">
      <c r="B19" s="28" t="s">
        <v>60</v>
      </c>
    </row>
    <row r="20" spans="1:2">
      <c r="B20" s="28" t="s">
        <v>61</v>
      </c>
    </row>
    <row r="21" spans="1:2">
      <c r="A21" s="28" t="s">
        <v>34</v>
      </c>
      <c r="B21" s="44">
        <f>AVERAGE(Data!J23:J25)</f>
        <v>1.7522613333333336E-2</v>
      </c>
    </row>
    <row r="22" spans="1:2">
      <c r="A22" s="28" t="s">
        <v>35</v>
      </c>
      <c r="B22" s="44">
        <f>AVERAGE(Data!J26:J28)</f>
        <v>1.1756266666666665E-3</v>
      </c>
    </row>
    <row r="23" spans="1:2">
      <c r="A23" s="28" t="s">
        <v>36</v>
      </c>
      <c r="B23" s="44">
        <f>AVERAGE(Data!J29:J31)</f>
        <v>2.3512533333333329E-3</v>
      </c>
    </row>
    <row r="24" spans="1:2">
      <c r="A24" s="28" t="s">
        <v>37</v>
      </c>
      <c r="B24" s="44">
        <f>AVERAGE(Data!J32:J34)</f>
        <v>6.1440933333333329E-3</v>
      </c>
    </row>
    <row r="25" spans="1:2">
      <c r="A25" s="28" t="s">
        <v>38</v>
      </c>
      <c r="B25" s="44">
        <f>AVERAGE(Data!J35:J37)</f>
        <v>1.6346986666666664E-2</v>
      </c>
    </row>
    <row r="26" spans="1:2">
      <c r="A26" s="28" t="s">
        <v>39</v>
      </c>
      <c r="B26" s="44">
        <f>AVERAGE(Data!J38:J40)</f>
        <v>1.9873866666666667E-2</v>
      </c>
    </row>
    <row r="27" spans="1:2">
      <c r="A27" s="28" t="s">
        <v>40</v>
      </c>
      <c r="B27" s="44">
        <f>AVERAGE(Data!J41:J43)</f>
        <v>3.8838066666666664E-2</v>
      </c>
    </row>
    <row r="28" spans="1:2">
      <c r="A28" s="28" t="s">
        <v>41</v>
      </c>
      <c r="B28" s="44">
        <f>AVERAGE(Data!J44:J46)</f>
        <v>1.9873866666666667E-2</v>
      </c>
    </row>
    <row r="29" spans="1:2">
      <c r="A29" s="28" t="s">
        <v>42</v>
      </c>
      <c r="B29" s="44">
        <f>AVERAGE(Data!J47:J49)</f>
        <v>2.2757039999999996E-2</v>
      </c>
    </row>
    <row r="30" spans="1:2">
      <c r="A30" s="28" t="s">
        <v>43</v>
      </c>
      <c r="B30" s="44">
        <f>AVERAGE(Data!J50:J52)</f>
        <v>2.7118746666666665E-2</v>
      </c>
    </row>
    <row r="31" spans="1:2">
      <c r="A31" s="28" t="s">
        <v>44</v>
      </c>
      <c r="B31" s="44">
        <f>AVERAGE(Data!J53:J55)</f>
        <v>3.9672399999999997E-2</v>
      </c>
    </row>
    <row r="32" spans="1:2">
      <c r="A32" s="28" t="s">
        <v>45</v>
      </c>
      <c r="B32" s="44">
        <f>AVERAGE(Data!J56:J58)</f>
        <v>4.8891999999999998E-2</v>
      </c>
    </row>
    <row r="33" spans="1:2">
      <c r="A33" s="28" t="s">
        <v>46</v>
      </c>
      <c r="B33" s="44">
        <f>AVERAGE(Data!J59:J61)</f>
        <v>7.2244613333333332E-2</v>
      </c>
    </row>
    <row r="34" spans="1:2">
      <c r="A34" s="28" t="s">
        <v>47</v>
      </c>
      <c r="B34" s="44">
        <f>AVERAGE(Data!J62:J64)</f>
        <v>8.4365599999999999E-2</v>
      </c>
    </row>
    <row r="35" spans="1:2">
      <c r="A35" s="28" t="s">
        <v>48</v>
      </c>
      <c r="B35" s="44">
        <f>AVERAGE(Data!J65:J67)</f>
        <v>0.10378124666666666</v>
      </c>
    </row>
    <row r="36" spans="1:2">
      <c r="A36" s="28" t="s">
        <v>49</v>
      </c>
      <c r="B36" s="44">
        <f>AVERAGE(Data!J68:J70)</f>
        <v>0.12319318333333333</v>
      </c>
    </row>
    <row r="37" spans="1:2">
      <c r="A37" s="28" t="s">
        <v>50</v>
      </c>
      <c r="B37" s="44">
        <f>AVERAGE(Data!J71:J73)</f>
        <v>0.23086165666666666</v>
      </c>
    </row>
    <row r="38" spans="1:2">
      <c r="A38" s="28" t="s">
        <v>51</v>
      </c>
      <c r="B38" s="44">
        <f>AVERAGE(Data!J74:J76)</f>
        <v>0.17080444000000003</v>
      </c>
    </row>
    <row r="39" spans="1:2">
      <c r="A39" s="28" t="s">
        <v>52</v>
      </c>
      <c r="B39" s="44">
        <f>AVERAGE(Data!J77:J79)</f>
        <v>0.18803015000000001</v>
      </c>
    </row>
    <row r="40" spans="1:2">
      <c r="A40" s="28" t="s">
        <v>53</v>
      </c>
      <c r="B40" s="44">
        <f>AVERAGE(Data!J80:J82)</f>
        <v>0.25413339666666662</v>
      </c>
    </row>
    <row r="41" spans="1:2">
      <c r="A41" s="28" t="s">
        <v>54</v>
      </c>
      <c r="B41" s="44">
        <f>AVERAGE(Data!J83:J85)</f>
        <v>0.22806778333333333</v>
      </c>
    </row>
    <row r="42" spans="1:2">
      <c r="A42" s="28" t="s">
        <v>55</v>
      </c>
      <c r="B42" s="44">
        <f>AVERAGE(Data!J86:J88)</f>
        <v>0.18482816933333332</v>
      </c>
    </row>
    <row r="43" spans="1:2">
      <c r="A43" s="28" t="s">
        <v>56</v>
      </c>
      <c r="B43" s="44">
        <f>AVERAGE(Data!J89:J91)</f>
        <v>0.20904986400000003</v>
      </c>
    </row>
    <row r="44" spans="1:2">
      <c r="A44" s="28" t="s">
        <v>57</v>
      </c>
      <c r="B44" s="44">
        <f>AVERAGE(Data!J92:J94)</f>
        <v>0.24099984866666666</v>
      </c>
    </row>
    <row r="45" spans="1:2">
      <c r="A45" s="28" t="s">
        <v>58</v>
      </c>
      <c r="B45" s="44">
        <f>AVERAGE(Data!J95:J97)</f>
        <v>0.26925068933333335</v>
      </c>
    </row>
    <row r="46" spans="1:2">
      <c r="A46" s="28" t="s">
        <v>74</v>
      </c>
      <c r="B46" s="44">
        <f>AVERAGE(Data!J98:J100)</f>
        <v>0.34904070999999992</v>
      </c>
    </row>
    <row r="47" spans="1:2">
      <c r="A47" s="28" t="s">
        <v>75</v>
      </c>
      <c r="B47" s="44">
        <f>AVERAGE(Data!J101:J103)</f>
        <v>0.41191914333333335</v>
      </c>
    </row>
    <row r="48" spans="1:2">
      <c r="A48" s="28" t="s">
        <v>76</v>
      </c>
      <c r="B48" s="44">
        <f>AVERAGE(Data!J104:J106)</f>
        <v>0.56836274333333325</v>
      </c>
    </row>
    <row r="49" spans="1:2">
      <c r="A49" s="28" t="s">
        <v>77</v>
      </c>
      <c r="B49" s="44">
        <f>AVERAGE(Data!J107:J109)</f>
        <v>0.44101427666666665</v>
      </c>
    </row>
    <row r="50" spans="1:2">
      <c r="A50" s="28" t="s">
        <v>78</v>
      </c>
      <c r="B50" s="44">
        <f>AVERAGE(Data!J110:J112)</f>
        <v>0.14899116333333337</v>
      </c>
    </row>
    <row r="51" spans="1:2">
      <c r="A51" s="28" t="s">
        <v>79</v>
      </c>
      <c r="B51" s="44">
        <f>AVERAGE(Data!J113:J115)</f>
        <v>8.4621249999999995E-2</v>
      </c>
    </row>
    <row r="52" spans="1:2">
      <c r="A52" s="28" t="s">
        <v>80</v>
      </c>
      <c r="B52" s="44">
        <f>AVERAGE(Data!J116:J118)</f>
        <v>0.13814223</v>
      </c>
    </row>
    <row r="53" spans="1:2">
      <c r="A53" s="28" t="s">
        <v>81</v>
      </c>
      <c r="B53" s="44">
        <f>AVERAGE(Data!J119:J121)</f>
        <v>0.18050411000000002</v>
      </c>
    </row>
    <row r="54" spans="1:2">
      <c r="A54" s="28" t="s">
        <v>82</v>
      </c>
      <c r="B54" s="44">
        <f>AVERAGE(Data!J122:J124)</f>
        <v>0.20186405333333335</v>
      </c>
    </row>
    <row r="55" spans="1:2">
      <c r="A55" s="28" t="s">
        <v>83</v>
      </c>
      <c r="B55" s="44">
        <f>AVERAGE(Data!J125:J127)</f>
        <v>0.23204339666666671</v>
      </c>
    </row>
    <row r="56" spans="1:2">
      <c r="A56" s="28" t="s">
        <v>84</v>
      </c>
      <c r="B56" s="44">
        <f>AVERAGE(Data!J128:J130)</f>
        <v>0.23806044000000001</v>
      </c>
    </row>
    <row r="57" spans="1:2">
      <c r="A57" s="28" t="s">
        <v>85</v>
      </c>
      <c r="B57" s="44">
        <f>AVERAGE(Data!J131:J133)</f>
        <v>0.24402858333333335</v>
      </c>
    </row>
    <row r="58" spans="1:2">
      <c r="A58" s="28" t="s">
        <v>87</v>
      </c>
      <c r="B58" s="44">
        <f>AVERAGE(Data!J134:J136)</f>
        <v>0.26952631333333332</v>
      </c>
    </row>
    <row r="59" spans="1:2">
      <c r="A59" s="28" t="s">
        <v>88</v>
      </c>
      <c r="B59" s="44">
        <f>AVERAGE(Data!J137:J139)</f>
        <v>0.32135644666666668</v>
      </c>
    </row>
    <row r="60" spans="1:2">
      <c r="A60" s="28" t="s">
        <v>89</v>
      </c>
      <c r="B60" s="44">
        <f>AVERAGE(Data!J140:J142)</f>
        <v>0.33576456333333332</v>
      </c>
    </row>
    <row r="61" spans="1:2">
      <c r="A61" s="28" t="s">
        <v>90</v>
      </c>
      <c r="B61" s="44">
        <f>AVERAGE(Data!J143:J145)</f>
        <v>0.31265467333333335</v>
      </c>
    </row>
    <row r="62" spans="1:2">
      <c r="A62" s="28" t="s">
        <v>95</v>
      </c>
      <c r="B62" s="44">
        <f>AVERAGE(Data!J146:J148)</f>
        <v>0.32341259999999999</v>
      </c>
    </row>
    <row r="63" spans="1:2">
      <c r="A63" s="28" t="s">
        <v>97</v>
      </c>
      <c r="B63" s="44">
        <f>AVERAGE(Data!J149:J151)</f>
        <v>0.36020686666666668</v>
      </c>
    </row>
    <row r="64" spans="1:2">
      <c r="A64" s="28" t="s">
        <v>98</v>
      </c>
      <c r="B64" s="44">
        <f>AVERAGE(Data!J152:J154)</f>
        <v>0.30831193333333334</v>
      </c>
    </row>
    <row r="65" spans="1:2">
      <c r="A65" s="28" t="s">
        <v>99</v>
      </c>
      <c r="B65" s="44">
        <f>AVERAGE(Data!J155:J157)</f>
        <v>0.35937819999999993</v>
      </c>
    </row>
    <row r="66" spans="1:2">
      <c r="A66" s="28" t="s">
        <v>100</v>
      </c>
      <c r="B66" s="44">
        <f>AVERAGE(Data!J158:J160)</f>
        <v>0.33620288666666664</v>
      </c>
    </row>
    <row r="67" spans="1:2">
      <c r="A67" s="28" t="s">
        <v>101</v>
      </c>
      <c r="B67" s="44">
        <f>AVERAGE(Data!J161:J163)</f>
        <v>0.34830036000000003</v>
      </c>
    </row>
    <row r="68" spans="1:2">
      <c r="A68" s="28" t="s">
        <v>102</v>
      </c>
      <c r="B68" s="44">
        <f>AVERAGE(Data!J164:J166)</f>
        <v>0.31609313999999999</v>
      </c>
    </row>
    <row r="69" spans="1:2">
      <c r="A69" s="28" t="s">
        <v>103</v>
      </c>
      <c r="B69" s="44">
        <f>AVERAGE(Data!J167:J169)</f>
        <v>0.32675418666666667</v>
      </c>
    </row>
  </sheetData>
  <pageMargins left="0.7" right="0.7" top="0.75" bottom="0.75" header="0.3" footer="0.3"/>
  <ignoredErrors>
    <ignoredError sqref="B5:H11 M5:S8 B12:I12 B13:H13 B14:H15" formulaRange="1"/>
    <ignoredError sqref="B57"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89"/>
  <sheetViews>
    <sheetView zoomScale="80" zoomScaleNormal="80" workbookViewId="0">
      <pane ySplit="9" topLeftCell="A146" activePane="bottomLeft" state="frozen"/>
      <selection pane="bottomLeft" activeCell="B183" sqref="B183"/>
    </sheetView>
  </sheetViews>
  <sheetFormatPr defaultRowHeight="12.75"/>
  <cols>
    <col min="1" max="1" width="13.28515625" customWidth="1"/>
    <col min="2" max="3" width="10.425781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5"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94.69</v>
      </c>
    </row>
    <row r="167" spans="1:3">
      <c r="A167" s="29">
        <v>41306</v>
      </c>
      <c r="B167" s="65">
        <v>4.1109999999999998</v>
      </c>
      <c r="C167" s="70">
        <v>95.32</v>
      </c>
    </row>
    <row r="168" spans="1:3">
      <c r="A168" s="29">
        <v>41334</v>
      </c>
      <c r="B168" s="65">
        <v>4.0679999999999996</v>
      </c>
      <c r="C168" s="70">
        <v>93.05</v>
      </c>
    </row>
    <row r="169" spans="1:3">
      <c r="A169" s="29">
        <v>41365</v>
      </c>
      <c r="B169" s="65">
        <v>3.93</v>
      </c>
      <c r="C169" s="70">
        <v>92.07</v>
      </c>
    </row>
    <row r="170" spans="1:3">
      <c r="A170" s="29">
        <v>41395</v>
      </c>
      <c r="B170" s="65">
        <v>3.87</v>
      </c>
      <c r="C170" s="70">
        <v>94.8</v>
      </c>
    </row>
    <row r="171" spans="1:3">
      <c r="A171" s="29">
        <v>41426</v>
      </c>
      <c r="B171" s="65">
        <v>3.8490000000000002</v>
      </c>
      <c r="C171" s="70">
        <v>95.8</v>
      </c>
    </row>
    <row r="172" spans="1:3">
      <c r="A172" s="29">
        <v>41456</v>
      </c>
      <c r="B172" s="65">
        <v>3.8660000000000001</v>
      </c>
      <c r="C172" s="70">
        <v>104.55</v>
      </c>
    </row>
    <row r="173" spans="1:3">
      <c r="A173" s="29">
        <v>41487</v>
      </c>
      <c r="B173" s="65">
        <v>3.9049999999999998</v>
      </c>
      <c r="C173" s="70">
        <v>106.55</v>
      </c>
    </row>
    <row r="174" spans="1:3">
      <c r="A174" s="29">
        <v>41518</v>
      </c>
      <c r="B174" s="65">
        <v>3.9609999999999999</v>
      </c>
      <c r="C174" s="70">
        <v>106.31</v>
      </c>
    </row>
    <row r="175" spans="1:3">
      <c r="A175" s="29">
        <v>41548</v>
      </c>
      <c r="B175" s="65">
        <v>3.8849999999999998</v>
      </c>
      <c r="C175" s="70">
        <v>100.5</v>
      </c>
    </row>
    <row r="176" spans="1:3">
      <c r="A176" s="29">
        <v>41579</v>
      </c>
      <c r="B176" s="65">
        <v>3.839</v>
      </c>
      <c r="C176" s="70">
        <v>93.81</v>
      </c>
    </row>
    <row r="177" spans="1:3">
      <c r="A177" s="29">
        <v>41609</v>
      </c>
      <c r="B177" s="65">
        <v>3.8820000000000001</v>
      </c>
      <c r="C177" s="70">
        <v>97.9</v>
      </c>
    </row>
    <row r="178" spans="1:3">
      <c r="A178" s="29">
        <v>41640</v>
      </c>
      <c r="B178" s="65">
        <v>3.8929999999999998</v>
      </c>
      <c r="C178" s="70">
        <v>95</v>
      </c>
    </row>
    <row r="179" spans="1:3">
      <c r="A179" s="29">
        <v>41671</v>
      </c>
      <c r="B179" s="65">
        <v>3.984</v>
      </c>
      <c r="C179" s="70">
        <v>100.7</v>
      </c>
    </row>
    <row r="180" spans="1:3">
      <c r="A180" s="29">
        <v>41699</v>
      </c>
      <c r="B180" s="65">
        <v>4.0010000000000003</v>
      </c>
      <c r="C180" s="70">
        <v>100.57</v>
      </c>
    </row>
    <row r="181" spans="1:3">
      <c r="A181" s="29">
        <v>41730</v>
      </c>
      <c r="B181" s="65">
        <v>3.964</v>
      </c>
      <c r="C181" s="70">
        <v>102.18</v>
      </c>
    </row>
    <row r="182" spans="1:3">
      <c r="A182" s="29">
        <v>41760</v>
      </c>
      <c r="B182" s="65">
        <v>3.9430000000000001</v>
      </c>
      <c r="C182" s="70">
        <v>102</v>
      </c>
    </row>
    <row r="183" spans="1:3">
      <c r="A183" s="29">
        <v>41791</v>
      </c>
    </row>
    <row r="184" spans="1:3">
      <c r="A184" s="29">
        <v>41821</v>
      </c>
    </row>
    <row r="185" spans="1:3">
      <c r="A185" s="29">
        <v>41852</v>
      </c>
    </row>
    <row r="186" spans="1:3">
      <c r="A186" s="29">
        <v>41883</v>
      </c>
    </row>
    <row r="187" spans="1:3">
      <c r="A187" s="29">
        <v>41913</v>
      </c>
    </row>
    <row r="188" spans="1:3">
      <c r="A188" s="29">
        <v>41944</v>
      </c>
    </row>
    <row r="189" spans="1:3">
      <c r="A189" s="29">
        <v>41974</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2014-10-01T14:03:40Z</dcterms:modified>
</cp:coreProperties>
</file>