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600" windowWidth="15360" windowHeight="4764" activeTab="1"/>
  </bookViews>
  <sheets>
    <sheet name="Terms &amp; Definitions" sheetId="8" r:id="rId1"/>
    <sheet name="Sections 1 &amp; 2" sheetId="7" r:id="rId2"/>
    <sheet name="Section 3" sheetId="5" r:id="rId3"/>
    <sheet name="Section 4 (Not Used This Year)" sheetId="9" r:id="rId4"/>
    <sheet name="Sections 5 &amp; 6" sheetId="3" r:id="rId5"/>
    <sheet name="SURVEY_PARTCPNT_RESPONSE" sheetId="1" r:id="rId6"/>
    <sheet name="ReferenceData" sheetId="2" state="hidden" r:id="rId7"/>
  </sheets>
  <definedNames>
    <definedName name="No">'Sections 5 &amp; 6'!$M$42</definedName>
    <definedName name="PATI_SCHOOL_10">'Sections 1 &amp; 2'!$C$63:$C$66</definedName>
    <definedName name="PATI_SCHOOL_1030">'Sections 5 &amp; 6'!$B$42:$B$43</definedName>
    <definedName name="PATI_SCHOOL_1040">'Sections 5 &amp; 6'!$C$42:$C$54</definedName>
    <definedName name="PATI_SCHOOL_1050">'Sections 5 &amp; 6'!$D$42:$D$49</definedName>
    <definedName name="PATI_SCHOOL_1060">'Sections 5 &amp; 6'!$E$42:$E$53</definedName>
    <definedName name="PATI_SCHOOL_1070">'Sections 5 &amp; 6'!$F$42:$F$47</definedName>
    <definedName name="PATI_SCHOOL_1080">'Sections 5 &amp; 6'!$G$42:$G$44</definedName>
    <definedName name="PATI_SCHOOL_1090">'Sections 5 &amp; 6'!$H$42:$H$54</definedName>
    <definedName name="PATI_SCHOOL_1100">'Sections 5 &amp; 6'!$I$42:$I$53</definedName>
    <definedName name="PATI_SCHOOL_1110">'Sections 5 &amp; 6'!$J$42:$J$50</definedName>
    <definedName name="PATI_SCHOOL_1120">'Sections 5 &amp; 6'!$K$42:$K$54</definedName>
    <definedName name="PATI_SCHOOL_1130">'Sections 5 &amp; 6'!$L$42:$L$48</definedName>
    <definedName name="PATI_SCHOOL_20">'Sections 1 &amp; 2'!$D$63:$D$66</definedName>
    <definedName name="PATI_SCHOOL_30">'Sections 1 &amp; 2'!$E$63:$E$69</definedName>
    <definedName name="PATI_SCHOOL_840">'Section 3'!$B$83:$B$84</definedName>
    <definedName name="PATI_SCHOOL_850">'Section 3'!$D$83:$D$84</definedName>
    <definedName name="PATI_SCHOOL_860">'Section 3'!$F$83:$F$84</definedName>
    <definedName name="PATI_SCHOOL_870">'Section 3'!$G$83:$G$84</definedName>
    <definedName name="PATI_SCHOOL_880">'Section 3'!$H$83:$H$84</definedName>
    <definedName name="PATI_SCHOOL_890">'Section 3'!$I$83:$I$84</definedName>
    <definedName name="PATI_SCHOOL_900">'Section 3'!$J$83:$J$84</definedName>
    <definedName name="PATI_SCHOOL_910">'Section 3'!$K$83:$K$84</definedName>
    <definedName name="PATI_SCHOOL_920">'Section 3'!$L$83:$L$84</definedName>
    <definedName name="_xlnm.Print_Titles" localSheetId="2">'Section 3'!$2:$6</definedName>
    <definedName name="_xlnm.Print_Titles" localSheetId="1">'Sections 1 &amp; 2'!$2:$8</definedName>
    <definedName name="_xlnm.Print_Titles" localSheetId="0">'Terms &amp; Definitions'!$2:$2</definedName>
    <definedName name="School_Year">'Sections 1 &amp; 2'!$B$63:$B$63</definedName>
  </definedNames>
  <calcPr calcId="145621" fullCalcOnLoad="1" calcOnSave="0"/>
</workbook>
</file>

<file path=xl/calcChain.xml><?xml version="1.0" encoding="utf-8"?>
<calcChain xmlns="http://schemas.openxmlformats.org/spreadsheetml/2006/main">
  <c r="G12" i="3" l="1"/>
  <c r="G11" i="3"/>
  <c r="G10" i="3"/>
  <c r="G9" i="3"/>
  <c r="F9" i="3"/>
  <c r="F91" i="1"/>
  <c r="I64" i="5"/>
  <c r="H80" i="1"/>
  <c r="I65" i="5"/>
  <c r="H81" i="1"/>
  <c r="I72" i="5"/>
  <c r="H88" i="1"/>
  <c r="I69" i="5"/>
  <c r="H85" i="1"/>
  <c r="I66" i="5"/>
  <c r="H82" i="1"/>
  <c r="I68" i="5"/>
  <c r="H84" i="1"/>
  <c r="I71" i="5"/>
  <c r="H87" i="1"/>
  <c r="I73" i="5"/>
  <c r="H89" i="1"/>
  <c r="D89" i="1"/>
  <c r="C89" i="1"/>
  <c r="A89" i="1"/>
  <c r="D88" i="1"/>
  <c r="C88" i="1"/>
  <c r="A88" i="1"/>
  <c r="G73" i="5"/>
  <c r="J73" i="5"/>
  <c r="F89" i="1"/>
  <c r="G72" i="5"/>
  <c r="J72" i="5"/>
  <c r="F88" i="1"/>
  <c r="G71" i="5"/>
  <c r="J71" i="5"/>
  <c r="F87" i="1"/>
  <c r="G70" i="5"/>
  <c r="J70" i="5"/>
  <c r="F86" i="1"/>
  <c r="G69" i="5"/>
  <c r="J69" i="5"/>
  <c r="F85" i="1"/>
  <c r="G68" i="5"/>
  <c r="J68" i="5"/>
  <c r="F84" i="1"/>
  <c r="G67" i="5"/>
  <c r="J67" i="5"/>
  <c r="F83" i="1"/>
  <c r="G66" i="5"/>
  <c r="J66" i="5"/>
  <c r="F82" i="1"/>
  <c r="G65" i="5"/>
  <c r="J65" i="5"/>
  <c r="F81" i="1"/>
  <c r="G64" i="5"/>
  <c r="J64" i="5"/>
  <c r="F80" i="1"/>
  <c r="E25" i="7"/>
  <c r="H11" i="1"/>
  <c r="I70" i="5"/>
  <c r="H86" i="1"/>
  <c r="I67" i="5"/>
  <c r="H83" i="1"/>
  <c r="H2" i="1"/>
  <c r="H3" i="1"/>
  <c r="H4" i="1"/>
  <c r="H6" i="1"/>
  <c r="H7" i="1"/>
  <c r="H9" i="1"/>
  <c r="H10"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90" i="1"/>
  <c r="H91" i="1"/>
  <c r="H92" i="1"/>
  <c r="H93" i="1"/>
  <c r="H94" i="1"/>
  <c r="H95" i="1"/>
  <c r="H96" i="1"/>
  <c r="H97" i="1"/>
  <c r="H98" i="1"/>
  <c r="H99" i="1"/>
  <c r="H100"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90" i="1"/>
  <c r="D91" i="1"/>
  <c r="D92" i="1"/>
  <c r="D93" i="1"/>
  <c r="D94" i="1"/>
  <c r="D95" i="1"/>
  <c r="D96" i="1"/>
  <c r="D97" i="1"/>
  <c r="D98" i="1"/>
  <c r="D99" i="1"/>
  <c r="D10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90" i="1"/>
  <c r="C91" i="1"/>
  <c r="C92" i="1"/>
  <c r="C93" i="1"/>
  <c r="C94" i="1"/>
  <c r="C95" i="1"/>
  <c r="C96" i="1"/>
  <c r="C97" i="1"/>
  <c r="C98" i="1"/>
  <c r="C99" i="1"/>
  <c r="C100"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90" i="1"/>
  <c r="A91" i="1"/>
  <c r="A92" i="1"/>
  <c r="A93" i="1"/>
  <c r="A94" i="1"/>
  <c r="A95" i="1"/>
  <c r="A96" i="1"/>
  <c r="A97" i="1"/>
  <c r="A98" i="1"/>
  <c r="A99" i="1"/>
  <c r="A100" i="1"/>
  <c r="F19" i="3"/>
  <c r="F100" i="1"/>
  <c r="F18" i="3"/>
  <c r="F99" i="1"/>
  <c r="F17" i="3"/>
  <c r="F98" i="1"/>
  <c r="F16" i="3"/>
  <c r="F97" i="1"/>
  <c r="F15" i="3"/>
  <c r="F96" i="1"/>
  <c r="F14" i="3"/>
  <c r="F95" i="1"/>
  <c r="F12" i="3"/>
  <c r="F94" i="1"/>
  <c r="F11" i="3"/>
  <c r="F93" i="1"/>
  <c r="F10" i="3"/>
  <c r="F92" i="1"/>
  <c r="F8" i="3"/>
  <c r="F90" i="1"/>
  <c r="J63" i="5"/>
  <c r="F79" i="1"/>
  <c r="F30" i="7"/>
  <c r="F14" i="1"/>
  <c r="F29" i="7"/>
  <c r="F13" i="1"/>
  <c r="F28" i="7"/>
  <c r="F12" i="1"/>
  <c r="F25" i="7"/>
  <c r="F11" i="1"/>
  <c r="F24" i="7"/>
  <c r="F10" i="1"/>
  <c r="F23" i="7"/>
  <c r="F9" i="1"/>
  <c r="F20" i="7"/>
  <c r="F8" i="1"/>
  <c r="F19" i="7"/>
  <c r="F7" i="1"/>
  <c r="F18" i="7"/>
  <c r="F6" i="1"/>
  <c r="F15" i="7"/>
  <c r="F5" i="1"/>
  <c r="F13" i="7"/>
  <c r="F4" i="1"/>
  <c r="F12" i="7"/>
  <c r="F3" i="1"/>
  <c r="F11" i="7"/>
  <c r="F2" i="1"/>
  <c r="E20" i="7"/>
  <c r="H8" i="1"/>
  <c r="E15" i="7"/>
  <c r="H5" i="1"/>
</calcChain>
</file>

<file path=xl/sharedStrings.xml><?xml version="1.0" encoding="utf-8"?>
<sst xmlns="http://schemas.openxmlformats.org/spreadsheetml/2006/main" count="828" uniqueCount="321">
  <si>
    <t>PARTICIPANT ID</t>
  </si>
  <si>
    <t>SURVEY QUESTION ID</t>
  </si>
  <si>
    <t>PATI_SCHOOL</t>
  </si>
  <si>
    <t>SURVEY_NAME</t>
  </si>
  <si>
    <t>PATI_SCHOOL_10</t>
  </si>
  <si>
    <t>PATI_SCHOOL_20</t>
  </si>
  <si>
    <t>PATI_SCHOOL_30</t>
  </si>
  <si>
    <t>PATI_SCHOOL_40</t>
  </si>
  <si>
    <t>PATI_SCHOOL_50</t>
  </si>
  <si>
    <t>PATI_SCHOOL_60</t>
  </si>
  <si>
    <t>PATI_SCHOOL_70</t>
  </si>
  <si>
    <t>PATI_SCHOOL_80</t>
  </si>
  <si>
    <t>PATI_SCHOOL_90</t>
  </si>
  <si>
    <t>PATI_SCHOOL_100</t>
  </si>
  <si>
    <t>PATI_SCHOOL_110</t>
  </si>
  <si>
    <t>PATI_SCHOOL_120</t>
  </si>
  <si>
    <t>PATI_SCHOOL_130</t>
  </si>
  <si>
    <t>PATI_SCHOOL_140</t>
  </si>
  <si>
    <t>PATI_SCHOOL_150</t>
  </si>
  <si>
    <t>PATI_SCHOOL_160</t>
  </si>
  <si>
    <t>PATI_SCHOOL_170</t>
  </si>
  <si>
    <t>PATI_SCHOOL_180</t>
  </si>
  <si>
    <t>PATI_SCHOOL_190</t>
  </si>
  <si>
    <t>PATI_SCHOOL_200</t>
  </si>
  <si>
    <t>PATI_SCHOOL_210</t>
  </si>
  <si>
    <t>PATI_SCHOOL_220</t>
  </si>
  <si>
    <t>PATI_SCHOOL_230</t>
  </si>
  <si>
    <t>PATI_SCHOOL_240</t>
  </si>
  <si>
    <t>PATI_SCHOOL_250</t>
  </si>
  <si>
    <t>PATI_SCHOOL_260</t>
  </si>
  <si>
    <t>PATI_SCHOOL_270</t>
  </si>
  <si>
    <t>PATI_SCHOOL_280</t>
  </si>
  <si>
    <t>PATI_SCHOOL_290</t>
  </si>
  <si>
    <t>PATI_SCHOOL_300</t>
  </si>
  <si>
    <t>PATI_SCHOOL_310</t>
  </si>
  <si>
    <t>PATI_SCHOOL_320</t>
  </si>
  <si>
    <t>PATI_SCHOOL_330</t>
  </si>
  <si>
    <t>PATI_SCHOOL_340</t>
  </si>
  <si>
    <t>PATI_SCHOOL_350</t>
  </si>
  <si>
    <t>PATI_SCHOOL_360</t>
  </si>
  <si>
    <t>PATI_SCHOOL_370</t>
  </si>
  <si>
    <t>PATI_SCHOOL_380</t>
  </si>
  <si>
    <t>PATI_SCHOOL_390</t>
  </si>
  <si>
    <t>PATI_SCHOOL_400</t>
  </si>
  <si>
    <t>PATI_SCHOOL_410</t>
  </si>
  <si>
    <t>PATI_SCHOOL_420</t>
  </si>
  <si>
    <t>PATI_SCHOOL_430</t>
  </si>
  <si>
    <t>PATI_SCHOOL_440</t>
  </si>
  <si>
    <t>PATI_SCHOOL_450</t>
  </si>
  <si>
    <t>PATI_SCHOOL_460</t>
  </si>
  <si>
    <t>PATI_SCHOOL_470</t>
  </si>
  <si>
    <t>PATI_SCHOOL_480</t>
  </si>
  <si>
    <t>PATI_SCHOOL_490</t>
  </si>
  <si>
    <t>PATI_SCHOOL_500</t>
  </si>
  <si>
    <t>PATI_SCHOOL_510</t>
  </si>
  <si>
    <t>PATI_SCHOOL_520</t>
  </si>
  <si>
    <t>PATI_SCHOOL_530</t>
  </si>
  <si>
    <t>PATI_SCHOOL_540</t>
  </si>
  <si>
    <t>PATI_SCHOOL_550</t>
  </si>
  <si>
    <t>PATI_SCHOOL_560</t>
  </si>
  <si>
    <t>PATI_SCHOOL_570</t>
  </si>
  <si>
    <t>PATI_SCHOOL_580</t>
  </si>
  <si>
    <t>PATI_SCHOOL_590</t>
  </si>
  <si>
    <t>PATI_SCHOOL_600</t>
  </si>
  <si>
    <t>PATI_SCHOOL_610</t>
  </si>
  <si>
    <t>PATI_SCHOOL_620</t>
  </si>
  <si>
    <t>PATI_SCHOOL_630</t>
  </si>
  <si>
    <t>PATI_SCHOOL_640</t>
  </si>
  <si>
    <t>PATI_SCHOOL_650</t>
  </si>
  <si>
    <t>PATI_SCHOOL_660</t>
  </si>
  <si>
    <t>PATI_SCHOOL_670</t>
  </si>
  <si>
    <t>PATI_SCHOOL_680</t>
  </si>
  <si>
    <t>PATI_SCHOOL_690</t>
  </si>
  <si>
    <t>PATI_SCHOOL_700</t>
  </si>
  <si>
    <t>PATI_SCHOOL_710</t>
  </si>
  <si>
    <t>PATI_SCHOOL_720</t>
  </si>
  <si>
    <t>PATI_SCHOOL_730</t>
  </si>
  <si>
    <t>PATI_SCHOOL_740</t>
  </si>
  <si>
    <t>PATI_SCHOOL_750</t>
  </si>
  <si>
    <t>PATI_SCHOOL_760</t>
  </si>
  <si>
    <t>PATI_SCHOOL_770</t>
  </si>
  <si>
    <t>PATI_SCHOOL_780</t>
  </si>
  <si>
    <t>PATI_SCHOOL_790</t>
  </si>
  <si>
    <t>PATI_SCHOOL_800</t>
  </si>
  <si>
    <t>PATI_SCHOOL_810</t>
  </si>
  <si>
    <t>PATI_SCHOOL_820</t>
  </si>
  <si>
    <t>PATI_SCHOOL_830</t>
  </si>
  <si>
    <t>PATI_SCHOOL_840</t>
  </si>
  <si>
    <t>PATI_SCHOOL_850</t>
  </si>
  <si>
    <t>PATI_SCHOOL_860</t>
  </si>
  <si>
    <t>PATI_SCHOOL_870</t>
  </si>
  <si>
    <t>PATI_SCHOOL_880</t>
  </si>
  <si>
    <t>PATI_SCHOOL_890</t>
  </si>
  <si>
    <t>PATI_SCHOOL_900</t>
  </si>
  <si>
    <t>PATI_SCHOOL_910</t>
  </si>
  <si>
    <t>PATI_SCHOOL_920</t>
  </si>
  <si>
    <t>PATI_SCHOOL_930</t>
  </si>
  <si>
    <t>PATI_SCHOOL_940</t>
  </si>
  <si>
    <t>PATI_SCHOOL_950</t>
  </si>
  <si>
    <t>PATI_SCHOOL_960</t>
  </si>
  <si>
    <t>PATI_SCHOOL_970</t>
  </si>
  <si>
    <t>PATI_SCHOOL_980</t>
  </si>
  <si>
    <t>PATI_SCHOOL_990</t>
  </si>
  <si>
    <t>PATI_SCHOOL_1000</t>
  </si>
  <si>
    <t>PATI_SCHOOL_1010</t>
  </si>
  <si>
    <t>PATI_SCHOOL_1020</t>
  </si>
  <si>
    <t>PATI_SCHOOL_1030</t>
  </si>
  <si>
    <t>PATI_SCHOOL_1040</t>
  </si>
  <si>
    <t>PATI_SCHOOL_1050</t>
  </si>
  <si>
    <t>PATI_SCHOOL_1060</t>
  </si>
  <si>
    <t>PATI_SCHOOL_1070</t>
  </si>
  <si>
    <t>PATI_SCHOOL_1080</t>
  </si>
  <si>
    <t>PATI_SCHOOL_1090</t>
  </si>
  <si>
    <t>PATI_SCHOOL_1100</t>
  </si>
  <si>
    <t>PATI_SCHOOL_1110</t>
  </si>
  <si>
    <t>PATI_SCHOOL_1120</t>
  </si>
  <si>
    <t>PATI_SCHOOL_1130</t>
  </si>
  <si>
    <t>School-Question Answer Options</t>
  </si>
  <si>
    <t>Question</t>
  </si>
  <si>
    <t>Who is the primary Transport Access provider to your WAN?</t>
  </si>
  <si>
    <t>What is the transport capacity from this School to the LEA Head End?</t>
  </si>
  <si>
    <t>What is your estimated monthly pre-Erate cost for the transport from this School to the LEA Head End?</t>
  </si>
  <si>
    <t>How does this school receive its Internet connection?</t>
  </si>
  <si>
    <t>If your school is receiving its Internet connection as part of an LEA-based WAN, what is the Internet capacity from this school to the LEA Head End?</t>
  </si>
  <si>
    <t>If your school is receiving its Internet connection directly from an Internet Service Provider (ISP), who is your primary ISP?</t>
  </si>
  <si>
    <t>If your school is receiving its Internet connection directly from an Internet Service Provider (ISP), what is the Internet capacity from this school to the ISP?</t>
  </si>
  <si>
    <t>If your school is receiving its Internet connection directly from an Internet Service Provider (ISP) what is your estimated monthly pre-Erate cost for the Internet?</t>
  </si>
  <si>
    <t>1 - Yes</t>
  </si>
  <si>
    <t>1 - Comcast</t>
  </si>
  <si>
    <t>1 - Public Telco</t>
  </si>
  <si>
    <t>1 - Less than 768 kbps</t>
  </si>
  <si>
    <t>1 - Zero</t>
  </si>
  <si>
    <t>1 - 10/100 MB Ethernet (Switched, Shared, None)</t>
  </si>
  <si>
    <t>1 - 802.11 a/b</t>
  </si>
  <si>
    <t>1 - Building-wide</t>
  </si>
  <si>
    <t>99 - Free form</t>
  </si>
  <si>
    <t>98 - Not Applicable (school does not have 1-1 student laptop program)</t>
  </si>
  <si>
    <t xml:space="preserve">1 - From the LEA-Based WAN </t>
  </si>
  <si>
    <t>2 - No</t>
  </si>
  <si>
    <t>2 - D&amp;E Communications</t>
  </si>
  <si>
    <t>2 - Public Fiber</t>
  </si>
  <si>
    <t>2 - 768 kbps only</t>
  </si>
  <si>
    <t>2 - $1.00 - $500.00</t>
  </si>
  <si>
    <t>2 - 10/100/1000 MB Ethernet (Switched, Shared, None)</t>
  </si>
  <si>
    <t>2 - 802.11 g</t>
  </si>
  <si>
    <t>2 - Limited service within building</t>
  </si>
  <si>
    <t xml:space="preserve">2 - Direct from an Internet Service Provider (ISP) </t>
  </si>
  <si>
    <t>3 - DQE Communications</t>
  </si>
  <si>
    <t>3 - Public Microwave</t>
  </si>
  <si>
    <t>3 - Greater than 768 kbps and less than 1.54Mb (T-1)</t>
  </si>
  <si>
    <t>3 - $501.00 - $1,000.00</t>
  </si>
  <si>
    <t>3 - Embarq</t>
  </si>
  <si>
    <t>3 - Greater than 1000 MB Ethernet (Switched, Shared, None)</t>
  </si>
  <si>
    <t>3 - 802.11 n</t>
  </si>
  <si>
    <t>3 - Campus-wide</t>
  </si>
  <si>
    <t xml:space="preserve">3 - This school does not have a connection to the Internet </t>
  </si>
  <si>
    <t>4 - Embarq</t>
  </si>
  <si>
    <t>4 - Public Wireless</t>
  </si>
  <si>
    <t>4 - 1.54Mb (T-1) only</t>
  </si>
  <si>
    <t>4 - $1001.00 - $2,500.00</t>
  </si>
  <si>
    <t>4 - Expedient</t>
  </si>
  <si>
    <t>98 - Not Applicable (wireless only)</t>
  </si>
  <si>
    <t>4 - Limited service within campus</t>
  </si>
  <si>
    <t>99 - Other</t>
  </si>
  <si>
    <t>5 - Level 3</t>
  </si>
  <si>
    <t>5 - Private Telco</t>
  </si>
  <si>
    <t>5 - Greater than 1.54MB and less than 3MB</t>
  </si>
  <si>
    <t>5 - $2,501.00 - $5,000.00</t>
  </si>
  <si>
    <t>5 - Planned, will be installed within 2 years</t>
  </si>
  <si>
    <t>6 - Prolog</t>
  </si>
  <si>
    <t>6 - Private Fiber</t>
  </si>
  <si>
    <t>6 - 3MB to 5MB</t>
  </si>
  <si>
    <t>6 - Greater than $5,000.00</t>
  </si>
  <si>
    <t>6 - Not planned at this time</t>
  </si>
  <si>
    <t>7 - Qwest</t>
  </si>
  <si>
    <t>7 - Private Microwave</t>
  </si>
  <si>
    <t>7 - 6MB to 9MB</t>
  </si>
  <si>
    <t>98 - Not Applicable (school not connected to LEA-based WAN)</t>
  </si>
  <si>
    <t>8 - Sting Communications</t>
  </si>
  <si>
    <t>8 - Private Wireless</t>
  </si>
  <si>
    <t>8 - 10MB to 24MB</t>
  </si>
  <si>
    <t>9 - Sunesys</t>
  </si>
  <si>
    <t>9 - 25MB to 49MB</t>
  </si>
  <si>
    <t>9 - Verizon</t>
  </si>
  <si>
    <t>10 - Verizon</t>
  </si>
  <si>
    <t>10 - 50MB to 99MB</t>
  </si>
  <si>
    <t>10 - Wind Stream</t>
  </si>
  <si>
    <t>11 - Wind Stream</t>
  </si>
  <si>
    <t>11 - 100MB to 999MB</t>
  </si>
  <si>
    <t>12 - Owned (fiber, wireless, coax)</t>
  </si>
  <si>
    <t>12 - 1GB or greater</t>
  </si>
  <si>
    <t>Response ID for template format</t>
  </si>
  <si>
    <t>Response Selection</t>
  </si>
  <si>
    <t>Free Form Response</t>
  </si>
  <si>
    <t>2011-2012</t>
  </si>
  <si>
    <t>2012-2013</t>
  </si>
  <si>
    <t>2013-2014</t>
  </si>
  <si>
    <t>2014-2015</t>
  </si>
  <si>
    <t>2015-2016</t>
  </si>
  <si>
    <t>2016-2017</t>
  </si>
  <si>
    <t>School Year:</t>
  </si>
  <si>
    <t>School_Year</t>
  </si>
  <si>
    <t>Question ID</t>
  </si>
  <si>
    <t>What level of access is your Wireless Local Area Network (LAN) capacity at this school?</t>
  </si>
  <si>
    <t>What is the maximum Wired Local Area Network (LAN) capacity at this school?</t>
  </si>
  <si>
    <t>What is the maximum Wireless Local Area Network (LAN) capacity at this school?</t>
  </si>
  <si>
    <t>What is the number of classrooms with no Internet access in the school?</t>
  </si>
  <si>
    <t>What is the number of stationary computer labs with no Internet access in the school?</t>
  </si>
  <si>
    <t>What is the number of library/media centers with no Internet access in the school?</t>
  </si>
  <si>
    <t>What is the total number of mobile computer labs in the school? Mobile computer labs include mobile carts that consist of 16 or more computers and other digital tools that remain exclusively with the mobile lab.</t>
  </si>
  <si>
    <t>Participant ID (School Code):</t>
  </si>
  <si>
    <t>Section 1 – School Infrastructure</t>
  </si>
  <si>
    <t>Section 2 – Room and Lab Counts</t>
  </si>
  <si>
    <t>Section 3 – Computer and Device Counts for Instructional Use</t>
  </si>
  <si>
    <t>Section 5 – School Transport Questions</t>
  </si>
  <si>
    <t>Section 6 – School Internet Questions</t>
  </si>
  <si>
    <t>Computer Counts</t>
  </si>
  <si>
    <t>Within your classrooms, stationary computer labs, moblie computer labs, and library/media centers, identify the number of high, mid, and low capacity computers.  In addition classify the computers based on their Internet connection.</t>
  </si>
  <si>
    <t>Classrooms</t>
  </si>
  <si>
    <t>Internet Access</t>
  </si>
  <si>
    <t>No Internet Access</t>
  </si>
  <si>
    <t>High Capacity Computer</t>
  </si>
  <si>
    <t>Mid Capacity Computers</t>
  </si>
  <si>
    <t>Low Capacity Computers</t>
  </si>
  <si>
    <t>Stationary Computer Labs</t>
  </si>
  <si>
    <t>Mobile Computer Labs</t>
  </si>
  <si>
    <t>Thin Clients</t>
  </si>
  <si>
    <t>Library/Media Centers</t>
  </si>
  <si>
    <t>Device Counts</t>
  </si>
  <si>
    <t>Within your classrooms, stationary computer labs, moblie computer labs, and library/media centers, identify the numbers of thin clients, netbooks, handheld devices, e-readers, and tablet devices.  In addition classify the devices based on their Internet connection.</t>
  </si>
  <si>
    <t>Netbooks</t>
  </si>
  <si>
    <t>Handheld Devices</t>
  </si>
  <si>
    <t>e-readers</t>
  </si>
  <si>
    <t>Tablet Devices</t>
  </si>
  <si>
    <t>Response ID for Template</t>
  </si>
  <si>
    <t>District Code (AUN):</t>
  </si>
  <si>
    <t>DISTRICT CODE</t>
  </si>
  <si>
    <t>SURVEY ADMINISTRATION</t>
  </si>
  <si>
    <t>SURVEY CHOICE VALUE</t>
  </si>
  <si>
    <t>FREE FORM RESPONSE TEXT</t>
  </si>
  <si>
    <t>Not collected</t>
  </si>
  <si>
    <t>Term</t>
  </si>
  <si>
    <t>Definition</t>
  </si>
  <si>
    <t>Classroom</t>
  </si>
  <si>
    <t>A room that is used for instructional purposes.</t>
  </si>
  <si>
    <t>e-Readers</t>
  </si>
  <si>
    <t>Instructional Use</t>
  </si>
  <si>
    <t>ISP</t>
  </si>
  <si>
    <t>Internet Service Provider</t>
  </si>
  <si>
    <t>LEA</t>
  </si>
  <si>
    <t>Local Education Agency (LEA): A school district, charter school or career and technical center.</t>
  </si>
  <si>
    <t>LEA-Based WAN</t>
  </si>
  <si>
    <t>An LEA-based WAN is defined as a building to building network that connects buildings within an LEA.</t>
  </si>
  <si>
    <t>Library/Media Center</t>
  </si>
  <si>
    <t>This is a general resource area where students conduct research and/or receive instruction.</t>
  </si>
  <si>
    <t>Low Capacity Computer</t>
  </si>
  <si>
    <t>Mid Capacity Computer</t>
  </si>
  <si>
    <t>Mobile Computer Lab</t>
  </si>
  <si>
    <t>Include mobile carts that consist of 16 or more computers and other digital tools that remain exclusively with the mobile lab.</t>
  </si>
  <si>
    <t>Netbook</t>
  </si>
  <si>
    <t xml:space="preserve">Netbooks (sometimes also called mini notebooks or ultraportables) are small, light and inexpensive laptop computers suited for general computing and accessing web-based applications. Screen sizes are generally less than 10" diagonally.
Computers that are classified as netbooks usually contain an Intel Atom processor or equivalent.
</t>
  </si>
  <si>
    <t>Stationary Computer Lab</t>
  </si>
  <si>
    <t>A Room/Lab that is used for general computer use (NOT course specific).</t>
  </si>
  <si>
    <t>Thin Client</t>
  </si>
  <si>
    <t>A thin client is a client computer or client software in client-server architecture networks which depends primarily on the central server for processing activities.</t>
  </si>
  <si>
    <t>Transport Type - Public</t>
  </si>
  <si>
    <t>Transport Type - Private</t>
  </si>
  <si>
    <t>"Private" means the LEA owns the connection.</t>
  </si>
  <si>
    <t>WAN</t>
  </si>
  <si>
    <t>Wide-Area Network</t>
  </si>
  <si>
    <t>Wired for Internet Access</t>
  </si>
  <si>
    <t>Infrastructure is in place for an Internet connected computer.</t>
  </si>
  <si>
    <t>Wireless Internet Access</t>
  </si>
  <si>
    <t>Wireless signal is accessible from the room/lab.</t>
  </si>
  <si>
    <t xml:space="preserve">Devices that are not laptops or pocket sized and are used primarily for reading only and may have the option to access the Internet.
Examples include:
• Kindle
• Nook
• Etc
</t>
  </si>
  <si>
    <t>IU-Based WAN</t>
  </si>
  <si>
    <t>An IU-Based WAN is defined as a network that has the potential to connect all the LEAs within your Intermediate Unit.</t>
  </si>
  <si>
    <t>Printer</t>
  </si>
  <si>
    <t>Include all devices that are connected to a computer or network.  Note that any multifunction device that serves as a printer/scanner/copier should be counted as a “printer” within Section #4 of the school survey.</t>
  </si>
  <si>
    <t>"Public" means that the connection is leased from a telecommunications provider.</t>
  </si>
  <si>
    <t>98 - Not Applicable (no wireless)</t>
  </si>
  <si>
    <t>What is the number of classrooms with either wired or wireless Internet access in the school?</t>
  </si>
  <si>
    <t>What is the number of stationary computer labs with either wired or wireless Internet access in the school?</t>
  </si>
  <si>
    <t>What is the number of library/media centers with either wired or wireless Internet access in the school?</t>
  </si>
  <si>
    <t>Within your school 1-1 program, how many high capacity computers have Internet access when used in the classroom?</t>
  </si>
  <si>
    <t>Within your school 1-1 program, how many high capacity computers have no Internet access when used in the classroom?</t>
  </si>
  <si>
    <t>Within your school 1-1 program, how many mid capacity computers have Internet access when used in the classroom?</t>
  </si>
  <si>
    <t>Within your school 1-1 program, how many mid capacity computers have no Internet access when used in the classroom?</t>
  </si>
  <si>
    <t>Within your school 1-1 program, how many low capacity computers have Internet access when used in the classroom?</t>
  </si>
  <si>
    <t>Within your school 1-1 program, how many low capacity computers have no Internet access when used in the classroom?</t>
  </si>
  <si>
    <t>Within your school 1-1 program, how many digital devices have Internet access when used in the classroom?                                                                                                                                                                                                                      Include handhelds, e-readers and tablet devices.</t>
  </si>
  <si>
    <t>Within your school 1-1 program, how many digital devices have no Internet access when used in the classroom?                                                                                                                                                                                                                      Include handhelds, e-readers and tablet devices.</t>
  </si>
  <si>
    <t>98 - Not Applicable (school does not have 1-1 program)</t>
  </si>
  <si>
    <t>Within your school 1-1 program, how many netbooks have Internet access when used in the classroom?                                                                                                                                                                                                                              Do not include any laptops that were included in responses to questions 850 - 900.</t>
  </si>
  <si>
    <t>Within your school 1-1 program, how many netbooks have no Internet access when used in the classroom?                                                                                                                                                                                                                              Do not include any laptops that were included in responses to questions 850 - 900.</t>
  </si>
  <si>
    <t>Section 4 – (This Section Intentionally Left Blank)</t>
  </si>
  <si>
    <r>
      <t xml:space="preserve">Is this school connected to an LEA-Based WAN that is used for applications such as file sharing, administrative functions, student information, digital content, etc.?                                                                                                              </t>
    </r>
    <r>
      <rPr>
        <sz val="9"/>
        <color indexed="43"/>
        <rFont val="Arial"/>
        <family val="2"/>
      </rPr>
      <t xml:space="preserve">_    </t>
    </r>
    <r>
      <rPr>
        <sz val="9"/>
        <rFont val="Arial"/>
        <family val="2"/>
      </rPr>
      <t xml:space="preserve">                                                                                                                                                                                                                                                                                                                                                                                                                           An LEA-Based WAN is defined as a building-to-building network that connects buildings within YOUR LEA (district, CTC or charter school).                                                                                                                                                             </t>
    </r>
    <r>
      <rPr>
        <sz val="9"/>
        <color indexed="43"/>
        <rFont val="Arial"/>
        <family val="2"/>
      </rPr>
      <t>_</t>
    </r>
    <r>
      <rPr>
        <sz val="9"/>
        <rFont val="Arial"/>
        <family val="2"/>
      </rPr>
      <t xml:space="preserve">                                                                                                                                                                                                                                                                                                                                                                                                                                  </t>
    </r>
    <r>
      <rPr>
        <b/>
        <u/>
        <sz val="9"/>
        <rFont val="Arial"/>
        <family val="2"/>
      </rPr>
      <t>For single LEAs containing ONLY one school:</t>
    </r>
    <r>
      <rPr>
        <sz val="9"/>
        <rFont val="Arial"/>
        <family val="2"/>
      </rPr>
      <t xml:space="preserve">  Since your network is contained within your own school answer "NO" to this question.</t>
    </r>
  </si>
  <si>
    <r>
      <t xml:space="preserve">Does your school participate in a 1-1 student laptop or device program?                                                                                                                                                                                                                                                                                  </t>
    </r>
    <r>
      <rPr>
        <sz val="9"/>
        <color indexed="43"/>
        <rFont val="Arial"/>
        <family val="2"/>
      </rPr>
      <t>_</t>
    </r>
    <r>
      <rPr>
        <sz val="9"/>
        <rFont val="Arial"/>
        <family val="2"/>
      </rPr>
      <t xml:space="preserve">                                                                                                                                                                                                                                                                     Some schools provide laptops or devices for 1-1 student use.  To be counted in this category, laptops or devices must be assigned to individual students for multiple class use.  DO NOT include 1-1 student access to laptops or devices that reside in a specific classroom.  These should be included under the classroom count.  Also do not include student-owned devices that may be brought to school.  </t>
    </r>
  </si>
  <si>
    <r>
      <t xml:space="preserve">What is the primary Transport type from this School to the LEA Head End?                                                                                                                                                                                                                                                                                </t>
    </r>
    <r>
      <rPr>
        <sz val="9"/>
        <color indexed="43"/>
        <rFont val="Arial"/>
        <family val="2"/>
      </rPr>
      <t>_</t>
    </r>
    <r>
      <rPr>
        <sz val="9"/>
        <rFont val="Arial"/>
        <family val="2"/>
      </rPr>
      <t xml:space="preserve">                                                                                                                                                                                                                                                                                                                                                                                                                 </t>
    </r>
    <r>
      <rPr>
        <b/>
        <u/>
        <sz val="9"/>
        <rFont val="Arial"/>
        <family val="2"/>
      </rPr>
      <t>Note:</t>
    </r>
    <r>
      <rPr>
        <sz val="9"/>
        <rFont val="Arial"/>
        <family val="2"/>
      </rPr>
      <t xml:space="preserve">  "Public" means that the connection is leased from a telecommunications provider; "Private" means the LEA owns the connection.</t>
    </r>
  </si>
  <si>
    <r>
      <t xml:space="preserve">If your school is receiving its Internet connection directly from an Internet Service Provider (ISP), what is the primary Transport type from this school to the ISP?                                                                                                                                </t>
    </r>
    <r>
      <rPr>
        <sz val="9"/>
        <color indexed="43"/>
        <rFont val="Arial"/>
        <family val="2"/>
      </rPr>
      <t xml:space="preserve">_  </t>
    </r>
    <r>
      <rPr>
        <sz val="9"/>
        <rFont val="Arial"/>
        <family val="2"/>
      </rPr>
      <t xml:space="preserve">                                                                                                                                                                                                                                                                                                                                                                                                               </t>
    </r>
    <r>
      <rPr>
        <b/>
        <u/>
        <sz val="9"/>
        <rFont val="Arial"/>
        <family val="2"/>
      </rPr>
      <t>Note:</t>
    </r>
    <r>
      <rPr>
        <sz val="9"/>
        <rFont val="Arial"/>
        <family val="2"/>
      </rPr>
      <t xml:space="preserve">  "Public" means that the connection is leased from a telecommunications provider; "Private" means the LEA owns the connection.</t>
    </r>
  </si>
  <si>
    <t>98 - Not Applicable (school receives Internet connection directly from an ISP or has no connection to the Internet)</t>
  </si>
  <si>
    <t>98 - Not Applicable (school receives Internet connection from an LEA-based WAN or has no connection to the Internet)</t>
  </si>
  <si>
    <t xml:space="preserve">A mid capacity computer meets the following criteria:
•  5 years old or newer
•  Contains a 10/100/1000mb network card and can run integrated applications such as Microsoft Office Suite, etc. 
•  DO NOT include networks or thin clients
Examples of mid capacity computers include:
•  Designed for Windows 7 or Windows Vista (PC)
•  Able to run Microsoft Office 2007 (PC)
•  Designed for Mac OS X v10.6 (Snow Leopard) or v10.5 (Leopard)
•  Able to run Microsoft Office 2008 (Mac)
</t>
  </si>
  <si>
    <t xml:space="preserve">A high capacity computer meets the following criteria:
•  2 years old or newer
•  Contains a 10/100/1000mb network card and can run data intensive/graphic/video rendering applications such as CAD, web design, video production etc.
•  DO NOT include networks or thin clients
Examples of high capacity computers include:
•  Designed for Windows 8 or Windows 7 (PC)
•  Able to run Microsoft Office 2010 (PC)
•  Designed for OS X v10.8 (Mountain Lion), OS X v10.7 (Lion) or OS X v10.6 (Snow Leopard)
•  Able to run Microsoft Office 2011 (Mac)
</t>
  </si>
  <si>
    <t xml:space="preserve">A low capacity computer meets the following criteria:
•  Older than 5 years
•  May or may not contain a network card and can run basic, stand-alone applications such as word processing, tutorial programs, etc.
•  DO NOT include networks or thin clients
Examples of low capacity computers include:
•  Designed for Windows XP Service Pack 3 (SP3) or older (PC)
•  Designed for Mac OS X  v10.4 (Tiger) or older
</t>
  </si>
  <si>
    <t>ID #</t>
  </si>
  <si>
    <t>1-1 Student Laptop and Device Program</t>
  </si>
  <si>
    <r>
      <t xml:space="preserve">What is the total number of classrooms in the school? A classroom is defined as a room that is used for instructional purposes.                                                                                                                                                                           </t>
    </r>
    <r>
      <rPr>
        <sz val="9"/>
        <color indexed="43"/>
        <rFont val="Arial"/>
        <family val="2"/>
      </rPr>
      <t xml:space="preserve">_ </t>
    </r>
    <r>
      <rPr>
        <sz val="9"/>
        <rFont val="Arial"/>
        <family val="2"/>
      </rPr>
      <t xml:space="preserve">
</t>
    </r>
    <r>
      <rPr>
        <b/>
        <u/>
        <sz val="9"/>
        <rFont val="Arial"/>
        <family val="2"/>
      </rPr>
      <t>Note:</t>
    </r>
    <r>
      <rPr>
        <sz val="9"/>
        <rFont val="Arial"/>
        <family val="2"/>
      </rPr>
      <t xml:space="preserve">  The value of this field is prepopulated based on the sum of questions 70 &amp; 80. </t>
    </r>
  </si>
  <si>
    <r>
      <t xml:space="preserve">What is the total number of stationary computer labs in the school? A stationary computer lab is defined as a room/Lab that is used for general computer use (NOT course specific).                                                                                                                                                                                        </t>
    </r>
    <r>
      <rPr>
        <sz val="9"/>
        <color indexed="43"/>
        <rFont val="Arial"/>
        <family val="2"/>
      </rPr>
      <t xml:space="preserve">_                                                                                                                                                                                                                                                                                                                                                                                                                </t>
    </r>
    <r>
      <rPr>
        <b/>
        <u/>
        <sz val="9"/>
        <rFont val="Arial"/>
        <family val="2"/>
      </rPr>
      <t>Note:</t>
    </r>
    <r>
      <rPr>
        <sz val="9"/>
        <rFont val="Arial"/>
        <family val="2"/>
      </rPr>
      <t xml:space="preserve">  The value of this field is prepopulated based on the sum of questions 120 &amp; 130. </t>
    </r>
  </si>
  <si>
    <r>
      <t xml:space="preserve">What is the total number of library/media centers in the school? A library/media center is a general resource area where students conduct research and/or receive instruction.                                                                                                                                         </t>
    </r>
    <r>
      <rPr>
        <sz val="8"/>
        <color indexed="43"/>
        <rFont val="Arial"/>
        <family val="2"/>
      </rPr>
      <t>_</t>
    </r>
    <r>
      <rPr>
        <sz val="9"/>
        <rFont val="Arial"/>
        <family val="2"/>
      </rPr>
      <t xml:space="preserve">                                                                                                                                                                                                                                                                                                                                                                                                                                                                                                                                                                                                                                                                                                                                                                                                                                                                          </t>
    </r>
    <r>
      <rPr>
        <b/>
        <u/>
        <sz val="9"/>
        <rFont val="Arial"/>
        <family val="2"/>
      </rPr>
      <t>Note:</t>
    </r>
    <r>
      <rPr>
        <sz val="9"/>
        <rFont val="Arial"/>
        <family val="2"/>
      </rPr>
      <t xml:space="preserve">  The value of this field is prepopulated based on the sum of questions 170 &amp; 180. </t>
    </r>
  </si>
  <si>
    <t>High Capacity Computers</t>
  </si>
  <si>
    <t>1-1 Student Program</t>
  </si>
  <si>
    <t xml:space="preserve">Some schools provide laptops or devices for 1-1 student use.  To be counted in this category, laptops must be assigned to individual students for multiple class use.  
DO NOT include 1-1 student access to laptop computers or devices that reside in a specific classroom.  These should be included under the classroom count.
</t>
  </si>
  <si>
    <t xml:space="preserve">Handheld Devices </t>
  </si>
  <si>
    <t xml:space="preserve">Handheld or mobile devices that are pocket-sized, typically having a display screen with touch input, miniature keyboard, or other user interface.
Examples include:
• PDAs (Palm Pilot, etc)
• Audio/Video Devices (MP3 player, iPod , etc)
• Other Wi-Fi accessible devices
DO NOT include devices that are used solely as student response systems (clickers).
</t>
  </si>
  <si>
    <t>Instructional use includes Classrooms, Stationary Computer Labs, Mobile Computer Labs, Library Media Centers, and 1-1 Student Programs.</t>
  </si>
  <si>
    <t xml:space="preserve">Devices that are not laptops or pocket sized and are used primarily for accessing a wide variety of digital content and have the option to access the Internet.
Examples include:
• iPad
• Xoom
• Galaxy Tab
• Streak
• Etc.
Note that "Tablet PCs" containing touch screens along with a physical keyboard should be included in the computer counts.
</t>
  </si>
  <si>
    <t>(Question ID Not Used This Year)</t>
  </si>
  <si>
    <t>No</t>
  </si>
  <si>
    <r>
      <t xml:space="preserve">PATI Survey for Schools
</t>
    </r>
    <r>
      <rPr>
        <b/>
        <sz val="8"/>
        <color indexed="9"/>
        <rFont val="Arial"/>
        <family val="2"/>
      </rPr>
      <t>Excel Data Entry Tool v3.1</t>
    </r>
  </si>
  <si>
    <r>
      <t xml:space="preserve">PATI Survey for Schools
</t>
    </r>
    <r>
      <rPr>
        <b/>
        <sz val="8"/>
        <color indexed="9"/>
        <rFont val="Arial"/>
        <family val="2"/>
      </rPr>
      <t>Excel Data Entry Tool v3.1</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</si>
</sst>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7" x14ac:knownFonts="1">
    <font>
      <sz val="11"/>
      <color theme="1"/>
      <name val="Calibri"/>
      <family val="2"/>
      <scheme val="minor"/>
    </font>
    <font>
      <sz val="10"/>
      <name val="Arial"/>
      <family val="2"/>
    </font>
    <font>
      <sz val="9"/>
      <name val="Arial"/>
      <family val="2"/>
    </font>
    <font>
      <b/>
      <sz val="16"/>
      <name val="Arial"/>
      <family val="2"/>
    </font>
    <font>
      <b/>
      <sz val="8"/>
      <color indexed="9"/>
      <name val="Arial"/>
      <family val="2"/>
    </font>
    <font>
      <b/>
      <sz val="8"/>
      <color indexed="9"/>
      <name val="Arial"/>
      <family val="2"/>
    </font>
    <font>
      <b/>
      <u/>
      <sz val="9"/>
      <name val="Arial"/>
      <family val="2"/>
    </font>
    <font>
      <sz val="9"/>
      <color indexed="43"/>
      <name val="Arial"/>
      <family val="2"/>
    </font>
    <font>
      <sz val="9"/>
      <color indexed="43"/>
      <name val="Arial"/>
      <family val="2"/>
    </font>
    <font>
      <sz val="9"/>
      <color indexed="43"/>
      <name val="Arial"/>
      <family val="2"/>
    </font>
    <font>
      <sz val="8"/>
      <name val="Arial"/>
      <family val="2"/>
    </font>
    <font>
      <sz val="8"/>
      <color indexed="43"/>
      <name val="Arial"/>
      <family val="2"/>
    </font>
    <font>
      <b/>
      <sz val="10"/>
      <name val="Arial"/>
      <family val="2"/>
    </font>
    <font>
      <b/>
      <sz val="11"/>
      <color theme="1"/>
      <name val="Calibri"/>
      <family val="2"/>
      <scheme val="minor"/>
    </font>
    <font>
      <b/>
      <sz val="14"/>
      <color theme="1"/>
      <name val="Calibri"/>
      <family val="2"/>
      <scheme val="minor"/>
    </font>
    <font>
      <b/>
      <sz val="10"/>
      <color theme="0"/>
      <name val="Arial"/>
      <family val="2"/>
    </font>
    <font>
      <b/>
      <u/>
      <sz val="10"/>
      <color theme="0"/>
      <name val="Arial"/>
      <family val="2"/>
    </font>
    <font>
      <b/>
      <sz val="9"/>
      <color theme="1"/>
      <name val="Arial"/>
      <family val="2"/>
    </font>
    <font>
      <sz val="9"/>
      <color theme="1"/>
      <name val="Arial"/>
      <family val="2"/>
    </font>
    <font>
      <sz val="9"/>
      <color rgb="FFFF0000"/>
      <name val="Arial"/>
      <family val="2"/>
    </font>
    <font>
      <sz val="9"/>
      <color rgb="FFFFFF99"/>
      <name val="Arial"/>
      <family val="2"/>
    </font>
    <font>
      <sz val="9"/>
      <color theme="0"/>
      <name val="Arial"/>
      <family val="2"/>
    </font>
    <font>
      <sz val="8"/>
      <color theme="1"/>
      <name val="Arial"/>
      <family val="2"/>
    </font>
    <font>
      <b/>
      <sz val="9"/>
      <color theme="0"/>
      <name val="Arial"/>
      <family val="2"/>
    </font>
    <font>
      <b/>
      <sz val="16"/>
      <color theme="0"/>
      <name val="Arial"/>
      <family val="2"/>
    </font>
    <font>
      <sz val="10"/>
      <color rgb="FFFF0000"/>
      <name val="Arial"/>
      <family val="2"/>
    </font>
    <font>
      <b/>
      <sz val="22"/>
      <color theme="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
      <patternFill patternType="solid">
        <fgColor rgb="FF000080"/>
        <bgColor indexed="64"/>
      </patternFill>
    </fill>
    <fill>
      <patternFill patternType="solid">
        <fgColor rgb="FFFFFF99"/>
        <bgColor indexed="64"/>
      </patternFill>
    </fill>
    <fill>
      <patternFill patternType="solid">
        <fgColor rgb="FF92D050"/>
        <bgColor indexed="64"/>
      </patternFill>
    </fill>
  </fills>
  <borders count="28">
    <border>
      <left/>
      <right/>
      <top/>
      <bottom/>
      <diagonal/>
    </border>
    <border>
      <left/>
      <right style="medium">
        <color indexed="64"/>
      </right>
      <top/>
      <bottom/>
      <diagonal/>
    </border>
    <border>
      <left/>
      <right/>
      <top/>
      <bottom style="thin">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theme="0"/>
      </bottom>
      <diagonal/>
    </border>
    <border>
      <left style="thin">
        <color indexed="64"/>
      </left>
      <right style="thin">
        <color indexed="64"/>
      </right>
      <top style="medium">
        <color indexed="64"/>
      </top>
      <bottom style="thin">
        <color theme="0"/>
      </bottom>
      <diagonal/>
    </border>
    <border>
      <left style="thin">
        <color indexed="64"/>
      </left>
      <right style="medium">
        <color indexed="64"/>
      </right>
      <top style="medium">
        <color indexed="64"/>
      </top>
      <bottom style="thin">
        <color theme="0"/>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right/>
      <top/>
      <bottom style="thin">
        <color theme="0"/>
      </bottom>
      <diagonal/>
    </border>
  </borders>
  <cellStyleXfs count="2">
    <xf numFmtId="0" fontId="0" fillId="0" borderId="0"/>
    <xf numFmtId="0" fontId="1" fillId="0" borderId="0"/>
  </cellStyleXfs>
  <cellXfs count="156">
    <xf numFmtId="0" fontId="0" fillId="0" borderId="0" xfId="0"/>
    <xf numFmtId="0" fontId="0" fillId="2" borderId="0" xfId="0" applyFill="1"/>
    <xf numFmtId="0" fontId="0" fillId="0" borderId="1" xfId="0" applyBorder="1"/>
    <xf numFmtId="0" fontId="13" fillId="0" borderId="2" xfId="0" applyFont="1" applyBorder="1" applyAlignment="1">
      <alignment horizontal="center"/>
    </xf>
    <xf numFmtId="0" fontId="0" fillId="0" borderId="3" xfId="0" applyBorder="1"/>
    <xf numFmtId="0" fontId="0" fillId="0" borderId="0" xfId="0" applyBorder="1"/>
    <xf numFmtId="0" fontId="13" fillId="0" borderId="4" xfId="0" applyFont="1" applyBorder="1" applyAlignment="1">
      <alignment horizontal="center"/>
    </xf>
    <xf numFmtId="0" fontId="13" fillId="0" borderId="5" xfId="0" applyFont="1" applyBorder="1" applyAlignment="1">
      <alignment horizontal="center"/>
    </xf>
    <xf numFmtId="0" fontId="1" fillId="0" borderId="0" xfId="1"/>
    <xf numFmtId="0" fontId="0" fillId="0" borderId="0" xfId="0"/>
    <xf numFmtId="0" fontId="0" fillId="0" borderId="0" xfId="0" applyAlignment="1">
      <alignment horizontal="right"/>
    </xf>
    <xf numFmtId="164" fontId="0" fillId="0" borderId="0" xfId="0" applyNumberFormat="1" applyAlignment="1">
      <alignment horizontal="right"/>
    </xf>
    <xf numFmtId="0" fontId="1" fillId="0" borderId="0" xfId="1" applyAlignment="1" applyProtection="1">
      <alignment wrapText="1"/>
    </xf>
    <xf numFmtId="0" fontId="0" fillId="0" borderId="0" xfId="0" applyAlignment="1">
      <alignment horizontal="left"/>
    </xf>
    <xf numFmtId="0" fontId="0" fillId="0" borderId="0" xfId="0" applyFill="1" applyAlignment="1">
      <alignment horizontal="left"/>
    </xf>
    <xf numFmtId="0" fontId="0" fillId="0" borderId="0" xfId="0"/>
    <xf numFmtId="0" fontId="14" fillId="3" borderId="6" xfId="0" applyFont="1" applyFill="1" applyBorder="1" applyAlignment="1">
      <alignment vertical="center"/>
    </xf>
    <xf numFmtId="0" fontId="0" fillId="3" borderId="6" xfId="0" applyFill="1" applyBorder="1" applyAlignment="1">
      <alignment wrapText="1"/>
    </xf>
    <xf numFmtId="0" fontId="14" fillId="0" borderId="6" xfId="0" applyFont="1" applyBorder="1" applyAlignment="1">
      <alignment vertical="center"/>
    </xf>
    <xf numFmtId="0" fontId="0" fillId="0" borderId="6" xfId="0" applyBorder="1" applyAlignment="1">
      <alignment wrapText="1"/>
    </xf>
    <xf numFmtId="0" fontId="14" fillId="0" borderId="6" xfId="0" applyFont="1" applyBorder="1" applyAlignment="1">
      <alignment wrapText="1"/>
    </xf>
    <xf numFmtId="49" fontId="0" fillId="0" borderId="0" xfId="0" applyNumberFormat="1"/>
    <xf numFmtId="0" fontId="15" fillId="4" borderId="7" xfId="1" applyFont="1" applyFill="1" applyBorder="1" applyAlignment="1" applyProtection="1">
      <alignment horizontal="center" wrapText="1"/>
    </xf>
    <xf numFmtId="0" fontId="2" fillId="5" borderId="8" xfId="1" applyFont="1" applyFill="1" applyBorder="1" applyAlignment="1" applyProtection="1">
      <alignment wrapText="1"/>
    </xf>
    <xf numFmtId="0" fontId="2" fillId="2" borderId="8" xfId="1" applyFont="1" applyFill="1" applyBorder="1" applyAlignment="1" applyProtection="1">
      <alignment wrapText="1"/>
    </xf>
    <xf numFmtId="0" fontId="16" fillId="4" borderId="9" xfId="1" applyFont="1" applyFill="1" applyBorder="1" applyAlignment="1" applyProtection="1">
      <alignment horizontal="center" wrapText="1"/>
    </xf>
    <xf numFmtId="0" fontId="16" fillId="4" borderId="10" xfId="1" applyFont="1" applyFill="1" applyBorder="1" applyAlignment="1" applyProtection="1">
      <alignment horizontal="center" wrapText="1"/>
    </xf>
    <xf numFmtId="0" fontId="13" fillId="0" borderId="2" xfId="0" applyFont="1" applyBorder="1" applyAlignment="1" applyProtection="1">
      <alignment horizontal="center"/>
    </xf>
    <xf numFmtId="0" fontId="13" fillId="0" borderId="4" xfId="0" applyFont="1" applyBorder="1" applyAlignment="1" applyProtection="1">
      <alignment horizontal="center"/>
    </xf>
    <xf numFmtId="0" fontId="0" fillId="0" borderId="0" xfId="0" applyAlignment="1" applyProtection="1">
      <alignment horizontal="left"/>
    </xf>
    <xf numFmtId="0" fontId="1" fillId="0" borderId="0" xfId="1" applyProtection="1"/>
    <xf numFmtId="0" fontId="0" fillId="0" borderId="0" xfId="0" applyBorder="1" applyProtection="1"/>
    <xf numFmtId="0" fontId="0" fillId="0" borderId="3" xfId="0" applyBorder="1" applyProtection="1"/>
    <xf numFmtId="0" fontId="0" fillId="0" borderId="0" xfId="0" applyProtection="1"/>
    <xf numFmtId="0" fontId="3" fillId="0" borderId="0" xfId="1" applyFont="1" applyBorder="1" applyAlignment="1" applyProtection="1">
      <alignment horizontal="center" vertical="center" wrapText="1"/>
    </xf>
    <xf numFmtId="0" fontId="1" fillId="0" borderId="0" xfId="1" applyBorder="1" applyAlignment="1" applyProtection="1">
      <alignment wrapText="1"/>
    </xf>
    <xf numFmtId="0" fontId="17" fillId="0" borderId="11" xfId="0" applyFont="1" applyBorder="1" applyAlignment="1" applyProtection="1"/>
    <xf numFmtId="0" fontId="18" fillId="0" borderId="0" xfId="0" applyFont="1" applyProtection="1"/>
    <xf numFmtId="0" fontId="18" fillId="0" borderId="0" xfId="0" applyFont="1" applyBorder="1" applyProtection="1"/>
    <xf numFmtId="0" fontId="18" fillId="0" borderId="11" xfId="0" applyFont="1" applyBorder="1" applyAlignment="1" applyProtection="1">
      <alignment wrapText="1"/>
    </xf>
    <xf numFmtId="0" fontId="18" fillId="5" borderId="6" xfId="0" applyFont="1" applyFill="1" applyBorder="1" applyProtection="1"/>
    <xf numFmtId="0" fontId="18" fillId="0" borderId="12" xfId="0" applyFont="1" applyBorder="1" applyProtection="1"/>
    <xf numFmtId="0" fontId="2" fillId="0" borderId="0" xfId="1" applyFont="1" applyAlignment="1" applyProtection="1">
      <alignment wrapText="1"/>
    </xf>
    <xf numFmtId="0" fontId="13" fillId="0" borderId="5" xfId="0" applyFont="1" applyBorder="1" applyAlignment="1" applyProtection="1">
      <alignment horizontal="center"/>
    </xf>
    <xf numFmtId="0" fontId="0" fillId="0" borderId="1" xfId="0" applyBorder="1" applyProtection="1"/>
    <xf numFmtId="0" fontId="19" fillId="0" borderId="0" xfId="0" applyFont="1" applyProtection="1"/>
    <xf numFmtId="0" fontId="19" fillId="0" borderId="0" xfId="0" applyFont="1" applyBorder="1" applyProtection="1"/>
    <xf numFmtId="0" fontId="2" fillId="3" borderId="8" xfId="1" applyFont="1" applyFill="1" applyBorder="1" applyAlignment="1" applyProtection="1">
      <alignment wrapText="1"/>
      <protection locked="0"/>
    </xf>
    <xf numFmtId="0" fontId="2" fillId="5" borderId="6" xfId="1" applyFont="1" applyFill="1" applyBorder="1" applyAlignment="1" applyProtection="1">
      <alignment horizontal="right" wrapText="1"/>
    </xf>
    <xf numFmtId="0" fontId="0" fillId="0" borderId="0" xfId="0" applyFont="1"/>
    <xf numFmtId="164" fontId="0" fillId="0" borderId="0" xfId="0" applyNumberFormat="1" applyFont="1" applyAlignment="1">
      <alignment horizontal="right"/>
    </xf>
    <xf numFmtId="49" fontId="0" fillId="0" borderId="0" xfId="0" applyNumberFormat="1" applyFont="1"/>
    <xf numFmtId="0" fontId="0" fillId="2" borderId="0" xfId="0" applyFont="1" applyFill="1"/>
    <xf numFmtId="0" fontId="2" fillId="5" borderId="13" xfId="1" applyFont="1" applyFill="1" applyBorder="1" applyAlignment="1" applyProtection="1">
      <alignment horizontal="right" wrapText="1"/>
    </xf>
    <xf numFmtId="0" fontId="2" fillId="5" borderId="8" xfId="1" applyFont="1" applyFill="1" applyBorder="1" applyAlignment="1" applyProtection="1">
      <alignment horizontal="center" vertical="center" wrapText="1"/>
    </xf>
    <xf numFmtId="0" fontId="2" fillId="5" borderId="8" xfId="1" applyFont="1" applyFill="1" applyBorder="1" applyAlignment="1" applyProtection="1">
      <alignment horizontal="left" vertical="center" wrapText="1" indent="1"/>
    </xf>
    <xf numFmtId="0" fontId="18" fillId="6" borderId="6" xfId="0" applyFont="1" applyFill="1" applyBorder="1" applyAlignment="1" applyProtection="1">
      <alignment horizontal="right" indent="1"/>
      <protection locked="0"/>
    </xf>
    <xf numFmtId="0" fontId="2" fillId="5" borderId="8" xfId="1" applyFont="1" applyFill="1" applyBorder="1" applyAlignment="1" applyProtection="1">
      <alignment horizontal="left" wrapText="1" indent="1"/>
    </xf>
    <xf numFmtId="0" fontId="2" fillId="2" borderId="8" xfId="1" applyFont="1" applyFill="1" applyBorder="1" applyAlignment="1" applyProtection="1">
      <alignment horizontal="right" wrapText="1" indent="1"/>
      <protection locked="0"/>
    </xf>
    <xf numFmtId="0" fontId="2" fillId="2" borderId="6" xfId="1" applyFont="1" applyFill="1" applyBorder="1" applyAlignment="1" applyProtection="1">
      <alignment horizontal="right" wrapText="1" indent="1"/>
      <protection locked="0"/>
    </xf>
    <xf numFmtId="0" fontId="2" fillId="2" borderId="6" xfId="1" applyFont="1" applyFill="1" applyBorder="1" applyAlignment="1" applyProtection="1">
      <alignment horizontal="right" wrapText="1" indent="1"/>
    </xf>
    <xf numFmtId="0" fontId="2" fillId="6" borderId="6" xfId="1" applyFont="1" applyFill="1" applyBorder="1" applyAlignment="1" applyProtection="1">
      <alignment horizontal="right" wrapText="1" indent="1"/>
      <protection locked="0"/>
    </xf>
    <xf numFmtId="0" fontId="2" fillId="6" borderId="8" xfId="1" applyFont="1" applyFill="1" applyBorder="1" applyAlignment="1" applyProtection="1">
      <alignment horizontal="right" wrapText="1" indent="1"/>
      <protection locked="0"/>
    </xf>
    <xf numFmtId="0" fontId="2" fillId="2" borderId="8" xfId="1" applyFont="1" applyFill="1" applyBorder="1" applyAlignment="1" applyProtection="1">
      <alignment horizontal="left" wrapText="1" indent="1"/>
    </xf>
    <xf numFmtId="0" fontId="2" fillId="6" borderId="8" xfId="1" applyFont="1" applyFill="1" applyBorder="1" applyAlignment="1" applyProtection="1">
      <alignment horizontal="left" wrapText="1" indent="1"/>
      <protection locked="0"/>
    </xf>
    <xf numFmtId="0" fontId="2" fillId="2" borderId="8" xfId="1" applyFont="1" applyFill="1" applyBorder="1" applyAlignment="1" applyProtection="1">
      <alignment horizontal="right" wrapText="1" indent="1"/>
    </xf>
    <xf numFmtId="0" fontId="18" fillId="5" borderId="6" xfId="0" applyFont="1" applyFill="1" applyBorder="1" applyAlignment="1" applyProtection="1">
      <alignment horizontal="left" indent="1"/>
    </xf>
    <xf numFmtId="0" fontId="20" fillId="5" borderId="6" xfId="0" applyFont="1" applyFill="1" applyBorder="1" applyAlignment="1" applyProtection="1">
      <alignment horizontal="left" indent="1"/>
    </xf>
    <xf numFmtId="0" fontId="21" fillId="5" borderId="6" xfId="0" applyFont="1" applyFill="1" applyBorder="1" applyProtection="1"/>
    <xf numFmtId="0" fontId="22" fillId="5" borderId="6" xfId="0" applyFont="1" applyFill="1" applyBorder="1" applyAlignment="1" applyProtection="1">
      <alignment horizontal="center" vertical="center"/>
    </xf>
    <xf numFmtId="0" fontId="23" fillId="0" borderId="0" xfId="0" applyFont="1" applyFill="1" applyBorder="1" applyAlignment="1" applyProtection="1">
      <alignment horizontal="left"/>
    </xf>
    <xf numFmtId="0" fontId="17" fillId="0" borderId="0" xfId="0" applyFont="1" applyFill="1" applyBorder="1" applyAlignment="1" applyProtection="1"/>
    <xf numFmtId="0" fontId="18" fillId="0" borderId="0" xfId="0" applyFont="1" applyFill="1" applyProtection="1"/>
    <xf numFmtId="0" fontId="10" fillId="5" borderId="6" xfId="0" applyFont="1" applyFill="1" applyBorder="1" applyAlignment="1" applyProtection="1">
      <alignment horizontal="center" vertical="center"/>
    </xf>
    <xf numFmtId="0" fontId="2" fillId="5" borderId="6" xfId="1" applyFont="1" applyFill="1" applyBorder="1" applyAlignment="1" applyProtection="1">
      <alignment horizontal="center" vertical="center" wrapText="1"/>
    </xf>
    <xf numFmtId="0" fontId="2" fillId="3" borderId="6" xfId="1" applyFont="1" applyFill="1" applyBorder="1" applyAlignment="1" applyProtection="1">
      <alignment horizontal="right" wrapText="1" indent="1"/>
      <protection locked="0"/>
    </xf>
    <xf numFmtId="0" fontId="15" fillId="4" borderId="21" xfId="1" applyFont="1" applyFill="1" applyBorder="1" applyAlignment="1" applyProtection="1">
      <alignment horizontal="center" vertical="center" wrapText="1"/>
    </xf>
    <xf numFmtId="0" fontId="15" fillId="4" borderId="22" xfId="1" applyFont="1" applyFill="1" applyBorder="1" applyAlignment="1" applyProtection="1">
      <alignment horizontal="center" vertical="center" wrapText="1"/>
    </xf>
    <xf numFmtId="0" fontId="15" fillId="4" borderId="23" xfId="1" applyFont="1" applyFill="1" applyBorder="1" applyAlignment="1" applyProtection="1">
      <alignment horizontal="center" vertical="center" wrapText="1"/>
    </xf>
    <xf numFmtId="0" fontId="24" fillId="0" borderId="0" xfId="1" applyFont="1" applyFill="1" applyBorder="1" applyAlignment="1" applyProtection="1">
      <alignment horizontal="center" vertical="center" wrapText="1"/>
    </xf>
    <xf numFmtId="0" fontId="23" fillId="4" borderId="8" xfId="1" applyFont="1" applyFill="1" applyBorder="1" applyAlignment="1" applyProtection="1">
      <alignment horizontal="center" vertical="center" wrapText="1"/>
    </xf>
    <xf numFmtId="0" fontId="1" fillId="0" borderId="0" xfId="1" applyAlignment="1" applyProtection="1">
      <alignment vertical="center" wrapText="1"/>
    </xf>
    <xf numFmtId="0" fontId="2" fillId="2" borderId="8" xfId="1" applyFont="1" applyFill="1" applyBorder="1" applyAlignment="1" applyProtection="1">
      <alignment horizontal="left" wrapText="1" indent="1"/>
      <protection locked="0"/>
    </xf>
    <xf numFmtId="0" fontId="2" fillId="0" borderId="8" xfId="1" applyFont="1" applyBorder="1" applyAlignment="1" applyProtection="1">
      <alignment horizontal="left" wrapText="1" indent="1"/>
      <protection locked="0"/>
    </xf>
    <xf numFmtId="0" fontId="25" fillId="5" borderId="8" xfId="1" applyFont="1" applyFill="1" applyBorder="1" applyAlignment="1" applyProtection="1">
      <alignment horizontal="center" vertical="center" wrapText="1"/>
    </xf>
    <xf numFmtId="0" fontId="2" fillId="0" borderId="8" xfId="1" applyFont="1" applyFill="1" applyBorder="1" applyAlignment="1" applyProtection="1">
      <alignment wrapText="1"/>
    </xf>
    <xf numFmtId="0" fontId="2" fillId="0" borderId="8" xfId="1" applyFont="1" applyFill="1" applyBorder="1" applyAlignment="1" applyProtection="1">
      <alignment wrapText="1"/>
      <protection locked="0"/>
    </xf>
    <xf numFmtId="0" fontId="1" fillId="0" borderId="0" xfId="1" applyFill="1" applyAlignment="1" applyProtection="1">
      <alignment wrapText="1"/>
    </xf>
    <xf numFmtId="0" fontId="13" fillId="0" borderId="6" xfId="0" applyFont="1" applyBorder="1" applyAlignment="1">
      <alignment horizontal="center" vertical="center"/>
    </xf>
    <xf numFmtId="49" fontId="13" fillId="0" borderId="6" xfId="0" applyNumberFormat="1" applyFont="1" applyBorder="1" applyAlignment="1">
      <alignment horizontal="center" vertical="center"/>
    </xf>
    <xf numFmtId="0" fontId="13" fillId="2" borderId="6" xfId="0" applyFont="1" applyFill="1" applyBorder="1" applyAlignment="1">
      <alignment horizontal="center" vertical="center"/>
    </xf>
    <xf numFmtId="0" fontId="26" fillId="4" borderId="0" xfId="0" applyFont="1" applyFill="1" applyAlignment="1">
      <alignment horizontal="center" vertical="center"/>
    </xf>
    <xf numFmtId="0" fontId="2" fillId="6" borderId="8" xfId="1" applyFont="1" applyFill="1" applyBorder="1" applyAlignment="1" applyProtection="1">
      <alignment horizontal="center" vertical="center" wrapText="1"/>
      <protection locked="0"/>
    </xf>
    <xf numFmtId="0" fontId="17" fillId="5" borderId="13" xfId="0" applyFont="1" applyFill="1" applyBorder="1" applyAlignment="1" applyProtection="1">
      <alignment horizontal="center" vertical="center"/>
    </xf>
    <xf numFmtId="0" fontId="17" fillId="5" borderId="6" xfId="0" applyFont="1" applyFill="1" applyBorder="1" applyAlignment="1" applyProtection="1">
      <alignment horizontal="center" vertical="center"/>
    </xf>
    <xf numFmtId="0" fontId="19" fillId="5" borderId="8" xfId="1" applyFont="1" applyFill="1" applyBorder="1" applyAlignment="1" applyProtection="1">
      <alignment horizontal="left" vertical="center" wrapText="1" indent="1"/>
    </xf>
    <xf numFmtId="0" fontId="22" fillId="5" borderId="6" xfId="0" applyFont="1" applyFill="1" applyBorder="1" applyAlignment="1" applyProtection="1">
      <alignment horizontal="center"/>
    </xf>
    <xf numFmtId="0" fontId="12" fillId="5" borderId="8" xfId="1" applyFont="1" applyFill="1" applyBorder="1" applyAlignment="1" applyProtection="1">
      <alignment horizontal="center" vertical="center" wrapText="1"/>
    </xf>
    <xf numFmtId="0" fontId="12" fillId="5" borderId="6" xfId="1" applyFont="1" applyFill="1" applyBorder="1" applyAlignment="1" applyProtection="1">
      <alignment horizontal="center" vertical="center" wrapText="1"/>
    </xf>
    <xf numFmtId="0" fontId="1" fillId="5" borderId="6" xfId="1" applyFill="1" applyBorder="1" applyAlignment="1" applyProtection="1">
      <alignment wrapText="1"/>
    </xf>
    <xf numFmtId="0" fontId="12" fillId="5" borderId="13" xfId="1" applyFont="1" applyFill="1" applyBorder="1" applyAlignment="1" applyProtection="1">
      <alignment horizontal="center" vertical="center" wrapText="1"/>
    </xf>
    <xf numFmtId="0" fontId="1" fillId="5" borderId="11" xfId="1" applyFill="1" applyBorder="1" applyAlignment="1" applyProtection="1">
      <alignment wrapText="1"/>
    </xf>
    <xf numFmtId="0" fontId="12" fillId="0" borderId="0" xfId="1" applyFont="1" applyAlignment="1" applyProtection="1">
      <alignment horizontal="center" wrapText="1"/>
    </xf>
    <xf numFmtId="0" fontId="0" fillId="0" borderId="0" xfId="0" applyFont="1" applyBorder="1"/>
    <xf numFmtId="164" fontId="0" fillId="0" borderId="0" xfId="0" applyNumberFormat="1" applyFont="1" applyBorder="1" applyAlignment="1">
      <alignment horizontal="right"/>
    </xf>
    <xf numFmtId="49" fontId="0" fillId="0" borderId="0" xfId="0" applyNumberFormat="1" applyFont="1" applyBorder="1"/>
    <xf numFmtId="0" fontId="0" fillId="2" borderId="0" xfId="0" applyFont="1" applyFill="1" applyBorder="1"/>
    <xf numFmtId="164" fontId="0" fillId="0" borderId="0" xfId="0" applyNumberFormat="1" applyBorder="1" applyAlignment="1">
      <alignment horizontal="right"/>
    </xf>
    <xf numFmtId="49" fontId="0" fillId="0" borderId="0" xfId="0" applyNumberFormat="1" applyBorder="1"/>
    <xf numFmtId="0" fontId="0" fillId="0" borderId="0" xfId="0" applyFill="1" applyBorder="1" applyAlignment="1">
      <alignment horizontal="left"/>
    </xf>
    <xf numFmtId="0" fontId="0" fillId="2" borderId="0" xfId="0" applyFill="1" applyBorder="1"/>
    <xf numFmtId="0" fontId="24" fillId="4" borderId="14" xfId="1" applyFont="1" applyFill="1" applyBorder="1" applyAlignment="1" applyProtection="1">
      <alignment horizontal="center" vertical="center" wrapText="1"/>
    </xf>
    <xf numFmtId="0" fontId="24" fillId="4" borderId="15" xfId="1" applyFont="1" applyFill="1" applyBorder="1" applyAlignment="1" applyProtection="1">
      <alignment horizontal="center" vertical="center" wrapText="1"/>
    </xf>
    <xf numFmtId="0" fontId="24" fillId="4" borderId="16" xfId="1" applyFont="1" applyFill="1" applyBorder="1" applyAlignment="1" applyProtection="1">
      <alignment horizontal="center" vertical="center" wrapText="1"/>
    </xf>
    <xf numFmtId="0" fontId="24" fillId="4" borderId="3" xfId="1" applyFont="1" applyFill="1" applyBorder="1" applyAlignment="1" applyProtection="1">
      <alignment horizontal="center" vertical="center" wrapText="1"/>
    </xf>
    <xf numFmtId="0" fontId="24" fillId="4" borderId="0" xfId="1" applyFont="1" applyFill="1" applyBorder="1" applyAlignment="1" applyProtection="1">
      <alignment horizontal="center" vertical="center" wrapText="1"/>
    </xf>
    <xf numFmtId="0" fontId="24" fillId="4" borderId="1" xfId="1" applyFont="1" applyFill="1" applyBorder="1" applyAlignment="1" applyProtection="1">
      <alignment horizontal="center" vertical="center" wrapText="1"/>
    </xf>
    <xf numFmtId="0" fontId="15" fillId="4" borderId="24" xfId="1" applyFont="1" applyFill="1" applyBorder="1" applyAlignment="1" applyProtection="1">
      <alignment horizontal="left" vertical="center" wrapText="1" indent="1"/>
    </xf>
    <xf numFmtId="0" fontId="15" fillId="4" borderId="25" xfId="1" applyFont="1" applyFill="1" applyBorder="1" applyAlignment="1" applyProtection="1">
      <alignment horizontal="left" vertical="center" wrapText="1" indent="1"/>
    </xf>
    <xf numFmtId="0" fontId="15" fillId="4" borderId="26" xfId="1" applyFont="1" applyFill="1" applyBorder="1" applyAlignment="1" applyProtection="1">
      <alignment horizontal="left" vertical="center" wrapText="1" indent="1"/>
    </xf>
    <xf numFmtId="0" fontId="15" fillId="4" borderId="13" xfId="1" applyFont="1" applyFill="1" applyBorder="1" applyAlignment="1" applyProtection="1">
      <alignment horizontal="left" vertical="center" wrapText="1" indent="1"/>
    </xf>
    <xf numFmtId="0" fontId="15" fillId="4" borderId="17" xfId="1" applyFont="1" applyFill="1" applyBorder="1" applyAlignment="1" applyProtection="1">
      <alignment horizontal="left" vertical="center" wrapText="1" indent="1"/>
    </xf>
    <xf numFmtId="0" fontId="15" fillId="4" borderId="11" xfId="1" applyFont="1" applyFill="1" applyBorder="1" applyAlignment="1" applyProtection="1">
      <alignment horizontal="left" vertical="center" wrapText="1" indent="1"/>
    </xf>
    <xf numFmtId="0" fontId="1" fillId="6" borderId="13" xfId="1" applyFont="1" applyFill="1" applyBorder="1" applyAlignment="1" applyProtection="1">
      <alignment horizontal="center" vertical="center" wrapText="1"/>
      <protection locked="0"/>
    </xf>
    <xf numFmtId="0" fontId="1" fillId="6" borderId="11" xfId="1" applyFont="1" applyFill="1" applyBorder="1" applyAlignment="1" applyProtection="1">
      <alignment horizontal="center" vertical="center" wrapText="1"/>
      <protection locked="0"/>
    </xf>
    <xf numFmtId="49" fontId="1" fillId="6" borderId="13" xfId="1" applyNumberFormat="1" applyFont="1" applyFill="1" applyBorder="1" applyAlignment="1" applyProtection="1">
      <alignment horizontal="center" vertical="center" wrapText="1"/>
      <protection locked="0"/>
    </xf>
    <xf numFmtId="49" fontId="1" fillId="6" borderId="11" xfId="1" applyNumberFormat="1" applyFont="1" applyFill="1" applyBorder="1" applyAlignment="1" applyProtection="1">
      <alignment horizontal="center" vertical="center" wrapText="1"/>
      <protection locked="0"/>
    </xf>
    <xf numFmtId="0" fontId="1" fillId="5" borderId="17" xfId="1" applyFont="1" applyFill="1" applyBorder="1" applyAlignment="1" applyProtection="1">
      <alignment horizontal="center" vertical="center" wrapText="1"/>
    </xf>
    <xf numFmtId="0" fontId="15" fillId="4" borderId="2" xfId="0" applyFont="1" applyFill="1" applyBorder="1" applyAlignment="1" applyProtection="1">
      <alignment horizontal="center" vertical="center"/>
    </xf>
    <xf numFmtId="0" fontId="15" fillId="4" borderId="27" xfId="0" applyFont="1" applyFill="1" applyBorder="1" applyAlignment="1" applyProtection="1">
      <alignment horizontal="center" vertical="center"/>
    </xf>
    <xf numFmtId="0" fontId="2" fillId="5" borderId="6" xfId="1" applyFont="1" applyFill="1" applyBorder="1" applyAlignment="1" applyProtection="1">
      <alignment horizontal="left" vertical="center" wrapText="1" indent="1"/>
    </xf>
    <xf numFmtId="0" fontId="2" fillId="2" borderId="13" xfId="1" applyFont="1" applyFill="1" applyBorder="1" applyAlignment="1" applyProtection="1">
      <alignment horizontal="left" wrapText="1" indent="1"/>
    </xf>
    <xf numFmtId="0" fontId="2" fillId="2" borderId="11" xfId="1" applyFont="1" applyFill="1" applyBorder="1" applyAlignment="1" applyProtection="1">
      <alignment horizontal="left" wrapText="1" indent="1"/>
    </xf>
    <xf numFmtId="0" fontId="2" fillId="6" borderId="6" xfId="1" applyFont="1" applyFill="1" applyBorder="1" applyAlignment="1" applyProtection="1">
      <alignment horizontal="left" wrapText="1" indent="1"/>
      <protection locked="0"/>
    </xf>
    <xf numFmtId="0" fontId="2" fillId="5" borderId="13" xfId="1" applyFont="1" applyFill="1" applyBorder="1" applyAlignment="1" applyProtection="1">
      <alignment horizontal="left" vertical="center" wrapText="1" indent="1"/>
    </xf>
    <xf numFmtId="0" fontId="2" fillId="5" borderId="17" xfId="1" applyFont="1" applyFill="1" applyBorder="1" applyAlignment="1" applyProtection="1">
      <alignment horizontal="left" vertical="center" wrapText="1" indent="1"/>
    </xf>
    <xf numFmtId="0" fontId="2" fillId="5" borderId="11" xfId="1" applyFont="1" applyFill="1" applyBorder="1" applyAlignment="1" applyProtection="1">
      <alignment horizontal="left" vertical="center" wrapText="1" indent="1"/>
    </xf>
    <xf numFmtId="0" fontId="15" fillId="4" borderId="13" xfId="0" applyFont="1" applyFill="1" applyBorder="1" applyAlignment="1" applyProtection="1">
      <alignment horizontal="left"/>
    </xf>
    <xf numFmtId="0" fontId="15" fillId="4" borderId="17" xfId="0" applyFont="1" applyFill="1" applyBorder="1" applyAlignment="1" applyProtection="1">
      <alignment horizontal="left"/>
    </xf>
    <xf numFmtId="0" fontId="15" fillId="4" borderId="11" xfId="0" applyFont="1" applyFill="1" applyBorder="1" applyAlignment="1" applyProtection="1">
      <alignment horizontal="left"/>
    </xf>
    <xf numFmtId="0" fontId="23" fillId="4" borderId="8" xfId="1" applyFont="1" applyFill="1" applyBorder="1" applyAlignment="1" applyProtection="1">
      <alignment horizontal="center" vertical="center" wrapText="1"/>
    </xf>
    <xf numFmtId="0" fontId="24" fillId="4" borderId="18" xfId="1" applyFont="1" applyFill="1" applyBorder="1" applyAlignment="1" applyProtection="1">
      <alignment horizontal="center" vertical="center" wrapText="1"/>
    </xf>
    <xf numFmtId="0" fontId="24" fillId="4" borderId="19" xfId="1" applyFont="1" applyFill="1" applyBorder="1" applyAlignment="1" applyProtection="1">
      <alignment horizontal="center" vertical="center" wrapText="1"/>
    </xf>
    <xf numFmtId="0" fontId="24" fillId="4" borderId="20" xfId="1" applyFont="1" applyFill="1" applyBorder="1" applyAlignment="1" applyProtection="1">
      <alignment horizontal="center" vertical="center" wrapText="1"/>
    </xf>
    <xf numFmtId="0" fontId="15" fillId="4" borderId="13" xfId="0" applyFont="1" applyFill="1" applyBorder="1" applyAlignment="1" applyProtection="1">
      <alignment horizontal="left" indent="1"/>
    </xf>
    <xf numFmtId="0" fontId="15" fillId="4" borderId="17" xfId="0" applyFont="1" applyFill="1" applyBorder="1" applyAlignment="1" applyProtection="1">
      <alignment horizontal="left" indent="1"/>
    </xf>
    <xf numFmtId="0" fontId="15" fillId="4" borderId="11" xfId="0" applyFont="1" applyFill="1" applyBorder="1" applyAlignment="1" applyProtection="1">
      <alignment horizontal="left" indent="1"/>
    </xf>
    <xf numFmtId="0" fontId="18" fillId="5" borderId="13" xfId="0" applyFont="1" applyFill="1" applyBorder="1" applyAlignment="1" applyProtection="1">
      <alignment horizontal="left" vertical="center" wrapText="1" indent="1"/>
    </xf>
    <xf numFmtId="0" fontId="18" fillId="5" borderId="17" xfId="0" applyFont="1" applyFill="1" applyBorder="1" applyAlignment="1" applyProtection="1">
      <alignment horizontal="left" vertical="center" wrapText="1" indent="1"/>
    </xf>
    <xf numFmtId="0" fontId="18" fillId="5" borderId="11" xfId="0" applyFont="1" applyFill="1" applyBorder="1" applyAlignment="1" applyProtection="1">
      <alignment horizontal="left" vertical="center" wrapText="1" indent="1"/>
    </xf>
    <xf numFmtId="0" fontId="15" fillId="4" borderId="13" xfId="1" applyFont="1" applyFill="1" applyBorder="1" applyAlignment="1" applyProtection="1">
      <alignment horizontal="center" vertical="center" wrapText="1"/>
    </xf>
    <xf numFmtId="0" fontId="15" fillId="4" borderId="17" xfId="1" applyFont="1" applyFill="1" applyBorder="1" applyAlignment="1" applyProtection="1">
      <alignment horizontal="center" vertical="center" wrapText="1"/>
    </xf>
    <xf numFmtId="0" fontId="15" fillId="4" borderId="11" xfId="1" applyFont="1" applyFill="1" applyBorder="1" applyAlignment="1" applyProtection="1">
      <alignment horizontal="center" vertical="center" wrapText="1"/>
    </xf>
    <xf numFmtId="0" fontId="13" fillId="0" borderId="14" xfId="0" applyFont="1"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cellXfs>
  <cellStyles count="2">
    <cellStyle name="Normal" xfId="0" builtinId="0"/>
    <cellStyle name="Normal 2" xfId="1"/>
  </cellStyles>
  <dxfs count="13">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26"/>
  <sheetViews>
    <sheetView showGridLines="0" showRowColHeaders="0" zoomScaleNormal="100" workbookViewId="0">
      <pane ySplit="2" topLeftCell="A3" activePane="bottomLeft" state="frozen"/>
      <selection pane="bottomLeft" activeCell="B16" sqref="B16"/>
    </sheetView>
  </sheetViews>
  <sheetFormatPr defaultColWidth="9.109375" defaultRowHeight="14.4" x14ac:dyDescent="0.3"/>
  <cols>
    <col min="1" max="1" width="1.77734375" style="15" customWidth="1"/>
    <col min="2" max="2" width="35" style="15" bestFit="1" customWidth="1"/>
    <col min="3" max="3" width="80" style="15" bestFit="1" customWidth="1"/>
    <col min="4" max="16384" width="9.109375" style="15"/>
  </cols>
  <sheetData>
    <row r="1" spans="2:3" ht="10.199999999999999" customHeight="1" x14ac:dyDescent="0.3"/>
    <row r="2" spans="2:3" ht="28.8" x14ac:dyDescent="0.3">
      <c r="B2" s="91" t="s">
        <v>241</v>
      </c>
      <c r="C2" s="91" t="s">
        <v>242</v>
      </c>
    </row>
    <row r="3" spans="2:3" ht="86.4" x14ac:dyDescent="0.3">
      <c r="B3" s="16" t="s">
        <v>311</v>
      </c>
      <c r="C3" s="17" t="s">
        <v>312</v>
      </c>
    </row>
    <row r="4" spans="2:3" ht="18" x14ac:dyDescent="0.3">
      <c r="B4" s="18" t="s">
        <v>243</v>
      </c>
      <c r="C4" s="19" t="s">
        <v>244</v>
      </c>
    </row>
    <row r="5" spans="2:3" ht="115.2" x14ac:dyDescent="0.3">
      <c r="B5" s="16" t="s">
        <v>245</v>
      </c>
      <c r="C5" s="17" t="s">
        <v>274</v>
      </c>
    </row>
    <row r="6" spans="2:3" ht="144" x14ac:dyDescent="0.3">
      <c r="B6" s="18" t="s">
        <v>313</v>
      </c>
      <c r="C6" s="19" t="s">
        <v>314</v>
      </c>
    </row>
    <row r="7" spans="2:3" ht="172.8" x14ac:dyDescent="0.3">
      <c r="B7" s="16" t="s">
        <v>221</v>
      </c>
      <c r="C7" s="17" t="s">
        <v>303</v>
      </c>
    </row>
    <row r="8" spans="2:3" ht="29.4" x14ac:dyDescent="0.35">
      <c r="B8" s="20" t="s">
        <v>246</v>
      </c>
      <c r="C8" s="19" t="s">
        <v>315</v>
      </c>
    </row>
    <row r="9" spans="2:3" ht="28.8" x14ac:dyDescent="0.3">
      <c r="B9" s="16" t="s">
        <v>275</v>
      </c>
      <c r="C9" s="17" t="s">
        <v>276</v>
      </c>
    </row>
    <row r="10" spans="2:3" ht="18" x14ac:dyDescent="0.3">
      <c r="B10" s="18" t="s">
        <v>247</v>
      </c>
      <c r="C10" s="19" t="s">
        <v>248</v>
      </c>
    </row>
    <row r="11" spans="2:3" ht="18" x14ac:dyDescent="0.3">
      <c r="B11" s="16" t="s">
        <v>249</v>
      </c>
      <c r="C11" s="17" t="s">
        <v>250</v>
      </c>
    </row>
    <row r="12" spans="2:3" ht="28.8" x14ac:dyDescent="0.3">
      <c r="B12" s="18" t="s">
        <v>251</v>
      </c>
      <c r="C12" s="19" t="s">
        <v>252</v>
      </c>
    </row>
    <row r="13" spans="2:3" ht="18" x14ac:dyDescent="0.3">
      <c r="B13" s="16" t="s">
        <v>253</v>
      </c>
      <c r="C13" s="17" t="s">
        <v>254</v>
      </c>
    </row>
    <row r="14" spans="2:3" ht="158.4" x14ac:dyDescent="0.3">
      <c r="B14" s="18" t="s">
        <v>255</v>
      </c>
      <c r="C14" s="19" t="s">
        <v>304</v>
      </c>
    </row>
    <row r="15" spans="2:3" ht="172.8" x14ac:dyDescent="0.3">
      <c r="B15" s="16" t="s">
        <v>256</v>
      </c>
      <c r="C15" s="17" t="s">
        <v>302</v>
      </c>
    </row>
    <row r="16" spans="2:3" ht="28.8" x14ac:dyDescent="0.3">
      <c r="B16" s="18" t="s">
        <v>257</v>
      </c>
      <c r="C16" s="19" t="s">
        <v>258</v>
      </c>
    </row>
    <row r="17" spans="2:3" ht="86.4" x14ac:dyDescent="0.3">
      <c r="B17" s="16" t="s">
        <v>259</v>
      </c>
      <c r="C17" s="17" t="s">
        <v>260</v>
      </c>
    </row>
    <row r="18" spans="2:3" ht="43.2" x14ac:dyDescent="0.3">
      <c r="B18" s="18" t="s">
        <v>277</v>
      </c>
      <c r="C18" s="19" t="s">
        <v>278</v>
      </c>
    </row>
    <row r="19" spans="2:3" ht="18" x14ac:dyDescent="0.3">
      <c r="B19" s="16" t="s">
        <v>261</v>
      </c>
      <c r="C19" s="17" t="s">
        <v>262</v>
      </c>
    </row>
    <row r="20" spans="2:3" ht="187.2" x14ac:dyDescent="0.3">
      <c r="B20" s="18" t="s">
        <v>233</v>
      </c>
      <c r="C20" s="19" t="s">
        <v>316</v>
      </c>
    </row>
    <row r="21" spans="2:3" ht="28.8" x14ac:dyDescent="0.3">
      <c r="B21" s="16" t="s">
        <v>263</v>
      </c>
      <c r="C21" s="17" t="s">
        <v>264</v>
      </c>
    </row>
    <row r="22" spans="2:3" ht="18" x14ac:dyDescent="0.3">
      <c r="B22" s="18" t="s">
        <v>265</v>
      </c>
      <c r="C22" s="19" t="s">
        <v>279</v>
      </c>
    </row>
    <row r="23" spans="2:3" ht="18" x14ac:dyDescent="0.3">
      <c r="B23" s="16" t="s">
        <v>266</v>
      </c>
      <c r="C23" s="17" t="s">
        <v>267</v>
      </c>
    </row>
    <row r="24" spans="2:3" ht="18" x14ac:dyDescent="0.3">
      <c r="B24" s="18" t="s">
        <v>268</v>
      </c>
      <c r="C24" s="19" t="s">
        <v>269</v>
      </c>
    </row>
    <row r="25" spans="2:3" ht="18" x14ac:dyDescent="0.3">
      <c r="B25" s="16" t="s">
        <v>270</v>
      </c>
      <c r="C25" s="17" t="s">
        <v>271</v>
      </c>
    </row>
    <row r="26" spans="2:3" ht="18" x14ac:dyDescent="0.3">
      <c r="B26" s="18" t="s">
        <v>272</v>
      </c>
      <c r="C26" s="19" t="s">
        <v>273</v>
      </c>
    </row>
  </sheetData>
  <sheetProtection sheet="1" objects="1" scenarios="1" selectLockedCells="1"/>
  <pageMargins left="0.75" right="0.75" top="1" bottom="1" header="0.5" footer="0.5"/>
  <pageSetup fitToHeight="0" orientation="landscape" r:id="rId1"/>
  <headerFooter alignWithMargins="0">
    <oddFooter>&amp;C&amp;P of &amp;N&amp;R&amp;A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0"/>
  <sheetViews>
    <sheetView showGridLines="0" showRowColHeaders="0" tabSelected="1" zoomScaleNormal="100" workbookViewId="0">
      <pane xSplit="1" ySplit="10" topLeftCell="B11" activePane="bottomRight" state="frozen"/>
      <selection pane="topRight" activeCell="B1" sqref="B1"/>
      <selection pane="bottomLeft" activeCell="A9" sqref="A9"/>
      <selection pane="bottomRight" activeCell="C4" sqref="C4:D4"/>
    </sheetView>
  </sheetViews>
  <sheetFormatPr defaultColWidth="13.44140625" defaultRowHeight="13.2" x14ac:dyDescent="0.25"/>
  <cols>
    <col min="1" max="1" width="1.77734375" style="12" customWidth="1"/>
    <col min="2" max="2" width="17.5546875" style="12" customWidth="1"/>
    <col min="3" max="3" width="59.6640625" style="12" customWidth="1"/>
    <col min="4" max="4" width="31" style="12" customWidth="1"/>
    <col min="5" max="5" width="21.5546875" style="12" customWidth="1"/>
    <col min="6" max="6" width="24.44140625" style="12" hidden="1" customWidth="1"/>
    <col min="7" max="11" width="16.33203125" style="12" bestFit="1" customWidth="1"/>
    <col min="12" max="21" width="17.44140625" style="12" bestFit="1" customWidth="1"/>
    <col min="22" max="16384" width="13.44140625" style="12"/>
  </cols>
  <sheetData>
    <row r="1" spans="1:7" ht="9.6" customHeight="1" thickBot="1" x14ac:dyDescent="0.3"/>
    <row r="2" spans="1:7" ht="21.6" customHeight="1" x14ac:dyDescent="0.25">
      <c r="B2" s="111" t="s">
        <v>319</v>
      </c>
      <c r="C2" s="112"/>
      <c r="D2" s="112"/>
      <c r="E2" s="113"/>
    </row>
    <row r="3" spans="1:7" ht="13.2" customHeight="1" x14ac:dyDescent="0.25">
      <c r="B3" s="114"/>
      <c r="C3" s="115"/>
      <c r="D3" s="115"/>
      <c r="E3" s="116"/>
    </row>
    <row r="4" spans="1:7" ht="31.8" customHeight="1" x14ac:dyDescent="0.25">
      <c r="B4" s="97" t="s">
        <v>235</v>
      </c>
      <c r="C4" s="123"/>
      <c r="D4" s="124"/>
      <c r="E4" s="99"/>
    </row>
    <row r="5" spans="1:7" ht="31.8" customHeight="1" x14ac:dyDescent="0.25">
      <c r="B5" s="98" t="s">
        <v>210</v>
      </c>
      <c r="C5" s="125"/>
      <c r="D5" s="126"/>
      <c r="E5" s="99"/>
    </row>
    <row r="6" spans="1:7" ht="22.8" customHeight="1" x14ac:dyDescent="0.25">
      <c r="B6" s="100" t="s">
        <v>200</v>
      </c>
      <c r="C6" s="127" t="s">
        <v>195</v>
      </c>
      <c r="D6" s="127"/>
      <c r="E6" s="101"/>
    </row>
    <row r="7" spans="1:7" ht="6" customHeight="1" thickBot="1" x14ac:dyDescent="0.35">
      <c r="A7"/>
      <c r="B7"/>
      <c r="C7"/>
      <c r="D7"/>
      <c r="E7"/>
      <c r="F7"/>
      <c r="G7"/>
    </row>
    <row r="8" spans="1:7" ht="16.2" customHeight="1" x14ac:dyDescent="0.25">
      <c r="B8" s="76" t="s">
        <v>202</v>
      </c>
      <c r="C8" s="77" t="s">
        <v>118</v>
      </c>
      <c r="D8" s="77" t="s">
        <v>192</v>
      </c>
      <c r="E8" s="78" t="s">
        <v>193</v>
      </c>
      <c r="F8" s="12" t="s">
        <v>234</v>
      </c>
    </row>
    <row r="9" spans="1:7" customFormat="1" ht="6" customHeight="1" x14ac:dyDescent="0.3"/>
    <row r="10" spans="1:7" ht="15.6" customHeight="1" x14ac:dyDescent="0.25">
      <c r="B10" s="117" t="s">
        <v>211</v>
      </c>
      <c r="C10" s="118"/>
      <c r="D10" s="118"/>
      <c r="E10" s="119"/>
    </row>
    <row r="11" spans="1:7" ht="22.8" x14ac:dyDescent="0.25">
      <c r="B11" s="54">
        <v>10</v>
      </c>
      <c r="C11" s="55" t="s">
        <v>204</v>
      </c>
      <c r="D11" s="64"/>
      <c r="E11" s="58"/>
      <c r="F11" s="12" t="str">
        <f>IF(ISERR(LEFT(D11,(FIND(" ",D11)))),"",LEFT(D11,(FIND(" ",D11)-1)))</f>
        <v/>
      </c>
    </row>
    <row r="12" spans="1:7" ht="22.8" x14ac:dyDescent="0.25">
      <c r="B12" s="54">
        <v>20</v>
      </c>
      <c r="C12" s="55" t="s">
        <v>205</v>
      </c>
      <c r="D12" s="64"/>
      <c r="E12" s="59"/>
      <c r="F12" s="12" t="str">
        <f>IF(ISERR(LEFT(D12,(FIND(" ",D12)))),"",LEFT(D12,(FIND(" ",D12)-1)))</f>
        <v/>
      </c>
    </row>
    <row r="13" spans="1:7" ht="25.2" customHeight="1" x14ac:dyDescent="0.25">
      <c r="B13" s="54">
        <v>30</v>
      </c>
      <c r="C13" s="55" t="s">
        <v>203</v>
      </c>
      <c r="D13" s="64"/>
      <c r="E13" s="59"/>
      <c r="F13" s="12" t="str">
        <f>IF(ISERR(LEFT(D13,(FIND(" ",D13)))),"",LEFT(D13,(FIND(" ",D13)-1)))</f>
        <v/>
      </c>
    </row>
    <row r="14" spans="1:7" ht="15.6" customHeight="1" x14ac:dyDescent="0.25">
      <c r="B14" s="120" t="s">
        <v>212</v>
      </c>
      <c r="C14" s="121"/>
      <c r="D14" s="121"/>
      <c r="E14" s="122"/>
    </row>
    <row r="15" spans="1:7" ht="65.400000000000006" customHeight="1" x14ac:dyDescent="0.25">
      <c r="B15" s="54">
        <v>40</v>
      </c>
      <c r="C15" s="55" t="s">
        <v>307</v>
      </c>
      <c r="D15" s="63" t="s">
        <v>135</v>
      </c>
      <c r="E15" s="60">
        <f>SUM(E18:E19)</f>
        <v>0</v>
      </c>
      <c r="F15" s="12" t="str">
        <f t="shared" ref="F15:F30" si="0">IF(ISERR(LEFT(D15,(FIND(" ",D15)))),"",LEFT(D15,(FIND(" ",D15)-1)))</f>
        <v>99</v>
      </c>
    </row>
    <row r="16" spans="1:7" ht="15" customHeight="1" x14ac:dyDescent="0.25">
      <c r="B16" s="54">
        <v>50</v>
      </c>
      <c r="C16" s="95" t="s">
        <v>317</v>
      </c>
      <c r="D16" s="63"/>
      <c r="E16" s="60"/>
    </row>
    <row r="17" spans="2:6" ht="15" customHeight="1" x14ac:dyDescent="0.25">
      <c r="B17" s="54">
        <v>60</v>
      </c>
      <c r="C17" s="95" t="s">
        <v>317</v>
      </c>
      <c r="D17" s="63"/>
      <c r="E17" s="60"/>
    </row>
    <row r="18" spans="2:6" ht="23.4" x14ac:dyDescent="0.25">
      <c r="B18" s="54">
        <v>70</v>
      </c>
      <c r="C18" s="57" t="s">
        <v>281</v>
      </c>
      <c r="D18" s="63" t="s">
        <v>135</v>
      </c>
      <c r="E18" s="61">
        <v>0</v>
      </c>
      <c r="F18" s="12" t="str">
        <f t="shared" si="0"/>
        <v>99</v>
      </c>
    </row>
    <row r="19" spans="2:6" ht="21" customHeight="1" x14ac:dyDescent="0.25">
      <c r="B19" s="54">
        <v>80</v>
      </c>
      <c r="C19" s="57" t="s">
        <v>206</v>
      </c>
      <c r="D19" s="63" t="s">
        <v>135</v>
      </c>
      <c r="E19" s="61">
        <v>0</v>
      </c>
      <c r="F19" s="12" t="str">
        <f t="shared" si="0"/>
        <v>99</v>
      </c>
    </row>
    <row r="20" spans="2:6" ht="72" customHeight="1" x14ac:dyDescent="0.25">
      <c r="B20" s="54">
        <v>90</v>
      </c>
      <c r="C20" s="55" t="s">
        <v>308</v>
      </c>
      <c r="D20" s="63" t="s">
        <v>135</v>
      </c>
      <c r="E20" s="60">
        <f>SUM(E23:E24)</f>
        <v>0</v>
      </c>
      <c r="F20" s="12" t="str">
        <f t="shared" si="0"/>
        <v>99</v>
      </c>
    </row>
    <row r="21" spans="2:6" ht="15" customHeight="1" x14ac:dyDescent="0.25">
      <c r="B21" s="54">
        <v>100</v>
      </c>
      <c r="C21" s="95" t="s">
        <v>317</v>
      </c>
      <c r="D21" s="63"/>
      <c r="E21" s="60"/>
    </row>
    <row r="22" spans="2:6" ht="15" customHeight="1" x14ac:dyDescent="0.25">
      <c r="B22" s="54">
        <v>110</v>
      </c>
      <c r="C22" s="95" t="s">
        <v>317</v>
      </c>
      <c r="D22" s="63"/>
      <c r="E22" s="60"/>
    </row>
    <row r="23" spans="2:6" ht="23.4" x14ac:dyDescent="0.25">
      <c r="B23" s="54">
        <v>120</v>
      </c>
      <c r="C23" s="57" t="s">
        <v>282</v>
      </c>
      <c r="D23" s="63" t="s">
        <v>135</v>
      </c>
      <c r="E23" s="61">
        <v>0</v>
      </c>
      <c r="F23" s="12" t="str">
        <f t="shared" si="0"/>
        <v>99</v>
      </c>
    </row>
    <row r="24" spans="2:6" ht="23.4" x14ac:dyDescent="0.25">
      <c r="B24" s="54">
        <v>130</v>
      </c>
      <c r="C24" s="57" t="s">
        <v>207</v>
      </c>
      <c r="D24" s="63" t="s">
        <v>135</v>
      </c>
      <c r="E24" s="61">
        <v>0</v>
      </c>
      <c r="F24" s="12" t="str">
        <f t="shared" si="0"/>
        <v>99</v>
      </c>
    </row>
    <row r="25" spans="2:6" ht="73.8" customHeight="1" x14ac:dyDescent="0.25">
      <c r="B25" s="54">
        <v>140</v>
      </c>
      <c r="C25" s="55" t="s">
        <v>309</v>
      </c>
      <c r="D25" s="63" t="s">
        <v>135</v>
      </c>
      <c r="E25" s="60">
        <f>SUM(E28:E29)</f>
        <v>0</v>
      </c>
      <c r="F25" s="12" t="str">
        <f t="shared" si="0"/>
        <v>99</v>
      </c>
    </row>
    <row r="26" spans="2:6" ht="15" customHeight="1" x14ac:dyDescent="0.25">
      <c r="B26" s="54">
        <v>150</v>
      </c>
      <c r="C26" s="95" t="s">
        <v>317</v>
      </c>
      <c r="D26" s="63"/>
      <c r="E26" s="65"/>
    </row>
    <row r="27" spans="2:6" ht="15" customHeight="1" x14ac:dyDescent="0.25">
      <c r="B27" s="54">
        <v>160</v>
      </c>
      <c r="C27" s="95" t="s">
        <v>317</v>
      </c>
      <c r="D27" s="63"/>
      <c r="E27" s="65"/>
    </row>
    <row r="28" spans="2:6" ht="27" customHeight="1" x14ac:dyDescent="0.25">
      <c r="B28" s="54">
        <v>170</v>
      </c>
      <c r="C28" s="57" t="s">
        <v>283</v>
      </c>
      <c r="D28" s="63" t="s">
        <v>135</v>
      </c>
      <c r="E28" s="62">
        <v>0</v>
      </c>
      <c r="F28" s="12" t="str">
        <f t="shared" si="0"/>
        <v>99</v>
      </c>
    </row>
    <row r="29" spans="2:6" ht="23.4" x14ac:dyDescent="0.25">
      <c r="B29" s="54">
        <v>180</v>
      </c>
      <c r="C29" s="57" t="s">
        <v>208</v>
      </c>
      <c r="D29" s="63" t="s">
        <v>135</v>
      </c>
      <c r="E29" s="62">
        <v>0</v>
      </c>
      <c r="F29" s="12" t="str">
        <f t="shared" si="0"/>
        <v>99</v>
      </c>
    </row>
    <row r="30" spans="2:6" ht="34.799999999999997" x14ac:dyDescent="0.25">
      <c r="B30" s="54">
        <v>190</v>
      </c>
      <c r="C30" s="57" t="s">
        <v>209</v>
      </c>
      <c r="D30" s="63" t="s">
        <v>135</v>
      </c>
      <c r="E30" s="62">
        <v>0</v>
      </c>
      <c r="F30" s="12" t="str">
        <f t="shared" si="0"/>
        <v>99</v>
      </c>
    </row>
    <row r="61" spans="2:21" hidden="1" x14ac:dyDescent="0.25"/>
    <row r="62" spans="2:21" ht="14.4" hidden="1" x14ac:dyDescent="0.3">
      <c r="B62" s="27" t="s">
        <v>201</v>
      </c>
      <c r="C62" s="28" t="s">
        <v>4</v>
      </c>
      <c r="D62" s="27" t="s">
        <v>5</v>
      </c>
      <c r="E62" s="27" t="s">
        <v>6</v>
      </c>
    </row>
    <row r="63" spans="2:21" ht="14.4" hidden="1" x14ac:dyDescent="0.3">
      <c r="B63" s="29" t="s">
        <v>195</v>
      </c>
      <c r="C63" s="30" t="s">
        <v>132</v>
      </c>
      <c r="D63" s="30" t="s">
        <v>133</v>
      </c>
      <c r="E63" s="30" t="s">
        <v>134</v>
      </c>
    </row>
    <row r="64" spans="2:21" ht="14.4" hidden="1" x14ac:dyDescent="0.3">
      <c r="B64" s="29"/>
      <c r="C64" s="30" t="s">
        <v>143</v>
      </c>
      <c r="D64" s="30" t="s">
        <v>144</v>
      </c>
      <c r="E64" s="30" t="s">
        <v>145</v>
      </c>
      <c r="F64" s="31"/>
      <c r="G64" s="31"/>
      <c r="H64" s="31"/>
      <c r="I64" s="31"/>
      <c r="J64" s="31"/>
      <c r="K64" s="31"/>
      <c r="L64" s="31"/>
      <c r="M64" s="31"/>
      <c r="N64" s="31"/>
      <c r="O64" s="31"/>
      <c r="P64" s="31"/>
      <c r="Q64" s="31"/>
      <c r="R64" s="31"/>
      <c r="S64" s="31"/>
      <c r="T64" s="31"/>
      <c r="U64" s="31"/>
    </row>
    <row r="65" spans="2:21" ht="14.4" hidden="1" x14ac:dyDescent="0.3">
      <c r="B65" s="29"/>
      <c r="C65" s="30" t="s">
        <v>152</v>
      </c>
      <c r="D65" s="30" t="s">
        <v>153</v>
      </c>
      <c r="E65" s="30" t="s">
        <v>154</v>
      </c>
      <c r="F65" s="31"/>
      <c r="G65" s="31"/>
      <c r="H65" s="31"/>
      <c r="I65" s="31"/>
      <c r="J65" s="31"/>
      <c r="K65" s="31"/>
      <c r="L65" s="31"/>
      <c r="M65" s="31"/>
      <c r="N65" s="31"/>
      <c r="O65" s="31"/>
      <c r="P65" s="31"/>
      <c r="Q65" s="31"/>
      <c r="R65" s="31"/>
      <c r="S65" s="31"/>
      <c r="T65" s="31"/>
      <c r="U65" s="31"/>
    </row>
    <row r="66" spans="2:21" ht="14.4" hidden="1" x14ac:dyDescent="0.3">
      <c r="B66" s="29"/>
      <c r="C66" s="30" t="s">
        <v>161</v>
      </c>
      <c r="D66" s="30" t="s">
        <v>280</v>
      </c>
      <c r="E66" s="30" t="s">
        <v>162</v>
      </c>
      <c r="F66" s="31"/>
      <c r="G66" s="31"/>
      <c r="H66" s="31"/>
      <c r="I66" s="31"/>
      <c r="J66" s="31"/>
      <c r="K66" s="31"/>
      <c r="L66" s="31"/>
      <c r="M66" s="31"/>
      <c r="N66" s="31"/>
      <c r="O66" s="31"/>
      <c r="P66" s="31"/>
      <c r="Q66" s="31"/>
      <c r="R66" s="31"/>
      <c r="S66" s="31"/>
      <c r="T66" s="31"/>
      <c r="U66" s="31"/>
    </row>
    <row r="67" spans="2:21" ht="14.4" hidden="1" x14ac:dyDescent="0.3">
      <c r="B67" s="29"/>
      <c r="C67" s="32"/>
      <c r="D67" s="31"/>
      <c r="E67" s="30" t="s">
        <v>168</v>
      </c>
      <c r="F67" s="31"/>
      <c r="G67" s="31"/>
      <c r="H67" s="31"/>
      <c r="I67" s="31"/>
      <c r="J67" s="31"/>
      <c r="K67" s="31"/>
      <c r="L67" s="31"/>
      <c r="M67" s="31"/>
      <c r="N67" s="31"/>
      <c r="O67" s="31"/>
      <c r="P67" s="31"/>
      <c r="Q67" s="31"/>
      <c r="R67" s="31"/>
      <c r="S67" s="31"/>
      <c r="T67" s="31"/>
      <c r="U67" s="31"/>
    </row>
    <row r="68" spans="2:21" ht="14.4" hidden="1" x14ac:dyDescent="0.3">
      <c r="B68" s="29"/>
      <c r="C68" s="32"/>
      <c r="D68" s="31"/>
      <c r="E68" s="30" t="s">
        <v>173</v>
      </c>
      <c r="F68" s="31"/>
      <c r="G68" s="31"/>
      <c r="H68" s="31"/>
      <c r="I68" s="31"/>
      <c r="J68" s="31"/>
      <c r="K68" s="31"/>
      <c r="L68" s="31"/>
      <c r="M68" s="31"/>
      <c r="N68" s="31"/>
      <c r="O68" s="31"/>
      <c r="P68" s="31"/>
      <c r="Q68" s="31"/>
      <c r="R68" s="31"/>
      <c r="S68" s="31"/>
      <c r="T68" s="31"/>
      <c r="U68" s="31"/>
    </row>
    <row r="69" spans="2:21" ht="14.4" hidden="1" x14ac:dyDescent="0.3">
      <c r="B69" s="33"/>
      <c r="C69" s="32"/>
      <c r="D69" s="31"/>
      <c r="E69" s="30" t="s">
        <v>280</v>
      </c>
      <c r="F69" s="31"/>
      <c r="G69" s="31"/>
      <c r="H69" s="31"/>
      <c r="I69" s="31"/>
      <c r="J69" s="31"/>
      <c r="K69" s="31"/>
      <c r="L69" s="31"/>
      <c r="M69" s="31"/>
      <c r="N69" s="31"/>
      <c r="O69" s="31"/>
      <c r="P69" s="31"/>
      <c r="Q69" s="31"/>
      <c r="R69" s="31"/>
      <c r="S69" s="31"/>
      <c r="T69" s="31"/>
      <c r="U69" s="31"/>
    </row>
    <row r="70" spans="2:21" ht="14.4" hidden="1" x14ac:dyDescent="0.3">
      <c r="C70" s="32"/>
      <c r="D70" s="31"/>
      <c r="E70" s="31"/>
      <c r="F70" s="31"/>
      <c r="G70" s="31"/>
      <c r="H70" s="31"/>
      <c r="I70" s="31"/>
      <c r="J70" s="31"/>
      <c r="K70" s="31"/>
      <c r="L70" s="31"/>
      <c r="M70" s="31"/>
      <c r="N70" s="31"/>
      <c r="O70" s="31"/>
      <c r="P70" s="31"/>
      <c r="Q70" s="31"/>
      <c r="R70" s="31"/>
      <c r="S70" s="31"/>
      <c r="T70" s="31"/>
      <c r="U70" s="31"/>
    </row>
  </sheetData>
  <sheetProtection sheet="1" objects="1" scenarios="1" selectLockedCells="1"/>
  <mergeCells count="6">
    <mergeCell ref="B2:E3"/>
    <mergeCell ref="B10:E10"/>
    <mergeCell ref="B14:E14"/>
    <mergeCell ref="C4:D4"/>
    <mergeCell ref="C5:D5"/>
    <mergeCell ref="C6:D6"/>
  </mergeCells>
  <conditionalFormatting sqref="E11:E13 E15:E30">
    <cfRule type="expression" dxfId="12" priority="4">
      <formula>IF(LEFT(D11,2)&lt;&gt;"99",IF(E11&lt;&gt;"","TRUE","FALSE"),"FALSE")</formula>
    </cfRule>
  </conditionalFormatting>
  <conditionalFormatting sqref="C4">
    <cfRule type="expression" dxfId="11" priority="2">
      <formula>AND($C$4&lt;&gt;"",LEN($C$4)&lt;&gt;9)</formula>
    </cfRule>
  </conditionalFormatting>
  <conditionalFormatting sqref="C5">
    <cfRule type="expression" dxfId="10" priority="1">
      <formula>AND($C$5&lt;&gt;"",LEN($C$5)&lt;&gt;4)</formula>
    </cfRule>
  </conditionalFormatting>
  <dataValidations count="16">
    <dataValidation type="list" allowBlank="1" showInputMessage="1" showErrorMessage="1" sqref="D12:D13">
      <formula1>INDIRECT(CONCATENATE("PATI_SCHOOL_",B12))</formula1>
    </dataValidation>
    <dataValidation allowBlank="1" showInputMessage="1" sqref="E6"/>
    <dataValidation allowBlank="1" showInputMessage="1" sqref="C6"/>
    <dataValidation allowBlank="1" showInputMessage="1" showErrorMessage="1" prompt="Note:  This value is pre-populated based upon the sum of questions 70 – 80._x000a__x000a_" sqref="E15"/>
    <dataValidation allowBlank="1" showInputMessage="1" showErrorMessage="1" prompt="Note:  This value is pre-populated based upon the sum of questions 170-180." sqref="E25"/>
    <dataValidation allowBlank="1" showInputMessage="1" showErrorMessage="1" prompt="Note:  This value is pre-populated based upon the sum of questions 120 -130." sqref="E20"/>
    <dataValidation type="list" allowBlank="1" showErrorMessage="1" prompt="Please select a value from the drop down menu._x000a_" sqref="D11">
      <formula1>INDIRECT(CONCATENATE("PATI_SCHOOL_",B11))</formula1>
    </dataValidation>
    <dataValidation allowBlank="1" showInputMessage="1" showErrorMessage="1" prompt="Only enter a response here if a value of 99 is selected to the left. Do NOT use commas in this cell. " sqref="E11:E13"/>
    <dataValidation allowBlank="1" showInputMessage="1" showErrorMessage="1" prompt="Note: This value is pre-populated since a free form response is required." sqref="D15 D18:D20 D23:D25 D28:D30"/>
    <dataValidation allowBlank="1" showInputMessage="1" showErrorMessage="1" prompt="This question was intentionally left blank" sqref="D16:D17"/>
    <dataValidation allowBlank="1" showErrorMessage="1" prompt="Note:  This value is pre-populated based upon the sum of questions 70 – 80._x000a__x000a_" sqref="E16:E17"/>
    <dataValidation allowBlank="1" showErrorMessage="1" prompt="Note:  This value is pre-populated based upon the sum of questions 120 -130." sqref="E21:E22"/>
    <dataValidation allowBlank="1" showInputMessage="1" showErrorMessage="1" prompt="This question was intentionally left blank._x000a_" sqref="D21:D22"/>
    <dataValidation allowBlank="1" showErrorMessage="1" prompt="Note:  This value is pre-populated based upon the sum of questions 170-180." sqref="E26:E27"/>
    <dataValidation allowBlank="1" showInputMessage="1" showErrorMessage="1" prompt="This question was intentionally left blank." sqref="D26:D27"/>
    <dataValidation type="whole" allowBlank="1" showInputMessage="1" showErrorMessage="1" error="Whole Numbers Only" sqref="E18 E19 E23 E24 E28 E29 E30">
      <formula1>0</formula1>
      <formula2>999999</formula2>
    </dataValidation>
  </dataValidations>
  <pageMargins left="0.75" right="0.75" top="1" bottom="1" header="0.5" footer="0.5"/>
  <pageSetup scale="92" fitToHeight="0" orientation="landscape" r:id="rId1"/>
  <headerFooter alignWithMargins="0">
    <oddFooter>&amp;C&amp;P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4"/>
  <sheetViews>
    <sheetView showGridLines="0" showRowColHeaders="0" zoomScaleNormal="100" workbookViewId="0">
      <selection activeCell="D11" sqref="D11"/>
    </sheetView>
  </sheetViews>
  <sheetFormatPr defaultColWidth="9.109375" defaultRowHeight="11.4" x14ac:dyDescent="0.2"/>
  <cols>
    <col min="1" max="1" width="1.77734375" style="37" customWidth="1"/>
    <col min="2" max="2" width="28.33203125" style="37" customWidth="1"/>
    <col min="3" max="3" width="7.6640625" style="37" customWidth="1"/>
    <col min="4" max="4" width="20.6640625" style="37" customWidth="1"/>
    <col min="5" max="5" width="6.33203125" style="37" customWidth="1"/>
    <col min="6" max="6" width="20.6640625" style="37" customWidth="1"/>
    <col min="7" max="7" width="21.88671875" style="37" customWidth="1"/>
    <col min="8" max="8" width="14" style="37" customWidth="1"/>
    <col min="9" max="9" width="33.5546875" style="37" customWidth="1"/>
    <col min="10" max="10" width="29.5546875" style="37" hidden="1" customWidth="1"/>
    <col min="11" max="11" width="29.33203125" style="37" customWidth="1"/>
    <col min="12" max="12" width="15.109375" style="37" customWidth="1"/>
    <col min="13" max="16384" width="9.109375" style="37"/>
  </cols>
  <sheetData>
    <row r="1" spans="2:10" ht="9.6" customHeight="1" thickBot="1" x14ac:dyDescent="0.25"/>
    <row r="2" spans="2:10" s="12" customFormat="1" ht="12.75" customHeight="1" x14ac:dyDescent="0.25">
      <c r="B2" s="111" t="s">
        <v>320</v>
      </c>
      <c r="C2" s="112"/>
      <c r="D2" s="112"/>
      <c r="E2" s="112"/>
      <c r="F2" s="112"/>
      <c r="G2" s="112"/>
      <c r="H2" s="112"/>
      <c r="I2" s="113"/>
    </row>
    <row r="3" spans="2:10" s="12" customFormat="1" ht="20.399999999999999" customHeight="1" thickBot="1" x14ac:dyDescent="0.3">
      <c r="B3" s="141"/>
      <c r="C3" s="142"/>
      <c r="D3" s="142"/>
      <c r="E3" s="142"/>
      <c r="F3" s="142"/>
      <c r="G3" s="142"/>
      <c r="H3" s="142"/>
      <c r="I3" s="143"/>
    </row>
    <row r="4" spans="2:10" s="12" customFormat="1" ht="6" customHeight="1" x14ac:dyDescent="0.25">
      <c r="B4" s="34"/>
      <c r="C4" s="34"/>
      <c r="D4" s="34"/>
      <c r="E4" s="34"/>
      <c r="F4" s="34"/>
      <c r="G4" s="34"/>
      <c r="H4" s="35"/>
      <c r="I4" s="35"/>
    </row>
    <row r="5" spans="2:10" ht="14.4" customHeight="1" x14ac:dyDescent="0.25">
      <c r="B5" s="144" t="s">
        <v>213</v>
      </c>
      <c r="C5" s="145"/>
      <c r="D5" s="145"/>
      <c r="E5" s="145"/>
      <c r="F5" s="145"/>
      <c r="G5" s="145"/>
      <c r="H5" s="145"/>
      <c r="I5" s="146"/>
      <c r="J5" s="36"/>
    </row>
    <row r="6" spans="2:10" s="72" customFormat="1" ht="6" customHeight="1" x14ac:dyDescent="0.25">
      <c r="B6" s="70"/>
      <c r="C6" s="70"/>
      <c r="D6" s="70"/>
      <c r="E6" s="70"/>
      <c r="F6" s="70"/>
      <c r="G6" s="70"/>
      <c r="H6" s="70"/>
      <c r="I6" s="70"/>
      <c r="J6" s="71"/>
    </row>
    <row r="7" spans="2:10" ht="15" customHeight="1" x14ac:dyDescent="0.2">
      <c r="B7" s="128" t="s">
        <v>216</v>
      </c>
      <c r="C7" s="128"/>
      <c r="D7" s="128"/>
      <c r="E7" s="128"/>
      <c r="F7" s="128"/>
      <c r="G7" s="128"/>
      <c r="H7" s="128"/>
      <c r="I7" s="128"/>
    </row>
    <row r="8" spans="2:10" ht="30" customHeight="1" x14ac:dyDescent="0.2">
      <c r="B8" s="147" t="s">
        <v>217</v>
      </c>
      <c r="C8" s="148"/>
      <c r="D8" s="148"/>
      <c r="E8" s="148"/>
      <c r="F8" s="148"/>
      <c r="G8" s="148"/>
      <c r="H8" s="148"/>
      <c r="I8" s="149"/>
      <c r="J8" s="39"/>
    </row>
    <row r="9" spans="2:10" ht="13.2" x14ac:dyDescent="0.25">
      <c r="B9" s="137" t="s">
        <v>218</v>
      </c>
      <c r="C9" s="138"/>
      <c r="D9" s="138"/>
      <c r="E9" s="138"/>
      <c r="F9" s="139"/>
      <c r="G9" s="45"/>
      <c r="H9" s="46"/>
      <c r="I9" s="38"/>
    </row>
    <row r="10" spans="2:10" ht="14.4" customHeight="1" x14ac:dyDescent="0.2">
      <c r="B10" s="67"/>
      <c r="C10" s="93" t="s">
        <v>305</v>
      </c>
      <c r="D10" s="93" t="s">
        <v>219</v>
      </c>
      <c r="E10" s="93" t="s">
        <v>305</v>
      </c>
      <c r="F10" s="94" t="s">
        <v>220</v>
      </c>
      <c r="G10" s="45"/>
      <c r="H10" s="45"/>
    </row>
    <row r="11" spans="2:10" x14ac:dyDescent="0.2">
      <c r="B11" s="66" t="s">
        <v>310</v>
      </c>
      <c r="C11" s="73">
        <v>200</v>
      </c>
      <c r="D11" s="56">
        <v>0</v>
      </c>
      <c r="E11" s="96">
        <v>230</v>
      </c>
      <c r="F11" s="56">
        <v>0</v>
      </c>
      <c r="G11" s="45"/>
      <c r="H11" s="45"/>
    </row>
    <row r="12" spans="2:10" x14ac:dyDescent="0.2">
      <c r="B12" s="66" t="s">
        <v>222</v>
      </c>
      <c r="C12" s="73">
        <v>210</v>
      </c>
      <c r="D12" s="56">
        <v>0</v>
      </c>
      <c r="E12" s="69">
        <v>240</v>
      </c>
      <c r="F12" s="56">
        <v>0</v>
      </c>
      <c r="G12" s="45"/>
      <c r="H12" s="45"/>
    </row>
    <row r="13" spans="2:10" x14ac:dyDescent="0.2">
      <c r="B13" s="66" t="s">
        <v>223</v>
      </c>
      <c r="C13" s="73">
        <v>220</v>
      </c>
      <c r="D13" s="56">
        <v>0</v>
      </c>
      <c r="E13" s="69">
        <v>250</v>
      </c>
      <c r="F13" s="56">
        <v>0</v>
      </c>
      <c r="G13" s="45"/>
      <c r="H13" s="45"/>
    </row>
    <row r="14" spans="2:10" ht="13.2" x14ac:dyDescent="0.25">
      <c r="B14" s="137" t="s">
        <v>224</v>
      </c>
      <c r="C14" s="138"/>
      <c r="D14" s="138"/>
      <c r="E14" s="138"/>
      <c r="F14" s="139"/>
      <c r="G14" s="45"/>
      <c r="H14" s="45"/>
    </row>
    <row r="15" spans="2:10" ht="12" x14ac:dyDescent="0.2">
      <c r="B15" s="40"/>
      <c r="C15" s="93" t="s">
        <v>305</v>
      </c>
      <c r="D15" s="94" t="s">
        <v>219</v>
      </c>
      <c r="E15" s="93" t="s">
        <v>305</v>
      </c>
      <c r="F15" s="94" t="s">
        <v>220</v>
      </c>
      <c r="G15" s="45"/>
      <c r="H15" s="45"/>
    </row>
    <row r="16" spans="2:10" x14ac:dyDescent="0.2">
      <c r="B16" s="66" t="s">
        <v>310</v>
      </c>
      <c r="C16" s="69">
        <v>260</v>
      </c>
      <c r="D16" s="56">
        <v>0</v>
      </c>
      <c r="E16" s="69">
        <v>290</v>
      </c>
      <c r="F16" s="56">
        <v>0</v>
      </c>
      <c r="G16" s="45"/>
      <c r="H16" s="45"/>
    </row>
    <row r="17" spans="2:11" x14ac:dyDescent="0.2">
      <c r="B17" s="66" t="s">
        <v>222</v>
      </c>
      <c r="C17" s="69">
        <v>270</v>
      </c>
      <c r="D17" s="56">
        <v>0</v>
      </c>
      <c r="E17" s="69">
        <v>300</v>
      </c>
      <c r="F17" s="56">
        <v>0</v>
      </c>
      <c r="G17" s="45"/>
      <c r="H17" s="45"/>
    </row>
    <row r="18" spans="2:11" x14ac:dyDescent="0.2">
      <c r="B18" s="66" t="s">
        <v>223</v>
      </c>
      <c r="C18" s="69">
        <v>280</v>
      </c>
      <c r="D18" s="56">
        <v>0</v>
      </c>
      <c r="E18" s="69">
        <v>310</v>
      </c>
      <c r="F18" s="56">
        <v>0</v>
      </c>
      <c r="G18" s="45"/>
      <c r="H18" s="45"/>
    </row>
    <row r="19" spans="2:11" ht="13.2" x14ac:dyDescent="0.25">
      <c r="B19" s="137" t="s">
        <v>225</v>
      </c>
      <c r="C19" s="138"/>
      <c r="D19" s="138"/>
      <c r="E19" s="138"/>
      <c r="F19" s="139"/>
      <c r="G19" s="45"/>
      <c r="H19" s="45"/>
    </row>
    <row r="20" spans="2:11" ht="12" x14ac:dyDescent="0.2">
      <c r="B20" s="40"/>
      <c r="C20" s="93" t="s">
        <v>305</v>
      </c>
      <c r="D20" s="94" t="s">
        <v>219</v>
      </c>
      <c r="E20" s="93" t="s">
        <v>305</v>
      </c>
      <c r="F20" s="94" t="s">
        <v>220</v>
      </c>
      <c r="G20" s="45"/>
      <c r="H20" s="45"/>
    </row>
    <row r="21" spans="2:11" x14ac:dyDescent="0.2">
      <c r="B21" s="66" t="s">
        <v>310</v>
      </c>
      <c r="C21" s="69">
        <v>320</v>
      </c>
      <c r="D21" s="56">
        <v>0</v>
      </c>
      <c r="E21" s="69">
        <v>350</v>
      </c>
      <c r="F21" s="56">
        <v>0</v>
      </c>
      <c r="G21" s="45"/>
      <c r="H21" s="45"/>
    </row>
    <row r="22" spans="2:11" x14ac:dyDescent="0.2">
      <c r="B22" s="66" t="s">
        <v>222</v>
      </c>
      <c r="C22" s="69">
        <v>330</v>
      </c>
      <c r="D22" s="56">
        <v>0</v>
      </c>
      <c r="E22" s="69">
        <v>360</v>
      </c>
      <c r="F22" s="56">
        <v>0</v>
      </c>
      <c r="G22" s="45"/>
      <c r="H22" s="45"/>
    </row>
    <row r="23" spans="2:11" x14ac:dyDescent="0.2">
      <c r="B23" s="66" t="s">
        <v>223</v>
      </c>
      <c r="C23" s="69">
        <v>340</v>
      </c>
      <c r="D23" s="56">
        <v>0</v>
      </c>
      <c r="E23" s="69">
        <v>370</v>
      </c>
      <c r="F23" s="56">
        <v>0</v>
      </c>
      <c r="G23" s="45"/>
      <c r="H23" s="45"/>
    </row>
    <row r="24" spans="2:11" ht="13.2" x14ac:dyDescent="0.25">
      <c r="B24" s="137" t="s">
        <v>227</v>
      </c>
      <c r="C24" s="138"/>
      <c r="D24" s="138"/>
      <c r="E24" s="138"/>
      <c r="F24" s="139"/>
      <c r="G24" s="45"/>
      <c r="H24" s="45"/>
    </row>
    <row r="25" spans="2:11" ht="12" x14ac:dyDescent="0.2">
      <c r="B25" s="40"/>
      <c r="C25" s="93" t="s">
        <v>305</v>
      </c>
      <c r="D25" s="94" t="s">
        <v>219</v>
      </c>
      <c r="E25" s="93" t="s">
        <v>305</v>
      </c>
      <c r="F25" s="94" t="s">
        <v>220</v>
      </c>
      <c r="G25" s="45"/>
      <c r="H25" s="45"/>
    </row>
    <row r="26" spans="2:11" x14ac:dyDescent="0.2">
      <c r="B26" s="66" t="s">
        <v>310</v>
      </c>
      <c r="C26" s="69">
        <v>380</v>
      </c>
      <c r="D26" s="56">
        <v>0</v>
      </c>
      <c r="E26" s="69">
        <v>410</v>
      </c>
      <c r="F26" s="56">
        <v>0</v>
      </c>
      <c r="G26" s="45"/>
      <c r="H26" s="45"/>
    </row>
    <row r="27" spans="2:11" x14ac:dyDescent="0.2">
      <c r="B27" s="66" t="s">
        <v>222</v>
      </c>
      <c r="C27" s="69">
        <v>390</v>
      </c>
      <c r="D27" s="56">
        <v>0</v>
      </c>
      <c r="E27" s="69">
        <v>420</v>
      </c>
      <c r="F27" s="56">
        <v>0</v>
      </c>
      <c r="G27" s="45"/>
      <c r="H27" s="45"/>
    </row>
    <row r="28" spans="2:11" x14ac:dyDescent="0.2">
      <c r="B28" s="66" t="s">
        <v>223</v>
      </c>
      <c r="C28" s="69">
        <v>400</v>
      </c>
      <c r="D28" s="56">
        <v>0</v>
      </c>
      <c r="E28" s="69">
        <v>430</v>
      </c>
      <c r="F28" s="56">
        <v>0</v>
      </c>
      <c r="G28" s="45"/>
      <c r="H28" s="45"/>
    </row>
    <row r="29" spans="2:11" ht="6" customHeight="1" x14ac:dyDescent="0.2"/>
    <row r="30" spans="2:11" ht="13.2" x14ac:dyDescent="0.2">
      <c r="B30" s="128" t="s">
        <v>228</v>
      </c>
      <c r="C30" s="128"/>
      <c r="D30" s="128"/>
      <c r="E30" s="128"/>
      <c r="F30" s="128"/>
      <c r="G30" s="128"/>
      <c r="H30" s="128"/>
      <c r="I30" s="128"/>
    </row>
    <row r="31" spans="2:11" ht="33" customHeight="1" x14ac:dyDescent="0.2">
      <c r="B31" s="147" t="s">
        <v>229</v>
      </c>
      <c r="C31" s="148"/>
      <c r="D31" s="148"/>
      <c r="E31" s="148"/>
      <c r="F31" s="148"/>
      <c r="G31" s="148"/>
      <c r="H31" s="148"/>
      <c r="I31" s="148"/>
      <c r="J31" s="149"/>
      <c r="K31" s="41"/>
    </row>
    <row r="32" spans="2:11" ht="13.2" x14ac:dyDescent="0.25">
      <c r="B32" s="137" t="s">
        <v>218</v>
      </c>
      <c r="C32" s="138"/>
      <c r="D32" s="138"/>
      <c r="E32" s="138"/>
      <c r="F32" s="139"/>
      <c r="G32" s="45"/>
      <c r="H32" s="45"/>
    </row>
    <row r="33" spans="2:8" ht="12" x14ac:dyDescent="0.2">
      <c r="B33" s="40"/>
      <c r="C33" s="93" t="s">
        <v>305</v>
      </c>
      <c r="D33" s="94" t="s">
        <v>219</v>
      </c>
      <c r="E33" s="93" t="s">
        <v>305</v>
      </c>
      <c r="F33" s="94" t="s">
        <v>220</v>
      </c>
      <c r="G33" s="45"/>
      <c r="H33" s="45"/>
    </row>
    <row r="34" spans="2:8" x14ac:dyDescent="0.2">
      <c r="B34" s="66" t="s">
        <v>226</v>
      </c>
      <c r="C34" s="69">
        <v>440</v>
      </c>
      <c r="D34" s="56">
        <v>0</v>
      </c>
      <c r="E34" s="69">
        <v>450</v>
      </c>
      <c r="F34" s="56">
        <v>0</v>
      </c>
      <c r="G34" s="45"/>
      <c r="H34" s="45"/>
    </row>
    <row r="35" spans="2:8" x14ac:dyDescent="0.2">
      <c r="B35" s="66" t="s">
        <v>230</v>
      </c>
      <c r="C35" s="69">
        <v>460</v>
      </c>
      <c r="D35" s="56">
        <v>0</v>
      </c>
      <c r="E35" s="69">
        <v>470</v>
      </c>
      <c r="F35" s="56">
        <v>0</v>
      </c>
      <c r="G35" s="45"/>
      <c r="H35" s="45"/>
    </row>
    <row r="36" spans="2:8" x14ac:dyDescent="0.2">
      <c r="B36" s="66" t="s">
        <v>231</v>
      </c>
      <c r="C36" s="69">
        <v>480</v>
      </c>
      <c r="D36" s="56">
        <v>0</v>
      </c>
      <c r="E36" s="69">
        <v>490</v>
      </c>
      <c r="F36" s="56">
        <v>0</v>
      </c>
      <c r="G36" s="45"/>
      <c r="H36" s="45"/>
    </row>
    <row r="37" spans="2:8" x14ac:dyDescent="0.2">
      <c r="B37" s="66" t="s">
        <v>232</v>
      </c>
      <c r="C37" s="69">
        <v>500</v>
      </c>
      <c r="D37" s="56">
        <v>0</v>
      </c>
      <c r="E37" s="69">
        <v>510</v>
      </c>
      <c r="F37" s="56">
        <v>0</v>
      </c>
      <c r="G37" s="45"/>
      <c r="H37" s="45"/>
    </row>
    <row r="38" spans="2:8" x14ac:dyDescent="0.2">
      <c r="B38" s="66" t="s">
        <v>233</v>
      </c>
      <c r="C38" s="69">
        <v>520</v>
      </c>
      <c r="D38" s="56">
        <v>0</v>
      </c>
      <c r="E38" s="69">
        <v>530</v>
      </c>
      <c r="F38" s="56">
        <v>0</v>
      </c>
      <c r="G38" s="45"/>
      <c r="H38" s="45"/>
    </row>
    <row r="39" spans="2:8" ht="13.2" x14ac:dyDescent="0.25">
      <c r="B39" s="137" t="s">
        <v>224</v>
      </c>
      <c r="C39" s="138"/>
      <c r="D39" s="138"/>
      <c r="E39" s="138"/>
      <c r="F39" s="139"/>
      <c r="G39" s="45"/>
      <c r="H39" s="45"/>
    </row>
    <row r="40" spans="2:8" ht="12" x14ac:dyDescent="0.2">
      <c r="B40" s="40"/>
      <c r="C40" s="93" t="s">
        <v>305</v>
      </c>
      <c r="D40" s="94" t="s">
        <v>219</v>
      </c>
      <c r="E40" s="93" t="s">
        <v>305</v>
      </c>
      <c r="F40" s="94" t="s">
        <v>220</v>
      </c>
      <c r="G40" s="45"/>
      <c r="H40" s="45"/>
    </row>
    <row r="41" spans="2:8" x14ac:dyDescent="0.2">
      <c r="B41" s="66" t="s">
        <v>226</v>
      </c>
      <c r="C41" s="69">
        <v>540</v>
      </c>
      <c r="D41" s="56">
        <v>0</v>
      </c>
      <c r="E41" s="69">
        <v>550</v>
      </c>
      <c r="F41" s="56">
        <v>0</v>
      </c>
      <c r="G41" s="45"/>
      <c r="H41" s="45"/>
    </row>
    <row r="42" spans="2:8" x14ac:dyDescent="0.2">
      <c r="B42" s="66" t="s">
        <v>230</v>
      </c>
      <c r="C42" s="69">
        <v>560</v>
      </c>
      <c r="D42" s="56">
        <v>0</v>
      </c>
      <c r="E42" s="69">
        <v>570</v>
      </c>
      <c r="F42" s="56">
        <v>0</v>
      </c>
      <c r="G42" s="45"/>
      <c r="H42" s="45"/>
    </row>
    <row r="43" spans="2:8" x14ac:dyDescent="0.2">
      <c r="B43" s="66" t="s">
        <v>231</v>
      </c>
      <c r="C43" s="69">
        <v>580</v>
      </c>
      <c r="D43" s="56">
        <v>0</v>
      </c>
      <c r="E43" s="69">
        <v>590</v>
      </c>
      <c r="F43" s="56">
        <v>0</v>
      </c>
      <c r="G43" s="45"/>
      <c r="H43" s="45"/>
    </row>
    <row r="44" spans="2:8" x14ac:dyDescent="0.2">
      <c r="B44" s="66" t="s">
        <v>232</v>
      </c>
      <c r="C44" s="69">
        <v>600</v>
      </c>
      <c r="D44" s="56">
        <v>0</v>
      </c>
      <c r="E44" s="69">
        <v>610</v>
      </c>
      <c r="F44" s="56">
        <v>0</v>
      </c>
      <c r="G44" s="45"/>
      <c r="H44" s="45"/>
    </row>
    <row r="45" spans="2:8" x14ac:dyDescent="0.2">
      <c r="B45" s="66" t="s">
        <v>233</v>
      </c>
      <c r="C45" s="69">
        <v>620</v>
      </c>
      <c r="D45" s="56">
        <v>0</v>
      </c>
      <c r="E45" s="69">
        <v>630</v>
      </c>
      <c r="F45" s="56">
        <v>0</v>
      </c>
      <c r="G45" s="45"/>
      <c r="H45" s="45"/>
    </row>
    <row r="46" spans="2:8" ht="13.2" x14ac:dyDescent="0.25">
      <c r="B46" s="137" t="s">
        <v>225</v>
      </c>
      <c r="C46" s="138"/>
      <c r="D46" s="138"/>
      <c r="E46" s="138"/>
      <c r="F46" s="139"/>
      <c r="G46" s="45"/>
      <c r="H46" s="45"/>
    </row>
    <row r="47" spans="2:8" ht="12" x14ac:dyDescent="0.2">
      <c r="B47" s="68"/>
      <c r="C47" s="93" t="s">
        <v>305</v>
      </c>
      <c r="D47" s="94" t="s">
        <v>219</v>
      </c>
      <c r="E47" s="93" t="s">
        <v>305</v>
      </c>
      <c r="F47" s="94" t="s">
        <v>220</v>
      </c>
      <c r="G47" s="45"/>
      <c r="H47" s="45"/>
    </row>
    <row r="48" spans="2:8" x14ac:dyDescent="0.2">
      <c r="B48" s="66" t="s">
        <v>226</v>
      </c>
      <c r="C48" s="69">
        <v>640</v>
      </c>
      <c r="D48" s="56">
        <v>0</v>
      </c>
      <c r="E48" s="69">
        <v>650</v>
      </c>
      <c r="F48" s="56">
        <v>0</v>
      </c>
      <c r="G48" s="45"/>
      <c r="H48" s="45"/>
    </row>
    <row r="49" spans="2:11" x14ac:dyDescent="0.2">
      <c r="B49" s="66" t="s">
        <v>230</v>
      </c>
      <c r="C49" s="69">
        <v>660</v>
      </c>
      <c r="D49" s="56">
        <v>0</v>
      </c>
      <c r="E49" s="69">
        <v>670</v>
      </c>
      <c r="F49" s="56">
        <v>0</v>
      </c>
      <c r="G49" s="45"/>
      <c r="H49" s="45"/>
    </row>
    <row r="50" spans="2:11" x14ac:dyDescent="0.2">
      <c r="B50" s="66" t="s">
        <v>231</v>
      </c>
      <c r="C50" s="69">
        <v>680</v>
      </c>
      <c r="D50" s="56">
        <v>0</v>
      </c>
      <c r="E50" s="69">
        <v>690</v>
      </c>
      <c r="F50" s="56">
        <v>0</v>
      </c>
      <c r="G50" s="45"/>
      <c r="H50" s="45"/>
    </row>
    <row r="51" spans="2:11" x14ac:dyDescent="0.2">
      <c r="B51" s="66" t="s">
        <v>232</v>
      </c>
      <c r="C51" s="69">
        <v>700</v>
      </c>
      <c r="D51" s="56">
        <v>0</v>
      </c>
      <c r="E51" s="69">
        <v>710</v>
      </c>
      <c r="F51" s="56">
        <v>0</v>
      </c>
      <c r="G51" s="45"/>
      <c r="H51" s="45"/>
    </row>
    <row r="52" spans="2:11" x14ac:dyDescent="0.2">
      <c r="B52" s="66" t="s">
        <v>233</v>
      </c>
      <c r="C52" s="69">
        <v>720</v>
      </c>
      <c r="D52" s="56">
        <v>0</v>
      </c>
      <c r="E52" s="69">
        <v>730</v>
      </c>
      <c r="F52" s="56">
        <v>0</v>
      </c>
      <c r="G52" s="45"/>
      <c r="H52" s="45"/>
    </row>
    <row r="53" spans="2:11" ht="13.2" x14ac:dyDescent="0.25">
      <c r="B53" s="137" t="s">
        <v>227</v>
      </c>
      <c r="C53" s="138"/>
      <c r="D53" s="138"/>
      <c r="E53" s="138"/>
      <c r="F53" s="139"/>
      <c r="G53" s="45"/>
      <c r="H53" s="45"/>
    </row>
    <row r="54" spans="2:11" ht="12" x14ac:dyDescent="0.2">
      <c r="B54" s="40"/>
      <c r="C54" s="93" t="s">
        <v>305</v>
      </c>
      <c r="D54" s="94" t="s">
        <v>219</v>
      </c>
      <c r="E54" s="93" t="s">
        <v>305</v>
      </c>
      <c r="F54" s="94" t="s">
        <v>220</v>
      </c>
      <c r="G54" s="45"/>
      <c r="H54" s="45"/>
    </row>
    <row r="55" spans="2:11" x14ac:dyDescent="0.2">
      <c r="B55" s="66" t="s">
        <v>226</v>
      </c>
      <c r="C55" s="69">
        <v>740</v>
      </c>
      <c r="D55" s="56">
        <v>0</v>
      </c>
      <c r="E55" s="69">
        <v>750</v>
      </c>
      <c r="F55" s="56">
        <v>0</v>
      </c>
      <c r="G55" s="45"/>
      <c r="H55" s="45"/>
    </row>
    <row r="56" spans="2:11" x14ac:dyDescent="0.2">
      <c r="B56" s="66" t="s">
        <v>230</v>
      </c>
      <c r="C56" s="69">
        <v>760</v>
      </c>
      <c r="D56" s="56">
        <v>0</v>
      </c>
      <c r="E56" s="69">
        <v>770</v>
      </c>
      <c r="F56" s="56">
        <v>0</v>
      </c>
      <c r="G56" s="45"/>
      <c r="H56" s="45"/>
    </row>
    <row r="57" spans="2:11" x14ac:dyDescent="0.2">
      <c r="B57" s="66" t="s">
        <v>231</v>
      </c>
      <c r="C57" s="69">
        <v>780</v>
      </c>
      <c r="D57" s="56">
        <v>0</v>
      </c>
      <c r="E57" s="69">
        <v>790</v>
      </c>
      <c r="F57" s="56">
        <v>0</v>
      </c>
      <c r="G57" s="45"/>
      <c r="H57" s="45"/>
    </row>
    <row r="58" spans="2:11" x14ac:dyDescent="0.2">
      <c r="B58" s="66" t="s">
        <v>232</v>
      </c>
      <c r="C58" s="69">
        <v>800</v>
      </c>
      <c r="D58" s="56">
        <v>0</v>
      </c>
      <c r="E58" s="69">
        <v>810</v>
      </c>
      <c r="F58" s="56">
        <v>0</v>
      </c>
      <c r="G58" s="45"/>
      <c r="H58" s="45"/>
    </row>
    <row r="59" spans="2:11" x14ac:dyDescent="0.2">
      <c r="B59" s="66" t="s">
        <v>233</v>
      </c>
      <c r="C59" s="69">
        <v>820</v>
      </c>
      <c r="D59" s="56">
        <v>0</v>
      </c>
      <c r="E59" s="69">
        <v>830</v>
      </c>
      <c r="F59" s="56">
        <v>0</v>
      </c>
      <c r="G59" s="45"/>
      <c r="H59" s="45"/>
    </row>
    <row r="60" spans="2:11" ht="6" customHeight="1" x14ac:dyDescent="0.2"/>
    <row r="61" spans="2:11" ht="18" customHeight="1" x14ac:dyDescent="0.2">
      <c r="B61" s="129" t="s">
        <v>306</v>
      </c>
      <c r="C61" s="129"/>
      <c r="D61" s="129"/>
      <c r="E61" s="129"/>
      <c r="F61" s="129"/>
      <c r="G61" s="129"/>
      <c r="H61" s="129"/>
      <c r="I61" s="129"/>
    </row>
    <row r="62" spans="2:11" ht="24" customHeight="1" x14ac:dyDescent="0.2">
      <c r="B62" s="80" t="s">
        <v>202</v>
      </c>
      <c r="C62" s="80"/>
      <c r="D62" s="140" t="s">
        <v>118</v>
      </c>
      <c r="E62" s="140"/>
      <c r="F62" s="140"/>
      <c r="G62" s="140" t="s">
        <v>192</v>
      </c>
      <c r="H62" s="140"/>
      <c r="I62" s="80" t="s">
        <v>193</v>
      </c>
      <c r="J62" s="37" t="s">
        <v>234</v>
      </c>
    </row>
    <row r="63" spans="2:11" ht="125.4" customHeight="1" x14ac:dyDescent="0.2">
      <c r="B63" s="74">
        <v>840</v>
      </c>
      <c r="C63" s="53"/>
      <c r="D63" s="134" t="s">
        <v>297</v>
      </c>
      <c r="E63" s="135"/>
      <c r="F63" s="136"/>
      <c r="G63" s="133"/>
      <c r="H63" s="133"/>
      <c r="I63" s="60"/>
      <c r="J63" s="42" t="str">
        <f>IF(ISERR(LEFT(G63,(FIND(" ",G63)))),"",LEFT(G63,(FIND(" ",G63)-1)))</f>
        <v/>
      </c>
    </row>
    <row r="64" spans="2:11" ht="42.75" customHeight="1" x14ac:dyDescent="0.2">
      <c r="B64" s="74">
        <v>850</v>
      </c>
      <c r="C64" s="48"/>
      <c r="D64" s="130" t="s">
        <v>284</v>
      </c>
      <c r="E64" s="130"/>
      <c r="F64" s="130"/>
      <c r="G64" s="131" t="str">
        <f t="shared" ref="G64:G73" si="0">IF($G$63="","",IF($G$63="2 - No","98 - Not Applicable (school does not have 1-1 program)","99 - Free form"))</f>
        <v/>
      </c>
      <c r="H64" s="132"/>
      <c r="I64" s="75" t="str">
        <f t="shared" ref="I64:I73" si="1">IF($G$63="","",IF($G$63="2 - No","",0))</f>
        <v/>
      </c>
      <c r="J64" s="42" t="str">
        <f t="shared" ref="J64:J71" si="2">IF(ISERR(LEFT(G64,(FIND(" ",G64)))),"",LEFT(G64,(FIND(" ",G64)-1)))</f>
        <v/>
      </c>
      <c r="K64" s="41"/>
    </row>
    <row r="65" spans="2:11" ht="43.5" customHeight="1" x14ac:dyDescent="0.2">
      <c r="B65" s="74">
        <v>860</v>
      </c>
      <c r="C65" s="48"/>
      <c r="D65" s="130" t="s">
        <v>285</v>
      </c>
      <c r="E65" s="130"/>
      <c r="F65" s="130"/>
      <c r="G65" s="131" t="str">
        <f t="shared" si="0"/>
        <v/>
      </c>
      <c r="H65" s="132"/>
      <c r="I65" s="75" t="str">
        <f t="shared" si="1"/>
        <v/>
      </c>
      <c r="J65" s="42" t="str">
        <f t="shared" si="2"/>
        <v/>
      </c>
      <c r="K65" s="41"/>
    </row>
    <row r="66" spans="2:11" ht="42.75" customHeight="1" x14ac:dyDescent="0.2">
      <c r="B66" s="74">
        <v>870</v>
      </c>
      <c r="C66" s="48"/>
      <c r="D66" s="130" t="s">
        <v>286</v>
      </c>
      <c r="E66" s="130"/>
      <c r="F66" s="130"/>
      <c r="G66" s="131" t="str">
        <f t="shared" si="0"/>
        <v/>
      </c>
      <c r="H66" s="132"/>
      <c r="I66" s="75" t="str">
        <f t="shared" si="1"/>
        <v/>
      </c>
      <c r="J66" s="42" t="str">
        <f t="shared" si="2"/>
        <v/>
      </c>
      <c r="K66" s="41"/>
    </row>
    <row r="67" spans="2:11" ht="42" customHeight="1" x14ac:dyDescent="0.2">
      <c r="B67" s="74">
        <v>880</v>
      </c>
      <c r="C67" s="48"/>
      <c r="D67" s="130" t="s">
        <v>287</v>
      </c>
      <c r="E67" s="130"/>
      <c r="F67" s="130"/>
      <c r="G67" s="131" t="str">
        <f t="shared" si="0"/>
        <v/>
      </c>
      <c r="H67" s="132"/>
      <c r="I67" s="75" t="str">
        <f t="shared" si="1"/>
        <v/>
      </c>
      <c r="J67" s="42" t="str">
        <f t="shared" si="2"/>
        <v/>
      </c>
      <c r="K67" s="41"/>
    </row>
    <row r="68" spans="2:11" ht="39.75" customHeight="1" x14ac:dyDescent="0.2">
      <c r="B68" s="74">
        <v>890</v>
      </c>
      <c r="C68" s="48"/>
      <c r="D68" s="130" t="s">
        <v>288</v>
      </c>
      <c r="E68" s="130"/>
      <c r="F68" s="130"/>
      <c r="G68" s="131" t="str">
        <f t="shared" si="0"/>
        <v/>
      </c>
      <c r="H68" s="132"/>
      <c r="I68" s="75" t="str">
        <f t="shared" si="1"/>
        <v/>
      </c>
      <c r="J68" s="42" t="str">
        <f t="shared" si="2"/>
        <v/>
      </c>
      <c r="K68" s="41"/>
    </row>
    <row r="69" spans="2:11" ht="40.5" customHeight="1" x14ac:dyDescent="0.2">
      <c r="B69" s="74">
        <v>900</v>
      </c>
      <c r="C69" s="48"/>
      <c r="D69" s="130" t="s">
        <v>289</v>
      </c>
      <c r="E69" s="130"/>
      <c r="F69" s="130"/>
      <c r="G69" s="131" t="str">
        <f t="shared" si="0"/>
        <v/>
      </c>
      <c r="H69" s="132"/>
      <c r="I69" s="75" t="str">
        <f t="shared" si="1"/>
        <v/>
      </c>
      <c r="J69" s="42" t="str">
        <f t="shared" si="2"/>
        <v/>
      </c>
      <c r="K69" s="41"/>
    </row>
    <row r="70" spans="2:11" ht="54.6" customHeight="1" x14ac:dyDescent="0.2">
      <c r="B70" s="74">
        <v>910</v>
      </c>
      <c r="C70" s="48"/>
      <c r="D70" s="130" t="s">
        <v>293</v>
      </c>
      <c r="E70" s="130"/>
      <c r="F70" s="130"/>
      <c r="G70" s="131" t="str">
        <f t="shared" si="0"/>
        <v/>
      </c>
      <c r="H70" s="132"/>
      <c r="I70" s="75" t="str">
        <f t="shared" si="1"/>
        <v/>
      </c>
      <c r="J70" s="42" t="str">
        <f t="shared" si="2"/>
        <v/>
      </c>
      <c r="K70" s="41"/>
    </row>
    <row r="71" spans="2:11" ht="53.4" customHeight="1" x14ac:dyDescent="0.2">
      <c r="B71" s="74">
        <v>920</v>
      </c>
      <c r="C71" s="48"/>
      <c r="D71" s="130" t="s">
        <v>294</v>
      </c>
      <c r="E71" s="130"/>
      <c r="F71" s="130"/>
      <c r="G71" s="131" t="str">
        <f t="shared" si="0"/>
        <v/>
      </c>
      <c r="H71" s="132"/>
      <c r="I71" s="75" t="str">
        <f t="shared" si="1"/>
        <v/>
      </c>
      <c r="J71" s="42" t="str">
        <f t="shared" si="2"/>
        <v/>
      </c>
      <c r="K71" s="41"/>
    </row>
    <row r="72" spans="2:11" ht="51" customHeight="1" x14ac:dyDescent="0.2">
      <c r="B72" s="74">
        <v>921</v>
      </c>
      <c r="C72" s="48"/>
      <c r="D72" s="130" t="s">
        <v>290</v>
      </c>
      <c r="E72" s="130"/>
      <c r="F72" s="130"/>
      <c r="G72" s="131" t="str">
        <f t="shared" si="0"/>
        <v/>
      </c>
      <c r="H72" s="132"/>
      <c r="I72" s="75" t="str">
        <f t="shared" si="1"/>
        <v/>
      </c>
      <c r="J72" s="42" t="str">
        <f>IF(ISERR(LEFT(G72,(FIND(" ",G72)))),"",LEFT(G72,(FIND(" ",G72)-1)))</f>
        <v/>
      </c>
      <c r="K72" s="41"/>
    </row>
    <row r="73" spans="2:11" ht="51.6" customHeight="1" x14ac:dyDescent="0.2">
      <c r="B73" s="74">
        <v>922</v>
      </c>
      <c r="C73" s="48"/>
      <c r="D73" s="130" t="s">
        <v>291</v>
      </c>
      <c r="E73" s="130"/>
      <c r="F73" s="130"/>
      <c r="G73" s="131" t="str">
        <f t="shared" si="0"/>
        <v/>
      </c>
      <c r="H73" s="132"/>
      <c r="I73" s="75" t="str">
        <f t="shared" si="1"/>
        <v/>
      </c>
      <c r="J73" s="42" t="str">
        <f>IF(ISERR(LEFT(G73,(FIND(" ",G73)))),"",LEFT(G73,(FIND(" ",G73)-1)))</f>
        <v/>
      </c>
      <c r="K73" s="41"/>
    </row>
    <row r="80" spans="2:11" ht="12.6" customHeight="1" x14ac:dyDescent="0.2"/>
    <row r="81" spans="2:12" hidden="1" x14ac:dyDescent="0.2"/>
    <row r="82" spans="2:12" ht="14.4" hidden="1" x14ac:dyDescent="0.3">
      <c r="B82" s="27" t="s">
        <v>87</v>
      </c>
      <c r="C82" s="27"/>
      <c r="D82" s="27" t="s">
        <v>88</v>
      </c>
      <c r="E82" s="27"/>
      <c r="F82" s="27" t="s">
        <v>89</v>
      </c>
      <c r="G82" s="27" t="s">
        <v>90</v>
      </c>
      <c r="H82" s="27" t="s">
        <v>91</v>
      </c>
      <c r="I82" s="27" t="s">
        <v>92</v>
      </c>
      <c r="J82" s="27" t="s">
        <v>93</v>
      </c>
      <c r="K82" s="27" t="s">
        <v>94</v>
      </c>
      <c r="L82" s="27" t="s">
        <v>95</v>
      </c>
    </row>
    <row r="83" spans="2:12" ht="13.2" hidden="1" x14ac:dyDescent="0.25">
      <c r="B83" s="30" t="s">
        <v>127</v>
      </c>
      <c r="C83" s="30"/>
      <c r="D83" s="30" t="s">
        <v>292</v>
      </c>
      <c r="E83" s="30"/>
      <c r="F83" s="30" t="s">
        <v>292</v>
      </c>
      <c r="G83" s="30" t="s">
        <v>292</v>
      </c>
      <c r="H83" s="30" t="s">
        <v>292</v>
      </c>
      <c r="I83" s="30" t="s">
        <v>292</v>
      </c>
      <c r="J83" s="30" t="s">
        <v>136</v>
      </c>
      <c r="K83" s="30" t="s">
        <v>292</v>
      </c>
      <c r="L83" s="30" t="s">
        <v>292</v>
      </c>
    </row>
    <row r="84" spans="2:12" ht="13.2" hidden="1" x14ac:dyDescent="0.25">
      <c r="B84" s="30" t="s">
        <v>138</v>
      </c>
      <c r="C84" s="30"/>
      <c r="D84" s="30" t="s">
        <v>135</v>
      </c>
      <c r="E84" s="30"/>
      <c r="F84" s="30" t="s">
        <v>135</v>
      </c>
      <c r="G84" s="30" t="s">
        <v>135</v>
      </c>
      <c r="H84" s="30" t="s">
        <v>135</v>
      </c>
      <c r="I84" s="30" t="s">
        <v>135</v>
      </c>
      <c r="J84" s="30" t="s">
        <v>135</v>
      </c>
      <c r="K84" s="30" t="s">
        <v>135</v>
      </c>
      <c r="L84" s="30" t="s">
        <v>135</v>
      </c>
    </row>
  </sheetData>
  <sheetProtection sheet="1" objects="1" scenarios="1" selectLockedCells="1"/>
  <mergeCells count="39">
    <mergeCell ref="G62:H62"/>
    <mergeCell ref="D62:F62"/>
    <mergeCell ref="B2:I3"/>
    <mergeCell ref="B5:I5"/>
    <mergeCell ref="B8:I8"/>
    <mergeCell ref="B31:J31"/>
    <mergeCell ref="B53:F53"/>
    <mergeCell ref="B46:F46"/>
    <mergeCell ref="B39:F39"/>
    <mergeCell ref="B32:F32"/>
    <mergeCell ref="D70:F70"/>
    <mergeCell ref="B24:F24"/>
    <mergeCell ref="B19:F19"/>
    <mergeCell ref="B14:F14"/>
    <mergeCell ref="B9:F9"/>
    <mergeCell ref="D67:F67"/>
    <mergeCell ref="D68:F68"/>
    <mergeCell ref="D64:F64"/>
    <mergeCell ref="D65:F65"/>
    <mergeCell ref="G68:H68"/>
    <mergeCell ref="G69:H69"/>
    <mergeCell ref="G70:H70"/>
    <mergeCell ref="G71:H71"/>
    <mergeCell ref="D66:F66"/>
    <mergeCell ref="G63:H63"/>
    <mergeCell ref="G64:H64"/>
    <mergeCell ref="G65:H65"/>
    <mergeCell ref="D63:F63"/>
    <mergeCell ref="D69:F69"/>
    <mergeCell ref="B7:I7"/>
    <mergeCell ref="B30:I30"/>
    <mergeCell ref="B61:I61"/>
    <mergeCell ref="D72:F72"/>
    <mergeCell ref="G72:H72"/>
    <mergeCell ref="D73:F73"/>
    <mergeCell ref="G73:H73"/>
    <mergeCell ref="D71:F71"/>
    <mergeCell ref="G66:H66"/>
    <mergeCell ref="G67:H67"/>
  </mergeCells>
  <conditionalFormatting sqref="I63">
    <cfRule type="expression" dxfId="9" priority="12">
      <formula>IF(LEFT(G63,2)&lt;&gt;"99",IF(I63&lt;&gt;"","TRUE","FALSE"),"FALSE")</formula>
    </cfRule>
  </conditionalFormatting>
  <conditionalFormatting sqref="I64:I71">
    <cfRule type="expression" dxfId="8" priority="4" stopIfTrue="1">
      <formula>AND(G64&lt;&gt;"99 - Free form",G64&lt;&gt;"",I64&lt;&gt;"")</formula>
    </cfRule>
    <cfRule type="expression" dxfId="7" priority="5" stopIfTrue="1">
      <formula>$G$64="99 - Free form"</formula>
    </cfRule>
    <cfRule type="expression" dxfId="6" priority="6" stopIfTrue="1">
      <formula>$G64="98 - Not Applicable (school does not have 1-1 student laptop program)"</formula>
    </cfRule>
  </conditionalFormatting>
  <conditionalFormatting sqref="I72:I73">
    <cfRule type="expression" dxfId="5" priority="1" stopIfTrue="1">
      <formula>AND(G72&lt;&gt;"99 - Free form",G72&lt;&gt;"",I72&lt;&gt;"")</formula>
    </cfRule>
    <cfRule type="expression" dxfId="4" priority="2" stopIfTrue="1">
      <formula>$G$64="99 - Free form"</formula>
    </cfRule>
    <cfRule type="expression" dxfId="3" priority="3" stopIfTrue="1">
      <formula>$G72="98 - Not Applicable (school does not have 1-1 student laptop program)"</formula>
    </cfRule>
  </conditionalFormatting>
  <dataValidations count="4">
    <dataValidation allowBlank="1" showInputMessage="1" showErrorMessage="1" prompt="Note: These cells are prepopulated based on the answer to question 840. " sqref="G64:H73"/>
    <dataValidation type="list" allowBlank="1" showInputMessage="1" showErrorMessage="1" sqref="G63:H63">
      <formula1>INDIRECT(CONCATENATE("PATI_SCHOOL_",B63))</formula1>
    </dataValidation>
    <dataValidation type="whole" allowBlank="1" showInputMessage="1" showErrorMessage="1" error="Whole Numbers Only" sqref="D11:D13 D16:D18 D21:D23 D26:D28 F11:F13 F16:F18 F21:F23 F26:F28 D34:D38 D41:D45 D48:D52 D55:D59 F34:F38 F41:F45 F49:F52 F55:F59">
      <formula1>0</formula1>
      <formula2>999999</formula2>
    </dataValidation>
    <dataValidation type="whole" allowBlank="1" showErrorMessage="1" error="Whole Numbers Only" sqref="I64:I73">
      <formula1>0</formula1>
      <formula2>999999</formula2>
    </dataValidation>
  </dataValidations>
  <pageMargins left="0.7" right="0.7" top="0.75" bottom="0.75" header="0.3" footer="0.3"/>
  <pageSetup scale="66" fitToHeight="0" orientation="landscape" r:id="rId1"/>
  <headerFooter>
    <oddFooter>&amp;C&amp;P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18"/>
  <sheetViews>
    <sheetView showGridLines="0" showRowColHeaders="0" workbookViewId="0">
      <selection activeCell="C9" sqref="C9"/>
    </sheetView>
  </sheetViews>
  <sheetFormatPr defaultRowHeight="14.4" x14ac:dyDescent="0.3"/>
  <cols>
    <col min="1" max="1" width="1.77734375" customWidth="1"/>
    <col min="2" max="2" width="13.44140625" customWidth="1"/>
    <col min="3" max="3" width="63.109375" customWidth="1"/>
    <col min="4" max="4" width="43.6640625" customWidth="1"/>
    <col min="5" max="5" width="19.88671875" customWidth="1"/>
  </cols>
  <sheetData>
    <row r="1" spans="2:5" ht="9.6" customHeight="1" thickBot="1" x14ac:dyDescent="0.35"/>
    <row r="2" spans="2:5" x14ac:dyDescent="0.3">
      <c r="B2" s="111" t="s">
        <v>319</v>
      </c>
      <c r="C2" s="112"/>
      <c r="D2" s="112"/>
      <c r="E2" s="113"/>
    </row>
    <row r="3" spans="2:5" ht="17.399999999999999" customHeight="1" thickBot="1" x14ac:dyDescent="0.35">
      <c r="B3" s="114"/>
      <c r="C3" s="115"/>
      <c r="D3" s="142"/>
      <c r="E3" s="143"/>
    </row>
    <row r="4" spans="2:5" s="15" customFormat="1" ht="6" customHeight="1" x14ac:dyDescent="0.3">
      <c r="B4" s="79"/>
      <c r="C4" s="79"/>
      <c r="D4" s="79"/>
      <c r="E4" s="79"/>
    </row>
    <row r="5" spans="2:5" s="15" customFormat="1" ht="14.4" customHeight="1" x14ac:dyDescent="0.3">
      <c r="B5" s="150" t="s">
        <v>295</v>
      </c>
      <c r="C5" s="151"/>
      <c r="D5" s="151"/>
      <c r="E5" s="152"/>
    </row>
    <row r="6" spans="2:5" ht="6" customHeight="1" thickBot="1" x14ac:dyDescent="0.35">
      <c r="B6" s="12"/>
      <c r="C6" s="12"/>
      <c r="D6" s="12"/>
      <c r="E6" s="12"/>
    </row>
    <row r="7" spans="2:5" x14ac:dyDescent="0.3">
      <c r="B7" s="22"/>
      <c r="C7" s="25"/>
      <c r="D7" s="25"/>
      <c r="E7" s="26"/>
    </row>
    <row r="8" spans="2:5" x14ac:dyDescent="0.3">
      <c r="B8" s="23"/>
      <c r="C8" s="84"/>
      <c r="D8" s="24"/>
      <c r="E8" s="47"/>
    </row>
    <row r="9" spans="2:5" x14ac:dyDescent="0.3">
      <c r="B9" s="54">
        <v>930</v>
      </c>
      <c r="C9" s="95" t="s">
        <v>317</v>
      </c>
      <c r="D9" s="24"/>
      <c r="E9" s="47"/>
    </row>
    <row r="10" spans="2:5" x14ac:dyDescent="0.3">
      <c r="B10" s="54">
        <v>940</v>
      </c>
      <c r="C10" s="95" t="s">
        <v>317</v>
      </c>
      <c r="D10" s="24"/>
      <c r="E10" s="47"/>
    </row>
    <row r="11" spans="2:5" x14ac:dyDescent="0.3">
      <c r="B11" s="54">
        <v>950</v>
      </c>
      <c r="C11" s="95" t="s">
        <v>317</v>
      </c>
      <c r="D11" s="24"/>
      <c r="E11" s="47"/>
    </row>
    <row r="12" spans="2:5" x14ac:dyDescent="0.3">
      <c r="B12" s="54">
        <v>960</v>
      </c>
      <c r="C12" s="95" t="s">
        <v>317</v>
      </c>
      <c r="D12" s="24"/>
      <c r="E12" s="47"/>
    </row>
    <row r="13" spans="2:5" x14ac:dyDescent="0.3">
      <c r="B13" s="54">
        <v>970</v>
      </c>
      <c r="C13" s="95" t="s">
        <v>317</v>
      </c>
      <c r="D13" s="24"/>
      <c r="E13" s="47"/>
    </row>
    <row r="14" spans="2:5" s="15" customFormat="1" x14ac:dyDescent="0.3">
      <c r="B14" s="54">
        <v>980</v>
      </c>
      <c r="C14" s="95" t="s">
        <v>317</v>
      </c>
      <c r="D14" s="24"/>
      <c r="E14" s="47"/>
    </row>
    <row r="15" spans="2:5" s="15" customFormat="1" x14ac:dyDescent="0.3">
      <c r="B15" s="54">
        <v>990</v>
      </c>
      <c r="C15" s="95" t="s">
        <v>317</v>
      </c>
      <c r="D15" s="24"/>
      <c r="E15" s="47"/>
    </row>
    <row r="16" spans="2:5" s="15" customFormat="1" x14ac:dyDescent="0.3">
      <c r="B16" s="54">
        <v>1000</v>
      </c>
      <c r="C16" s="95" t="s">
        <v>317</v>
      </c>
      <c r="D16" s="24"/>
      <c r="E16" s="47"/>
    </row>
    <row r="17" spans="2:5" s="15" customFormat="1" x14ac:dyDescent="0.3">
      <c r="B17" s="54">
        <v>1010</v>
      </c>
      <c r="C17" s="95" t="s">
        <v>317</v>
      </c>
      <c r="D17" s="24"/>
      <c r="E17" s="47"/>
    </row>
    <row r="18" spans="2:5" s="15" customFormat="1" x14ac:dyDescent="0.3">
      <c r="B18" s="54">
        <v>1020</v>
      </c>
      <c r="C18" s="95" t="s">
        <v>317</v>
      </c>
      <c r="D18" s="24"/>
      <c r="E18" s="47"/>
    </row>
  </sheetData>
  <sheetProtection sheet="1" objects="1" scenarios="1" selectLockedCells="1" selectUnlockedCells="1"/>
  <mergeCells count="2">
    <mergeCell ref="B2:E3"/>
    <mergeCell ref="B5:E5"/>
  </mergeCells>
  <dataValidations count="1">
    <dataValidation allowBlank="1" showErrorMessage="1" prompt="Note: This value is pre-populated since a free form response is required." sqref="D8:D18"/>
  </dataValidations>
  <pageMargins left="0.7" right="0.7" top="0.75" bottom="0.75" header="0.3" footer="0.3"/>
  <pageSetup scale="86" fitToHeight="0" orientation="landscape" r:id="rId1"/>
  <headerFooter>
    <oddFooter>&amp;C&amp;P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61"/>
  <sheetViews>
    <sheetView showGridLines="0" showRowColHeaders="0" zoomScaleNormal="100" workbookViewId="0">
      <selection activeCell="D8" sqref="D8"/>
    </sheetView>
  </sheetViews>
  <sheetFormatPr defaultColWidth="9.109375" defaultRowHeight="13.2" x14ac:dyDescent="0.25"/>
  <cols>
    <col min="1" max="1" width="1.77734375" style="12" customWidth="1"/>
    <col min="2" max="2" width="13.44140625" style="12" customWidth="1"/>
    <col min="3" max="3" width="63.33203125" style="12" customWidth="1"/>
    <col min="4" max="4" width="44.21875" style="12" customWidth="1"/>
    <col min="5" max="5" width="20" style="12" bestFit="1" customWidth="1"/>
    <col min="6" max="6" width="16.6640625" style="12" hidden="1" customWidth="1"/>
    <col min="7" max="7" width="20.88671875" style="12" hidden="1" customWidth="1"/>
    <col min="8" max="11" width="21" style="12" customWidth="1"/>
    <col min="12" max="12" width="26.109375" style="12" customWidth="1"/>
    <col min="13" max="13" width="22.6640625" style="12" customWidth="1"/>
    <col min="14" max="16384" width="9.109375" style="12"/>
  </cols>
  <sheetData>
    <row r="1" spans="2:9" ht="9.6" customHeight="1" thickBot="1" x14ac:dyDescent="0.3"/>
    <row r="2" spans="2:9" ht="12.75" customHeight="1" x14ac:dyDescent="0.25">
      <c r="B2" s="111" t="s">
        <v>319</v>
      </c>
      <c r="C2" s="112"/>
      <c r="D2" s="112"/>
      <c r="E2" s="113"/>
    </row>
    <row r="3" spans="2:9" ht="18" customHeight="1" thickBot="1" x14ac:dyDescent="0.3">
      <c r="B3" s="114"/>
      <c r="C3" s="115"/>
      <c r="D3" s="142"/>
      <c r="E3" s="143"/>
    </row>
    <row r="4" spans="2:9" ht="6" customHeight="1" thickBot="1" x14ac:dyDescent="0.3"/>
    <row r="5" spans="2:9" s="81" customFormat="1" ht="14.4" customHeight="1" x14ac:dyDescent="0.3">
      <c r="B5" s="76" t="s">
        <v>202</v>
      </c>
      <c r="C5" s="77" t="s">
        <v>118</v>
      </c>
      <c r="D5" s="77" t="s">
        <v>192</v>
      </c>
      <c r="E5" s="78" t="s">
        <v>193</v>
      </c>
      <c r="F5" s="81" t="s">
        <v>191</v>
      </c>
    </row>
    <row r="6" spans="2:9" s="87" customFormat="1" ht="6" customHeight="1" x14ac:dyDescent="0.25">
      <c r="B6" s="85"/>
      <c r="C6" s="85"/>
      <c r="D6" s="85"/>
      <c r="E6" s="86"/>
    </row>
    <row r="7" spans="2:9" ht="14.4" customHeight="1" x14ac:dyDescent="0.25">
      <c r="B7" s="120" t="s">
        <v>214</v>
      </c>
      <c r="C7" s="121"/>
      <c r="D7" s="121"/>
      <c r="E7" s="122"/>
      <c r="H7" s="102"/>
      <c r="I7" s="102"/>
    </row>
    <row r="8" spans="2:9" ht="96.6" customHeight="1" x14ac:dyDescent="0.25">
      <c r="B8" s="54">
        <v>1030</v>
      </c>
      <c r="C8" s="55" t="s">
        <v>296</v>
      </c>
      <c r="D8" s="92"/>
      <c r="E8" s="82"/>
      <c r="F8" s="12" t="str">
        <f>IF(ISERR(LEFT(D8,(FIND(" ",D8)))),"",LEFT(D8,(FIND(" ",D8)-1)))</f>
        <v/>
      </c>
      <c r="H8" s="30"/>
      <c r="I8" s="30"/>
    </row>
    <row r="9" spans="2:9" x14ac:dyDescent="0.25">
      <c r="B9" s="54">
        <v>1040</v>
      </c>
      <c r="C9" s="57" t="s">
        <v>119</v>
      </c>
      <c r="D9" s="92"/>
      <c r="E9" s="83"/>
      <c r="F9" s="12" t="str">
        <f>IF(ISERR(LEFT(D9,(FIND(" ",D9)))),"",LEFT(D9,(FIND(" ",D9)-1)))</f>
        <v/>
      </c>
      <c r="G9" s="12" t="str">
        <f>IF($D$8="2 - No","No",CONCATENATE("PATI_SCHOOL_",B9))</f>
        <v>PATI_SCHOOL_1040</v>
      </c>
      <c r="H9" s="30"/>
    </row>
    <row r="10" spans="2:9" ht="51" customHeight="1" x14ac:dyDescent="0.25">
      <c r="B10" s="54">
        <v>1050</v>
      </c>
      <c r="C10" s="57" t="s">
        <v>298</v>
      </c>
      <c r="D10" s="92"/>
      <c r="E10" s="82"/>
      <c r="F10" s="12" t="str">
        <f>IF(ISERR(LEFT(D10,(FIND(" ",D10)))),"",LEFT(D10,(FIND(" ",D10)-1)))</f>
        <v/>
      </c>
      <c r="G10" s="12" t="str">
        <f>IF($D$8="2 - No","No",CONCATENATE("PATI_SCHOOL_",B10))</f>
        <v>PATI_SCHOOL_1050</v>
      </c>
      <c r="H10" s="30"/>
    </row>
    <row r="11" spans="2:9" x14ac:dyDescent="0.25">
      <c r="B11" s="54">
        <v>1060</v>
      </c>
      <c r="C11" s="57" t="s">
        <v>120</v>
      </c>
      <c r="D11" s="92"/>
      <c r="E11" s="82"/>
      <c r="F11" s="12" t="str">
        <f>IF(ISERR(LEFT(D11,(FIND(" ",D11)))),"",LEFT(D11,(FIND(" ",D11)-1)))</f>
        <v/>
      </c>
      <c r="G11" s="12" t="str">
        <f>IF($D$8="2 - No","No",CONCATENATE("PATI_SCHOOL_",B11))</f>
        <v>PATI_SCHOOL_1060</v>
      </c>
      <c r="H11" s="30"/>
    </row>
    <row r="12" spans="2:9" ht="23.4" x14ac:dyDescent="0.25">
      <c r="B12" s="54">
        <v>1070</v>
      </c>
      <c r="C12" s="57" t="s">
        <v>121</v>
      </c>
      <c r="D12" s="92"/>
      <c r="E12" s="82"/>
      <c r="F12" s="12" t="str">
        <f>IF(ISERR(LEFT(D12,(FIND(" ",D12)))),"",LEFT(D12,(FIND(" ",D12)-1)))</f>
        <v/>
      </c>
      <c r="G12" s="12" t="str">
        <f>IF($D$8="2 - No","No",CONCATENATE("PATI_SCHOOL_",B12))</f>
        <v>PATI_SCHOOL_1070</v>
      </c>
      <c r="H12" s="30"/>
    </row>
    <row r="13" spans="2:9" ht="14.4" customHeight="1" x14ac:dyDescent="0.25">
      <c r="B13" s="120" t="s">
        <v>215</v>
      </c>
      <c r="C13" s="121"/>
      <c r="D13" s="121"/>
      <c r="E13" s="122"/>
      <c r="H13" s="30"/>
    </row>
    <row r="14" spans="2:9" x14ac:dyDescent="0.25">
      <c r="B14" s="54">
        <v>1080</v>
      </c>
      <c r="C14" s="57" t="s">
        <v>122</v>
      </c>
      <c r="D14" s="92"/>
      <c r="E14" s="82"/>
      <c r="F14" s="12" t="str">
        <f t="shared" ref="F14:F19" si="0">IF(ISERR(LEFT(D14,(FIND(" ",D14)))),"",LEFT(D14,(FIND(" ",D14)-1)))</f>
        <v/>
      </c>
      <c r="H14" s="30"/>
    </row>
    <row r="15" spans="2:9" ht="23.4" x14ac:dyDescent="0.25">
      <c r="B15" s="54">
        <v>1090</v>
      </c>
      <c r="C15" s="57" t="s">
        <v>123</v>
      </c>
      <c r="D15" s="92"/>
      <c r="E15" s="82"/>
      <c r="F15" s="12" t="str">
        <f t="shared" si="0"/>
        <v/>
      </c>
      <c r="H15" s="30"/>
    </row>
    <row r="16" spans="2:9" ht="23.4" x14ac:dyDescent="0.25">
      <c r="B16" s="54">
        <v>1100</v>
      </c>
      <c r="C16" s="57" t="s">
        <v>124</v>
      </c>
      <c r="D16" s="92"/>
      <c r="E16" s="83"/>
      <c r="F16" s="12" t="str">
        <f t="shared" si="0"/>
        <v/>
      </c>
      <c r="H16" s="30"/>
    </row>
    <row r="17" spans="2:8" ht="61.8" customHeight="1" x14ac:dyDescent="0.25">
      <c r="B17" s="54">
        <v>1110</v>
      </c>
      <c r="C17" s="55" t="s">
        <v>299</v>
      </c>
      <c r="D17" s="92"/>
      <c r="E17" s="82"/>
      <c r="F17" s="12" t="str">
        <f t="shared" si="0"/>
        <v/>
      </c>
      <c r="H17" s="30"/>
    </row>
    <row r="18" spans="2:8" ht="23.4" x14ac:dyDescent="0.25">
      <c r="B18" s="54">
        <v>1120</v>
      </c>
      <c r="C18" s="57" t="s">
        <v>125</v>
      </c>
      <c r="D18" s="92"/>
      <c r="E18" s="82"/>
      <c r="F18" s="12" t="str">
        <f t="shared" si="0"/>
        <v/>
      </c>
      <c r="H18" s="30"/>
    </row>
    <row r="19" spans="2:8" ht="23.4" x14ac:dyDescent="0.25">
      <c r="B19" s="54">
        <v>1130</v>
      </c>
      <c r="C19" s="57" t="s">
        <v>126</v>
      </c>
      <c r="D19" s="92"/>
      <c r="E19" s="82"/>
      <c r="F19" s="12" t="str">
        <f t="shared" si="0"/>
        <v/>
      </c>
      <c r="H19" s="30"/>
    </row>
    <row r="20" spans="2:8" x14ac:dyDescent="0.25">
      <c r="H20" s="30"/>
    </row>
    <row r="21" spans="2:8" x14ac:dyDescent="0.25">
      <c r="H21" s="30"/>
    </row>
    <row r="40" spans="2:13" hidden="1" x14ac:dyDescent="0.25"/>
    <row r="41" spans="2:13" ht="14.4" hidden="1" x14ac:dyDescent="0.3">
      <c r="B41" s="27" t="s">
        <v>106</v>
      </c>
      <c r="C41" s="27" t="s">
        <v>107</v>
      </c>
      <c r="D41" s="27" t="s">
        <v>108</v>
      </c>
      <c r="E41" s="27" t="s">
        <v>109</v>
      </c>
      <c r="F41" s="27" t="s">
        <v>110</v>
      </c>
      <c r="G41" s="27" t="s">
        <v>111</v>
      </c>
      <c r="H41" s="27" t="s">
        <v>112</v>
      </c>
      <c r="I41" s="27" t="s">
        <v>113</v>
      </c>
      <c r="J41" s="27" t="s">
        <v>114</v>
      </c>
      <c r="K41" s="27" t="s">
        <v>115</v>
      </c>
      <c r="L41" s="43" t="s">
        <v>116</v>
      </c>
      <c r="M41" s="102" t="s">
        <v>318</v>
      </c>
    </row>
    <row r="42" spans="2:13" hidden="1" x14ac:dyDescent="0.25">
      <c r="B42" s="30" t="s">
        <v>127</v>
      </c>
      <c r="C42" s="30" t="s">
        <v>128</v>
      </c>
      <c r="D42" s="30" t="s">
        <v>129</v>
      </c>
      <c r="E42" s="30" t="s">
        <v>130</v>
      </c>
      <c r="F42" s="30" t="s">
        <v>131</v>
      </c>
      <c r="G42" s="30" t="s">
        <v>137</v>
      </c>
      <c r="H42" s="30" t="s">
        <v>130</v>
      </c>
      <c r="I42" s="30" t="s">
        <v>128</v>
      </c>
      <c r="J42" s="30" t="s">
        <v>129</v>
      </c>
      <c r="K42" s="30" t="s">
        <v>130</v>
      </c>
      <c r="L42" s="30" t="s">
        <v>131</v>
      </c>
      <c r="M42" s="30" t="s">
        <v>177</v>
      </c>
    </row>
    <row r="43" spans="2:13" hidden="1" x14ac:dyDescent="0.25">
      <c r="B43" s="30" t="s">
        <v>138</v>
      </c>
      <c r="C43" s="30" t="s">
        <v>139</v>
      </c>
      <c r="D43" s="30" t="s">
        <v>140</v>
      </c>
      <c r="E43" s="30" t="s">
        <v>141</v>
      </c>
      <c r="F43" s="30" t="s">
        <v>142</v>
      </c>
      <c r="G43" s="30" t="s">
        <v>146</v>
      </c>
      <c r="H43" s="30" t="s">
        <v>141</v>
      </c>
      <c r="I43" s="30" t="s">
        <v>139</v>
      </c>
      <c r="J43" s="30" t="s">
        <v>140</v>
      </c>
      <c r="K43" s="30" t="s">
        <v>141</v>
      </c>
      <c r="L43" s="30" t="s">
        <v>142</v>
      </c>
    </row>
    <row r="44" spans="2:13" ht="14.4" hidden="1" x14ac:dyDescent="0.3">
      <c r="B44" s="31"/>
      <c r="C44" s="30" t="s">
        <v>147</v>
      </c>
      <c r="D44" s="30" t="s">
        <v>148</v>
      </c>
      <c r="E44" s="30" t="s">
        <v>149</v>
      </c>
      <c r="F44" s="30" t="s">
        <v>150</v>
      </c>
      <c r="G44" s="30" t="s">
        <v>155</v>
      </c>
      <c r="H44" s="30" t="s">
        <v>149</v>
      </c>
      <c r="I44" s="30" t="s">
        <v>151</v>
      </c>
      <c r="J44" s="30" t="s">
        <v>148</v>
      </c>
      <c r="K44" s="30" t="s">
        <v>149</v>
      </c>
      <c r="L44" s="30" t="s">
        <v>150</v>
      </c>
    </row>
    <row r="45" spans="2:13" ht="14.4" hidden="1" x14ac:dyDescent="0.3">
      <c r="B45" s="31"/>
      <c r="C45" s="30" t="s">
        <v>156</v>
      </c>
      <c r="D45" s="30" t="s">
        <v>157</v>
      </c>
      <c r="E45" s="30" t="s">
        <v>158</v>
      </c>
      <c r="F45" s="30" t="s">
        <v>159</v>
      </c>
      <c r="G45" s="31"/>
      <c r="H45" s="30" t="s">
        <v>158</v>
      </c>
      <c r="I45" s="30" t="s">
        <v>160</v>
      </c>
      <c r="J45" s="30" t="s">
        <v>157</v>
      </c>
      <c r="K45" s="30" t="s">
        <v>158</v>
      </c>
      <c r="L45" s="30" t="s">
        <v>159</v>
      </c>
    </row>
    <row r="46" spans="2:13" ht="14.4" hidden="1" x14ac:dyDescent="0.3">
      <c r="B46" s="31"/>
      <c r="C46" s="30" t="s">
        <v>164</v>
      </c>
      <c r="D46" s="30" t="s">
        <v>165</v>
      </c>
      <c r="E46" s="30" t="s">
        <v>166</v>
      </c>
      <c r="F46" s="30" t="s">
        <v>167</v>
      </c>
      <c r="G46" s="31"/>
      <c r="H46" s="30" t="s">
        <v>166</v>
      </c>
      <c r="I46" s="30" t="s">
        <v>164</v>
      </c>
      <c r="J46" s="30" t="s">
        <v>165</v>
      </c>
      <c r="K46" s="30" t="s">
        <v>166</v>
      </c>
      <c r="L46" s="30" t="s">
        <v>167</v>
      </c>
    </row>
    <row r="47" spans="2:13" ht="14.4" hidden="1" x14ac:dyDescent="0.3">
      <c r="B47" s="31"/>
      <c r="C47" s="30" t="s">
        <v>169</v>
      </c>
      <c r="D47" s="30" t="s">
        <v>170</v>
      </c>
      <c r="E47" s="30" t="s">
        <v>171</v>
      </c>
      <c r="F47" s="30" t="s">
        <v>172</v>
      </c>
      <c r="G47" s="31"/>
      <c r="H47" s="30" t="s">
        <v>171</v>
      </c>
      <c r="I47" s="30" t="s">
        <v>169</v>
      </c>
      <c r="J47" s="30" t="s">
        <v>170</v>
      </c>
      <c r="K47" s="30" t="s">
        <v>171</v>
      </c>
      <c r="L47" s="30" t="s">
        <v>172</v>
      </c>
    </row>
    <row r="48" spans="2:13" ht="14.4" hidden="1" x14ac:dyDescent="0.3">
      <c r="B48" s="31"/>
      <c r="C48" s="30" t="s">
        <v>174</v>
      </c>
      <c r="D48" s="30" t="s">
        <v>175</v>
      </c>
      <c r="E48" s="30" t="s">
        <v>176</v>
      </c>
      <c r="F48" s="30"/>
      <c r="G48" s="31"/>
      <c r="H48" s="30" t="s">
        <v>176</v>
      </c>
      <c r="I48" s="30" t="s">
        <v>174</v>
      </c>
      <c r="J48" s="30" t="s">
        <v>175</v>
      </c>
      <c r="K48" s="30" t="s">
        <v>176</v>
      </c>
      <c r="L48" s="30" t="s">
        <v>301</v>
      </c>
    </row>
    <row r="49" spans="2:12" ht="14.4" hidden="1" x14ac:dyDescent="0.3">
      <c r="B49" s="31"/>
      <c r="C49" s="30" t="s">
        <v>178</v>
      </c>
      <c r="D49" s="30" t="s">
        <v>179</v>
      </c>
      <c r="E49" s="30" t="s">
        <v>180</v>
      </c>
      <c r="F49" s="31"/>
      <c r="G49" s="31"/>
      <c r="H49" s="30" t="s">
        <v>180</v>
      </c>
      <c r="I49" s="30" t="s">
        <v>178</v>
      </c>
      <c r="J49" s="30" t="s">
        <v>179</v>
      </c>
      <c r="K49" s="30" t="s">
        <v>180</v>
      </c>
      <c r="L49" s="44"/>
    </row>
    <row r="50" spans="2:12" ht="14.4" hidden="1" x14ac:dyDescent="0.3">
      <c r="B50" s="31"/>
      <c r="C50" s="30" t="s">
        <v>181</v>
      </c>
      <c r="D50" s="30"/>
      <c r="E50" s="30" t="s">
        <v>182</v>
      </c>
      <c r="F50" s="31"/>
      <c r="G50" s="31"/>
      <c r="H50" s="30" t="s">
        <v>182</v>
      </c>
      <c r="I50" s="30" t="s">
        <v>183</v>
      </c>
      <c r="J50" s="30" t="s">
        <v>301</v>
      </c>
      <c r="K50" s="30" t="s">
        <v>182</v>
      </c>
      <c r="L50" s="44"/>
    </row>
    <row r="51" spans="2:12" ht="14.4" hidden="1" x14ac:dyDescent="0.3">
      <c r="B51" s="31"/>
      <c r="C51" s="30" t="s">
        <v>184</v>
      </c>
      <c r="D51" s="31"/>
      <c r="E51" s="30" t="s">
        <v>185</v>
      </c>
      <c r="F51" s="31"/>
      <c r="G51" s="31"/>
      <c r="H51" s="30" t="s">
        <v>185</v>
      </c>
      <c r="I51" s="30" t="s">
        <v>186</v>
      </c>
      <c r="J51" s="31"/>
      <c r="K51" s="30" t="s">
        <v>185</v>
      </c>
      <c r="L51" s="44"/>
    </row>
    <row r="52" spans="2:12" ht="14.4" hidden="1" x14ac:dyDescent="0.3">
      <c r="B52" s="31"/>
      <c r="C52" s="30" t="s">
        <v>187</v>
      </c>
      <c r="D52" s="31"/>
      <c r="E52" s="30" t="s">
        <v>188</v>
      </c>
      <c r="F52" s="31"/>
      <c r="G52" s="31"/>
      <c r="H52" s="30" t="s">
        <v>188</v>
      </c>
      <c r="I52" s="30" t="s">
        <v>301</v>
      </c>
      <c r="J52" s="31"/>
      <c r="K52" s="30" t="s">
        <v>188</v>
      </c>
      <c r="L52" s="44"/>
    </row>
    <row r="53" spans="2:12" ht="14.4" hidden="1" x14ac:dyDescent="0.3">
      <c r="B53" s="31"/>
      <c r="C53" s="30" t="s">
        <v>189</v>
      </c>
      <c r="D53" s="31"/>
      <c r="E53" s="30" t="s">
        <v>190</v>
      </c>
      <c r="F53" s="31"/>
      <c r="G53" s="31"/>
      <c r="H53" s="30" t="s">
        <v>190</v>
      </c>
      <c r="I53" s="30" t="s">
        <v>163</v>
      </c>
      <c r="J53" s="31"/>
      <c r="K53" s="30" t="s">
        <v>190</v>
      </c>
      <c r="L53" s="44"/>
    </row>
    <row r="54" spans="2:12" ht="14.4" hidden="1" x14ac:dyDescent="0.3">
      <c r="B54" s="31"/>
      <c r="C54" s="30" t="s">
        <v>163</v>
      </c>
      <c r="D54" s="31"/>
      <c r="E54" s="30"/>
      <c r="F54" s="31"/>
      <c r="G54" s="31"/>
      <c r="H54" s="30" t="s">
        <v>300</v>
      </c>
      <c r="I54" s="31"/>
      <c r="J54" s="31"/>
      <c r="K54" s="30" t="s">
        <v>301</v>
      </c>
      <c r="L54" s="44"/>
    </row>
    <row r="55" spans="2:12" ht="14.4" hidden="1" x14ac:dyDescent="0.3">
      <c r="B55" s="31"/>
      <c r="C55" s="30"/>
      <c r="D55" s="31"/>
      <c r="E55" s="31"/>
      <c r="F55" s="31"/>
      <c r="G55" s="31"/>
      <c r="H55" s="31"/>
      <c r="I55" s="31"/>
      <c r="J55" s="31"/>
      <c r="K55" s="31"/>
      <c r="L55" s="44"/>
    </row>
    <row r="56" spans="2:12" ht="14.4" hidden="1" x14ac:dyDescent="0.3">
      <c r="B56" s="31"/>
      <c r="C56" s="31"/>
      <c r="D56" s="31"/>
      <c r="E56" s="31"/>
      <c r="F56" s="31"/>
      <c r="G56" s="31"/>
      <c r="H56" s="31"/>
      <c r="I56" s="31"/>
      <c r="J56" s="31"/>
      <c r="K56" s="31"/>
      <c r="L56" s="44"/>
    </row>
    <row r="57" spans="2:12" ht="14.4" hidden="1" x14ac:dyDescent="0.3">
      <c r="B57" s="31"/>
      <c r="C57" s="31"/>
      <c r="D57" s="31"/>
      <c r="E57" s="31"/>
      <c r="F57" s="31"/>
      <c r="G57" s="31"/>
      <c r="H57" s="31"/>
      <c r="I57" s="31"/>
      <c r="J57" s="31"/>
      <c r="K57" s="31"/>
      <c r="L57" s="44"/>
    </row>
    <row r="58" spans="2:12" ht="14.4" hidden="1" x14ac:dyDescent="0.3">
      <c r="B58" s="31"/>
      <c r="C58" s="31"/>
      <c r="D58" s="31"/>
      <c r="E58" s="31"/>
      <c r="F58" s="31"/>
      <c r="G58" s="31"/>
      <c r="H58" s="31"/>
      <c r="I58" s="31"/>
      <c r="J58" s="31"/>
      <c r="K58" s="31"/>
      <c r="L58" s="44"/>
    </row>
    <row r="59" spans="2:12" ht="14.4" hidden="1" x14ac:dyDescent="0.3">
      <c r="B59" s="31"/>
      <c r="C59" s="31"/>
      <c r="D59" s="31"/>
      <c r="E59" s="31"/>
      <c r="F59" s="31"/>
      <c r="G59" s="31"/>
      <c r="H59" s="31"/>
      <c r="I59" s="31"/>
      <c r="J59" s="31"/>
      <c r="K59" s="31"/>
      <c r="L59" s="44"/>
    </row>
    <row r="60" spans="2:12" ht="14.4" hidden="1" x14ac:dyDescent="0.3">
      <c r="B60" s="31"/>
      <c r="C60" s="31"/>
      <c r="D60" s="31"/>
      <c r="E60" s="31"/>
      <c r="F60" s="31"/>
      <c r="G60" s="31"/>
      <c r="H60" s="31"/>
      <c r="I60" s="31"/>
      <c r="J60" s="31"/>
      <c r="K60" s="31"/>
      <c r="L60" s="44"/>
    </row>
    <row r="61" spans="2:12" ht="14.4" hidden="1" x14ac:dyDescent="0.3">
      <c r="B61" s="31"/>
      <c r="C61" s="31"/>
      <c r="D61" s="31"/>
      <c r="E61" s="31"/>
      <c r="F61" s="31"/>
      <c r="G61" s="31"/>
      <c r="H61" s="31"/>
      <c r="I61" s="31"/>
      <c r="J61" s="31"/>
      <c r="K61" s="31"/>
      <c r="L61" s="44"/>
    </row>
  </sheetData>
  <sheetProtection sheet="1" objects="1" scenarios="1" selectLockedCells="1"/>
  <mergeCells count="3">
    <mergeCell ref="B7:E7"/>
    <mergeCell ref="B13:E13"/>
    <mergeCell ref="B2:E3"/>
  </mergeCells>
  <conditionalFormatting sqref="E8:E12 E14:E19">
    <cfRule type="expression" dxfId="2" priority="3">
      <formula>AND(LEFT(D8,2)&lt;&gt;"99",E8&lt;&gt;"")</formula>
    </cfRule>
    <cfRule type="expression" dxfId="1" priority="4">
      <formula>(LEFT(D8,2)&lt;&gt;"99")</formula>
    </cfRule>
    <cfRule type="expression" dxfId="0" priority="5">
      <formula>LEFT(D8,2)="99"</formula>
    </cfRule>
  </conditionalFormatting>
  <dataValidations xWindow="1208" yWindow="534" count="7">
    <dataValidation type="list" allowBlank="1" showInputMessage="1" showErrorMessage="1" sqref="D14:D19 D8">
      <formula1>INDIRECT(CONCATENATE("PATI_SCHOOL_",B8))</formula1>
    </dataValidation>
    <dataValidation allowBlank="1" showErrorMessage="1" prompt="Note: This value is pre-populated since a free form response is required." sqref="D6"/>
    <dataValidation allowBlank="1" showInputMessage="1" showErrorMessage="1" prompt="Only enter a response here if a value of 99 is selected to the left. Do NOT use commas in this cell. " sqref="E8:E12 E14:E19"/>
    <dataValidation type="list" allowBlank="1" showErrorMessage="1" sqref="D9">
      <formula1>INDIRECT($G$9)</formula1>
    </dataValidation>
    <dataValidation type="list" allowBlank="1" showInputMessage="1" showErrorMessage="1" sqref="D10">
      <formula1>INDIRECT($G$10)</formula1>
    </dataValidation>
    <dataValidation type="list" allowBlank="1" showInputMessage="1" showErrorMessage="1" sqref="D11">
      <formula1>INDIRECT($G$11)</formula1>
    </dataValidation>
    <dataValidation type="list" allowBlank="1" showInputMessage="1" showErrorMessage="1" sqref="D12">
      <formula1>INDIRECT($G$12)</formula1>
    </dataValidation>
  </dataValidation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00"/>
  <sheetViews>
    <sheetView zoomScaleNormal="100" workbookViewId="0">
      <selection activeCell="E22" sqref="E22"/>
    </sheetView>
  </sheetViews>
  <sheetFormatPr defaultRowHeight="14.4" x14ac:dyDescent="0.3"/>
  <cols>
    <col min="1" max="1" width="14.109375" bestFit="1" customWidth="1"/>
    <col min="2" max="2" width="14.33203125" bestFit="1" customWidth="1"/>
    <col min="3" max="3" width="24.33203125" style="10" bestFit="1" customWidth="1"/>
    <col min="4" max="4" width="15.109375" style="21" bestFit="1" customWidth="1"/>
    <col min="5" max="5" width="19.88671875" style="9" bestFit="1" customWidth="1"/>
    <col min="6" max="6" width="21.109375" bestFit="1" customWidth="1"/>
    <col min="7" max="7" width="12.88671875" style="1" hidden="1" customWidth="1"/>
    <col min="8" max="8" width="25.5546875" bestFit="1" customWidth="1"/>
  </cols>
  <sheetData>
    <row r="1" spans="1:8" x14ac:dyDescent="0.3">
      <c r="A1" s="88" t="s">
        <v>236</v>
      </c>
      <c r="B1" s="88" t="s">
        <v>3</v>
      </c>
      <c r="C1" s="88" t="s">
        <v>237</v>
      </c>
      <c r="D1" s="89" t="s">
        <v>0</v>
      </c>
      <c r="E1" s="88" t="s">
        <v>1</v>
      </c>
      <c r="F1" s="88" t="s">
        <v>238</v>
      </c>
      <c r="G1" s="90" t="s">
        <v>240</v>
      </c>
      <c r="H1" s="88" t="s">
        <v>239</v>
      </c>
    </row>
    <row r="2" spans="1:8" x14ac:dyDescent="0.3">
      <c r="A2" t="str">
        <f>IF(ISBLANK('Sections 1 &amp; 2'!$C$4),"",'Sections 1 &amp; 2'!$C$4)</f>
        <v/>
      </c>
      <c r="B2" t="s">
        <v>2</v>
      </c>
      <c r="C2" s="11" t="str">
        <f>IF(ISBLANK('Sections 1 &amp; 2'!$C$6),"",CONCATENATE(RIGHT('Sections 1 &amp; 2'!$C$6,4),"-06-30"))</f>
        <v>2013-06-30</v>
      </c>
      <c r="D2" s="21" t="str">
        <f>IF(ISBLANK('Sections 1 &amp; 2'!$C$5),"",'Sections 1 &amp; 2'!$C$5)</f>
        <v/>
      </c>
      <c r="E2" s="15">
        <v>10</v>
      </c>
      <c r="F2" s="9" t="str">
        <f>'Sections 1 &amp; 2'!F11</f>
        <v/>
      </c>
      <c r="H2" s="9" t="str">
        <f>IF(ISBLANK('Sections 1 &amp; 2'!E11),"",'Sections 1 &amp; 2'!E11)</f>
        <v/>
      </c>
    </row>
    <row r="3" spans="1:8" s="9" customFormat="1" x14ac:dyDescent="0.3">
      <c r="A3" s="9" t="str">
        <f>IF(ISBLANK('Sections 1 &amp; 2'!$C$4),"",'Sections 1 &amp; 2'!$C$4)</f>
        <v/>
      </c>
      <c r="B3" s="9" t="s">
        <v>2</v>
      </c>
      <c r="C3" s="11" t="str">
        <f>IF(ISBLANK('Sections 1 &amp; 2'!$C$6),"",CONCATENATE(RIGHT('Sections 1 &amp; 2'!$C$6,4),"-06-30"))</f>
        <v>2013-06-30</v>
      </c>
      <c r="D3" s="21" t="str">
        <f>IF(ISBLANK('Sections 1 &amp; 2'!$C$5),"",'Sections 1 &amp; 2'!$C$5)</f>
        <v/>
      </c>
      <c r="E3" s="15">
        <v>20</v>
      </c>
      <c r="F3" s="9" t="str">
        <f>'Sections 1 &amp; 2'!F12</f>
        <v/>
      </c>
      <c r="G3" s="1"/>
      <c r="H3" s="9" t="str">
        <f>IF(ISBLANK('Sections 1 &amp; 2'!E12),"",'Sections 1 &amp; 2'!E12)</f>
        <v/>
      </c>
    </row>
    <row r="4" spans="1:8" s="9" customFormat="1" x14ac:dyDescent="0.3">
      <c r="A4" s="9" t="str">
        <f>IF(ISBLANK('Sections 1 &amp; 2'!$C$4),"",'Sections 1 &amp; 2'!$C$4)</f>
        <v/>
      </c>
      <c r="B4" s="9" t="s">
        <v>2</v>
      </c>
      <c r="C4" s="11" t="str">
        <f>IF(ISBLANK('Sections 1 &amp; 2'!$C$6),"",CONCATENATE(RIGHT('Sections 1 &amp; 2'!$C$6,4),"-06-30"))</f>
        <v>2013-06-30</v>
      </c>
      <c r="D4" s="21" t="str">
        <f>IF(ISBLANK('Sections 1 &amp; 2'!$C$5),"",'Sections 1 &amp; 2'!$C$5)</f>
        <v/>
      </c>
      <c r="E4" s="15">
        <v>30</v>
      </c>
      <c r="F4" s="9" t="str">
        <f>'Sections 1 &amp; 2'!F13</f>
        <v/>
      </c>
      <c r="G4" s="1"/>
      <c r="H4" s="9" t="str">
        <f>IF(ISBLANK('Sections 1 &amp; 2'!E13),"",'Sections 1 &amp; 2'!E13)</f>
        <v/>
      </c>
    </row>
    <row r="5" spans="1:8" s="9" customFormat="1" x14ac:dyDescent="0.3">
      <c r="A5" s="9" t="str">
        <f>IF(ISBLANK('Sections 1 &amp; 2'!$C$4),"",'Sections 1 &amp; 2'!$C$4)</f>
        <v/>
      </c>
      <c r="B5" s="9" t="s">
        <v>2</v>
      </c>
      <c r="C5" s="11" t="str">
        <f>IF(ISBLANK('Sections 1 &amp; 2'!$C$6),"",CONCATENATE(RIGHT('Sections 1 &amp; 2'!$C$6,4),"-06-30"))</f>
        <v>2013-06-30</v>
      </c>
      <c r="D5" s="21" t="str">
        <f>IF(ISBLANK('Sections 1 &amp; 2'!$C$5),"",'Sections 1 &amp; 2'!$C$5)</f>
        <v/>
      </c>
      <c r="E5" s="15">
        <v>40</v>
      </c>
      <c r="F5" s="9" t="str">
        <f>'Sections 1 &amp; 2'!F15</f>
        <v>99</v>
      </c>
      <c r="G5" s="1"/>
      <c r="H5" s="9">
        <f>IF(ISBLANK('Sections 1 &amp; 2'!E15),"",'Sections 1 &amp; 2'!E15)</f>
        <v>0</v>
      </c>
    </row>
    <row r="6" spans="1:8" s="9" customFormat="1" x14ac:dyDescent="0.3">
      <c r="A6" s="9" t="str">
        <f>IF(ISBLANK('Sections 1 &amp; 2'!$C$4),"",'Sections 1 &amp; 2'!$C$4)</f>
        <v/>
      </c>
      <c r="B6" s="9" t="s">
        <v>2</v>
      </c>
      <c r="C6" s="11" t="str">
        <f>IF(ISBLANK('Sections 1 &amp; 2'!$C$6),"",CONCATENATE(RIGHT('Sections 1 &amp; 2'!$C$6,4),"-06-30"))</f>
        <v>2013-06-30</v>
      </c>
      <c r="D6" s="21" t="str">
        <f>IF(ISBLANK('Sections 1 &amp; 2'!$C$5),"",'Sections 1 &amp; 2'!$C$5)</f>
        <v/>
      </c>
      <c r="E6" s="15">
        <v>70</v>
      </c>
      <c r="F6" s="9" t="str">
        <f>'Sections 1 &amp; 2'!F18</f>
        <v>99</v>
      </c>
      <c r="G6" s="1"/>
      <c r="H6" s="9">
        <f>IF(ISBLANK('Sections 1 &amp; 2'!E18),"",'Sections 1 &amp; 2'!E18)</f>
        <v>0</v>
      </c>
    </row>
    <row r="7" spans="1:8" s="9" customFormat="1" x14ac:dyDescent="0.3">
      <c r="A7" s="9" t="str">
        <f>IF(ISBLANK('Sections 1 &amp; 2'!$C$4),"",'Sections 1 &amp; 2'!$C$4)</f>
        <v/>
      </c>
      <c r="B7" s="9" t="s">
        <v>2</v>
      </c>
      <c r="C7" s="11" t="str">
        <f>IF(ISBLANK('Sections 1 &amp; 2'!$C$6),"",CONCATENATE(RIGHT('Sections 1 &amp; 2'!$C$6,4),"-06-30"))</f>
        <v>2013-06-30</v>
      </c>
      <c r="D7" s="21" t="str">
        <f>IF(ISBLANK('Sections 1 &amp; 2'!$C$5),"",'Sections 1 &amp; 2'!$C$5)</f>
        <v/>
      </c>
      <c r="E7" s="15">
        <v>80</v>
      </c>
      <c r="F7" s="9" t="str">
        <f>'Sections 1 &amp; 2'!F19</f>
        <v>99</v>
      </c>
      <c r="G7" s="1"/>
      <c r="H7" s="9">
        <f>IF(ISBLANK('Sections 1 &amp; 2'!E19),"",'Sections 1 &amp; 2'!E19)</f>
        <v>0</v>
      </c>
    </row>
    <row r="8" spans="1:8" s="9" customFormat="1" x14ac:dyDescent="0.3">
      <c r="A8" s="9" t="str">
        <f>IF(ISBLANK('Sections 1 &amp; 2'!$C$4),"",'Sections 1 &amp; 2'!$C$4)</f>
        <v/>
      </c>
      <c r="B8" s="9" t="s">
        <v>2</v>
      </c>
      <c r="C8" s="11" t="str">
        <f>IF(ISBLANK('Sections 1 &amp; 2'!$C$6),"",CONCATENATE(RIGHT('Sections 1 &amp; 2'!$C$6,4),"-06-30"))</f>
        <v>2013-06-30</v>
      </c>
      <c r="D8" s="21" t="str">
        <f>IF(ISBLANK('Sections 1 &amp; 2'!$C$5),"",'Sections 1 &amp; 2'!$C$5)</f>
        <v/>
      </c>
      <c r="E8" s="15">
        <v>90</v>
      </c>
      <c r="F8" s="9" t="str">
        <f>'Sections 1 &amp; 2'!F20</f>
        <v>99</v>
      </c>
      <c r="G8" s="1"/>
      <c r="H8" s="9">
        <f>IF(ISBLANK('Sections 1 &amp; 2'!E20),"",'Sections 1 &amp; 2'!E20)</f>
        <v>0</v>
      </c>
    </row>
    <row r="9" spans="1:8" s="9" customFormat="1" x14ac:dyDescent="0.3">
      <c r="A9" s="9" t="str">
        <f>IF(ISBLANK('Sections 1 &amp; 2'!$C$4),"",'Sections 1 &amp; 2'!$C$4)</f>
        <v/>
      </c>
      <c r="B9" s="9" t="s">
        <v>2</v>
      </c>
      <c r="C9" s="11" t="str">
        <f>IF(ISBLANK('Sections 1 &amp; 2'!$C$6),"",CONCATENATE(RIGHT('Sections 1 &amp; 2'!$C$6,4),"-06-30"))</f>
        <v>2013-06-30</v>
      </c>
      <c r="D9" s="21" t="str">
        <f>IF(ISBLANK('Sections 1 &amp; 2'!$C$5),"",'Sections 1 &amp; 2'!$C$5)</f>
        <v/>
      </c>
      <c r="E9" s="15">
        <v>120</v>
      </c>
      <c r="F9" s="9" t="str">
        <f>'Sections 1 &amp; 2'!F23</f>
        <v>99</v>
      </c>
      <c r="G9" s="1"/>
      <c r="H9" s="9">
        <f>IF(ISBLANK('Sections 1 &amp; 2'!E23),"",'Sections 1 &amp; 2'!E23)</f>
        <v>0</v>
      </c>
    </row>
    <row r="10" spans="1:8" s="9" customFormat="1" x14ac:dyDescent="0.3">
      <c r="A10" s="9" t="str">
        <f>IF(ISBLANK('Sections 1 &amp; 2'!$C$4),"",'Sections 1 &amp; 2'!$C$4)</f>
        <v/>
      </c>
      <c r="B10" s="9" t="s">
        <v>2</v>
      </c>
      <c r="C10" s="11" t="str">
        <f>IF(ISBLANK('Sections 1 &amp; 2'!$C$6),"",CONCATENATE(RIGHT('Sections 1 &amp; 2'!$C$6,4),"-06-30"))</f>
        <v>2013-06-30</v>
      </c>
      <c r="D10" s="21" t="str">
        <f>IF(ISBLANK('Sections 1 &amp; 2'!$C$5),"",'Sections 1 &amp; 2'!$C$5)</f>
        <v/>
      </c>
      <c r="E10" s="15">
        <v>130</v>
      </c>
      <c r="F10" s="9" t="str">
        <f>'Sections 1 &amp; 2'!F24</f>
        <v>99</v>
      </c>
      <c r="G10" s="1"/>
      <c r="H10" s="9">
        <f>IF(ISBLANK('Sections 1 &amp; 2'!E24),"",'Sections 1 &amp; 2'!E24)</f>
        <v>0</v>
      </c>
    </row>
    <row r="11" spans="1:8" s="9" customFormat="1" x14ac:dyDescent="0.3">
      <c r="A11" s="9" t="str">
        <f>IF(ISBLANK('Sections 1 &amp; 2'!$C$4),"",'Sections 1 &amp; 2'!$C$4)</f>
        <v/>
      </c>
      <c r="B11" s="9" t="s">
        <v>2</v>
      </c>
      <c r="C11" s="11" t="str">
        <f>IF(ISBLANK('Sections 1 &amp; 2'!$C$6),"",CONCATENATE(RIGHT('Sections 1 &amp; 2'!$C$6,4),"-06-30"))</f>
        <v>2013-06-30</v>
      </c>
      <c r="D11" s="21" t="str">
        <f>IF(ISBLANK('Sections 1 &amp; 2'!$C$5),"",'Sections 1 &amp; 2'!$C$5)</f>
        <v/>
      </c>
      <c r="E11" s="15">
        <v>140</v>
      </c>
      <c r="F11" s="9" t="str">
        <f>'Sections 1 &amp; 2'!F25</f>
        <v>99</v>
      </c>
      <c r="G11" s="1"/>
      <c r="H11" s="9">
        <f>IF(ISBLANK('Sections 1 &amp; 2'!E25),"",'Sections 1 &amp; 2'!E25)</f>
        <v>0</v>
      </c>
    </row>
    <row r="12" spans="1:8" x14ac:dyDescent="0.3">
      <c r="A12" s="9" t="str">
        <f>IF(ISBLANK('Sections 1 &amp; 2'!$C$4),"",'Sections 1 &amp; 2'!$C$4)</f>
        <v/>
      </c>
      <c r="B12" s="9" t="s">
        <v>2</v>
      </c>
      <c r="C12" s="11" t="str">
        <f>IF(ISBLANK('Sections 1 &amp; 2'!$C$6),"",CONCATENATE(RIGHT('Sections 1 &amp; 2'!$C$6,4),"-06-30"))</f>
        <v>2013-06-30</v>
      </c>
      <c r="D12" s="21" t="str">
        <f>IF(ISBLANK('Sections 1 &amp; 2'!$C$5),"",'Sections 1 &amp; 2'!$C$5)</f>
        <v/>
      </c>
      <c r="E12" s="15">
        <v>170</v>
      </c>
      <c r="F12" s="9" t="str">
        <f>'Sections 1 &amp; 2'!F28</f>
        <v>99</v>
      </c>
      <c r="H12" s="9">
        <f>IF(ISBLANK('Sections 1 &amp; 2'!E28),"",'Sections 1 &amp; 2'!E28)</f>
        <v>0</v>
      </c>
    </row>
    <row r="13" spans="1:8" x14ac:dyDescent="0.3">
      <c r="A13" s="9" t="str">
        <f>IF(ISBLANK('Sections 1 &amp; 2'!$C$4),"",'Sections 1 &amp; 2'!$C$4)</f>
        <v/>
      </c>
      <c r="B13" s="9" t="s">
        <v>2</v>
      </c>
      <c r="C13" s="11" t="str">
        <f>IF(ISBLANK('Sections 1 &amp; 2'!$C$6),"",CONCATENATE(RIGHT('Sections 1 &amp; 2'!$C$6,4),"-06-30"))</f>
        <v>2013-06-30</v>
      </c>
      <c r="D13" s="21" t="str">
        <f>IF(ISBLANK('Sections 1 &amp; 2'!$C$5),"",'Sections 1 &amp; 2'!$C$5)</f>
        <v/>
      </c>
      <c r="E13" s="15">
        <v>180</v>
      </c>
      <c r="F13" s="9" t="str">
        <f>'Sections 1 &amp; 2'!F29</f>
        <v>99</v>
      </c>
      <c r="H13" s="9">
        <f>IF(ISBLANK('Sections 1 &amp; 2'!E29),"",'Sections 1 &amp; 2'!E29)</f>
        <v>0</v>
      </c>
    </row>
    <row r="14" spans="1:8" x14ac:dyDescent="0.3">
      <c r="A14" s="5" t="str">
        <f>IF(ISBLANK('Sections 1 &amp; 2'!$C$4),"",'Sections 1 &amp; 2'!$C$4)</f>
        <v/>
      </c>
      <c r="B14" s="5" t="s">
        <v>2</v>
      </c>
      <c r="C14" s="107" t="str">
        <f>IF(ISBLANK('Sections 1 &amp; 2'!$C$6),"",CONCATENATE(RIGHT('Sections 1 &amp; 2'!$C$6,4),"-06-30"))</f>
        <v>2013-06-30</v>
      </c>
      <c r="D14" s="108" t="str">
        <f>IF(ISBLANK('Sections 1 &amp; 2'!$C$5),"",'Sections 1 &amp; 2'!$C$5)</f>
        <v/>
      </c>
      <c r="E14" s="5">
        <v>190</v>
      </c>
      <c r="F14" s="5" t="str">
        <f>'Sections 1 &amp; 2'!F30</f>
        <v>99</v>
      </c>
      <c r="G14" s="110"/>
      <c r="H14" s="5">
        <f>IF(ISBLANK('Sections 1 &amp; 2'!E30),"",'Sections 1 &amp; 2'!E30)</f>
        <v>0</v>
      </c>
    </row>
    <row r="15" spans="1:8" x14ac:dyDescent="0.3">
      <c r="A15" s="5" t="str">
        <f>IF(ISBLANK('Sections 1 &amp; 2'!$C$4),"",'Sections 1 &amp; 2'!$C$4)</f>
        <v/>
      </c>
      <c r="B15" s="5" t="s">
        <v>2</v>
      </c>
      <c r="C15" s="107" t="str">
        <f>IF(ISBLANK('Sections 1 &amp; 2'!$C$6),"",CONCATENATE(RIGHT('Sections 1 &amp; 2'!$C$6,4),"-06-30"))</f>
        <v>2013-06-30</v>
      </c>
      <c r="D15" s="108" t="str">
        <f>IF(ISBLANK('Sections 1 &amp; 2'!$C$5),"",'Sections 1 &amp; 2'!$C$5)</f>
        <v/>
      </c>
      <c r="E15" s="5">
        <v>200</v>
      </c>
      <c r="F15" s="109">
        <v>99</v>
      </c>
      <c r="G15" s="110"/>
      <c r="H15" s="5">
        <f>IF(ISBLANK('Section 3'!D11),"",'Section 3'!D11)</f>
        <v>0</v>
      </c>
    </row>
    <row r="16" spans="1:8" x14ac:dyDescent="0.3">
      <c r="A16" s="9" t="str">
        <f>IF(ISBLANK('Sections 1 &amp; 2'!$C$4),"",'Sections 1 &amp; 2'!$C$4)</f>
        <v/>
      </c>
      <c r="B16" s="9" t="s">
        <v>2</v>
      </c>
      <c r="C16" s="11" t="str">
        <f>IF(ISBLANK('Sections 1 &amp; 2'!$C$6),"",CONCATENATE(RIGHT('Sections 1 &amp; 2'!$C$6,4),"-06-30"))</f>
        <v>2013-06-30</v>
      </c>
      <c r="D16" s="21" t="str">
        <f>IF(ISBLANK('Sections 1 &amp; 2'!$C$5),"",'Sections 1 &amp; 2'!$C$5)</f>
        <v/>
      </c>
      <c r="E16" s="15">
        <v>210</v>
      </c>
      <c r="F16" s="14">
        <v>99</v>
      </c>
      <c r="H16" s="9">
        <f>IF(ISBLANK('Section 3'!D12),"",'Section 3'!D12)</f>
        <v>0</v>
      </c>
    </row>
    <row r="17" spans="1:8" x14ac:dyDescent="0.3">
      <c r="A17" s="9" t="str">
        <f>IF(ISBLANK('Sections 1 &amp; 2'!$C$4),"",'Sections 1 &amp; 2'!$C$4)</f>
        <v/>
      </c>
      <c r="B17" s="9" t="s">
        <v>2</v>
      </c>
      <c r="C17" s="11" t="str">
        <f>IF(ISBLANK('Sections 1 &amp; 2'!$C$6),"",CONCATENATE(RIGHT('Sections 1 &amp; 2'!$C$6,4),"-06-30"))</f>
        <v>2013-06-30</v>
      </c>
      <c r="D17" s="21" t="str">
        <f>IF(ISBLANK('Sections 1 &amp; 2'!$C$5),"",'Sections 1 &amp; 2'!$C$5)</f>
        <v/>
      </c>
      <c r="E17" s="15">
        <v>220</v>
      </c>
      <c r="F17" s="14">
        <v>99</v>
      </c>
      <c r="H17" s="9">
        <f>IF(ISBLANK('Section 3'!D13),"",'Section 3'!D13)</f>
        <v>0</v>
      </c>
    </row>
    <row r="18" spans="1:8" x14ac:dyDescent="0.3">
      <c r="A18" s="9" t="str">
        <f>IF(ISBLANK('Sections 1 &amp; 2'!$C$4),"",'Sections 1 &amp; 2'!$C$4)</f>
        <v/>
      </c>
      <c r="B18" s="9" t="s">
        <v>2</v>
      </c>
      <c r="C18" s="11" t="str">
        <f>IF(ISBLANK('Sections 1 &amp; 2'!$C$6),"",CONCATENATE(RIGHT('Sections 1 &amp; 2'!$C$6,4),"-06-30"))</f>
        <v>2013-06-30</v>
      </c>
      <c r="D18" s="21" t="str">
        <f>IF(ISBLANK('Sections 1 &amp; 2'!$C$5),"",'Sections 1 &amp; 2'!$C$5)</f>
        <v/>
      </c>
      <c r="E18" s="15">
        <v>230</v>
      </c>
      <c r="F18" s="14">
        <v>99</v>
      </c>
      <c r="H18" s="9">
        <f>IF(ISBLANK('Section 3'!F11),"",'Section 3'!F11)</f>
        <v>0</v>
      </c>
    </row>
    <row r="19" spans="1:8" x14ac:dyDescent="0.3">
      <c r="A19" s="9" t="str">
        <f>IF(ISBLANK('Sections 1 &amp; 2'!$C$4),"",'Sections 1 &amp; 2'!$C$4)</f>
        <v/>
      </c>
      <c r="B19" s="9" t="s">
        <v>2</v>
      </c>
      <c r="C19" s="11" t="str">
        <f>IF(ISBLANK('Sections 1 &amp; 2'!$C$6),"",CONCATENATE(RIGHT('Sections 1 &amp; 2'!$C$6,4),"-06-30"))</f>
        <v>2013-06-30</v>
      </c>
      <c r="D19" s="21" t="str">
        <f>IF(ISBLANK('Sections 1 &amp; 2'!$C$5),"",'Sections 1 &amp; 2'!$C$5)</f>
        <v/>
      </c>
      <c r="E19" s="15">
        <v>240</v>
      </c>
      <c r="F19" s="14">
        <v>99</v>
      </c>
      <c r="H19" s="9">
        <f>IF(ISBLANK('Section 3'!F12),"",'Section 3'!F12)</f>
        <v>0</v>
      </c>
    </row>
    <row r="20" spans="1:8" x14ac:dyDescent="0.3">
      <c r="A20" s="9" t="str">
        <f>IF(ISBLANK('Sections 1 &amp; 2'!$C$4),"",'Sections 1 &amp; 2'!$C$4)</f>
        <v/>
      </c>
      <c r="B20" s="9" t="s">
        <v>2</v>
      </c>
      <c r="C20" s="11" t="str">
        <f>IF(ISBLANK('Sections 1 &amp; 2'!$C$6),"",CONCATENATE(RIGHT('Sections 1 &amp; 2'!$C$6,4),"-06-30"))</f>
        <v>2013-06-30</v>
      </c>
      <c r="D20" s="21" t="str">
        <f>IF(ISBLANK('Sections 1 &amp; 2'!$C$5),"",'Sections 1 &amp; 2'!$C$5)</f>
        <v/>
      </c>
      <c r="E20" s="15">
        <v>250</v>
      </c>
      <c r="F20" s="14">
        <v>99</v>
      </c>
      <c r="H20" s="9">
        <f>IF(ISBLANK('Section 3'!F13),"",'Section 3'!F13)</f>
        <v>0</v>
      </c>
    </row>
    <row r="21" spans="1:8" x14ac:dyDescent="0.3">
      <c r="A21" s="9" t="str">
        <f>IF(ISBLANK('Sections 1 &amp; 2'!$C$4),"",'Sections 1 &amp; 2'!$C$4)</f>
        <v/>
      </c>
      <c r="B21" s="9" t="s">
        <v>2</v>
      </c>
      <c r="C21" s="11" t="str">
        <f>IF(ISBLANK('Sections 1 &amp; 2'!$C$6),"",CONCATENATE(RIGHT('Sections 1 &amp; 2'!$C$6,4),"-06-30"))</f>
        <v>2013-06-30</v>
      </c>
      <c r="D21" s="21" t="str">
        <f>IF(ISBLANK('Sections 1 &amp; 2'!$C$5),"",'Sections 1 &amp; 2'!$C$5)</f>
        <v/>
      </c>
      <c r="E21" s="15">
        <v>260</v>
      </c>
      <c r="F21" s="14">
        <v>99</v>
      </c>
      <c r="H21" s="9">
        <f>IF(ISBLANK('Section 3'!D16),"",'Section 3'!D16)</f>
        <v>0</v>
      </c>
    </row>
    <row r="22" spans="1:8" x14ac:dyDescent="0.3">
      <c r="A22" s="9" t="str">
        <f>IF(ISBLANK('Sections 1 &amp; 2'!$C$4),"",'Sections 1 &amp; 2'!$C$4)</f>
        <v/>
      </c>
      <c r="B22" s="9" t="s">
        <v>2</v>
      </c>
      <c r="C22" s="11" t="str">
        <f>IF(ISBLANK('Sections 1 &amp; 2'!$C$6),"",CONCATENATE(RIGHT('Sections 1 &amp; 2'!$C$6,4),"-06-30"))</f>
        <v>2013-06-30</v>
      </c>
      <c r="D22" s="21" t="str">
        <f>IF(ISBLANK('Sections 1 &amp; 2'!$C$5),"",'Sections 1 &amp; 2'!$C$5)</f>
        <v/>
      </c>
      <c r="E22" s="15">
        <v>270</v>
      </c>
      <c r="F22" s="14">
        <v>99</v>
      </c>
      <c r="H22" s="9">
        <f>IF(ISBLANK('Section 3'!D17),"",'Section 3'!D17)</f>
        <v>0</v>
      </c>
    </row>
    <row r="23" spans="1:8" x14ac:dyDescent="0.3">
      <c r="A23" s="9" t="str">
        <f>IF(ISBLANK('Sections 1 &amp; 2'!$C$4),"",'Sections 1 &amp; 2'!$C$4)</f>
        <v/>
      </c>
      <c r="B23" s="9" t="s">
        <v>2</v>
      </c>
      <c r="C23" s="11" t="str">
        <f>IF(ISBLANK('Sections 1 &amp; 2'!$C$6),"",CONCATENATE(RIGHT('Sections 1 &amp; 2'!$C$6,4),"-06-30"))</f>
        <v>2013-06-30</v>
      </c>
      <c r="D23" s="21" t="str">
        <f>IF(ISBLANK('Sections 1 &amp; 2'!$C$5),"",'Sections 1 &amp; 2'!$C$5)</f>
        <v/>
      </c>
      <c r="E23" s="15">
        <v>280</v>
      </c>
      <c r="F23" s="14">
        <v>99</v>
      </c>
      <c r="H23" s="9">
        <f>IF(ISBLANK('Section 3'!D18),"",'Section 3'!D18)</f>
        <v>0</v>
      </c>
    </row>
    <row r="24" spans="1:8" x14ac:dyDescent="0.3">
      <c r="A24" s="9" t="str">
        <f>IF(ISBLANK('Sections 1 &amp; 2'!$C$4),"",'Sections 1 &amp; 2'!$C$4)</f>
        <v/>
      </c>
      <c r="B24" s="9" t="s">
        <v>2</v>
      </c>
      <c r="C24" s="11" t="str">
        <f>IF(ISBLANK('Sections 1 &amp; 2'!$C$6),"",CONCATENATE(RIGHT('Sections 1 &amp; 2'!$C$6,4),"-06-30"))</f>
        <v>2013-06-30</v>
      </c>
      <c r="D24" s="21" t="str">
        <f>IF(ISBLANK('Sections 1 &amp; 2'!$C$5),"",'Sections 1 &amp; 2'!$C$5)</f>
        <v/>
      </c>
      <c r="E24" s="15">
        <v>290</v>
      </c>
      <c r="F24" s="14">
        <v>99</v>
      </c>
      <c r="H24" s="9">
        <f>IF(ISBLANK('Section 3'!F16),"",'Section 3'!F16)</f>
        <v>0</v>
      </c>
    </row>
    <row r="25" spans="1:8" x14ac:dyDescent="0.3">
      <c r="A25" s="9" t="str">
        <f>IF(ISBLANK('Sections 1 &amp; 2'!$C$4),"",'Sections 1 &amp; 2'!$C$4)</f>
        <v/>
      </c>
      <c r="B25" s="9" t="s">
        <v>2</v>
      </c>
      <c r="C25" s="11" t="str">
        <f>IF(ISBLANK('Sections 1 &amp; 2'!$C$6),"",CONCATENATE(RIGHT('Sections 1 &amp; 2'!$C$6,4),"-06-30"))</f>
        <v>2013-06-30</v>
      </c>
      <c r="D25" s="21" t="str">
        <f>IF(ISBLANK('Sections 1 &amp; 2'!$C$5),"",'Sections 1 &amp; 2'!$C$5)</f>
        <v/>
      </c>
      <c r="E25" s="15">
        <v>300</v>
      </c>
      <c r="F25" s="14">
        <v>99</v>
      </c>
      <c r="H25" s="9">
        <f>IF(ISBLANK('Section 3'!F17),"",'Section 3'!F17)</f>
        <v>0</v>
      </c>
    </row>
    <row r="26" spans="1:8" x14ac:dyDescent="0.3">
      <c r="A26" s="9" t="str">
        <f>IF(ISBLANK('Sections 1 &amp; 2'!$C$4),"",'Sections 1 &amp; 2'!$C$4)</f>
        <v/>
      </c>
      <c r="B26" s="9" t="s">
        <v>2</v>
      </c>
      <c r="C26" s="11" t="str">
        <f>IF(ISBLANK('Sections 1 &amp; 2'!$C$6),"",CONCATENATE(RIGHT('Sections 1 &amp; 2'!$C$6,4),"-06-30"))</f>
        <v>2013-06-30</v>
      </c>
      <c r="D26" s="21" t="str">
        <f>IF(ISBLANK('Sections 1 &amp; 2'!$C$5),"",'Sections 1 &amp; 2'!$C$5)</f>
        <v/>
      </c>
      <c r="E26" s="15">
        <v>310</v>
      </c>
      <c r="F26" s="14">
        <v>99</v>
      </c>
      <c r="H26" s="9">
        <f>IF(ISBLANK('Section 3'!F18),"",'Section 3'!F18)</f>
        <v>0</v>
      </c>
    </row>
    <row r="27" spans="1:8" x14ac:dyDescent="0.3">
      <c r="A27" s="9" t="str">
        <f>IF(ISBLANK('Sections 1 &amp; 2'!$C$4),"",'Sections 1 &amp; 2'!$C$4)</f>
        <v/>
      </c>
      <c r="B27" s="9" t="s">
        <v>2</v>
      </c>
      <c r="C27" s="11" t="str">
        <f>IF(ISBLANK('Sections 1 &amp; 2'!$C$6),"",CONCATENATE(RIGHT('Sections 1 &amp; 2'!$C$6,4),"-06-30"))</f>
        <v>2013-06-30</v>
      </c>
      <c r="D27" s="21" t="str">
        <f>IF(ISBLANK('Sections 1 &amp; 2'!$C$5),"",'Sections 1 &amp; 2'!$C$5)</f>
        <v/>
      </c>
      <c r="E27" s="15">
        <v>320</v>
      </c>
      <c r="F27" s="14">
        <v>99</v>
      </c>
      <c r="H27" s="9">
        <f>IF(ISBLANK('Section 3'!D21),"",'Section 3'!D21)</f>
        <v>0</v>
      </c>
    </row>
    <row r="28" spans="1:8" x14ac:dyDescent="0.3">
      <c r="A28" s="9" t="str">
        <f>IF(ISBLANK('Sections 1 &amp; 2'!$C$4),"",'Sections 1 &amp; 2'!$C$4)</f>
        <v/>
      </c>
      <c r="B28" s="9" t="s">
        <v>2</v>
      </c>
      <c r="C28" s="11" t="str">
        <f>IF(ISBLANK('Sections 1 &amp; 2'!$C$6),"",CONCATENATE(RIGHT('Sections 1 &amp; 2'!$C$6,4),"-06-30"))</f>
        <v>2013-06-30</v>
      </c>
      <c r="D28" s="21" t="str">
        <f>IF(ISBLANK('Sections 1 &amp; 2'!$C$5),"",'Sections 1 &amp; 2'!$C$5)</f>
        <v/>
      </c>
      <c r="E28" s="15">
        <v>330</v>
      </c>
      <c r="F28" s="14">
        <v>99</v>
      </c>
      <c r="H28" s="9">
        <f>IF(ISBLANK('Section 3'!D22),"",'Section 3'!D22)</f>
        <v>0</v>
      </c>
    </row>
    <row r="29" spans="1:8" x14ac:dyDescent="0.3">
      <c r="A29" s="9" t="str">
        <f>IF(ISBLANK('Sections 1 &amp; 2'!$C$4),"",'Sections 1 &amp; 2'!$C$4)</f>
        <v/>
      </c>
      <c r="B29" s="9" t="s">
        <v>2</v>
      </c>
      <c r="C29" s="11" t="str">
        <f>IF(ISBLANK('Sections 1 &amp; 2'!$C$6),"",CONCATENATE(RIGHT('Sections 1 &amp; 2'!$C$6,4),"-06-30"))</f>
        <v>2013-06-30</v>
      </c>
      <c r="D29" s="21" t="str">
        <f>IF(ISBLANK('Sections 1 &amp; 2'!$C$5),"",'Sections 1 &amp; 2'!$C$5)</f>
        <v/>
      </c>
      <c r="E29" s="15">
        <v>340</v>
      </c>
      <c r="F29" s="14">
        <v>99</v>
      </c>
      <c r="H29" s="9">
        <f>IF(ISBLANK('Section 3'!D23),"",'Section 3'!D23)</f>
        <v>0</v>
      </c>
    </row>
    <row r="30" spans="1:8" x14ac:dyDescent="0.3">
      <c r="A30" s="9" t="str">
        <f>IF(ISBLANK('Sections 1 &amp; 2'!$C$4),"",'Sections 1 &amp; 2'!$C$4)</f>
        <v/>
      </c>
      <c r="B30" s="9" t="s">
        <v>2</v>
      </c>
      <c r="C30" s="11" t="str">
        <f>IF(ISBLANK('Sections 1 &amp; 2'!$C$6),"",CONCATENATE(RIGHT('Sections 1 &amp; 2'!$C$6,4),"-06-30"))</f>
        <v>2013-06-30</v>
      </c>
      <c r="D30" s="21" t="str">
        <f>IF(ISBLANK('Sections 1 &amp; 2'!$C$5),"",'Sections 1 &amp; 2'!$C$5)</f>
        <v/>
      </c>
      <c r="E30" s="15">
        <v>350</v>
      </c>
      <c r="F30" s="14">
        <v>99</v>
      </c>
      <c r="H30" s="9">
        <f>IF(ISBLANK('Section 3'!F21),"",'Section 3'!F21)</f>
        <v>0</v>
      </c>
    </row>
    <row r="31" spans="1:8" x14ac:dyDescent="0.3">
      <c r="A31" s="9" t="str">
        <f>IF(ISBLANK('Sections 1 &amp; 2'!$C$4),"",'Sections 1 &amp; 2'!$C$4)</f>
        <v/>
      </c>
      <c r="B31" s="9" t="s">
        <v>2</v>
      </c>
      <c r="C31" s="11" t="str">
        <f>IF(ISBLANK('Sections 1 &amp; 2'!$C$6),"",CONCATENATE(RIGHT('Sections 1 &amp; 2'!$C$6,4),"-06-30"))</f>
        <v>2013-06-30</v>
      </c>
      <c r="D31" s="21" t="str">
        <f>IF(ISBLANK('Sections 1 &amp; 2'!$C$5),"",'Sections 1 &amp; 2'!$C$5)</f>
        <v/>
      </c>
      <c r="E31" s="15">
        <v>360</v>
      </c>
      <c r="F31" s="14">
        <v>99</v>
      </c>
      <c r="H31" s="9">
        <f>IF(ISBLANK('Section 3'!F22),"",'Section 3'!F22)</f>
        <v>0</v>
      </c>
    </row>
    <row r="32" spans="1:8" x14ac:dyDescent="0.3">
      <c r="A32" s="9" t="str">
        <f>IF(ISBLANK('Sections 1 &amp; 2'!$C$4),"",'Sections 1 &amp; 2'!$C$4)</f>
        <v/>
      </c>
      <c r="B32" s="9" t="s">
        <v>2</v>
      </c>
      <c r="C32" s="11" t="str">
        <f>IF(ISBLANK('Sections 1 &amp; 2'!$C$6),"",CONCATENATE(RIGHT('Sections 1 &amp; 2'!$C$6,4),"-06-30"))</f>
        <v>2013-06-30</v>
      </c>
      <c r="D32" s="21" t="str">
        <f>IF(ISBLANK('Sections 1 &amp; 2'!$C$5),"",'Sections 1 &amp; 2'!$C$5)</f>
        <v/>
      </c>
      <c r="E32" s="15">
        <v>370</v>
      </c>
      <c r="F32" s="14">
        <v>99</v>
      </c>
      <c r="H32" s="9">
        <f>IF(ISBLANK('Section 3'!F23),"",'Section 3'!F23)</f>
        <v>0</v>
      </c>
    </row>
    <row r="33" spans="1:9" x14ac:dyDescent="0.3">
      <c r="A33" s="9" t="str">
        <f>IF(ISBLANK('Sections 1 &amp; 2'!$C$4),"",'Sections 1 &amp; 2'!$C$4)</f>
        <v/>
      </c>
      <c r="B33" s="9" t="s">
        <v>2</v>
      </c>
      <c r="C33" s="11" t="str">
        <f>IF(ISBLANK('Sections 1 &amp; 2'!$C$6),"",CONCATENATE(RIGHT('Sections 1 &amp; 2'!$C$6,4),"-06-30"))</f>
        <v>2013-06-30</v>
      </c>
      <c r="D33" s="21" t="str">
        <f>IF(ISBLANK('Sections 1 &amp; 2'!$C$5),"",'Sections 1 &amp; 2'!$C$5)</f>
        <v/>
      </c>
      <c r="E33" s="15">
        <v>380</v>
      </c>
      <c r="F33" s="14">
        <v>99</v>
      </c>
      <c r="H33" s="9">
        <f>IF(ISBLANK('Section 3'!D26),"",'Section 3'!D26)</f>
        <v>0</v>
      </c>
    </row>
    <row r="34" spans="1:9" x14ac:dyDescent="0.3">
      <c r="A34" s="9" t="str">
        <f>IF(ISBLANK('Sections 1 &amp; 2'!$C$4),"",'Sections 1 &amp; 2'!$C$4)</f>
        <v/>
      </c>
      <c r="B34" s="9" t="s">
        <v>2</v>
      </c>
      <c r="C34" s="11" t="str">
        <f>IF(ISBLANK('Sections 1 &amp; 2'!$C$6),"",CONCATENATE(RIGHT('Sections 1 &amp; 2'!$C$6,4),"-06-30"))</f>
        <v>2013-06-30</v>
      </c>
      <c r="D34" s="21" t="str">
        <f>IF(ISBLANK('Sections 1 &amp; 2'!$C$5),"",'Sections 1 &amp; 2'!$C$5)</f>
        <v/>
      </c>
      <c r="E34" s="15">
        <v>390</v>
      </c>
      <c r="F34" s="14">
        <v>99</v>
      </c>
      <c r="H34" s="9">
        <f>IF(ISBLANK('Section 3'!D27),"",'Section 3'!D27)</f>
        <v>0</v>
      </c>
    </row>
    <row r="35" spans="1:9" x14ac:dyDescent="0.3">
      <c r="A35" s="9" t="str">
        <f>IF(ISBLANK('Sections 1 &amp; 2'!$C$4),"",'Sections 1 &amp; 2'!$C$4)</f>
        <v/>
      </c>
      <c r="B35" s="9" t="s">
        <v>2</v>
      </c>
      <c r="C35" s="11" t="str">
        <f>IF(ISBLANK('Sections 1 &amp; 2'!$C$6),"",CONCATENATE(RIGHT('Sections 1 &amp; 2'!$C$6,4),"-06-30"))</f>
        <v>2013-06-30</v>
      </c>
      <c r="D35" s="21" t="str">
        <f>IF(ISBLANK('Sections 1 &amp; 2'!$C$5),"",'Sections 1 &amp; 2'!$C$5)</f>
        <v/>
      </c>
      <c r="E35" s="15">
        <v>400</v>
      </c>
      <c r="F35" s="14">
        <v>99</v>
      </c>
      <c r="H35" s="9">
        <f>IF(ISBLANK('Section 3'!D28),"",'Section 3'!D28)</f>
        <v>0</v>
      </c>
    </row>
    <row r="36" spans="1:9" x14ac:dyDescent="0.3">
      <c r="A36" s="9" t="str">
        <f>IF(ISBLANK('Sections 1 &amp; 2'!$C$4),"",'Sections 1 &amp; 2'!$C$4)</f>
        <v/>
      </c>
      <c r="B36" s="9" t="s">
        <v>2</v>
      </c>
      <c r="C36" s="11" t="str">
        <f>IF(ISBLANK('Sections 1 &amp; 2'!$C$6),"",CONCATENATE(RIGHT('Sections 1 &amp; 2'!$C$6,4),"-06-30"))</f>
        <v>2013-06-30</v>
      </c>
      <c r="D36" s="21" t="str">
        <f>IF(ISBLANK('Sections 1 &amp; 2'!$C$5),"",'Sections 1 &amp; 2'!$C$5)</f>
        <v/>
      </c>
      <c r="E36" s="15">
        <v>410</v>
      </c>
      <c r="F36" s="14">
        <v>99</v>
      </c>
      <c r="H36" s="9">
        <f>IF(ISBLANK('Section 3'!F26),"",'Section 3'!F26)</f>
        <v>0</v>
      </c>
    </row>
    <row r="37" spans="1:9" x14ac:dyDescent="0.3">
      <c r="A37" s="9" t="str">
        <f>IF(ISBLANK('Sections 1 &amp; 2'!$C$4),"",'Sections 1 &amp; 2'!$C$4)</f>
        <v/>
      </c>
      <c r="B37" s="9" t="s">
        <v>2</v>
      </c>
      <c r="C37" s="11" t="str">
        <f>IF(ISBLANK('Sections 1 &amp; 2'!$C$6),"",CONCATENATE(RIGHT('Sections 1 &amp; 2'!$C$6,4),"-06-30"))</f>
        <v>2013-06-30</v>
      </c>
      <c r="D37" s="21" t="str">
        <f>IF(ISBLANK('Sections 1 &amp; 2'!$C$5),"",'Sections 1 &amp; 2'!$C$5)</f>
        <v/>
      </c>
      <c r="E37" s="15">
        <v>420</v>
      </c>
      <c r="F37" s="14">
        <v>99</v>
      </c>
      <c r="H37" s="9">
        <f>IF(ISBLANK('Section 3'!F27),"",'Section 3'!F27)</f>
        <v>0</v>
      </c>
    </row>
    <row r="38" spans="1:9" x14ac:dyDescent="0.3">
      <c r="A38" s="9" t="str">
        <f>IF(ISBLANK('Sections 1 &amp; 2'!$C$4),"",'Sections 1 &amp; 2'!$C$4)</f>
        <v/>
      </c>
      <c r="B38" s="9" t="s">
        <v>2</v>
      </c>
      <c r="C38" s="11" t="str">
        <f>IF(ISBLANK('Sections 1 &amp; 2'!$C$6),"",CONCATENATE(RIGHT('Sections 1 &amp; 2'!$C$6,4),"-06-30"))</f>
        <v>2013-06-30</v>
      </c>
      <c r="D38" s="21" t="str">
        <f>IF(ISBLANK('Sections 1 &amp; 2'!$C$5),"",'Sections 1 &amp; 2'!$C$5)</f>
        <v/>
      </c>
      <c r="E38" s="15">
        <v>430</v>
      </c>
      <c r="F38" s="14">
        <v>99</v>
      </c>
      <c r="H38" s="9">
        <f>IF(ISBLANK('Section 3'!F28),"",'Section 3'!F28)</f>
        <v>0</v>
      </c>
    </row>
    <row r="39" spans="1:9" x14ac:dyDescent="0.3">
      <c r="A39" s="9" t="str">
        <f>IF(ISBLANK('Sections 1 &amp; 2'!$C$4),"",'Sections 1 &amp; 2'!$C$4)</f>
        <v/>
      </c>
      <c r="B39" s="9" t="s">
        <v>2</v>
      </c>
      <c r="C39" s="11" t="str">
        <f>IF(ISBLANK('Sections 1 &amp; 2'!$C$6),"",CONCATENATE(RIGHT('Sections 1 &amp; 2'!$C$6,4),"-06-30"))</f>
        <v>2013-06-30</v>
      </c>
      <c r="D39" s="21" t="str">
        <f>IF(ISBLANK('Sections 1 &amp; 2'!$C$5),"",'Sections 1 &amp; 2'!$C$5)</f>
        <v/>
      </c>
      <c r="E39" s="15">
        <v>440</v>
      </c>
      <c r="F39" s="14">
        <v>99</v>
      </c>
      <c r="H39" s="9">
        <f>IF(ISBLANK('Section 3'!D34),"",'Section 3'!D34)</f>
        <v>0</v>
      </c>
    </row>
    <row r="40" spans="1:9" x14ac:dyDescent="0.3">
      <c r="A40" s="9" t="str">
        <f>IF(ISBLANK('Sections 1 &amp; 2'!$C$4),"",'Sections 1 &amp; 2'!$C$4)</f>
        <v/>
      </c>
      <c r="B40" s="9" t="s">
        <v>2</v>
      </c>
      <c r="C40" s="11" t="str">
        <f>IF(ISBLANK('Sections 1 &amp; 2'!$C$6),"",CONCATENATE(RIGHT('Sections 1 &amp; 2'!$C$6,4),"-06-30"))</f>
        <v>2013-06-30</v>
      </c>
      <c r="D40" s="21" t="str">
        <f>IF(ISBLANK('Sections 1 &amp; 2'!$C$5),"",'Sections 1 &amp; 2'!$C$5)</f>
        <v/>
      </c>
      <c r="E40" s="15">
        <v>450</v>
      </c>
      <c r="F40" s="14">
        <v>99</v>
      </c>
      <c r="H40" s="9">
        <f>IF(ISBLANK('Section 3'!F34),"",'Section 3'!F34)</f>
        <v>0</v>
      </c>
    </row>
    <row r="41" spans="1:9" x14ac:dyDescent="0.3">
      <c r="A41" s="9" t="str">
        <f>IF(ISBLANK('Sections 1 &amp; 2'!$C$4),"",'Sections 1 &amp; 2'!$C$4)</f>
        <v/>
      </c>
      <c r="B41" s="9" t="s">
        <v>2</v>
      </c>
      <c r="C41" s="11" t="str">
        <f>IF(ISBLANK('Sections 1 &amp; 2'!$C$6),"",CONCATENATE(RIGHT('Sections 1 &amp; 2'!$C$6,4),"-06-30"))</f>
        <v>2013-06-30</v>
      </c>
      <c r="D41" s="21" t="str">
        <f>IF(ISBLANK('Sections 1 &amp; 2'!$C$5),"",'Sections 1 &amp; 2'!$C$5)</f>
        <v/>
      </c>
      <c r="E41" s="15">
        <v>460</v>
      </c>
      <c r="F41" s="14">
        <v>99</v>
      </c>
      <c r="H41" s="9">
        <f>IF(ISBLANK('Section 3'!D35),"",'Section 3'!D35)</f>
        <v>0</v>
      </c>
    </row>
    <row r="42" spans="1:9" x14ac:dyDescent="0.3">
      <c r="A42" s="9" t="str">
        <f>IF(ISBLANK('Sections 1 &amp; 2'!$C$4),"",'Sections 1 &amp; 2'!$C$4)</f>
        <v/>
      </c>
      <c r="B42" s="9" t="s">
        <v>2</v>
      </c>
      <c r="C42" s="11" t="str">
        <f>IF(ISBLANK('Sections 1 &amp; 2'!$C$6),"",CONCATENATE(RIGHT('Sections 1 &amp; 2'!$C$6,4),"-06-30"))</f>
        <v>2013-06-30</v>
      </c>
      <c r="D42" s="21" t="str">
        <f>IF(ISBLANK('Sections 1 &amp; 2'!$C$5),"",'Sections 1 &amp; 2'!$C$5)</f>
        <v/>
      </c>
      <c r="E42" s="15">
        <v>470</v>
      </c>
      <c r="F42" s="14">
        <v>99</v>
      </c>
      <c r="H42" s="9">
        <f>IF(ISBLANK('Section 3'!F35),"",'Section 3'!F35)</f>
        <v>0</v>
      </c>
    </row>
    <row r="43" spans="1:9" x14ac:dyDescent="0.3">
      <c r="A43" s="9" t="str">
        <f>IF(ISBLANK('Sections 1 &amp; 2'!$C$4),"",'Sections 1 &amp; 2'!$C$4)</f>
        <v/>
      </c>
      <c r="B43" s="9" t="s">
        <v>2</v>
      </c>
      <c r="C43" s="11" t="str">
        <f>IF(ISBLANK('Sections 1 &amp; 2'!$C$6),"",CONCATENATE(RIGHT('Sections 1 &amp; 2'!$C$6,4),"-06-30"))</f>
        <v>2013-06-30</v>
      </c>
      <c r="D43" s="21" t="str">
        <f>IF(ISBLANK('Sections 1 &amp; 2'!$C$5),"",'Sections 1 &amp; 2'!$C$5)</f>
        <v/>
      </c>
      <c r="E43" s="15">
        <v>480</v>
      </c>
      <c r="F43" s="14">
        <v>99</v>
      </c>
      <c r="H43" s="9">
        <f>IF(ISBLANK('Section 3'!D36),"",'Section 3'!D36)</f>
        <v>0</v>
      </c>
    </row>
    <row r="44" spans="1:9" x14ac:dyDescent="0.3">
      <c r="A44" s="9" t="str">
        <f>IF(ISBLANK('Sections 1 &amp; 2'!$C$4),"",'Sections 1 &amp; 2'!$C$4)</f>
        <v/>
      </c>
      <c r="B44" s="9" t="s">
        <v>2</v>
      </c>
      <c r="C44" s="11" t="str">
        <f>IF(ISBLANK('Sections 1 &amp; 2'!$C$6),"",CONCATENATE(RIGHT('Sections 1 &amp; 2'!$C$6,4),"-06-30"))</f>
        <v>2013-06-30</v>
      </c>
      <c r="D44" s="21" t="str">
        <f>IF(ISBLANK('Sections 1 &amp; 2'!$C$5),"",'Sections 1 &amp; 2'!$C$5)</f>
        <v/>
      </c>
      <c r="E44" s="15">
        <v>490</v>
      </c>
      <c r="F44" s="14">
        <v>99</v>
      </c>
      <c r="H44" s="9">
        <f>IF(ISBLANK('Section 3'!F36),"",'Section 3'!F36)</f>
        <v>0</v>
      </c>
    </row>
    <row r="45" spans="1:9" x14ac:dyDescent="0.3">
      <c r="A45" s="9" t="str">
        <f>IF(ISBLANK('Sections 1 &amp; 2'!$C$4),"",'Sections 1 &amp; 2'!$C$4)</f>
        <v/>
      </c>
      <c r="B45" s="9" t="s">
        <v>2</v>
      </c>
      <c r="C45" s="11" t="str">
        <f>IF(ISBLANK('Sections 1 &amp; 2'!$C$6),"",CONCATENATE(RIGHT('Sections 1 &amp; 2'!$C$6,4),"-06-30"))</f>
        <v>2013-06-30</v>
      </c>
      <c r="D45" s="21" t="str">
        <f>IF(ISBLANK('Sections 1 &amp; 2'!$C$5),"",'Sections 1 &amp; 2'!$C$5)</f>
        <v/>
      </c>
      <c r="E45" s="15">
        <v>500</v>
      </c>
      <c r="F45" s="14">
        <v>99</v>
      </c>
      <c r="H45" s="9">
        <f>IF(ISBLANK('Section 3'!D37),"",'Section 3'!D37)</f>
        <v>0</v>
      </c>
    </row>
    <row r="46" spans="1:9" x14ac:dyDescent="0.3">
      <c r="A46" s="9" t="str">
        <f>IF(ISBLANK('Sections 1 &amp; 2'!$C$4),"",'Sections 1 &amp; 2'!$C$4)</f>
        <v/>
      </c>
      <c r="B46" s="9" t="s">
        <v>2</v>
      </c>
      <c r="C46" s="11" t="str">
        <f>IF(ISBLANK('Sections 1 &amp; 2'!$C$6),"",CONCATENATE(RIGHT('Sections 1 &amp; 2'!$C$6,4),"-06-30"))</f>
        <v>2013-06-30</v>
      </c>
      <c r="D46" s="21" t="str">
        <f>IF(ISBLANK('Sections 1 &amp; 2'!$C$5),"",'Sections 1 &amp; 2'!$C$5)</f>
        <v/>
      </c>
      <c r="E46" s="15">
        <v>510</v>
      </c>
      <c r="F46" s="14">
        <v>99</v>
      </c>
      <c r="H46" s="9">
        <f>IF(ISBLANK('Section 3'!F37),"",'Section 3'!F37)</f>
        <v>0</v>
      </c>
      <c r="I46" s="9"/>
    </row>
    <row r="47" spans="1:9" x14ac:dyDescent="0.3">
      <c r="A47" s="9" t="str">
        <f>IF(ISBLANK('Sections 1 &amp; 2'!$C$4),"",'Sections 1 &amp; 2'!$C$4)</f>
        <v/>
      </c>
      <c r="B47" s="9" t="s">
        <v>2</v>
      </c>
      <c r="C47" s="11" t="str">
        <f>IF(ISBLANK('Sections 1 &amp; 2'!$C$6),"",CONCATENATE(RIGHT('Sections 1 &amp; 2'!$C$6,4),"-06-30"))</f>
        <v>2013-06-30</v>
      </c>
      <c r="D47" s="21" t="str">
        <f>IF(ISBLANK('Sections 1 &amp; 2'!$C$5),"",'Sections 1 &amp; 2'!$C$5)</f>
        <v/>
      </c>
      <c r="E47" s="15">
        <v>520</v>
      </c>
      <c r="F47" s="14">
        <v>99</v>
      </c>
      <c r="H47" s="9">
        <f>IF(ISBLANK('Section 3'!D38),"",'Section 3'!D38)</f>
        <v>0</v>
      </c>
      <c r="I47" s="9"/>
    </row>
    <row r="48" spans="1:9" x14ac:dyDescent="0.3">
      <c r="A48" s="9" t="str">
        <f>IF(ISBLANK('Sections 1 &amp; 2'!$C$4),"",'Sections 1 &amp; 2'!$C$4)</f>
        <v/>
      </c>
      <c r="B48" s="9" t="s">
        <v>2</v>
      </c>
      <c r="C48" s="11" t="str">
        <f>IF(ISBLANK('Sections 1 &amp; 2'!$C$6),"",CONCATENATE(RIGHT('Sections 1 &amp; 2'!$C$6,4),"-06-30"))</f>
        <v>2013-06-30</v>
      </c>
      <c r="D48" s="21" t="str">
        <f>IF(ISBLANK('Sections 1 &amp; 2'!$C$5),"",'Sections 1 &amp; 2'!$C$5)</f>
        <v/>
      </c>
      <c r="E48" s="15">
        <v>530</v>
      </c>
      <c r="F48" s="14">
        <v>99</v>
      </c>
      <c r="H48" s="9">
        <f>IF(ISBLANK('Section 3'!F38),"",'Section 3'!F38)</f>
        <v>0</v>
      </c>
    </row>
    <row r="49" spans="1:9" x14ac:dyDescent="0.3">
      <c r="A49" s="9" t="str">
        <f>IF(ISBLANK('Sections 1 &amp; 2'!$C$4),"",'Sections 1 &amp; 2'!$C$4)</f>
        <v/>
      </c>
      <c r="B49" s="9" t="s">
        <v>2</v>
      </c>
      <c r="C49" s="11" t="str">
        <f>IF(ISBLANK('Sections 1 &amp; 2'!$C$6),"",CONCATENATE(RIGHT('Sections 1 &amp; 2'!$C$6,4),"-06-30"))</f>
        <v>2013-06-30</v>
      </c>
      <c r="D49" s="21" t="str">
        <f>IF(ISBLANK('Sections 1 &amp; 2'!$C$5),"",'Sections 1 &amp; 2'!$C$5)</f>
        <v/>
      </c>
      <c r="E49" s="15">
        <v>540</v>
      </c>
      <c r="F49" s="14">
        <v>99</v>
      </c>
      <c r="H49" s="9">
        <f>IF(ISBLANK('Section 3'!D41),"",'Section 3'!D41)</f>
        <v>0</v>
      </c>
    </row>
    <row r="50" spans="1:9" x14ac:dyDescent="0.3">
      <c r="A50" s="9" t="str">
        <f>IF(ISBLANK('Sections 1 &amp; 2'!$C$4),"",'Sections 1 &amp; 2'!$C$4)</f>
        <v/>
      </c>
      <c r="B50" s="9" t="s">
        <v>2</v>
      </c>
      <c r="C50" s="11" t="str">
        <f>IF(ISBLANK('Sections 1 &amp; 2'!$C$6),"",CONCATENATE(RIGHT('Sections 1 &amp; 2'!$C$6,4),"-06-30"))</f>
        <v>2013-06-30</v>
      </c>
      <c r="D50" s="21" t="str">
        <f>IF(ISBLANK('Sections 1 &amp; 2'!$C$5),"",'Sections 1 &amp; 2'!$C$5)</f>
        <v/>
      </c>
      <c r="E50" s="15">
        <v>550</v>
      </c>
      <c r="F50" s="14">
        <v>99</v>
      </c>
      <c r="H50" s="9">
        <f>IF(ISBLANK('Section 3'!F41),"",'Section 3'!F41)</f>
        <v>0</v>
      </c>
    </row>
    <row r="51" spans="1:9" x14ac:dyDescent="0.3">
      <c r="A51" s="9" t="str">
        <f>IF(ISBLANK('Sections 1 &amp; 2'!$C$4),"",'Sections 1 &amp; 2'!$C$4)</f>
        <v/>
      </c>
      <c r="B51" s="9" t="s">
        <v>2</v>
      </c>
      <c r="C51" s="11" t="str">
        <f>IF(ISBLANK('Sections 1 &amp; 2'!$C$6),"",CONCATENATE(RIGHT('Sections 1 &amp; 2'!$C$6,4),"-06-30"))</f>
        <v>2013-06-30</v>
      </c>
      <c r="D51" s="21" t="str">
        <f>IF(ISBLANK('Sections 1 &amp; 2'!$C$5),"",'Sections 1 &amp; 2'!$C$5)</f>
        <v/>
      </c>
      <c r="E51" s="15">
        <v>560</v>
      </c>
      <c r="F51" s="14">
        <v>99</v>
      </c>
      <c r="H51" s="9">
        <f>IF(ISBLANK('Section 3'!D42),"",'Section 3'!D42)</f>
        <v>0</v>
      </c>
    </row>
    <row r="52" spans="1:9" x14ac:dyDescent="0.3">
      <c r="A52" s="9" t="str">
        <f>IF(ISBLANK('Sections 1 &amp; 2'!$C$4),"",'Sections 1 &amp; 2'!$C$4)</f>
        <v/>
      </c>
      <c r="B52" s="9" t="s">
        <v>2</v>
      </c>
      <c r="C52" s="11" t="str">
        <f>IF(ISBLANK('Sections 1 &amp; 2'!$C$6),"",CONCATENATE(RIGHT('Sections 1 &amp; 2'!$C$6,4),"-06-30"))</f>
        <v>2013-06-30</v>
      </c>
      <c r="D52" s="21" t="str">
        <f>IF(ISBLANK('Sections 1 &amp; 2'!$C$5),"",'Sections 1 &amp; 2'!$C$5)</f>
        <v/>
      </c>
      <c r="E52" s="15">
        <v>570</v>
      </c>
      <c r="F52" s="14">
        <v>99</v>
      </c>
      <c r="H52" s="9">
        <f>IF(ISBLANK('Section 3'!F42),"",'Section 3'!F42)</f>
        <v>0</v>
      </c>
    </row>
    <row r="53" spans="1:9" x14ac:dyDescent="0.3">
      <c r="A53" s="9" t="str">
        <f>IF(ISBLANK('Sections 1 &amp; 2'!$C$4),"",'Sections 1 &amp; 2'!$C$4)</f>
        <v/>
      </c>
      <c r="B53" s="9" t="s">
        <v>2</v>
      </c>
      <c r="C53" s="11" t="str">
        <f>IF(ISBLANK('Sections 1 &amp; 2'!$C$6),"",CONCATENATE(RIGHT('Sections 1 &amp; 2'!$C$6,4),"-06-30"))</f>
        <v>2013-06-30</v>
      </c>
      <c r="D53" s="21" t="str">
        <f>IF(ISBLANK('Sections 1 &amp; 2'!$C$5),"",'Sections 1 &amp; 2'!$C$5)</f>
        <v/>
      </c>
      <c r="E53" s="15">
        <v>580</v>
      </c>
      <c r="F53" s="14">
        <v>99</v>
      </c>
      <c r="H53" s="9">
        <f>IF(ISBLANK('Section 3'!D43),"",'Section 3'!D43)</f>
        <v>0</v>
      </c>
    </row>
    <row r="54" spans="1:9" x14ac:dyDescent="0.3">
      <c r="A54" s="9" t="str">
        <f>IF(ISBLANK('Sections 1 &amp; 2'!$C$4),"",'Sections 1 &amp; 2'!$C$4)</f>
        <v/>
      </c>
      <c r="B54" s="9" t="s">
        <v>2</v>
      </c>
      <c r="C54" s="11" t="str">
        <f>IF(ISBLANK('Sections 1 &amp; 2'!$C$6),"",CONCATENATE(RIGHT('Sections 1 &amp; 2'!$C$6,4),"-06-30"))</f>
        <v>2013-06-30</v>
      </c>
      <c r="D54" s="21" t="str">
        <f>IF(ISBLANK('Sections 1 &amp; 2'!$C$5),"",'Sections 1 &amp; 2'!$C$5)</f>
        <v/>
      </c>
      <c r="E54" s="15">
        <v>590</v>
      </c>
      <c r="F54" s="14">
        <v>99</v>
      </c>
      <c r="H54" s="9">
        <f>IF(ISBLANK('Section 3'!F43),"",'Section 3'!F43)</f>
        <v>0</v>
      </c>
      <c r="I54" s="9"/>
    </row>
    <row r="55" spans="1:9" x14ac:dyDescent="0.3">
      <c r="A55" s="9" t="str">
        <f>IF(ISBLANK('Sections 1 &amp; 2'!$C$4),"",'Sections 1 &amp; 2'!$C$4)</f>
        <v/>
      </c>
      <c r="B55" s="9" t="s">
        <v>2</v>
      </c>
      <c r="C55" s="11" t="str">
        <f>IF(ISBLANK('Sections 1 &amp; 2'!$C$6),"",CONCATENATE(RIGHT('Sections 1 &amp; 2'!$C$6,4),"-06-30"))</f>
        <v>2013-06-30</v>
      </c>
      <c r="D55" s="21" t="str">
        <f>IF(ISBLANK('Sections 1 &amp; 2'!$C$5),"",'Sections 1 &amp; 2'!$C$5)</f>
        <v/>
      </c>
      <c r="E55" s="15">
        <v>600</v>
      </c>
      <c r="F55" s="14">
        <v>99</v>
      </c>
      <c r="H55" s="9">
        <f>IF(ISBLANK('Section 3'!D44),"",'Section 3'!D44)</f>
        <v>0</v>
      </c>
      <c r="I55" s="9"/>
    </row>
    <row r="56" spans="1:9" x14ac:dyDescent="0.3">
      <c r="A56" s="9" t="str">
        <f>IF(ISBLANK('Sections 1 &amp; 2'!$C$4),"",'Sections 1 &amp; 2'!$C$4)</f>
        <v/>
      </c>
      <c r="B56" s="9" t="s">
        <v>2</v>
      </c>
      <c r="C56" s="11" t="str">
        <f>IF(ISBLANK('Sections 1 &amp; 2'!$C$6),"",CONCATENATE(RIGHT('Sections 1 &amp; 2'!$C$6,4),"-06-30"))</f>
        <v>2013-06-30</v>
      </c>
      <c r="D56" s="21" t="str">
        <f>IF(ISBLANK('Sections 1 &amp; 2'!$C$5),"",'Sections 1 &amp; 2'!$C$5)</f>
        <v/>
      </c>
      <c r="E56" s="15">
        <v>610</v>
      </c>
      <c r="F56" s="14">
        <v>99</v>
      </c>
      <c r="H56" s="9">
        <f>IF(ISBLANK('Section 3'!F44),"",'Section 3'!F44)</f>
        <v>0</v>
      </c>
    </row>
    <row r="57" spans="1:9" x14ac:dyDescent="0.3">
      <c r="A57" s="9" t="str">
        <f>IF(ISBLANK('Sections 1 &amp; 2'!$C$4),"",'Sections 1 &amp; 2'!$C$4)</f>
        <v/>
      </c>
      <c r="B57" s="9" t="s">
        <v>2</v>
      </c>
      <c r="C57" s="11" t="str">
        <f>IF(ISBLANK('Sections 1 &amp; 2'!$C$6),"",CONCATENATE(RIGHT('Sections 1 &amp; 2'!$C$6,4),"-06-30"))</f>
        <v>2013-06-30</v>
      </c>
      <c r="D57" s="21" t="str">
        <f>IF(ISBLANK('Sections 1 &amp; 2'!$C$5),"",'Sections 1 &amp; 2'!$C$5)</f>
        <v/>
      </c>
      <c r="E57" s="15">
        <v>620</v>
      </c>
      <c r="F57" s="14">
        <v>99</v>
      </c>
      <c r="H57" s="9">
        <f>IF(ISBLANK('Section 3'!D45),"",'Section 3'!D45)</f>
        <v>0</v>
      </c>
    </row>
    <row r="58" spans="1:9" x14ac:dyDescent="0.3">
      <c r="A58" s="9" t="str">
        <f>IF(ISBLANK('Sections 1 &amp; 2'!$C$4),"",'Sections 1 &amp; 2'!$C$4)</f>
        <v/>
      </c>
      <c r="B58" s="9" t="s">
        <v>2</v>
      </c>
      <c r="C58" s="11" t="str">
        <f>IF(ISBLANK('Sections 1 &amp; 2'!$C$6),"",CONCATENATE(RIGHT('Sections 1 &amp; 2'!$C$6,4),"-06-30"))</f>
        <v>2013-06-30</v>
      </c>
      <c r="D58" s="21" t="str">
        <f>IF(ISBLANK('Sections 1 &amp; 2'!$C$5),"",'Sections 1 &amp; 2'!$C$5)</f>
        <v/>
      </c>
      <c r="E58" s="15">
        <v>630</v>
      </c>
      <c r="F58" s="14">
        <v>99</v>
      </c>
      <c r="H58" s="9">
        <f>IF(ISBLANK('Section 3'!F45),"",'Section 3'!F45)</f>
        <v>0</v>
      </c>
    </row>
    <row r="59" spans="1:9" x14ac:dyDescent="0.3">
      <c r="A59" s="9" t="str">
        <f>IF(ISBLANK('Sections 1 &amp; 2'!$C$4),"",'Sections 1 &amp; 2'!$C$4)</f>
        <v/>
      </c>
      <c r="B59" s="9" t="s">
        <v>2</v>
      </c>
      <c r="C59" s="11" t="str">
        <f>IF(ISBLANK('Sections 1 &amp; 2'!$C$6),"",CONCATENATE(RIGHT('Sections 1 &amp; 2'!$C$6,4),"-06-30"))</f>
        <v>2013-06-30</v>
      </c>
      <c r="D59" s="21" t="str">
        <f>IF(ISBLANK('Sections 1 &amp; 2'!$C$5),"",'Sections 1 &amp; 2'!$C$5)</f>
        <v/>
      </c>
      <c r="E59" s="15">
        <v>640</v>
      </c>
      <c r="F59" s="14">
        <v>99</v>
      </c>
      <c r="H59" s="9">
        <f>IF(ISBLANK('Section 3'!D48),"",'Section 3'!D48)</f>
        <v>0</v>
      </c>
      <c r="I59" s="9"/>
    </row>
    <row r="60" spans="1:9" x14ac:dyDescent="0.3">
      <c r="A60" s="9" t="str">
        <f>IF(ISBLANK('Sections 1 &amp; 2'!$C$4),"",'Sections 1 &amp; 2'!$C$4)</f>
        <v/>
      </c>
      <c r="B60" s="9" t="s">
        <v>2</v>
      </c>
      <c r="C60" s="11" t="str">
        <f>IF(ISBLANK('Sections 1 &amp; 2'!$C$6),"",CONCATENATE(RIGHT('Sections 1 &amp; 2'!$C$6,4),"-06-30"))</f>
        <v>2013-06-30</v>
      </c>
      <c r="D60" s="21" t="str">
        <f>IF(ISBLANK('Sections 1 &amp; 2'!$C$5),"",'Sections 1 &amp; 2'!$C$5)</f>
        <v/>
      </c>
      <c r="E60" s="15">
        <v>650</v>
      </c>
      <c r="F60" s="14">
        <v>99</v>
      </c>
      <c r="H60" s="9">
        <f>IF(ISBLANK('Section 3'!F48),"",'Section 3'!F48)</f>
        <v>0</v>
      </c>
    </row>
    <row r="61" spans="1:9" x14ac:dyDescent="0.3">
      <c r="A61" s="9" t="str">
        <f>IF(ISBLANK('Sections 1 &amp; 2'!$C$4),"",'Sections 1 &amp; 2'!$C$4)</f>
        <v/>
      </c>
      <c r="B61" s="9" t="s">
        <v>2</v>
      </c>
      <c r="C61" s="11" t="str">
        <f>IF(ISBLANK('Sections 1 &amp; 2'!$C$6),"",CONCATENATE(RIGHT('Sections 1 &amp; 2'!$C$6,4),"-06-30"))</f>
        <v>2013-06-30</v>
      </c>
      <c r="D61" s="21" t="str">
        <f>IF(ISBLANK('Sections 1 &amp; 2'!$C$5),"",'Sections 1 &amp; 2'!$C$5)</f>
        <v/>
      </c>
      <c r="E61" s="15">
        <v>660</v>
      </c>
      <c r="F61" s="14">
        <v>99</v>
      </c>
      <c r="H61" s="9">
        <f>IF(ISBLANK('Section 3'!D49),"",'Section 3'!D49)</f>
        <v>0</v>
      </c>
    </row>
    <row r="62" spans="1:9" x14ac:dyDescent="0.3">
      <c r="A62" s="9" t="str">
        <f>IF(ISBLANK('Sections 1 &amp; 2'!$C$4),"",'Sections 1 &amp; 2'!$C$4)</f>
        <v/>
      </c>
      <c r="B62" s="9" t="s">
        <v>2</v>
      </c>
      <c r="C62" s="11" t="str">
        <f>IF(ISBLANK('Sections 1 &amp; 2'!$C$6),"",CONCATENATE(RIGHT('Sections 1 &amp; 2'!$C$6,4),"-06-30"))</f>
        <v>2013-06-30</v>
      </c>
      <c r="D62" s="21" t="str">
        <f>IF(ISBLANK('Sections 1 &amp; 2'!$C$5),"",'Sections 1 &amp; 2'!$C$5)</f>
        <v/>
      </c>
      <c r="E62" s="15">
        <v>670</v>
      </c>
      <c r="F62" s="14">
        <v>99</v>
      </c>
      <c r="H62" s="9">
        <f>IF(ISBLANK('Section 3'!F49),"",'Section 3'!F49)</f>
        <v>0</v>
      </c>
    </row>
    <row r="63" spans="1:9" x14ac:dyDescent="0.3">
      <c r="A63" s="9" t="str">
        <f>IF(ISBLANK('Sections 1 &amp; 2'!$C$4),"",'Sections 1 &amp; 2'!$C$4)</f>
        <v/>
      </c>
      <c r="B63" s="9" t="s">
        <v>2</v>
      </c>
      <c r="C63" s="11" t="str">
        <f>IF(ISBLANK('Sections 1 &amp; 2'!$C$6),"",CONCATENATE(RIGHT('Sections 1 &amp; 2'!$C$6,4),"-06-30"))</f>
        <v>2013-06-30</v>
      </c>
      <c r="D63" s="21" t="str">
        <f>IF(ISBLANK('Sections 1 &amp; 2'!$C$5),"",'Sections 1 &amp; 2'!$C$5)</f>
        <v/>
      </c>
      <c r="E63" s="15">
        <v>680</v>
      </c>
      <c r="F63" s="14">
        <v>99</v>
      </c>
      <c r="H63" s="9">
        <f>IF(ISBLANK('Section 3'!D50),"",'Section 3'!D50)</f>
        <v>0</v>
      </c>
    </row>
    <row r="64" spans="1:9" x14ac:dyDescent="0.3">
      <c r="A64" s="9" t="str">
        <f>IF(ISBLANK('Sections 1 &amp; 2'!$C$4),"",'Sections 1 &amp; 2'!$C$4)</f>
        <v/>
      </c>
      <c r="B64" s="9" t="s">
        <v>2</v>
      </c>
      <c r="C64" s="11" t="str">
        <f>IF(ISBLANK('Sections 1 &amp; 2'!$C$6),"",CONCATENATE(RIGHT('Sections 1 &amp; 2'!$C$6,4),"-06-30"))</f>
        <v>2013-06-30</v>
      </c>
      <c r="D64" s="21" t="str">
        <f>IF(ISBLANK('Sections 1 &amp; 2'!$C$5),"",'Sections 1 &amp; 2'!$C$5)</f>
        <v/>
      </c>
      <c r="E64" s="15">
        <v>690</v>
      </c>
      <c r="F64" s="14">
        <v>99</v>
      </c>
      <c r="H64" s="9">
        <f>IF(ISBLANK('Section 3'!F50),"",'Section 3'!F50)</f>
        <v>0</v>
      </c>
    </row>
    <row r="65" spans="1:8" x14ac:dyDescent="0.3">
      <c r="A65" s="9" t="str">
        <f>IF(ISBLANK('Sections 1 &amp; 2'!$C$4),"",'Sections 1 &amp; 2'!$C$4)</f>
        <v/>
      </c>
      <c r="B65" s="9" t="s">
        <v>2</v>
      </c>
      <c r="C65" s="11" t="str">
        <f>IF(ISBLANK('Sections 1 &amp; 2'!$C$6),"",CONCATENATE(RIGHT('Sections 1 &amp; 2'!$C$6,4),"-06-30"))</f>
        <v>2013-06-30</v>
      </c>
      <c r="D65" s="21" t="str">
        <f>IF(ISBLANK('Sections 1 &amp; 2'!$C$5),"",'Sections 1 &amp; 2'!$C$5)</f>
        <v/>
      </c>
      <c r="E65" s="15">
        <v>700</v>
      </c>
      <c r="F65" s="14">
        <v>99</v>
      </c>
      <c r="H65" s="9">
        <f>IF(ISBLANK('Section 3'!D51),"",'Section 3'!D51)</f>
        <v>0</v>
      </c>
    </row>
    <row r="66" spans="1:8" x14ac:dyDescent="0.3">
      <c r="A66" s="9" t="str">
        <f>IF(ISBLANK('Sections 1 &amp; 2'!$C$4),"",'Sections 1 &amp; 2'!$C$4)</f>
        <v/>
      </c>
      <c r="B66" s="9" t="s">
        <v>2</v>
      </c>
      <c r="C66" s="11" t="str">
        <f>IF(ISBLANK('Sections 1 &amp; 2'!$C$6),"",CONCATENATE(RIGHT('Sections 1 &amp; 2'!$C$6,4),"-06-30"))</f>
        <v>2013-06-30</v>
      </c>
      <c r="D66" s="21" t="str">
        <f>IF(ISBLANK('Sections 1 &amp; 2'!$C$5),"",'Sections 1 &amp; 2'!$C$5)</f>
        <v/>
      </c>
      <c r="E66" s="15">
        <v>710</v>
      </c>
      <c r="F66" s="14">
        <v>99</v>
      </c>
      <c r="H66" s="9">
        <f>IF(ISBLANK('Section 3'!F51),"",'Section 3'!F51)</f>
        <v>0</v>
      </c>
    </row>
    <row r="67" spans="1:8" x14ac:dyDescent="0.3">
      <c r="A67" s="9" t="str">
        <f>IF(ISBLANK('Sections 1 &amp; 2'!$C$4),"",'Sections 1 &amp; 2'!$C$4)</f>
        <v/>
      </c>
      <c r="B67" s="9" t="s">
        <v>2</v>
      </c>
      <c r="C67" s="11" t="str">
        <f>IF(ISBLANK('Sections 1 &amp; 2'!$C$6),"",CONCATENATE(RIGHT('Sections 1 &amp; 2'!$C$6,4),"-06-30"))</f>
        <v>2013-06-30</v>
      </c>
      <c r="D67" s="21" t="str">
        <f>IF(ISBLANK('Sections 1 &amp; 2'!$C$5),"",'Sections 1 &amp; 2'!$C$5)</f>
        <v/>
      </c>
      <c r="E67" s="15">
        <v>720</v>
      </c>
      <c r="F67" s="14">
        <v>99</v>
      </c>
      <c r="H67" s="9">
        <f>IF(ISBLANK('Section 3'!D52),"",'Section 3'!D52)</f>
        <v>0</v>
      </c>
    </row>
    <row r="68" spans="1:8" x14ac:dyDescent="0.3">
      <c r="A68" s="9" t="str">
        <f>IF(ISBLANK('Sections 1 &amp; 2'!$C$4),"",'Sections 1 &amp; 2'!$C$4)</f>
        <v/>
      </c>
      <c r="B68" s="9" t="s">
        <v>2</v>
      </c>
      <c r="C68" s="11" t="str">
        <f>IF(ISBLANK('Sections 1 &amp; 2'!$C$6),"",CONCATENATE(RIGHT('Sections 1 &amp; 2'!$C$6,4),"-06-30"))</f>
        <v>2013-06-30</v>
      </c>
      <c r="D68" s="21" t="str">
        <f>IF(ISBLANK('Sections 1 &amp; 2'!$C$5),"",'Sections 1 &amp; 2'!$C$5)</f>
        <v/>
      </c>
      <c r="E68" s="15">
        <v>730</v>
      </c>
      <c r="F68" s="14">
        <v>99</v>
      </c>
      <c r="H68" s="9">
        <f>IF(ISBLANK('Section 3'!F52),"",'Section 3'!F52)</f>
        <v>0</v>
      </c>
    </row>
    <row r="69" spans="1:8" x14ac:dyDescent="0.3">
      <c r="A69" s="9" t="str">
        <f>IF(ISBLANK('Sections 1 &amp; 2'!$C$4),"",'Sections 1 &amp; 2'!$C$4)</f>
        <v/>
      </c>
      <c r="B69" s="9" t="s">
        <v>2</v>
      </c>
      <c r="C69" s="11" t="str">
        <f>IF(ISBLANK('Sections 1 &amp; 2'!$C$6),"",CONCATENATE(RIGHT('Sections 1 &amp; 2'!$C$6,4),"-06-30"))</f>
        <v>2013-06-30</v>
      </c>
      <c r="D69" s="21" t="str">
        <f>IF(ISBLANK('Sections 1 &amp; 2'!$C$5),"",'Sections 1 &amp; 2'!$C$5)</f>
        <v/>
      </c>
      <c r="E69" s="15">
        <v>740</v>
      </c>
      <c r="F69" s="14">
        <v>99</v>
      </c>
      <c r="H69" s="9">
        <f>IF(ISBLANK('Section 3'!D55),"",'Section 3'!D55)</f>
        <v>0</v>
      </c>
    </row>
    <row r="70" spans="1:8" x14ac:dyDescent="0.3">
      <c r="A70" s="9" t="str">
        <f>IF(ISBLANK('Sections 1 &amp; 2'!$C$4),"",'Sections 1 &amp; 2'!$C$4)</f>
        <v/>
      </c>
      <c r="B70" s="9" t="s">
        <v>2</v>
      </c>
      <c r="C70" s="11" t="str">
        <f>IF(ISBLANK('Sections 1 &amp; 2'!$C$6),"",CONCATENATE(RIGHT('Sections 1 &amp; 2'!$C$6,4),"-06-30"))</f>
        <v>2013-06-30</v>
      </c>
      <c r="D70" s="21" t="str">
        <f>IF(ISBLANK('Sections 1 &amp; 2'!$C$5),"",'Sections 1 &amp; 2'!$C$5)</f>
        <v/>
      </c>
      <c r="E70" s="15">
        <v>750</v>
      </c>
      <c r="F70" s="14">
        <v>99</v>
      </c>
      <c r="H70" s="9">
        <f>IF(ISBLANK('Section 3'!F55),"",'Section 3'!F55)</f>
        <v>0</v>
      </c>
    </row>
    <row r="71" spans="1:8" x14ac:dyDescent="0.3">
      <c r="A71" s="9" t="str">
        <f>IF(ISBLANK('Sections 1 &amp; 2'!$C$4),"",'Sections 1 &amp; 2'!$C$4)</f>
        <v/>
      </c>
      <c r="B71" s="9" t="s">
        <v>2</v>
      </c>
      <c r="C71" s="11" t="str">
        <f>IF(ISBLANK('Sections 1 &amp; 2'!$C$6),"",CONCATENATE(RIGHT('Sections 1 &amp; 2'!$C$6,4),"-06-30"))</f>
        <v>2013-06-30</v>
      </c>
      <c r="D71" s="21" t="str">
        <f>IF(ISBLANK('Sections 1 &amp; 2'!$C$5),"",'Sections 1 &amp; 2'!$C$5)</f>
        <v/>
      </c>
      <c r="E71" s="15">
        <v>760</v>
      </c>
      <c r="F71" s="14">
        <v>99</v>
      </c>
      <c r="H71" s="9">
        <f>IF(ISBLANK('Section 3'!D56),"",'Section 3'!D56)</f>
        <v>0</v>
      </c>
    </row>
    <row r="72" spans="1:8" x14ac:dyDescent="0.3">
      <c r="A72" s="9" t="str">
        <f>IF(ISBLANK('Sections 1 &amp; 2'!$C$4),"",'Sections 1 &amp; 2'!$C$4)</f>
        <v/>
      </c>
      <c r="B72" s="9" t="s">
        <v>2</v>
      </c>
      <c r="C72" s="11" t="str">
        <f>IF(ISBLANK('Sections 1 &amp; 2'!$C$6),"",CONCATENATE(RIGHT('Sections 1 &amp; 2'!$C$6,4),"-06-30"))</f>
        <v>2013-06-30</v>
      </c>
      <c r="D72" s="21" t="str">
        <f>IF(ISBLANK('Sections 1 &amp; 2'!$C$5),"",'Sections 1 &amp; 2'!$C$5)</f>
        <v/>
      </c>
      <c r="E72" s="15">
        <v>770</v>
      </c>
      <c r="F72" s="14">
        <v>99</v>
      </c>
      <c r="H72" s="9">
        <f>IF(ISBLANK('Section 3'!F56),"",'Section 3'!F56)</f>
        <v>0</v>
      </c>
    </row>
    <row r="73" spans="1:8" x14ac:dyDescent="0.3">
      <c r="A73" s="9" t="str">
        <f>IF(ISBLANK('Sections 1 &amp; 2'!$C$4),"",'Sections 1 &amp; 2'!$C$4)</f>
        <v/>
      </c>
      <c r="B73" s="9" t="s">
        <v>2</v>
      </c>
      <c r="C73" s="11" t="str">
        <f>IF(ISBLANK('Sections 1 &amp; 2'!$C$6),"",CONCATENATE(RIGHT('Sections 1 &amp; 2'!$C$6,4),"-06-30"))</f>
        <v>2013-06-30</v>
      </c>
      <c r="D73" s="21" t="str">
        <f>IF(ISBLANK('Sections 1 &amp; 2'!$C$5),"",'Sections 1 &amp; 2'!$C$5)</f>
        <v/>
      </c>
      <c r="E73" s="15">
        <v>780</v>
      </c>
      <c r="F73" s="14">
        <v>99</v>
      </c>
      <c r="H73" s="9">
        <f>IF(ISBLANK('Section 3'!D57),"",'Section 3'!D57)</f>
        <v>0</v>
      </c>
    </row>
    <row r="74" spans="1:8" x14ac:dyDescent="0.3">
      <c r="A74" s="9" t="str">
        <f>IF(ISBLANK('Sections 1 &amp; 2'!$C$4),"",'Sections 1 &amp; 2'!$C$4)</f>
        <v/>
      </c>
      <c r="B74" s="9" t="s">
        <v>2</v>
      </c>
      <c r="C74" s="11" t="str">
        <f>IF(ISBLANK('Sections 1 &amp; 2'!$C$6),"",CONCATENATE(RIGHT('Sections 1 &amp; 2'!$C$6,4),"-06-30"))</f>
        <v>2013-06-30</v>
      </c>
      <c r="D74" s="21" t="str">
        <f>IF(ISBLANK('Sections 1 &amp; 2'!$C$5),"",'Sections 1 &amp; 2'!$C$5)</f>
        <v/>
      </c>
      <c r="E74" s="15">
        <v>790</v>
      </c>
      <c r="F74" s="14">
        <v>99</v>
      </c>
      <c r="H74" s="9">
        <f>IF(ISBLANK('Section 3'!F57),"",'Section 3'!F57)</f>
        <v>0</v>
      </c>
    </row>
    <row r="75" spans="1:8" x14ac:dyDescent="0.3">
      <c r="A75" s="9" t="str">
        <f>IF(ISBLANK('Sections 1 &amp; 2'!$C$4),"",'Sections 1 &amp; 2'!$C$4)</f>
        <v/>
      </c>
      <c r="B75" s="9" t="s">
        <v>2</v>
      </c>
      <c r="C75" s="11" t="str">
        <f>IF(ISBLANK('Sections 1 &amp; 2'!$C$6),"",CONCATENATE(RIGHT('Sections 1 &amp; 2'!$C$6,4),"-06-30"))</f>
        <v>2013-06-30</v>
      </c>
      <c r="D75" s="21" t="str">
        <f>IF(ISBLANK('Sections 1 &amp; 2'!$C$5),"",'Sections 1 &amp; 2'!$C$5)</f>
        <v/>
      </c>
      <c r="E75" s="15">
        <v>800</v>
      </c>
      <c r="F75" s="14">
        <v>99</v>
      </c>
      <c r="H75" s="9">
        <f>IF(ISBLANK('Section 3'!D58),"",'Section 3'!D58)</f>
        <v>0</v>
      </c>
    </row>
    <row r="76" spans="1:8" x14ac:dyDescent="0.3">
      <c r="A76" s="9" t="str">
        <f>IF(ISBLANK('Sections 1 &amp; 2'!$C$4),"",'Sections 1 &amp; 2'!$C$4)</f>
        <v/>
      </c>
      <c r="B76" s="9" t="s">
        <v>2</v>
      </c>
      <c r="C76" s="11" t="str">
        <f>IF(ISBLANK('Sections 1 &amp; 2'!$C$6),"",CONCATENATE(RIGHT('Sections 1 &amp; 2'!$C$6,4),"-06-30"))</f>
        <v>2013-06-30</v>
      </c>
      <c r="D76" s="21" t="str">
        <f>IF(ISBLANK('Sections 1 &amp; 2'!$C$5),"",'Sections 1 &amp; 2'!$C$5)</f>
        <v/>
      </c>
      <c r="E76" s="15">
        <v>810</v>
      </c>
      <c r="F76" s="14">
        <v>99</v>
      </c>
      <c r="H76" s="9">
        <f>IF(ISBLANK('Section 3'!F58),"",'Section 3'!F58)</f>
        <v>0</v>
      </c>
    </row>
    <row r="77" spans="1:8" x14ac:dyDescent="0.3">
      <c r="A77" s="9" t="str">
        <f>IF(ISBLANK('Sections 1 &amp; 2'!$C$4),"",'Sections 1 &amp; 2'!$C$4)</f>
        <v/>
      </c>
      <c r="B77" s="9" t="s">
        <v>2</v>
      </c>
      <c r="C77" s="11" t="str">
        <f>IF(ISBLANK('Sections 1 &amp; 2'!$C$6),"",CONCATENATE(RIGHT('Sections 1 &amp; 2'!$C$6,4),"-06-30"))</f>
        <v>2013-06-30</v>
      </c>
      <c r="D77" s="21" t="str">
        <f>IF(ISBLANK('Sections 1 &amp; 2'!$C$5),"",'Sections 1 &amp; 2'!$C$5)</f>
        <v/>
      </c>
      <c r="E77" s="15">
        <v>820</v>
      </c>
      <c r="F77" s="14">
        <v>99</v>
      </c>
      <c r="H77" s="9">
        <f>IF(ISBLANK('Section 3'!D59),"",'Section 3'!D59)</f>
        <v>0</v>
      </c>
    </row>
    <row r="78" spans="1:8" x14ac:dyDescent="0.3">
      <c r="A78" s="9" t="str">
        <f>IF(ISBLANK('Sections 1 &amp; 2'!$C$4),"",'Sections 1 &amp; 2'!$C$4)</f>
        <v/>
      </c>
      <c r="B78" s="9" t="s">
        <v>2</v>
      </c>
      <c r="C78" s="11" t="str">
        <f>IF(ISBLANK('Sections 1 &amp; 2'!$C$6),"",CONCATENATE(RIGHT('Sections 1 &amp; 2'!$C$6,4),"-06-30"))</f>
        <v>2013-06-30</v>
      </c>
      <c r="D78" s="21" t="str">
        <f>IF(ISBLANK('Sections 1 &amp; 2'!$C$5),"",'Sections 1 &amp; 2'!$C$5)</f>
        <v/>
      </c>
      <c r="E78" s="15">
        <v>830</v>
      </c>
      <c r="F78" s="14">
        <v>99</v>
      </c>
      <c r="H78" s="9">
        <f>IF(ISBLANK('Section 3'!F59),"",'Section 3'!F59)</f>
        <v>0</v>
      </c>
    </row>
    <row r="79" spans="1:8" x14ac:dyDescent="0.3">
      <c r="A79" s="9" t="str">
        <f>IF(ISBLANK('Sections 1 &amp; 2'!$C$4),"",'Sections 1 &amp; 2'!$C$4)</f>
        <v/>
      </c>
      <c r="B79" s="9" t="s">
        <v>2</v>
      </c>
      <c r="C79" s="11" t="str">
        <f>IF(ISBLANK('Sections 1 &amp; 2'!$C$6),"",CONCATENATE(RIGHT('Sections 1 &amp; 2'!$C$6,4),"-06-30"))</f>
        <v>2013-06-30</v>
      </c>
      <c r="D79" s="21" t="str">
        <f>IF(ISBLANK('Sections 1 &amp; 2'!$C$5),"",'Sections 1 &amp; 2'!$C$5)</f>
        <v/>
      </c>
      <c r="E79" s="15">
        <v>840</v>
      </c>
      <c r="F79" s="9" t="str">
        <f>IF(ISBLANK('Section 3'!J63),"",'Section 3'!J63)</f>
        <v/>
      </c>
      <c r="H79" s="9" t="str">
        <f>IF(ISBLANK('Section 3'!I63),"",'Section 3'!I63)</f>
        <v/>
      </c>
    </row>
    <row r="80" spans="1:8" x14ac:dyDescent="0.3">
      <c r="A80" s="9" t="str">
        <f>IF(ISBLANK('Sections 1 &amp; 2'!$C$4),"",'Sections 1 &amp; 2'!$C$4)</f>
        <v/>
      </c>
      <c r="B80" s="9" t="s">
        <v>2</v>
      </c>
      <c r="C80" s="11" t="str">
        <f>IF(ISBLANK('Sections 1 &amp; 2'!$C$6),"",CONCATENATE(RIGHT('Sections 1 &amp; 2'!$C$6,4),"-06-30"))</f>
        <v>2013-06-30</v>
      </c>
      <c r="D80" s="21" t="str">
        <f>IF(ISBLANK('Sections 1 &amp; 2'!$C$5),"",'Sections 1 &amp; 2'!$C$5)</f>
        <v/>
      </c>
      <c r="E80" s="15">
        <v>850</v>
      </c>
      <c r="F80" s="9" t="str">
        <f>IF(ISBLANK('Section 3'!J64),"",'Section 3'!J64)</f>
        <v/>
      </c>
      <c r="H80" s="9" t="str">
        <f>IF(ISBLANK('Section 3'!I64),"",'Section 3'!I64)</f>
        <v/>
      </c>
    </row>
    <row r="81" spans="1:8" x14ac:dyDescent="0.3">
      <c r="A81" s="9" t="str">
        <f>IF(ISBLANK('Sections 1 &amp; 2'!$C$4),"",'Sections 1 &amp; 2'!$C$4)</f>
        <v/>
      </c>
      <c r="B81" s="9" t="s">
        <v>2</v>
      </c>
      <c r="C81" s="11" t="str">
        <f>IF(ISBLANK('Sections 1 &amp; 2'!$C$6),"",CONCATENATE(RIGHT('Sections 1 &amp; 2'!$C$6,4),"-06-30"))</f>
        <v>2013-06-30</v>
      </c>
      <c r="D81" s="21" t="str">
        <f>IF(ISBLANK('Sections 1 &amp; 2'!$C$5),"",'Sections 1 &amp; 2'!$C$5)</f>
        <v/>
      </c>
      <c r="E81" s="15">
        <v>860</v>
      </c>
      <c r="F81" s="9" t="str">
        <f>IF(ISBLANK('Section 3'!J65),"",'Section 3'!J65)</f>
        <v/>
      </c>
      <c r="H81" s="9" t="str">
        <f>IF(ISBLANK('Section 3'!I65),"",'Section 3'!I65)</f>
        <v/>
      </c>
    </row>
    <row r="82" spans="1:8" x14ac:dyDescent="0.3">
      <c r="A82" s="9" t="str">
        <f>IF(ISBLANK('Sections 1 &amp; 2'!$C$4),"",'Sections 1 &amp; 2'!$C$4)</f>
        <v/>
      </c>
      <c r="B82" s="9" t="s">
        <v>2</v>
      </c>
      <c r="C82" s="11" t="str">
        <f>IF(ISBLANK('Sections 1 &amp; 2'!$C$6),"",CONCATENATE(RIGHT('Sections 1 &amp; 2'!$C$6,4),"-06-30"))</f>
        <v>2013-06-30</v>
      </c>
      <c r="D82" s="21" t="str">
        <f>IF(ISBLANK('Sections 1 &amp; 2'!$C$5),"",'Sections 1 &amp; 2'!$C$5)</f>
        <v/>
      </c>
      <c r="E82" s="15">
        <v>870</v>
      </c>
      <c r="F82" s="9" t="str">
        <f>IF(ISBLANK('Section 3'!J66),"",'Section 3'!J66)</f>
        <v/>
      </c>
      <c r="H82" s="9" t="str">
        <f>IF(ISBLANK('Section 3'!I66),"",'Section 3'!I66)</f>
        <v/>
      </c>
    </row>
    <row r="83" spans="1:8" x14ac:dyDescent="0.3">
      <c r="A83" s="9" t="str">
        <f>IF(ISBLANK('Sections 1 &amp; 2'!$C$4),"",'Sections 1 &amp; 2'!$C$4)</f>
        <v/>
      </c>
      <c r="B83" s="9" t="s">
        <v>2</v>
      </c>
      <c r="C83" s="11" t="str">
        <f>IF(ISBLANK('Sections 1 &amp; 2'!$C$6),"",CONCATENATE(RIGHT('Sections 1 &amp; 2'!$C$6,4),"-06-30"))</f>
        <v>2013-06-30</v>
      </c>
      <c r="D83" s="21" t="str">
        <f>IF(ISBLANK('Sections 1 &amp; 2'!$C$5),"",'Sections 1 &amp; 2'!$C$5)</f>
        <v/>
      </c>
      <c r="E83" s="15">
        <v>880</v>
      </c>
      <c r="F83" s="9" t="str">
        <f>IF(ISBLANK('Section 3'!J67),"",'Section 3'!J67)</f>
        <v/>
      </c>
      <c r="H83" s="9" t="str">
        <f>IF(ISBLANK('Section 3'!I67),"",'Section 3'!I67)</f>
        <v/>
      </c>
    </row>
    <row r="84" spans="1:8" x14ac:dyDescent="0.3">
      <c r="A84" s="9" t="str">
        <f>IF(ISBLANK('Sections 1 &amp; 2'!$C$4),"",'Sections 1 &amp; 2'!$C$4)</f>
        <v/>
      </c>
      <c r="B84" s="9" t="s">
        <v>2</v>
      </c>
      <c r="C84" s="11" t="str">
        <f>IF(ISBLANK('Sections 1 &amp; 2'!$C$6),"",CONCATENATE(RIGHT('Sections 1 &amp; 2'!$C$6,4),"-06-30"))</f>
        <v>2013-06-30</v>
      </c>
      <c r="D84" s="21" t="str">
        <f>IF(ISBLANK('Sections 1 &amp; 2'!$C$5),"",'Sections 1 &amp; 2'!$C$5)</f>
        <v/>
      </c>
      <c r="E84" s="15">
        <v>890</v>
      </c>
      <c r="F84" s="9" t="str">
        <f>IF(ISBLANK('Section 3'!J68),"",'Section 3'!J68)</f>
        <v/>
      </c>
      <c r="H84" s="9" t="str">
        <f>IF(ISBLANK('Section 3'!I68),"",'Section 3'!I68)</f>
        <v/>
      </c>
    </row>
    <row r="85" spans="1:8" x14ac:dyDescent="0.3">
      <c r="A85" s="9" t="str">
        <f>IF(ISBLANK('Sections 1 &amp; 2'!$C$4),"",'Sections 1 &amp; 2'!$C$4)</f>
        <v/>
      </c>
      <c r="B85" s="9" t="s">
        <v>2</v>
      </c>
      <c r="C85" s="11" t="str">
        <f>IF(ISBLANK('Sections 1 &amp; 2'!$C$6),"",CONCATENATE(RIGHT('Sections 1 &amp; 2'!$C$6,4),"-06-30"))</f>
        <v>2013-06-30</v>
      </c>
      <c r="D85" s="21" t="str">
        <f>IF(ISBLANK('Sections 1 &amp; 2'!$C$5),"",'Sections 1 &amp; 2'!$C$5)</f>
        <v/>
      </c>
      <c r="E85" s="15">
        <v>900</v>
      </c>
      <c r="F85" s="9" t="str">
        <f>IF(ISBLANK('Section 3'!J69),"",'Section 3'!J69)</f>
        <v/>
      </c>
      <c r="H85" s="9" t="str">
        <f>IF(ISBLANK('Section 3'!I69),"",'Section 3'!I69)</f>
        <v/>
      </c>
    </row>
    <row r="86" spans="1:8" x14ac:dyDescent="0.3">
      <c r="A86" s="9" t="str">
        <f>IF(ISBLANK('Sections 1 &amp; 2'!$C$4),"",'Sections 1 &amp; 2'!$C$4)</f>
        <v/>
      </c>
      <c r="B86" s="9" t="s">
        <v>2</v>
      </c>
      <c r="C86" s="11" t="str">
        <f>IF(ISBLANK('Sections 1 &amp; 2'!$C$6),"",CONCATENATE(RIGHT('Sections 1 &amp; 2'!$C$6,4),"-06-30"))</f>
        <v>2013-06-30</v>
      </c>
      <c r="D86" s="21" t="str">
        <f>IF(ISBLANK('Sections 1 &amp; 2'!$C$5),"",'Sections 1 &amp; 2'!$C$5)</f>
        <v/>
      </c>
      <c r="E86" s="15">
        <v>910</v>
      </c>
      <c r="F86" s="9" t="str">
        <f>IF(ISBLANK('Section 3'!J70),"",'Section 3'!J70)</f>
        <v/>
      </c>
      <c r="H86" s="9" t="str">
        <f>IF(ISBLANK('Section 3'!I70),"",'Section 3'!I70)</f>
        <v/>
      </c>
    </row>
    <row r="87" spans="1:8" x14ac:dyDescent="0.3">
      <c r="A87" s="9" t="str">
        <f>IF(ISBLANK('Sections 1 &amp; 2'!$C$4),"",'Sections 1 &amp; 2'!$C$4)</f>
        <v/>
      </c>
      <c r="B87" s="9" t="s">
        <v>2</v>
      </c>
      <c r="C87" s="11" t="str">
        <f>IF(ISBLANK('Sections 1 &amp; 2'!$C$6),"",CONCATENATE(RIGHT('Sections 1 &amp; 2'!$C$6,4),"-06-30"))</f>
        <v>2013-06-30</v>
      </c>
      <c r="D87" s="21" t="str">
        <f>IF(ISBLANK('Sections 1 &amp; 2'!$C$5),"",'Sections 1 &amp; 2'!$C$5)</f>
        <v/>
      </c>
      <c r="E87" s="15">
        <v>920</v>
      </c>
      <c r="F87" s="9" t="str">
        <f>IF(ISBLANK('Section 3'!J71),"",'Section 3'!J71)</f>
        <v/>
      </c>
      <c r="H87" s="9" t="str">
        <f>IF(ISBLANK('Section 3'!I71),"",'Section 3'!I71)</f>
        <v/>
      </c>
    </row>
    <row r="88" spans="1:8" s="15" customFormat="1" x14ac:dyDescent="0.3">
      <c r="A88" s="49" t="str">
        <f>IF(ISBLANK('Sections 1 &amp; 2'!$C$4),"",'Sections 1 &amp; 2'!$C$4)</f>
        <v/>
      </c>
      <c r="B88" s="49" t="s">
        <v>2</v>
      </c>
      <c r="C88" s="50" t="str">
        <f>IF(ISBLANK('Sections 1 &amp; 2'!$C$6),"",CONCATENATE(RIGHT('Sections 1 &amp; 2'!$C$6,4),"-06-30"))</f>
        <v>2013-06-30</v>
      </c>
      <c r="D88" s="51" t="str">
        <f>IF(ISBLANK('Sections 1 &amp; 2'!$C$5),"",'Sections 1 &amp; 2'!$C$5)</f>
        <v/>
      </c>
      <c r="E88" s="49">
        <v>921</v>
      </c>
      <c r="F88" s="49" t="str">
        <f>IF(ISBLANK('Section 3'!J72),"",'Section 3'!J72)</f>
        <v/>
      </c>
      <c r="G88" s="52"/>
      <c r="H88" s="49" t="str">
        <f>IF(ISBLANK('Section 3'!I72),"",'Section 3'!I72)</f>
        <v/>
      </c>
    </row>
    <row r="89" spans="1:8" s="15" customFormat="1" x14ac:dyDescent="0.3">
      <c r="A89" s="103" t="str">
        <f>IF(ISBLANK('Sections 1 &amp; 2'!$C$4),"",'Sections 1 &amp; 2'!$C$4)</f>
        <v/>
      </c>
      <c r="B89" s="103" t="s">
        <v>2</v>
      </c>
      <c r="C89" s="104" t="str">
        <f>IF(ISBLANK('Sections 1 &amp; 2'!$C$6),"",CONCATENATE(RIGHT('Sections 1 &amp; 2'!$C$6,4),"-06-30"))</f>
        <v>2013-06-30</v>
      </c>
      <c r="D89" s="105" t="str">
        <f>IF(ISBLANK('Sections 1 &amp; 2'!$C$5),"",'Sections 1 &amp; 2'!$C$5)</f>
        <v/>
      </c>
      <c r="E89" s="103">
        <v>922</v>
      </c>
      <c r="F89" s="103" t="str">
        <f>IF(ISBLANK('Section 3'!J73),"",'Section 3'!J73)</f>
        <v/>
      </c>
      <c r="G89" s="106"/>
      <c r="H89" s="103" t="str">
        <f>IF(ISBLANK('Section 3'!I73),"",'Section 3'!I73)</f>
        <v/>
      </c>
    </row>
    <row r="90" spans="1:8" x14ac:dyDescent="0.3">
      <c r="A90" s="9" t="str">
        <f>IF(ISBLANK('Sections 1 &amp; 2'!$C$4),"",'Sections 1 &amp; 2'!$C$4)</f>
        <v/>
      </c>
      <c r="B90" s="9" t="s">
        <v>2</v>
      </c>
      <c r="C90" s="11" t="str">
        <f>IF(ISBLANK('Sections 1 &amp; 2'!$C$6),"",CONCATENATE(RIGHT('Sections 1 &amp; 2'!$C$6,4),"-06-30"))</f>
        <v>2013-06-30</v>
      </c>
      <c r="D90" s="21" t="str">
        <f>IF(ISBLANK('Sections 1 &amp; 2'!$C$5),"",'Sections 1 &amp; 2'!$C$5)</f>
        <v/>
      </c>
      <c r="E90" s="15">
        <v>1030</v>
      </c>
      <c r="F90" s="9" t="str">
        <f>'Sections 5 &amp; 6'!F8</f>
        <v/>
      </c>
      <c r="H90" s="9" t="str">
        <f>IF(ISBLANK('Sections 5 &amp; 6'!E8),"",'Sections 5 &amp; 6'!E8)</f>
        <v/>
      </c>
    </row>
    <row r="91" spans="1:8" x14ac:dyDescent="0.3">
      <c r="A91" s="9" t="str">
        <f>IF(ISBLANK('Sections 1 &amp; 2'!$C$4),"",'Sections 1 &amp; 2'!$C$4)</f>
        <v/>
      </c>
      <c r="B91" s="9" t="s">
        <v>2</v>
      </c>
      <c r="C91" s="11" t="str">
        <f>IF(ISBLANK('Sections 1 &amp; 2'!$C$6),"",CONCATENATE(RIGHT('Sections 1 &amp; 2'!$C$6,4),"-06-30"))</f>
        <v>2013-06-30</v>
      </c>
      <c r="D91" s="21" t="str">
        <f>IF(ISBLANK('Sections 1 &amp; 2'!$C$5),"",'Sections 1 &amp; 2'!$C$5)</f>
        <v/>
      </c>
      <c r="E91" s="15">
        <v>1040</v>
      </c>
      <c r="F91" s="9" t="str">
        <f>'Sections 5 &amp; 6'!F9</f>
        <v/>
      </c>
      <c r="H91" s="9" t="str">
        <f>IF(ISBLANK('Sections 5 &amp; 6'!E9),"",'Sections 5 &amp; 6'!E9)</f>
        <v/>
      </c>
    </row>
    <row r="92" spans="1:8" x14ac:dyDescent="0.3">
      <c r="A92" s="9" t="str">
        <f>IF(ISBLANK('Sections 1 &amp; 2'!$C$4),"",'Sections 1 &amp; 2'!$C$4)</f>
        <v/>
      </c>
      <c r="B92" s="9" t="s">
        <v>2</v>
      </c>
      <c r="C92" s="11" t="str">
        <f>IF(ISBLANK('Sections 1 &amp; 2'!$C$6),"",CONCATENATE(RIGHT('Sections 1 &amp; 2'!$C$6,4),"-06-30"))</f>
        <v>2013-06-30</v>
      </c>
      <c r="D92" s="21" t="str">
        <f>IF(ISBLANK('Sections 1 &amp; 2'!$C$5),"",'Sections 1 &amp; 2'!$C$5)</f>
        <v/>
      </c>
      <c r="E92" s="15">
        <v>1050</v>
      </c>
      <c r="F92" s="9" t="str">
        <f>'Sections 5 &amp; 6'!F10</f>
        <v/>
      </c>
      <c r="H92" s="9" t="str">
        <f>IF(ISBLANK('Sections 5 &amp; 6'!E10),"",'Sections 5 &amp; 6'!E10)</f>
        <v/>
      </c>
    </row>
    <row r="93" spans="1:8" x14ac:dyDescent="0.3">
      <c r="A93" s="9" t="str">
        <f>IF(ISBLANK('Sections 1 &amp; 2'!$C$4),"",'Sections 1 &amp; 2'!$C$4)</f>
        <v/>
      </c>
      <c r="B93" s="9" t="s">
        <v>2</v>
      </c>
      <c r="C93" s="11" t="str">
        <f>IF(ISBLANK('Sections 1 &amp; 2'!$C$6),"",CONCATENATE(RIGHT('Sections 1 &amp; 2'!$C$6,4),"-06-30"))</f>
        <v>2013-06-30</v>
      </c>
      <c r="D93" s="21" t="str">
        <f>IF(ISBLANK('Sections 1 &amp; 2'!$C$5),"",'Sections 1 &amp; 2'!$C$5)</f>
        <v/>
      </c>
      <c r="E93" s="15">
        <v>1060</v>
      </c>
      <c r="F93" s="9" t="str">
        <f>'Sections 5 &amp; 6'!F11</f>
        <v/>
      </c>
      <c r="H93" s="9" t="str">
        <f>IF(ISBLANK('Sections 5 &amp; 6'!E11),"",'Sections 5 &amp; 6'!E11)</f>
        <v/>
      </c>
    </row>
    <row r="94" spans="1:8" x14ac:dyDescent="0.3">
      <c r="A94" s="9" t="str">
        <f>IF(ISBLANK('Sections 1 &amp; 2'!$C$4),"",'Sections 1 &amp; 2'!$C$4)</f>
        <v/>
      </c>
      <c r="B94" s="9" t="s">
        <v>2</v>
      </c>
      <c r="C94" s="11" t="str">
        <f>IF(ISBLANK('Sections 1 &amp; 2'!$C$6),"",CONCATENATE(RIGHT('Sections 1 &amp; 2'!$C$6,4),"-06-30"))</f>
        <v>2013-06-30</v>
      </c>
      <c r="D94" s="21" t="str">
        <f>IF(ISBLANK('Sections 1 &amp; 2'!$C$5),"",'Sections 1 &amp; 2'!$C$5)</f>
        <v/>
      </c>
      <c r="E94" s="15">
        <v>1070</v>
      </c>
      <c r="F94" s="9" t="str">
        <f>'Sections 5 &amp; 6'!F12</f>
        <v/>
      </c>
      <c r="H94" s="9" t="str">
        <f>IF(ISBLANK('Sections 5 &amp; 6'!E12),"",'Sections 5 &amp; 6'!E12)</f>
        <v/>
      </c>
    </row>
    <row r="95" spans="1:8" x14ac:dyDescent="0.3">
      <c r="A95" s="9" t="str">
        <f>IF(ISBLANK('Sections 1 &amp; 2'!$C$4),"",'Sections 1 &amp; 2'!$C$4)</f>
        <v/>
      </c>
      <c r="B95" s="9" t="s">
        <v>2</v>
      </c>
      <c r="C95" s="11" t="str">
        <f>IF(ISBLANK('Sections 1 &amp; 2'!$C$6),"",CONCATENATE(RIGHT('Sections 1 &amp; 2'!$C$6,4),"-06-30"))</f>
        <v>2013-06-30</v>
      </c>
      <c r="D95" s="21" t="str">
        <f>IF(ISBLANK('Sections 1 &amp; 2'!$C$5),"",'Sections 1 &amp; 2'!$C$5)</f>
        <v/>
      </c>
      <c r="E95" s="15">
        <v>1080</v>
      </c>
      <c r="F95" s="9" t="str">
        <f>'Sections 5 &amp; 6'!F14</f>
        <v/>
      </c>
      <c r="H95" s="9" t="str">
        <f>IF(ISBLANK('Sections 5 &amp; 6'!E14),"",'Sections 5 &amp; 6'!E14)</f>
        <v/>
      </c>
    </row>
    <row r="96" spans="1:8" x14ac:dyDescent="0.3">
      <c r="A96" s="9" t="str">
        <f>IF(ISBLANK('Sections 1 &amp; 2'!$C$4),"",'Sections 1 &amp; 2'!$C$4)</f>
        <v/>
      </c>
      <c r="B96" s="9" t="s">
        <v>2</v>
      </c>
      <c r="C96" s="11" t="str">
        <f>IF(ISBLANK('Sections 1 &amp; 2'!$C$6),"",CONCATENATE(RIGHT('Sections 1 &amp; 2'!$C$6,4),"-06-30"))</f>
        <v>2013-06-30</v>
      </c>
      <c r="D96" s="21" t="str">
        <f>IF(ISBLANK('Sections 1 &amp; 2'!$C$5),"",'Sections 1 &amp; 2'!$C$5)</f>
        <v/>
      </c>
      <c r="E96" s="15">
        <v>1090</v>
      </c>
      <c r="F96" s="9" t="str">
        <f>'Sections 5 &amp; 6'!F15</f>
        <v/>
      </c>
      <c r="H96" s="9" t="str">
        <f>IF(ISBLANK('Sections 5 &amp; 6'!E15),"",'Sections 5 &amp; 6'!E15)</f>
        <v/>
      </c>
    </row>
    <row r="97" spans="1:8" x14ac:dyDescent="0.3">
      <c r="A97" s="9" t="str">
        <f>IF(ISBLANK('Sections 1 &amp; 2'!$C$4),"",'Sections 1 &amp; 2'!$C$4)</f>
        <v/>
      </c>
      <c r="B97" s="9" t="s">
        <v>2</v>
      </c>
      <c r="C97" s="11" t="str">
        <f>IF(ISBLANK('Sections 1 &amp; 2'!$C$6),"",CONCATENATE(RIGHT('Sections 1 &amp; 2'!$C$6,4),"-06-30"))</f>
        <v>2013-06-30</v>
      </c>
      <c r="D97" s="21" t="str">
        <f>IF(ISBLANK('Sections 1 &amp; 2'!$C$5),"",'Sections 1 &amp; 2'!$C$5)</f>
        <v/>
      </c>
      <c r="E97" s="15">
        <v>1100</v>
      </c>
      <c r="F97" s="9" t="str">
        <f>'Sections 5 &amp; 6'!F16</f>
        <v/>
      </c>
      <c r="H97" s="9" t="str">
        <f>IF(ISBLANK('Sections 5 &amp; 6'!E16),"",'Sections 5 &amp; 6'!E16)</f>
        <v/>
      </c>
    </row>
    <row r="98" spans="1:8" x14ac:dyDescent="0.3">
      <c r="A98" s="9" t="str">
        <f>IF(ISBLANK('Sections 1 &amp; 2'!$C$4),"",'Sections 1 &amp; 2'!$C$4)</f>
        <v/>
      </c>
      <c r="B98" s="9" t="s">
        <v>2</v>
      </c>
      <c r="C98" s="11" t="str">
        <f>IF(ISBLANK('Sections 1 &amp; 2'!$C$6),"",CONCATENATE(RIGHT('Sections 1 &amp; 2'!$C$6,4),"-06-30"))</f>
        <v>2013-06-30</v>
      </c>
      <c r="D98" s="21" t="str">
        <f>IF(ISBLANK('Sections 1 &amp; 2'!$C$5),"",'Sections 1 &amp; 2'!$C$5)</f>
        <v/>
      </c>
      <c r="E98" s="15">
        <v>1110</v>
      </c>
      <c r="F98" s="9" t="str">
        <f>'Sections 5 &amp; 6'!F17</f>
        <v/>
      </c>
      <c r="H98" s="9" t="str">
        <f>IF(ISBLANK('Sections 5 &amp; 6'!E17),"",'Sections 5 &amp; 6'!E17)</f>
        <v/>
      </c>
    </row>
    <row r="99" spans="1:8" x14ac:dyDescent="0.3">
      <c r="A99" s="9" t="str">
        <f>IF(ISBLANK('Sections 1 &amp; 2'!$C$4),"",'Sections 1 &amp; 2'!$C$4)</f>
        <v/>
      </c>
      <c r="B99" s="9" t="s">
        <v>2</v>
      </c>
      <c r="C99" s="11" t="str">
        <f>IF(ISBLANK('Sections 1 &amp; 2'!$C$6),"",CONCATENATE(RIGHT('Sections 1 &amp; 2'!$C$6,4),"-06-30"))</f>
        <v>2013-06-30</v>
      </c>
      <c r="D99" s="21" t="str">
        <f>IF(ISBLANK('Sections 1 &amp; 2'!$C$5),"",'Sections 1 &amp; 2'!$C$5)</f>
        <v/>
      </c>
      <c r="E99" s="15">
        <v>1120</v>
      </c>
      <c r="F99" s="9" t="str">
        <f>'Sections 5 &amp; 6'!F18</f>
        <v/>
      </c>
      <c r="H99" s="9" t="str">
        <f>IF(ISBLANK('Sections 5 &amp; 6'!E18),"",'Sections 5 &amp; 6'!E18)</f>
        <v/>
      </c>
    </row>
    <row r="100" spans="1:8" x14ac:dyDescent="0.3">
      <c r="A100" s="9" t="str">
        <f>IF(ISBLANK('Sections 1 &amp; 2'!$C$4),"",'Sections 1 &amp; 2'!$C$4)</f>
        <v/>
      </c>
      <c r="B100" s="9" t="s">
        <v>2</v>
      </c>
      <c r="C100" s="11" t="str">
        <f>IF(ISBLANK('Sections 1 &amp; 2'!$C$6),"",CONCATENATE(RIGHT('Sections 1 &amp; 2'!$C$6,4),"-06-30"))</f>
        <v>2013-06-30</v>
      </c>
      <c r="D100" s="21" t="str">
        <f>IF(ISBLANK('Sections 1 &amp; 2'!$C$5),"",'Sections 1 &amp; 2'!$C$5)</f>
        <v/>
      </c>
      <c r="E100" s="15">
        <v>1130</v>
      </c>
      <c r="F100" s="9" t="str">
        <f>'Sections 5 &amp; 6'!F19</f>
        <v/>
      </c>
      <c r="H100" s="9" t="str">
        <f>IF(ISBLANK('Sections 5 &amp; 6'!E19),"",'Sections 5 &amp; 6'!E19)</f>
        <v/>
      </c>
    </row>
  </sheetData>
  <sheetProtection sheet="1" objects="1" scenarios="1" selectLockedCells="1" selectUnlockedCells="1"/>
  <dataValidations count="1">
    <dataValidation allowBlank="1" showErrorMessage="1" sqref="I46:I47 H59:I59 I54:I55 G1:G11 H1:H58 A1:F100 H60:H100"/>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J16"/>
  <sheetViews>
    <sheetView zoomScale="85" zoomScaleNormal="85" workbookViewId="0">
      <selection activeCell="A2" sqref="A2"/>
    </sheetView>
  </sheetViews>
  <sheetFormatPr defaultRowHeight="14.4" x14ac:dyDescent="0.3"/>
  <cols>
    <col min="1" max="1" width="25.5546875" style="9" customWidth="1"/>
    <col min="2" max="2" width="56.109375" style="4" customWidth="1"/>
    <col min="3" max="3" width="43.5546875" style="5" customWidth="1"/>
    <col min="4" max="4" width="46.44140625" style="5" customWidth="1"/>
    <col min="5" max="5" width="26.5546875" style="5" customWidth="1"/>
    <col min="6" max="10" width="16.33203125" style="5" bestFit="1" customWidth="1"/>
    <col min="11" max="100" width="17.44140625" style="5" bestFit="1" customWidth="1"/>
    <col min="101" max="113" width="18.44140625" style="5" bestFit="1" customWidth="1"/>
    <col min="114" max="114" width="18.44140625" style="2" bestFit="1" customWidth="1"/>
  </cols>
  <sheetData>
    <row r="1" spans="1:114" x14ac:dyDescent="0.3">
      <c r="A1" s="3" t="s">
        <v>201</v>
      </c>
      <c r="B1" s="153" t="s">
        <v>117</v>
      </c>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5"/>
    </row>
    <row r="2" spans="1:114" s="3" customFormat="1" x14ac:dyDescent="0.3">
      <c r="A2" s="13" t="s">
        <v>194</v>
      </c>
      <c r="B2" s="6" t="s">
        <v>4</v>
      </c>
      <c r="C2" s="3" t="s">
        <v>5</v>
      </c>
      <c r="D2" s="3" t="s">
        <v>6</v>
      </c>
      <c r="E2" s="3" t="s">
        <v>7</v>
      </c>
      <c r="F2" s="3" t="s">
        <v>8</v>
      </c>
      <c r="G2" s="3" t="s">
        <v>9</v>
      </c>
      <c r="H2" s="3" t="s">
        <v>10</v>
      </c>
      <c r="I2" s="3" t="s">
        <v>11</v>
      </c>
      <c r="J2" s="3" t="s">
        <v>12</v>
      </c>
      <c r="K2" s="3" t="s">
        <v>13</v>
      </c>
      <c r="L2" s="3" t="s">
        <v>14</v>
      </c>
      <c r="M2" s="3" t="s">
        <v>15</v>
      </c>
      <c r="N2" s="3" t="s">
        <v>16</v>
      </c>
      <c r="O2" s="3" t="s">
        <v>17</v>
      </c>
      <c r="P2" s="3" t="s">
        <v>18</v>
      </c>
      <c r="Q2" s="3" t="s">
        <v>19</v>
      </c>
      <c r="R2" s="3" t="s">
        <v>20</v>
      </c>
      <c r="S2" s="3" t="s">
        <v>21</v>
      </c>
      <c r="T2" s="3" t="s">
        <v>22</v>
      </c>
      <c r="U2" s="3" t="s">
        <v>23</v>
      </c>
      <c r="V2" s="3" t="s">
        <v>24</v>
      </c>
      <c r="W2" s="3" t="s">
        <v>25</v>
      </c>
      <c r="X2" s="3" t="s">
        <v>26</v>
      </c>
      <c r="Y2" s="3" t="s">
        <v>27</v>
      </c>
      <c r="Z2" s="3" t="s">
        <v>28</v>
      </c>
      <c r="AA2" s="3" t="s">
        <v>29</v>
      </c>
      <c r="AB2" s="3" t="s">
        <v>30</v>
      </c>
      <c r="AC2" s="3" t="s">
        <v>31</v>
      </c>
      <c r="AD2" s="3" t="s">
        <v>32</v>
      </c>
      <c r="AE2" s="3" t="s">
        <v>33</v>
      </c>
      <c r="AF2" s="3" t="s">
        <v>34</v>
      </c>
      <c r="AG2" s="3" t="s">
        <v>35</v>
      </c>
      <c r="AH2" s="3" t="s">
        <v>36</v>
      </c>
      <c r="AI2" s="3" t="s">
        <v>37</v>
      </c>
      <c r="AJ2" s="3" t="s">
        <v>38</v>
      </c>
      <c r="AK2" s="3" t="s">
        <v>39</v>
      </c>
      <c r="AL2" s="3" t="s">
        <v>40</v>
      </c>
      <c r="AM2" s="3" t="s">
        <v>41</v>
      </c>
      <c r="AN2" s="3" t="s">
        <v>42</v>
      </c>
      <c r="AO2" s="3" t="s">
        <v>43</v>
      </c>
      <c r="AP2" s="3" t="s">
        <v>44</v>
      </c>
      <c r="AQ2" s="3" t="s">
        <v>45</v>
      </c>
      <c r="AR2" s="3" t="s">
        <v>46</v>
      </c>
      <c r="AS2" s="3" t="s">
        <v>47</v>
      </c>
      <c r="AT2" s="3" t="s">
        <v>48</v>
      </c>
      <c r="AU2" s="3" t="s">
        <v>49</v>
      </c>
      <c r="AV2" s="3" t="s">
        <v>50</v>
      </c>
      <c r="AW2" s="3" t="s">
        <v>51</v>
      </c>
      <c r="AX2" s="3" t="s">
        <v>52</v>
      </c>
      <c r="AY2" s="3" t="s">
        <v>53</v>
      </c>
      <c r="AZ2" s="3" t="s">
        <v>54</v>
      </c>
      <c r="BA2" s="3" t="s">
        <v>55</v>
      </c>
      <c r="BB2" s="3" t="s">
        <v>56</v>
      </c>
      <c r="BC2" s="3" t="s">
        <v>57</v>
      </c>
      <c r="BD2" s="3" t="s">
        <v>58</v>
      </c>
      <c r="BE2" s="3" t="s">
        <v>59</v>
      </c>
      <c r="BF2" s="3" t="s">
        <v>60</v>
      </c>
      <c r="BG2" s="3" t="s">
        <v>61</v>
      </c>
      <c r="BH2" s="3" t="s">
        <v>62</v>
      </c>
      <c r="BI2" s="3" t="s">
        <v>63</v>
      </c>
      <c r="BJ2" s="3" t="s">
        <v>64</v>
      </c>
      <c r="BK2" s="3" t="s">
        <v>65</v>
      </c>
      <c r="BL2" s="3" t="s">
        <v>66</v>
      </c>
      <c r="BM2" s="3" t="s">
        <v>67</v>
      </c>
      <c r="BN2" s="3" t="s">
        <v>68</v>
      </c>
      <c r="BO2" s="3" t="s">
        <v>69</v>
      </c>
      <c r="BP2" s="3" t="s">
        <v>70</v>
      </c>
      <c r="BQ2" s="3" t="s">
        <v>71</v>
      </c>
      <c r="BR2" s="3" t="s">
        <v>72</v>
      </c>
      <c r="BS2" s="3" t="s">
        <v>73</v>
      </c>
      <c r="BT2" s="3" t="s">
        <v>74</v>
      </c>
      <c r="BU2" s="3" t="s">
        <v>75</v>
      </c>
      <c r="BV2" s="3" t="s">
        <v>76</v>
      </c>
      <c r="BW2" s="3" t="s">
        <v>77</v>
      </c>
      <c r="BX2" s="3" t="s">
        <v>78</v>
      </c>
      <c r="BY2" s="3" t="s">
        <v>79</v>
      </c>
      <c r="BZ2" s="3" t="s">
        <v>80</v>
      </c>
      <c r="CA2" s="3" t="s">
        <v>81</v>
      </c>
      <c r="CB2" s="3" t="s">
        <v>82</v>
      </c>
      <c r="CC2" s="3" t="s">
        <v>83</v>
      </c>
      <c r="CD2" s="3" t="s">
        <v>84</v>
      </c>
      <c r="CE2" s="3" t="s">
        <v>85</v>
      </c>
      <c r="CF2" s="3" t="s">
        <v>86</v>
      </c>
      <c r="CG2" s="3" t="s">
        <v>87</v>
      </c>
      <c r="CH2" s="3" t="s">
        <v>88</v>
      </c>
      <c r="CI2" s="3" t="s">
        <v>89</v>
      </c>
      <c r="CJ2" s="3" t="s">
        <v>90</v>
      </c>
      <c r="CK2" s="3" t="s">
        <v>91</v>
      </c>
      <c r="CL2" s="3" t="s">
        <v>92</v>
      </c>
      <c r="CM2" s="3" t="s">
        <v>93</v>
      </c>
      <c r="CN2" s="3" t="s">
        <v>94</v>
      </c>
      <c r="CO2" s="3" t="s">
        <v>95</v>
      </c>
      <c r="CP2" s="3" t="s">
        <v>96</v>
      </c>
      <c r="CQ2" s="3" t="s">
        <v>97</v>
      </c>
      <c r="CR2" s="3" t="s">
        <v>98</v>
      </c>
      <c r="CS2" s="3" t="s">
        <v>99</v>
      </c>
      <c r="CT2" s="3" t="s">
        <v>100</v>
      </c>
      <c r="CU2" s="3" t="s">
        <v>101</v>
      </c>
      <c r="CV2" s="3" t="s">
        <v>102</v>
      </c>
      <c r="CW2" s="3" t="s">
        <v>103</v>
      </c>
      <c r="CX2" s="3" t="s">
        <v>104</v>
      </c>
      <c r="CY2" s="3" t="s">
        <v>105</v>
      </c>
      <c r="CZ2" s="3" t="s">
        <v>106</v>
      </c>
      <c r="DA2" s="3" t="s">
        <v>107</v>
      </c>
      <c r="DB2" s="3" t="s">
        <v>108</v>
      </c>
      <c r="DC2" s="3" t="s">
        <v>109</v>
      </c>
      <c r="DD2" s="3" t="s">
        <v>110</v>
      </c>
      <c r="DE2" s="3" t="s">
        <v>111</v>
      </c>
      <c r="DF2" s="3" t="s">
        <v>112</v>
      </c>
      <c r="DG2" s="3" t="s">
        <v>113</v>
      </c>
      <c r="DH2" s="3" t="s">
        <v>114</v>
      </c>
      <c r="DI2" s="3" t="s">
        <v>115</v>
      </c>
      <c r="DJ2" s="7" t="s">
        <v>116</v>
      </c>
    </row>
    <row r="3" spans="1:114" x14ac:dyDescent="0.3">
      <c r="A3" s="13" t="s">
        <v>195</v>
      </c>
      <c r="B3" s="8" t="s">
        <v>132</v>
      </c>
      <c r="C3" s="8" t="s">
        <v>133</v>
      </c>
      <c r="D3" s="8" t="s">
        <v>134</v>
      </c>
      <c r="E3" s="5" t="s">
        <v>135</v>
      </c>
      <c r="F3" s="5" t="s">
        <v>135</v>
      </c>
      <c r="G3" s="5" t="s">
        <v>135</v>
      </c>
      <c r="H3" s="5" t="s">
        <v>135</v>
      </c>
      <c r="I3" s="5" t="s">
        <v>135</v>
      </c>
      <c r="J3" s="5" t="s">
        <v>135</v>
      </c>
      <c r="K3" s="5" t="s">
        <v>135</v>
      </c>
      <c r="L3" s="5" t="s">
        <v>135</v>
      </c>
      <c r="M3" s="5" t="s">
        <v>135</v>
      </c>
      <c r="N3" s="5" t="s">
        <v>135</v>
      </c>
      <c r="O3" s="5" t="s">
        <v>135</v>
      </c>
      <c r="P3" s="5" t="s">
        <v>135</v>
      </c>
      <c r="Q3" s="5" t="s">
        <v>135</v>
      </c>
      <c r="R3" s="5" t="s">
        <v>135</v>
      </c>
      <c r="S3" s="5" t="s">
        <v>135</v>
      </c>
      <c r="T3" s="5" t="s">
        <v>135</v>
      </c>
      <c r="U3" s="5" t="s">
        <v>135</v>
      </c>
      <c r="V3" s="5" t="s">
        <v>135</v>
      </c>
      <c r="W3" s="5" t="s">
        <v>135</v>
      </c>
      <c r="X3" s="5" t="s">
        <v>135</v>
      </c>
      <c r="Y3" s="5" t="s">
        <v>135</v>
      </c>
      <c r="Z3" s="5" t="s">
        <v>135</v>
      </c>
      <c r="AA3" s="5" t="s">
        <v>135</v>
      </c>
      <c r="AB3" s="5" t="s">
        <v>135</v>
      </c>
      <c r="AC3" s="5" t="s">
        <v>135</v>
      </c>
      <c r="AD3" s="5" t="s">
        <v>135</v>
      </c>
      <c r="AE3" s="5" t="s">
        <v>135</v>
      </c>
      <c r="AF3" s="5" t="s">
        <v>135</v>
      </c>
      <c r="AG3" s="5" t="s">
        <v>135</v>
      </c>
      <c r="AH3" s="5" t="s">
        <v>135</v>
      </c>
      <c r="AI3" s="5" t="s">
        <v>135</v>
      </c>
      <c r="AJ3" s="5" t="s">
        <v>135</v>
      </c>
      <c r="AK3" s="5" t="s">
        <v>135</v>
      </c>
      <c r="AL3" s="5" t="s">
        <v>135</v>
      </c>
      <c r="AM3" s="5" t="s">
        <v>135</v>
      </c>
      <c r="AN3" s="5" t="s">
        <v>135</v>
      </c>
      <c r="AO3" s="5" t="s">
        <v>135</v>
      </c>
      <c r="AP3" s="5" t="s">
        <v>135</v>
      </c>
      <c r="AQ3" s="5" t="s">
        <v>135</v>
      </c>
      <c r="AR3" s="5" t="s">
        <v>135</v>
      </c>
      <c r="AS3" s="5" t="s">
        <v>135</v>
      </c>
      <c r="AT3" s="5" t="s">
        <v>135</v>
      </c>
      <c r="AU3" s="5" t="s">
        <v>135</v>
      </c>
      <c r="AV3" s="5" t="s">
        <v>135</v>
      </c>
      <c r="AW3" s="5" t="s">
        <v>135</v>
      </c>
      <c r="AX3" s="5" t="s">
        <v>135</v>
      </c>
      <c r="AY3" s="5" t="s">
        <v>135</v>
      </c>
      <c r="AZ3" s="5" t="s">
        <v>135</v>
      </c>
      <c r="BA3" s="5" t="s">
        <v>135</v>
      </c>
      <c r="BB3" s="5" t="s">
        <v>135</v>
      </c>
      <c r="BC3" s="5" t="s">
        <v>135</v>
      </c>
      <c r="BD3" s="5" t="s">
        <v>135</v>
      </c>
      <c r="BE3" s="5" t="s">
        <v>135</v>
      </c>
      <c r="BF3" s="5" t="s">
        <v>135</v>
      </c>
      <c r="BG3" s="5" t="s">
        <v>135</v>
      </c>
      <c r="BH3" s="5" t="s">
        <v>135</v>
      </c>
      <c r="BI3" s="5" t="s">
        <v>135</v>
      </c>
      <c r="BJ3" s="5" t="s">
        <v>135</v>
      </c>
      <c r="BK3" s="5" t="s">
        <v>135</v>
      </c>
      <c r="BL3" s="5" t="s">
        <v>135</v>
      </c>
      <c r="BM3" s="5" t="s">
        <v>135</v>
      </c>
      <c r="BN3" s="5" t="s">
        <v>135</v>
      </c>
      <c r="BO3" s="5" t="s">
        <v>135</v>
      </c>
      <c r="BP3" s="5" t="s">
        <v>135</v>
      </c>
      <c r="BQ3" s="5" t="s">
        <v>135</v>
      </c>
      <c r="BR3" s="5" t="s">
        <v>135</v>
      </c>
      <c r="BS3" s="5" t="s">
        <v>135</v>
      </c>
      <c r="BT3" s="5" t="s">
        <v>135</v>
      </c>
      <c r="BU3" s="5" t="s">
        <v>135</v>
      </c>
      <c r="BV3" s="5" t="s">
        <v>135</v>
      </c>
      <c r="BW3" s="5" t="s">
        <v>135</v>
      </c>
      <c r="BX3" s="5" t="s">
        <v>135</v>
      </c>
      <c r="BY3" s="5" t="s">
        <v>135</v>
      </c>
      <c r="BZ3" s="5" t="s">
        <v>135</v>
      </c>
      <c r="CA3" s="5" t="s">
        <v>135</v>
      </c>
      <c r="CB3" s="5" t="s">
        <v>135</v>
      </c>
      <c r="CC3" s="5" t="s">
        <v>135</v>
      </c>
      <c r="CD3" s="5" t="s">
        <v>135</v>
      </c>
      <c r="CE3" s="5" t="s">
        <v>135</v>
      </c>
      <c r="CF3" s="5" t="s">
        <v>135</v>
      </c>
      <c r="CG3" s="8" t="s">
        <v>127</v>
      </c>
      <c r="CH3" s="8" t="s">
        <v>292</v>
      </c>
      <c r="CI3" s="8" t="s">
        <v>292</v>
      </c>
      <c r="CJ3" s="8" t="s">
        <v>292</v>
      </c>
      <c r="CK3" s="8" t="s">
        <v>292</v>
      </c>
      <c r="CL3" s="8" t="s">
        <v>292</v>
      </c>
      <c r="CM3" s="8" t="s">
        <v>292</v>
      </c>
      <c r="CN3" s="8" t="s">
        <v>292</v>
      </c>
      <c r="CO3" s="8" t="s">
        <v>292</v>
      </c>
      <c r="CP3" s="5" t="s">
        <v>135</v>
      </c>
      <c r="CQ3" s="5" t="s">
        <v>135</v>
      </c>
      <c r="CR3" s="5" t="s">
        <v>135</v>
      </c>
      <c r="CS3" s="5" t="s">
        <v>135</v>
      </c>
      <c r="CT3" s="5" t="s">
        <v>135</v>
      </c>
      <c r="CU3" s="5" t="s">
        <v>135</v>
      </c>
      <c r="CV3" s="5" t="s">
        <v>135</v>
      </c>
      <c r="CW3" s="5" t="s">
        <v>135</v>
      </c>
      <c r="CX3" s="5" t="s">
        <v>135</v>
      </c>
      <c r="CY3" s="5" t="s">
        <v>135</v>
      </c>
      <c r="CZ3" s="8" t="s">
        <v>127</v>
      </c>
      <c r="DA3" s="8" t="s">
        <v>128</v>
      </c>
      <c r="DB3" s="8" t="s">
        <v>129</v>
      </c>
      <c r="DC3" s="8" t="s">
        <v>130</v>
      </c>
      <c r="DD3" s="8" t="s">
        <v>131</v>
      </c>
      <c r="DE3" s="8" t="s">
        <v>137</v>
      </c>
      <c r="DF3" s="8" t="s">
        <v>130</v>
      </c>
      <c r="DG3" s="8" t="s">
        <v>128</v>
      </c>
      <c r="DH3" s="8" t="s">
        <v>129</v>
      </c>
      <c r="DI3" s="8" t="s">
        <v>130</v>
      </c>
      <c r="DJ3" s="8" t="s">
        <v>131</v>
      </c>
    </row>
    <row r="4" spans="1:114" x14ac:dyDescent="0.3">
      <c r="A4" s="13" t="s">
        <v>196</v>
      </c>
      <c r="B4" s="8" t="s">
        <v>143</v>
      </c>
      <c r="C4" s="8" t="s">
        <v>144</v>
      </c>
      <c r="D4" s="8" t="s">
        <v>145</v>
      </c>
      <c r="CG4" s="8" t="s">
        <v>138</v>
      </c>
      <c r="CH4" s="8" t="s">
        <v>135</v>
      </c>
      <c r="CI4" s="8" t="s">
        <v>135</v>
      </c>
      <c r="CJ4" s="8" t="s">
        <v>135</v>
      </c>
      <c r="CK4" s="8" t="s">
        <v>135</v>
      </c>
      <c r="CL4" s="8" t="s">
        <v>135</v>
      </c>
      <c r="CM4" s="8" t="s">
        <v>135</v>
      </c>
      <c r="CN4" s="8" t="s">
        <v>135</v>
      </c>
      <c r="CO4" s="8" t="s">
        <v>135</v>
      </c>
      <c r="CZ4" s="8" t="s">
        <v>138</v>
      </c>
      <c r="DA4" s="8" t="s">
        <v>139</v>
      </c>
      <c r="DB4" s="8" t="s">
        <v>140</v>
      </c>
      <c r="DC4" s="8" t="s">
        <v>141</v>
      </c>
      <c r="DD4" s="8" t="s">
        <v>142</v>
      </c>
      <c r="DE4" s="8" t="s">
        <v>146</v>
      </c>
      <c r="DF4" s="8" t="s">
        <v>141</v>
      </c>
      <c r="DG4" s="8" t="s">
        <v>139</v>
      </c>
      <c r="DH4" s="8" t="s">
        <v>140</v>
      </c>
      <c r="DI4" s="8" t="s">
        <v>141</v>
      </c>
      <c r="DJ4" s="8" t="s">
        <v>142</v>
      </c>
    </row>
    <row r="5" spans="1:114" x14ac:dyDescent="0.3">
      <c r="A5" s="13" t="s">
        <v>197</v>
      </c>
      <c r="B5" s="8" t="s">
        <v>152</v>
      </c>
      <c r="C5" s="8" t="s">
        <v>153</v>
      </c>
      <c r="D5" s="8" t="s">
        <v>154</v>
      </c>
      <c r="DA5" s="8" t="s">
        <v>147</v>
      </c>
      <c r="DB5" s="8" t="s">
        <v>148</v>
      </c>
      <c r="DC5" s="8" t="s">
        <v>149</v>
      </c>
      <c r="DD5" s="8" t="s">
        <v>150</v>
      </c>
      <c r="DE5" s="8" t="s">
        <v>155</v>
      </c>
      <c r="DF5" s="8" t="s">
        <v>149</v>
      </c>
      <c r="DG5" s="8" t="s">
        <v>151</v>
      </c>
      <c r="DH5" s="8" t="s">
        <v>148</v>
      </c>
      <c r="DI5" s="8" t="s">
        <v>149</v>
      </c>
      <c r="DJ5" s="8" t="s">
        <v>150</v>
      </c>
    </row>
    <row r="6" spans="1:114" x14ac:dyDescent="0.3">
      <c r="A6" s="13" t="s">
        <v>198</v>
      </c>
      <c r="B6" s="8" t="s">
        <v>161</v>
      </c>
      <c r="C6" s="8" t="s">
        <v>280</v>
      </c>
      <c r="D6" s="8" t="s">
        <v>162</v>
      </c>
      <c r="DA6" s="8" t="s">
        <v>156</v>
      </c>
      <c r="DB6" s="8" t="s">
        <v>157</v>
      </c>
      <c r="DC6" s="8" t="s">
        <v>158</v>
      </c>
      <c r="DD6" s="8" t="s">
        <v>159</v>
      </c>
      <c r="DF6" s="8" t="s">
        <v>158</v>
      </c>
      <c r="DG6" s="8" t="s">
        <v>160</v>
      </c>
      <c r="DH6" s="8" t="s">
        <v>157</v>
      </c>
      <c r="DI6" s="8" t="s">
        <v>158</v>
      </c>
      <c r="DJ6" s="8" t="s">
        <v>159</v>
      </c>
    </row>
    <row r="7" spans="1:114" x14ac:dyDescent="0.3">
      <c r="A7" s="13" t="s">
        <v>199</v>
      </c>
      <c r="D7" s="8" t="s">
        <v>168</v>
      </c>
      <c r="DA7" s="8" t="s">
        <v>164</v>
      </c>
      <c r="DB7" s="8" t="s">
        <v>165</v>
      </c>
      <c r="DC7" s="8" t="s">
        <v>166</v>
      </c>
      <c r="DD7" s="8" t="s">
        <v>167</v>
      </c>
      <c r="DF7" s="8" t="s">
        <v>166</v>
      </c>
      <c r="DG7" s="8" t="s">
        <v>164</v>
      </c>
      <c r="DH7" s="8" t="s">
        <v>165</v>
      </c>
      <c r="DI7" s="8" t="s">
        <v>166</v>
      </c>
      <c r="DJ7" s="8" t="s">
        <v>167</v>
      </c>
    </row>
    <row r="8" spans="1:114" x14ac:dyDescent="0.3">
      <c r="D8" s="8" t="s">
        <v>173</v>
      </c>
      <c r="DA8" s="8" t="s">
        <v>169</v>
      </c>
      <c r="DB8" s="8" t="s">
        <v>170</v>
      </c>
      <c r="DC8" s="8" t="s">
        <v>171</v>
      </c>
      <c r="DD8" s="8" t="s">
        <v>172</v>
      </c>
      <c r="DF8" s="8" t="s">
        <v>171</v>
      </c>
      <c r="DG8" s="8" t="s">
        <v>169</v>
      </c>
      <c r="DH8" s="8" t="s">
        <v>170</v>
      </c>
      <c r="DI8" s="8" t="s">
        <v>171</v>
      </c>
      <c r="DJ8" s="8" t="s">
        <v>172</v>
      </c>
    </row>
    <row r="9" spans="1:114" x14ac:dyDescent="0.3">
      <c r="D9" s="8" t="s">
        <v>280</v>
      </c>
      <c r="DA9" s="8" t="s">
        <v>174</v>
      </c>
      <c r="DB9" s="8" t="s">
        <v>175</v>
      </c>
      <c r="DC9" s="8" t="s">
        <v>176</v>
      </c>
      <c r="DD9" s="8" t="s">
        <v>177</v>
      </c>
      <c r="DF9" s="8" t="s">
        <v>176</v>
      </c>
      <c r="DG9" s="8" t="s">
        <v>174</v>
      </c>
      <c r="DH9" s="8" t="s">
        <v>175</v>
      </c>
      <c r="DI9" s="8" t="s">
        <v>176</v>
      </c>
      <c r="DJ9" s="8" t="s">
        <v>301</v>
      </c>
    </row>
    <row r="10" spans="1:114" x14ac:dyDescent="0.3">
      <c r="DA10" s="8" t="s">
        <v>178</v>
      </c>
      <c r="DB10" s="8" t="s">
        <v>179</v>
      </c>
      <c r="DC10" s="8" t="s">
        <v>180</v>
      </c>
      <c r="DF10" s="8" t="s">
        <v>180</v>
      </c>
      <c r="DG10" s="8" t="s">
        <v>178</v>
      </c>
      <c r="DH10" s="8" t="s">
        <v>179</v>
      </c>
      <c r="DI10" s="8" t="s">
        <v>180</v>
      </c>
    </row>
    <row r="11" spans="1:114" x14ac:dyDescent="0.3">
      <c r="DA11" s="8" t="s">
        <v>181</v>
      </c>
      <c r="DB11" s="8" t="s">
        <v>177</v>
      </c>
      <c r="DC11" s="8" t="s">
        <v>182</v>
      </c>
      <c r="DF11" s="8" t="s">
        <v>182</v>
      </c>
      <c r="DG11" s="8" t="s">
        <v>183</v>
      </c>
      <c r="DH11" s="8" t="s">
        <v>301</v>
      </c>
      <c r="DI11" s="8" t="s">
        <v>182</v>
      </c>
    </row>
    <row r="12" spans="1:114" x14ac:dyDescent="0.3">
      <c r="DA12" s="8" t="s">
        <v>184</v>
      </c>
      <c r="DC12" s="8" t="s">
        <v>185</v>
      </c>
      <c r="DF12" s="8" t="s">
        <v>185</v>
      </c>
      <c r="DG12" s="8" t="s">
        <v>186</v>
      </c>
      <c r="DI12" s="8" t="s">
        <v>185</v>
      </c>
    </row>
    <row r="13" spans="1:114" x14ac:dyDescent="0.3">
      <c r="DA13" s="8" t="s">
        <v>187</v>
      </c>
      <c r="DC13" s="8" t="s">
        <v>188</v>
      </c>
      <c r="DF13" s="8" t="s">
        <v>188</v>
      </c>
      <c r="DG13" s="8" t="s">
        <v>301</v>
      </c>
      <c r="DI13" s="8" t="s">
        <v>188</v>
      </c>
    </row>
    <row r="14" spans="1:114" x14ac:dyDescent="0.3">
      <c r="DA14" s="8" t="s">
        <v>189</v>
      </c>
      <c r="DC14" s="8" t="s">
        <v>190</v>
      </c>
      <c r="DF14" s="8" t="s">
        <v>190</v>
      </c>
      <c r="DG14" s="8" t="s">
        <v>163</v>
      </c>
      <c r="DI14" s="8" t="s">
        <v>190</v>
      </c>
    </row>
    <row r="15" spans="1:114" x14ac:dyDescent="0.3">
      <c r="DA15" s="8" t="s">
        <v>177</v>
      </c>
      <c r="DC15" s="8" t="s">
        <v>177</v>
      </c>
      <c r="DF15" s="8" t="s">
        <v>300</v>
      </c>
      <c r="DI15" s="8" t="s">
        <v>301</v>
      </c>
    </row>
    <row r="16" spans="1:114" x14ac:dyDescent="0.3">
      <c r="DA16" s="8" t="s">
        <v>163</v>
      </c>
    </row>
  </sheetData>
  <mergeCells count="1">
    <mergeCell ref="B1:D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28</vt:i4>
      </vt:variant>
    </vt:vector>
  </HeadingPairs>
  <TitlesOfParts>
    <vt:vector size="35" baseType="lpstr">
      <vt:lpstr>Terms &amp; Definitions</vt:lpstr>
      <vt:lpstr>Sections 1 &amp; 2</vt:lpstr>
      <vt:lpstr>Section 3</vt:lpstr>
      <vt:lpstr>Section 4 (Not Used This Year)</vt:lpstr>
      <vt:lpstr>Sections 5 &amp; 6</vt:lpstr>
      <vt:lpstr>SURVEY_PARTCPNT_RESPONSE</vt:lpstr>
      <vt:lpstr>ReferenceData</vt:lpstr>
      <vt:lpstr>No</vt:lpstr>
      <vt:lpstr>PATI_SCHOOL_10</vt:lpstr>
      <vt:lpstr>PATI_SCHOOL_1030</vt:lpstr>
      <vt:lpstr>PATI_SCHOOL_1040</vt:lpstr>
      <vt:lpstr>PATI_SCHOOL_1050</vt:lpstr>
      <vt:lpstr>PATI_SCHOOL_1060</vt:lpstr>
      <vt:lpstr>PATI_SCHOOL_1070</vt:lpstr>
      <vt:lpstr>PATI_SCHOOL_1080</vt:lpstr>
      <vt:lpstr>PATI_SCHOOL_1090</vt:lpstr>
      <vt:lpstr>PATI_SCHOOL_1100</vt:lpstr>
      <vt:lpstr>PATI_SCHOOL_1110</vt:lpstr>
      <vt:lpstr>PATI_SCHOOL_1120</vt:lpstr>
      <vt:lpstr>PATI_SCHOOL_1130</vt:lpstr>
      <vt:lpstr>PATI_SCHOOL_20</vt:lpstr>
      <vt:lpstr>PATI_SCHOOL_30</vt:lpstr>
      <vt:lpstr>PATI_SCHOOL_840</vt:lpstr>
      <vt:lpstr>PATI_SCHOOL_850</vt:lpstr>
      <vt:lpstr>PATI_SCHOOL_860</vt:lpstr>
      <vt:lpstr>PATI_SCHOOL_870</vt:lpstr>
      <vt:lpstr>PATI_SCHOOL_880</vt:lpstr>
      <vt:lpstr>PATI_SCHOOL_890</vt:lpstr>
      <vt:lpstr>PATI_SCHOOL_900</vt:lpstr>
      <vt:lpstr>PATI_SCHOOL_910</vt:lpstr>
      <vt:lpstr>PATI_SCHOOL_920</vt:lpstr>
      <vt:lpstr>'Section 3'!Print_Titles</vt:lpstr>
      <vt:lpstr>'Sections 1 &amp; 2'!Print_Titles</vt:lpstr>
      <vt:lpstr>'Terms &amp; Definitions'!Print_Titles</vt:lpstr>
      <vt:lpstr>School_Year</vt:lpstr>
    </vt:vector>
  </TitlesOfParts>
  <Company>Deloitte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Welsh, Daniel William</dc:creator>
  <cp:lastModifiedBy>Sweeney, Leonard H</cp:lastModifiedBy>
  <cp:lastPrinted>2012-08-08T18:35:09Z</cp:lastPrinted>
  <dcterms:created xsi:type="dcterms:W3CDTF">2011-08-09T17:02:28Z</dcterms:created>
  <dcterms:modified xsi:type="dcterms:W3CDTF">2012-11-02T18:57:21Z</dcterms:modified>
</cp:coreProperties>
</file>