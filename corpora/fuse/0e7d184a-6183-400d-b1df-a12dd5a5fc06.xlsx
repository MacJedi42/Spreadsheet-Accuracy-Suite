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090" yWindow="30" windowWidth="9570" windowHeight="7845"/>
  </bookViews>
  <sheets>
    <sheet name="OA CWW BUGET" sheetId="1" r:id="rId1"/>
    <sheet name="Sheet1" sheetId="3" r:id="rId2"/>
  </sheets>
  <definedNames>
    <definedName name="_xlnm.Print_Area" localSheetId="0">'OA CWW BUGET'!$A$1:$J$53</definedName>
  </definedNames>
  <calcPr calcId="124519"/>
</workbook>
</file>

<file path=xl/calcChain.xml><?xml version="1.0" encoding="utf-8"?>
<calcChain xmlns="http://schemas.openxmlformats.org/spreadsheetml/2006/main">
  <c r="C48" i="1"/>
  <c r="B48"/>
  <c r="A48"/>
  <c r="A47"/>
  <c r="C47"/>
  <c r="B47"/>
  <c r="E47"/>
  <c r="E40" s="1"/>
  <c r="E48" l="1"/>
  <c r="J40" s="1"/>
  <c r="H18"/>
  <c r="C18"/>
  <c r="E43"/>
  <c r="I17"/>
  <c r="J17"/>
  <c r="E17"/>
  <c r="I12"/>
  <c r="J12" s="1"/>
  <c r="I13"/>
  <c r="J13" s="1"/>
  <c r="I14"/>
  <c r="J14" s="1"/>
  <c r="I15"/>
  <c r="J15" s="1"/>
  <c r="I16"/>
  <c r="J16" s="1"/>
  <c r="E12"/>
  <c r="E13"/>
  <c r="E14"/>
  <c r="E15"/>
  <c r="E16"/>
  <c r="J23"/>
  <c r="E23"/>
  <c r="E41"/>
  <c r="J41"/>
  <c r="J44" s="1"/>
  <c r="E44"/>
  <c r="E18" l="1"/>
  <c r="E24" s="1"/>
  <c r="E46" s="1"/>
  <c r="J18"/>
  <c r="J24" s="1"/>
  <c r="J46" s="1"/>
</calcChain>
</file>

<file path=xl/sharedStrings.xml><?xml version="1.0" encoding="utf-8"?>
<sst xmlns="http://schemas.openxmlformats.org/spreadsheetml/2006/main" count="77" uniqueCount="66">
  <si>
    <t xml:space="preserve">Dates of Activity: </t>
  </si>
  <si>
    <t xml:space="preserve"> </t>
  </si>
  <si>
    <t>Cost Center:</t>
  </si>
  <si>
    <t xml:space="preserve">Acc # </t>
  </si>
  <si>
    <t xml:space="preserve">Program Supplies </t>
  </si>
  <si>
    <t xml:space="preserve">Food &amp; Commissary Supplies </t>
  </si>
  <si>
    <t>Telephone</t>
  </si>
  <si>
    <t>Equipment Rental</t>
  </si>
  <si>
    <t>Youth Recognition</t>
  </si>
  <si>
    <t>Volunteer Recognition</t>
  </si>
  <si>
    <t>Other Recognition</t>
  </si>
  <si>
    <t>Total Other Income</t>
  </si>
  <si>
    <t>Total Participant Fees</t>
  </si>
  <si>
    <t>Fee</t>
  </si>
  <si>
    <t>Explanations</t>
  </si>
  <si>
    <t>Expendable Equipment</t>
  </si>
  <si>
    <t>ESTIMATED REVENUE</t>
  </si>
  <si>
    <t>ACTUAL REVENUE</t>
  </si>
  <si>
    <t>TOTAL ESTIMATED REVENUE</t>
  </si>
  <si>
    <t>TOTAL ACTUAL REVENUE</t>
  </si>
  <si>
    <t>NET Difference + OR (-)</t>
  </si>
  <si>
    <t>ACTUAL NET Difference + OR (-)</t>
  </si>
  <si>
    <t>BUDGET</t>
  </si>
  <si>
    <t>ACTUAL</t>
  </si>
  <si>
    <t>ESTIMATED EXPENSES</t>
  </si>
  <si>
    <t>ACTUAL EXPENSES</t>
  </si>
  <si>
    <t>Activity Title:</t>
  </si>
  <si>
    <t xml:space="preserve">Location: </t>
  </si>
  <si>
    <t xml:space="preserve">Submitted By: </t>
  </si>
  <si>
    <t xml:space="preserve">Staff Advisor: </t>
  </si>
  <si>
    <t xml:space="preserve">Chairperson: </t>
  </si>
  <si>
    <t>Printing/Postage</t>
  </si>
  <si>
    <t>TOTAL ESTIMATED EXPENSES</t>
  </si>
  <si>
    <t>Chapter/Lodge:</t>
  </si>
  <si>
    <t xml:space="preserve">Date Submitted:  </t>
  </si>
  <si>
    <t>-00</t>
  </si>
  <si>
    <t>1-2371-</t>
  </si>
  <si>
    <t>Lodge Acct#'s 995 Operating,   996 Lodge Activities,  997 Ceremonial/Service Weekends,  998 Enda Traders,  999 Section &amp; National Activities</t>
  </si>
  <si>
    <t xml:space="preserve">Lodge Advisor _______________________  ____/____ /____     Staff Advisor ______________________  ____ /____ /____ </t>
  </si>
  <si>
    <t>Service Project Materials</t>
  </si>
  <si>
    <t>Ordeal Candidates</t>
  </si>
  <si>
    <t>Brotherhood Candidates</t>
  </si>
  <si>
    <t>Vigil Candidates</t>
  </si>
  <si>
    <t>OA CEREMONIAL/WORK WEEKEND BUDGET PLANNER AND CONTROL SHEET</t>
  </si>
  <si>
    <r>
      <t xml:space="preserve">Other Income </t>
    </r>
    <r>
      <rPr>
        <sz val="8"/>
        <color indexed="8"/>
        <rFont val="Calibri"/>
        <family val="2"/>
      </rPr>
      <t>(enter description below / do not include trading post)</t>
    </r>
  </si>
  <si>
    <t>Sashes/Books/Flaps</t>
  </si>
  <si>
    <t>Friday</t>
  </si>
  <si>
    <t xml:space="preserve">Saturday </t>
  </si>
  <si>
    <t>Cracker</t>
  </si>
  <si>
    <t>Break</t>
  </si>
  <si>
    <t>C Break</t>
  </si>
  <si>
    <t>Lunch</t>
  </si>
  <si>
    <t>C Lunch</t>
  </si>
  <si>
    <t>Dinner</t>
  </si>
  <si>
    <t xml:space="preserve">Sunday </t>
  </si>
  <si>
    <t>Ordeal Cannidate Meals</t>
  </si>
  <si>
    <r>
      <t xml:space="preserve">Facility Rental Fee </t>
    </r>
    <r>
      <rPr>
        <sz val="8"/>
        <color indexed="8"/>
        <rFont val="Calibri"/>
        <family val="2"/>
        <scheme val="minor"/>
      </rPr>
      <t>(including council camp rentals)</t>
    </r>
  </si>
  <si>
    <r>
      <t xml:space="preserve">Expense contingency </t>
    </r>
    <r>
      <rPr>
        <sz val="7"/>
        <color theme="1"/>
        <rFont val="Calibri"/>
        <family val="2"/>
        <scheme val="minor"/>
      </rPr>
      <t xml:space="preserve">(10% of expenses not including liability ins. fee) </t>
    </r>
  </si>
  <si>
    <r>
      <t>General Attendance</t>
    </r>
    <r>
      <rPr>
        <sz val="8"/>
        <color indexed="8"/>
        <rFont val="Calibri"/>
        <family val="2"/>
        <scheme val="minor"/>
      </rPr>
      <t xml:space="preserve"> (Current Members)</t>
    </r>
  </si>
  <si>
    <r>
      <t xml:space="preserve">Liability Insurance Fee </t>
    </r>
    <r>
      <rPr>
        <sz val="8"/>
        <color indexed="8"/>
        <rFont val="Calibri"/>
        <family val="2"/>
        <scheme val="minor"/>
      </rPr>
      <t>($1.00 per person)</t>
    </r>
  </si>
  <si>
    <t>Participant Fees</t>
  </si>
  <si>
    <t>Estimated #</t>
  </si>
  <si>
    <t>Actual #</t>
  </si>
  <si>
    <t>Sanitation Supplies</t>
  </si>
  <si>
    <r>
      <t xml:space="preserve">Cannidate Recognition - </t>
    </r>
    <r>
      <rPr>
        <sz val="8"/>
        <color theme="1"/>
        <rFont val="Calibri"/>
        <family val="2"/>
        <scheme val="minor"/>
      </rPr>
      <t>Sashes/Books/Flaps</t>
    </r>
  </si>
  <si>
    <t xml:space="preserve">        Considerations: Ordeal Packets =$20 / Meals Roughly $3 to $5 Per Person Per Meal</t>
  </si>
</sst>
</file>

<file path=xl/styles.xml><?xml version="1.0" encoding="utf-8"?>
<styleSheet xmlns="http://schemas.openxmlformats.org/spreadsheetml/2006/main">
  <numFmts count="5">
    <numFmt numFmtId="5" formatCode="&quot;$&quot;#,##0_);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[$-409]mmmm\ d\,\ yyyy;@"/>
    <numFmt numFmtId="165" formatCode="&quot;$&quot;#,##0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Calibri"/>
      <family val="2"/>
    </font>
    <font>
      <sz val="8"/>
      <name val="Calibri"/>
      <family val="2"/>
    </font>
    <font>
      <b/>
      <sz val="11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sz val="7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3">
    <xf numFmtId="0" fontId="0" fillId="0" borderId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7" fillId="27" borderId="0" applyNumberFormat="0" applyBorder="0" applyAlignment="0" applyProtection="0"/>
    <xf numFmtId="0" fontId="8" fillId="28" borderId="48" applyNumberFormat="0" applyAlignment="0" applyProtection="0"/>
    <xf numFmtId="0" fontId="9" fillId="29" borderId="49" applyNumberFormat="0" applyAlignment="0" applyProtection="0"/>
    <xf numFmtId="44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30" borderId="0" applyNumberFormat="0" applyBorder="0" applyAlignment="0" applyProtection="0"/>
    <xf numFmtId="0" fontId="12" fillId="0" borderId="50" applyNumberFormat="0" applyFill="0" applyAlignment="0" applyProtection="0"/>
    <xf numFmtId="0" fontId="13" fillId="0" borderId="51" applyNumberFormat="0" applyFill="0" applyAlignment="0" applyProtection="0"/>
    <xf numFmtId="0" fontId="14" fillId="0" borderId="52" applyNumberFormat="0" applyFill="0" applyAlignment="0" applyProtection="0"/>
    <xf numFmtId="0" fontId="14" fillId="0" borderId="0" applyNumberFormat="0" applyFill="0" applyBorder="0" applyAlignment="0" applyProtection="0"/>
    <xf numFmtId="0" fontId="15" fillId="31" borderId="48" applyNumberFormat="0" applyAlignment="0" applyProtection="0"/>
    <xf numFmtId="0" fontId="16" fillId="0" borderId="53" applyNumberFormat="0" applyFill="0" applyAlignment="0" applyProtection="0"/>
    <xf numFmtId="0" fontId="17" fillId="32" borderId="0" applyNumberFormat="0" applyBorder="0" applyAlignment="0" applyProtection="0"/>
    <xf numFmtId="0" fontId="1" fillId="33" borderId="54" applyNumberFormat="0" applyFont="0" applyAlignment="0" applyProtection="0"/>
    <xf numFmtId="0" fontId="18" fillId="28" borderId="55" applyNumberFormat="0" applyAlignment="0" applyProtection="0"/>
    <xf numFmtId="0" fontId="19" fillId="0" borderId="0" applyNumberFormat="0" applyFill="0" applyBorder="0" applyAlignment="0" applyProtection="0"/>
    <xf numFmtId="0" fontId="20" fillId="0" borderId="56" applyNumberFormat="0" applyFill="0" applyAlignment="0" applyProtection="0"/>
    <xf numFmtId="0" fontId="21" fillId="0" borderId="0" applyNumberFormat="0" applyFill="0" applyBorder="0" applyAlignment="0" applyProtection="0"/>
  </cellStyleXfs>
  <cellXfs count="168">
    <xf numFmtId="0" fontId="0" fillId="0" borderId="0" xfId="0"/>
    <xf numFmtId="0" fontId="0" fillId="0" borderId="0" xfId="0" applyProtection="1"/>
    <xf numFmtId="0" fontId="20" fillId="0" borderId="2" xfId="0" applyFont="1" applyFill="1" applyBorder="1" applyProtection="1"/>
    <xf numFmtId="44" fontId="0" fillId="0" borderId="12" xfId="28" applyFont="1" applyFill="1" applyBorder="1" applyProtection="1"/>
    <xf numFmtId="0" fontId="0" fillId="0" borderId="0" xfId="0" applyAlignment="1" applyProtection="1">
      <alignment wrapText="1"/>
    </xf>
    <xf numFmtId="0" fontId="0" fillId="0" borderId="9" xfId="0" applyFill="1" applyBorder="1" applyProtection="1"/>
    <xf numFmtId="0" fontId="24" fillId="0" borderId="0" xfId="0" applyFont="1" applyProtection="1"/>
    <xf numFmtId="0" fontId="6" fillId="0" borderId="0" xfId="0" applyFont="1" applyProtection="1"/>
    <xf numFmtId="0" fontId="24" fillId="0" borderId="0" xfId="0" applyFont="1" applyAlignment="1" applyProtection="1">
      <alignment wrapText="1"/>
    </xf>
    <xf numFmtId="0" fontId="4" fillId="0" borderId="0" xfId="0" applyFont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0" fontId="0" fillId="0" borderId="9" xfId="0" applyFill="1" applyBorder="1" applyAlignment="1" applyProtection="1"/>
    <xf numFmtId="0" fontId="0" fillId="0" borderId="0" xfId="0" applyAlignment="1" applyProtection="1"/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9" xfId="0" applyFill="1" applyBorder="1" applyAlignment="1" applyProtection="1">
      <alignment horizontal="left"/>
    </xf>
    <xf numFmtId="0" fontId="20" fillId="0" borderId="9" xfId="0" applyFont="1" applyFill="1" applyBorder="1" applyAlignment="1" applyProtection="1"/>
    <xf numFmtId="0" fontId="20" fillId="0" borderId="27" xfId="0" applyFont="1" applyBorder="1" applyAlignment="1" applyProtection="1"/>
    <xf numFmtId="0" fontId="20" fillId="0" borderId="28" xfId="0" applyFont="1" applyBorder="1" applyAlignment="1" applyProtection="1"/>
    <xf numFmtId="0" fontId="0" fillId="0" borderId="1" xfId="0" applyBorder="1" applyAlignment="1"/>
    <xf numFmtId="0" fontId="20" fillId="0" borderId="2" xfId="0" applyFont="1" applyFill="1" applyBorder="1" applyAlignment="1" applyProtection="1"/>
    <xf numFmtId="0" fontId="20" fillId="0" borderId="10" xfId="0" applyFont="1" applyBorder="1" applyAlignment="1" applyProtection="1"/>
    <xf numFmtId="0" fontId="2" fillId="36" borderId="0" xfId="0" applyFont="1" applyFill="1" applyAlignment="1" applyProtection="1">
      <alignment horizontal="center"/>
    </xf>
    <xf numFmtId="0" fontId="22" fillId="0" borderId="0" xfId="0" applyFont="1" applyFill="1" applyAlignment="1" applyProtection="1">
      <alignment vertical="center"/>
    </xf>
    <xf numFmtId="0" fontId="21" fillId="0" borderId="0" xfId="0" applyFont="1" applyProtection="1"/>
    <xf numFmtId="0" fontId="0" fillId="0" borderId="0" xfId="0" applyFont="1" applyProtection="1"/>
    <xf numFmtId="0" fontId="0" fillId="0" borderId="0" xfId="0" applyFont="1" applyBorder="1" applyProtection="1"/>
    <xf numFmtId="0" fontId="24" fillId="34" borderId="9" xfId="0" applyFont="1" applyFill="1" applyBorder="1" applyAlignment="1" applyProtection="1"/>
    <xf numFmtId="0" fontId="24" fillId="34" borderId="1" xfId="0" applyFont="1" applyFill="1" applyBorder="1" applyAlignment="1" applyProtection="1"/>
    <xf numFmtId="0" fontId="24" fillId="34" borderId="10" xfId="0" applyFont="1" applyFill="1" applyBorder="1" applyAlignment="1" applyProtection="1"/>
    <xf numFmtId="0" fontId="23" fillId="0" borderId="0" xfId="0" applyFont="1" applyAlignment="1" applyProtection="1">
      <alignment vertical="center"/>
    </xf>
    <xf numFmtId="0" fontId="0" fillId="0" borderId="7" xfId="0" applyFont="1" applyFill="1" applyBorder="1" applyProtection="1"/>
    <xf numFmtId="0" fontId="0" fillId="0" borderId="0" xfId="0" applyFont="1" applyFill="1" applyProtection="1"/>
    <xf numFmtId="0" fontId="0" fillId="0" borderId="14" xfId="0" applyFont="1" applyBorder="1" applyProtection="1"/>
    <xf numFmtId="0" fontId="0" fillId="0" borderId="15" xfId="0" applyFont="1" applyFill="1" applyBorder="1" applyProtection="1"/>
    <xf numFmtId="0" fontId="25" fillId="0" borderId="38" xfId="0" applyFont="1" applyFill="1" applyBorder="1" applyAlignment="1" applyProtection="1">
      <alignment horizontal="center"/>
    </xf>
    <xf numFmtId="0" fontId="25" fillId="0" borderId="36" xfId="0" applyFont="1" applyFill="1" applyBorder="1" applyAlignment="1" applyProtection="1">
      <alignment horizontal="center"/>
    </xf>
    <xf numFmtId="0" fontId="25" fillId="0" borderId="37" xfId="0" applyFont="1" applyFill="1" applyBorder="1" applyAlignment="1" applyProtection="1">
      <alignment horizontal="center"/>
    </xf>
    <xf numFmtId="0" fontId="25" fillId="0" borderId="16" xfId="0" applyFont="1" applyFill="1" applyBorder="1" applyAlignment="1" applyProtection="1">
      <alignment horizontal="center"/>
    </xf>
    <xf numFmtId="0" fontId="26" fillId="2" borderId="42" xfId="0" applyFont="1" applyFill="1" applyBorder="1" applyAlignment="1" applyProtection="1">
      <alignment horizontal="center"/>
    </xf>
    <xf numFmtId="0" fontId="25" fillId="0" borderId="35" xfId="0" applyFont="1" applyFill="1" applyBorder="1" applyAlignment="1" applyProtection="1">
      <alignment horizontal="center"/>
    </xf>
    <xf numFmtId="49" fontId="0" fillId="0" borderId="10" xfId="0" applyNumberFormat="1" applyFont="1" applyFill="1" applyBorder="1" applyProtection="1"/>
    <xf numFmtId="0" fontId="0" fillId="0" borderId="12" xfId="0" applyFont="1" applyFill="1" applyBorder="1" applyProtection="1"/>
    <xf numFmtId="0" fontId="25" fillId="0" borderId="10" xfId="0" applyFont="1" applyFill="1" applyBorder="1" applyAlignment="1" applyProtection="1">
      <alignment horizontal="center"/>
    </xf>
    <xf numFmtId="42" fontId="0" fillId="0" borderId="7" xfId="0" applyNumberFormat="1" applyFont="1" applyFill="1" applyBorder="1" applyAlignment="1" applyProtection="1"/>
    <xf numFmtId="42" fontId="0" fillId="2" borderId="0" xfId="0" applyNumberFormat="1" applyFont="1" applyFill="1" applyBorder="1" applyProtection="1"/>
    <xf numFmtId="0" fontId="0" fillId="35" borderId="10" xfId="0" applyFont="1" applyFill="1" applyBorder="1" applyAlignment="1" applyProtection="1">
      <alignment horizontal="left"/>
      <protection locked="0"/>
    </xf>
    <xf numFmtId="0" fontId="0" fillId="2" borderId="0" xfId="0" applyFont="1" applyFill="1" applyBorder="1" applyProtection="1"/>
    <xf numFmtId="0" fontId="0" fillId="2" borderId="41" xfId="0" applyFont="1" applyFill="1" applyBorder="1" applyAlignment="1" applyProtection="1">
      <alignment horizontal="center"/>
    </xf>
    <xf numFmtId="0" fontId="0" fillId="2" borderId="39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42" xfId="0" applyFont="1" applyFill="1" applyBorder="1" applyAlignment="1" applyProtection="1">
      <alignment horizontal="center"/>
    </xf>
    <xf numFmtId="0" fontId="0" fillId="2" borderId="6" xfId="0" applyFont="1" applyFill="1" applyBorder="1" applyAlignment="1" applyProtection="1">
      <alignment horizontal="center"/>
    </xf>
    <xf numFmtId="0" fontId="0" fillId="0" borderId="41" xfId="0" applyFont="1" applyFill="1" applyBorder="1" applyAlignment="1" applyProtection="1">
      <alignment horizontal="left"/>
    </xf>
    <xf numFmtId="0" fontId="0" fillId="0" borderId="39" xfId="0" applyFont="1" applyFill="1" applyBorder="1" applyAlignment="1" applyProtection="1">
      <alignment horizontal="left"/>
    </xf>
    <xf numFmtId="0" fontId="0" fillId="0" borderId="39" xfId="0" applyFont="1" applyBorder="1" applyAlignment="1" applyProtection="1"/>
    <xf numFmtId="0" fontId="0" fillId="0" borderId="40" xfId="0" applyFont="1" applyBorder="1" applyAlignment="1" applyProtection="1"/>
    <xf numFmtId="0" fontId="0" fillId="2" borderId="41" xfId="0" applyFont="1" applyFill="1" applyBorder="1" applyAlignment="1" applyProtection="1">
      <alignment horizontal="center" wrapText="1"/>
    </xf>
    <xf numFmtId="0" fontId="0" fillId="2" borderId="39" xfId="0" applyFont="1" applyFill="1" applyBorder="1" applyAlignment="1" applyProtection="1">
      <alignment horizontal="center" wrapText="1"/>
    </xf>
    <xf numFmtId="0" fontId="0" fillId="2" borderId="40" xfId="0" applyFont="1" applyFill="1" applyBorder="1" applyAlignment="1" applyProtection="1">
      <alignment horizontal="center" wrapText="1"/>
    </xf>
    <xf numFmtId="49" fontId="0" fillId="35" borderId="2" xfId="0" applyNumberFormat="1" applyFont="1" applyFill="1" applyBorder="1" applyAlignment="1" applyProtection="1">
      <alignment horizontal="left"/>
      <protection locked="0"/>
    </xf>
    <xf numFmtId="49" fontId="0" fillId="35" borderId="1" xfId="0" applyNumberFormat="1" applyFont="1" applyFill="1" applyBorder="1" applyAlignment="1" applyProtection="1">
      <alignment horizontal="left"/>
      <protection locked="0"/>
    </xf>
    <xf numFmtId="49" fontId="0" fillId="35" borderId="10" xfId="0" applyNumberFormat="1" applyFont="1" applyFill="1" applyBorder="1" applyAlignment="1" applyProtection="1">
      <alignment horizontal="left"/>
      <protection locked="0"/>
    </xf>
    <xf numFmtId="0" fontId="0" fillId="35" borderId="9" xfId="0" applyFont="1" applyFill="1" applyBorder="1" applyAlignment="1" applyProtection="1">
      <alignment horizontal="left"/>
      <protection locked="0"/>
    </xf>
    <xf numFmtId="0" fontId="0" fillId="35" borderId="1" xfId="0" applyFont="1" applyFill="1" applyBorder="1" applyAlignment="1" applyProtection="1">
      <alignment horizontal="left"/>
      <protection locked="0"/>
    </xf>
    <xf numFmtId="0" fontId="0" fillId="35" borderId="10" xfId="0" applyFont="1" applyFill="1" applyBorder="1" applyAlignment="1" applyProtection="1">
      <alignment horizontal="left"/>
      <protection locked="0"/>
    </xf>
    <xf numFmtId="44" fontId="0" fillId="0" borderId="57" xfId="0" applyNumberFormat="1" applyFont="1" applyFill="1" applyBorder="1" applyAlignment="1" applyProtection="1"/>
    <xf numFmtId="0" fontId="0" fillId="0" borderId="26" xfId="0" applyFont="1" applyFill="1" applyBorder="1" applyAlignment="1" applyProtection="1">
      <alignment horizontal="center"/>
    </xf>
    <xf numFmtId="0" fontId="0" fillId="0" borderId="27" xfId="0" applyFont="1" applyFill="1" applyBorder="1" applyAlignment="1" applyProtection="1">
      <alignment horizontal="center"/>
    </xf>
    <xf numFmtId="44" fontId="0" fillId="0" borderId="21" xfId="0" applyNumberFormat="1" applyFont="1" applyFill="1" applyBorder="1" applyAlignment="1" applyProtection="1"/>
    <xf numFmtId="0" fontId="0" fillId="2" borderId="6" xfId="0" applyFont="1" applyFill="1" applyBorder="1" applyProtection="1"/>
    <xf numFmtId="0" fontId="25" fillId="0" borderId="24" xfId="0" applyFont="1" applyFill="1" applyBorder="1" applyAlignment="1" applyProtection="1">
      <alignment horizontal="right"/>
    </xf>
    <xf numFmtId="0" fontId="25" fillId="0" borderId="33" xfId="0" applyFont="1" applyFill="1" applyBorder="1" applyAlignment="1" applyProtection="1">
      <alignment horizontal="right"/>
    </xf>
    <xf numFmtId="0" fontId="25" fillId="0" borderId="44" xfId="0" applyFont="1" applyFill="1" applyBorder="1" applyAlignment="1" applyProtection="1">
      <alignment horizontal="right"/>
    </xf>
    <xf numFmtId="0" fontId="26" fillId="2" borderId="0" xfId="0" applyFont="1" applyFill="1" applyBorder="1" applyAlignment="1" applyProtection="1">
      <alignment horizontal="center"/>
    </xf>
    <xf numFmtId="0" fontId="25" fillId="0" borderId="34" xfId="0" applyFont="1" applyFill="1" applyBorder="1" applyAlignment="1" applyProtection="1">
      <alignment horizontal="right"/>
    </xf>
    <xf numFmtId="0" fontId="0" fillId="2" borderId="46" xfId="0" applyFont="1" applyFill="1" applyBorder="1" applyAlignment="1" applyProtection="1">
      <alignment horizontal="center"/>
    </xf>
    <xf numFmtId="0" fontId="0" fillId="2" borderId="47" xfId="0" applyFont="1" applyFill="1" applyBorder="1" applyAlignment="1" applyProtection="1">
      <alignment horizontal="center"/>
    </xf>
    <xf numFmtId="0" fontId="25" fillId="0" borderId="1" xfId="0" applyFont="1" applyBorder="1" applyAlignment="1" applyProtection="1">
      <alignment horizontal="center"/>
    </xf>
    <xf numFmtId="0" fontId="25" fillId="0" borderId="2" xfId="0" applyFont="1" applyBorder="1" applyAlignment="1" applyProtection="1">
      <alignment horizontal="center"/>
    </xf>
    <xf numFmtId="0" fontId="0" fillId="0" borderId="9" xfId="0" applyFont="1" applyFill="1" applyBorder="1" applyProtection="1"/>
    <xf numFmtId="0" fontId="0" fillId="0" borderId="10" xfId="0" applyFont="1" applyBorder="1" applyAlignment="1" applyProtection="1">
      <alignment horizontal="left"/>
      <protection locked="0"/>
    </xf>
    <xf numFmtId="0" fontId="0" fillId="35" borderId="1" xfId="0" applyFont="1" applyFill="1" applyBorder="1" applyAlignment="1" applyProtection="1">
      <alignment horizontal="left"/>
      <protection locked="0"/>
    </xf>
    <xf numFmtId="0" fontId="0" fillId="0" borderId="1" xfId="0" applyFont="1" applyFill="1" applyBorder="1" applyAlignment="1" applyProtection="1"/>
    <xf numFmtId="0" fontId="0" fillId="0" borderId="10" xfId="0" applyFont="1" applyFill="1" applyBorder="1" applyAlignment="1" applyProtection="1"/>
    <xf numFmtId="0" fontId="0" fillId="0" borderId="1" xfId="0" applyFont="1" applyFill="1" applyBorder="1" applyAlignment="1" applyProtection="1">
      <alignment horizontal="left"/>
    </xf>
    <xf numFmtId="0" fontId="0" fillId="0" borderId="10" xfId="0" applyFont="1" applyFill="1" applyBorder="1" applyAlignment="1" applyProtection="1">
      <alignment horizontal="left"/>
    </xf>
    <xf numFmtId="0" fontId="25" fillId="0" borderId="9" xfId="0" applyFont="1" applyFill="1" applyBorder="1" applyAlignment="1" applyProtection="1">
      <alignment horizontal="left"/>
    </xf>
    <xf numFmtId="0" fontId="25" fillId="0" borderId="1" xfId="0" applyFont="1" applyFill="1" applyBorder="1" applyAlignment="1" applyProtection="1">
      <alignment horizontal="left"/>
    </xf>
    <xf numFmtId="0" fontId="25" fillId="0" borderId="10" xfId="0" applyFont="1" applyFill="1" applyBorder="1" applyAlignment="1" applyProtection="1">
      <alignment horizontal="left"/>
    </xf>
    <xf numFmtId="0" fontId="26" fillId="2" borderId="6" xfId="0" applyFont="1" applyFill="1" applyBorder="1" applyAlignment="1" applyProtection="1">
      <alignment horizontal="center"/>
    </xf>
    <xf numFmtId="0" fontId="25" fillId="2" borderId="32" xfId="0" applyFont="1" applyFill="1" applyBorder="1" applyAlignment="1" applyProtection="1">
      <alignment horizontal="center"/>
    </xf>
    <xf numFmtId="0" fontId="0" fillId="2" borderId="33" xfId="0" applyFont="1" applyFill="1" applyBorder="1" applyAlignment="1" applyProtection="1">
      <alignment horizontal="center"/>
    </xf>
    <xf numFmtId="0" fontId="0" fillId="2" borderId="5" xfId="0" applyFont="1" applyFill="1" applyBorder="1" applyProtection="1"/>
    <xf numFmtId="0" fontId="26" fillId="2" borderId="45" xfId="0" applyFont="1" applyFill="1" applyBorder="1" applyAlignment="1" applyProtection="1">
      <alignment horizontal="center"/>
    </xf>
    <xf numFmtId="0" fontId="25" fillId="0" borderId="43" xfId="0" applyFont="1" applyFill="1" applyBorder="1" applyAlignment="1" applyProtection="1">
      <alignment horizontal="center"/>
    </xf>
    <xf numFmtId="0" fontId="25" fillId="0" borderId="33" xfId="0" applyFont="1" applyFill="1" applyBorder="1" applyAlignment="1" applyProtection="1">
      <alignment horizontal="center"/>
    </xf>
    <xf numFmtId="0" fontId="25" fillId="0" borderId="44" xfId="0" applyFont="1" applyFill="1" applyBorder="1" applyAlignment="1" applyProtection="1">
      <alignment horizontal="center"/>
    </xf>
    <xf numFmtId="0" fontId="31" fillId="0" borderId="9" xfId="0" applyFont="1" applyFill="1" applyBorder="1" applyAlignment="1" applyProtection="1">
      <alignment horizontal="left"/>
    </xf>
    <xf numFmtId="0" fontId="31" fillId="0" borderId="1" xfId="0" applyFont="1" applyFill="1" applyBorder="1" applyAlignment="1" applyProtection="1">
      <alignment horizontal="left"/>
    </xf>
    <xf numFmtId="0" fontId="31" fillId="0" borderId="10" xfId="0" applyFont="1" applyFill="1" applyBorder="1" applyAlignment="1" applyProtection="1">
      <alignment horizontal="left"/>
    </xf>
    <xf numFmtId="49" fontId="26" fillId="35" borderId="7" xfId="0" applyNumberFormat="1" applyFont="1" applyFill="1" applyBorder="1" applyAlignment="1" applyProtection="1">
      <alignment horizontal="left"/>
      <protection locked="0"/>
    </xf>
    <xf numFmtId="164" fontId="26" fillId="35" borderId="7" xfId="0" applyNumberFormat="1" applyFont="1" applyFill="1" applyBorder="1" applyAlignment="1" applyProtection="1">
      <alignment horizontal="left"/>
      <protection locked="0"/>
    </xf>
    <xf numFmtId="49" fontId="25" fillId="0" borderId="9" xfId="0" applyNumberFormat="1" applyFont="1" applyFill="1" applyBorder="1" applyAlignment="1" applyProtection="1">
      <alignment horizontal="right"/>
    </xf>
    <xf numFmtId="49" fontId="26" fillId="35" borderId="1" xfId="0" applyNumberFormat="1" applyFont="1" applyFill="1" applyBorder="1" applyAlignment="1" applyProtection="1">
      <alignment horizontal="left"/>
      <protection locked="0"/>
    </xf>
    <xf numFmtId="49" fontId="25" fillId="0" borderId="10" xfId="0" applyNumberFormat="1" applyFont="1" applyFill="1" applyBorder="1" applyAlignment="1" applyProtection="1">
      <alignment horizontal="left"/>
    </xf>
    <xf numFmtId="0" fontId="25" fillId="0" borderId="7" xfId="0" applyFont="1" applyFill="1" applyBorder="1" applyAlignment="1" applyProtection="1">
      <alignment horizontal="center" wrapText="1"/>
    </xf>
    <xf numFmtId="0" fontId="25" fillId="0" borderId="17" xfId="0" applyFont="1" applyFill="1" applyBorder="1" applyAlignment="1" applyProtection="1">
      <alignment horizontal="center" wrapText="1"/>
    </xf>
    <xf numFmtId="0" fontId="26" fillId="0" borderId="2" xfId="0" applyFont="1" applyFill="1" applyBorder="1" applyAlignment="1" applyProtection="1">
      <alignment horizontal="left"/>
    </xf>
    <xf numFmtId="0" fontId="26" fillId="0" borderId="10" xfId="0" applyFont="1" applyFill="1" applyBorder="1" applyAlignment="1" applyProtection="1">
      <alignment horizontal="left"/>
    </xf>
    <xf numFmtId="49" fontId="26" fillId="35" borderId="10" xfId="0" applyNumberFormat="1" applyFont="1" applyFill="1" applyBorder="1" applyAlignment="1" applyProtection="1">
      <alignment horizontal="left"/>
      <protection locked="0"/>
    </xf>
    <xf numFmtId="0" fontId="26" fillId="35" borderId="9" xfId="0" applyFont="1" applyFill="1" applyBorder="1" applyAlignment="1" applyProtection="1">
      <alignment horizontal="left"/>
      <protection locked="0"/>
    </xf>
    <xf numFmtId="0" fontId="26" fillId="35" borderId="1" xfId="0" applyFont="1" applyFill="1" applyBorder="1" applyAlignment="1" applyProtection="1">
      <alignment horizontal="left"/>
      <protection locked="0"/>
    </xf>
    <xf numFmtId="0" fontId="26" fillId="35" borderId="10" xfId="0" applyFont="1" applyFill="1" applyBorder="1" applyAlignment="1" applyProtection="1">
      <alignment horizontal="left"/>
      <protection locked="0"/>
    </xf>
    <xf numFmtId="49" fontId="26" fillId="35" borderId="2" xfId="0" applyNumberFormat="1" applyFont="1" applyFill="1" applyBorder="1" applyAlignment="1" applyProtection="1">
      <alignment horizontal="left"/>
      <protection locked="0"/>
    </xf>
    <xf numFmtId="49" fontId="26" fillId="35" borderId="1" xfId="0" applyNumberFormat="1" applyFont="1" applyFill="1" applyBorder="1" applyAlignment="1" applyProtection="1">
      <alignment horizontal="left"/>
      <protection locked="0"/>
    </xf>
    <xf numFmtId="49" fontId="26" fillId="35" borderId="10" xfId="0" applyNumberFormat="1" applyFont="1" applyFill="1" applyBorder="1" applyAlignment="1" applyProtection="1">
      <alignment horizontal="left"/>
      <protection locked="0"/>
    </xf>
    <xf numFmtId="0" fontId="26" fillId="0" borderId="23" xfId="0" applyFont="1" applyFill="1" applyBorder="1" applyAlignment="1" applyProtection="1">
      <alignment horizontal="left"/>
    </xf>
    <xf numFmtId="0" fontId="26" fillId="35" borderId="2" xfId="0" applyFont="1" applyFill="1" applyBorder="1" applyAlignment="1" applyProtection="1">
      <alignment horizontal="left"/>
      <protection locked="0"/>
    </xf>
    <xf numFmtId="0" fontId="26" fillId="35" borderId="2" xfId="0" applyFont="1" applyFill="1" applyBorder="1" applyAlignment="1" applyProtection="1">
      <alignment horizontal="left"/>
      <protection locked="0"/>
    </xf>
    <xf numFmtId="0" fontId="26" fillId="35" borderId="1" xfId="0" applyFont="1" applyFill="1" applyBorder="1" applyAlignment="1" applyProtection="1">
      <alignment horizontal="left"/>
      <protection locked="0"/>
    </xf>
    <xf numFmtId="0" fontId="26" fillId="35" borderId="10" xfId="0" applyFont="1" applyFill="1" applyBorder="1" applyAlignment="1" applyProtection="1">
      <alignment horizontal="left"/>
      <protection locked="0"/>
    </xf>
    <xf numFmtId="0" fontId="26" fillId="0" borderId="23" xfId="0" applyFont="1" applyFill="1" applyBorder="1" applyAlignment="1" applyProtection="1">
      <alignment horizontal="center"/>
    </xf>
    <xf numFmtId="0" fontId="26" fillId="0" borderId="4" xfId="0" applyFont="1" applyFill="1" applyBorder="1" applyAlignment="1" applyProtection="1">
      <alignment horizontal="left"/>
    </xf>
    <xf numFmtId="0" fontId="26" fillId="35" borderId="29" xfId="0" applyFont="1" applyFill="1" applyBorder="1" applyAlignment="1" applyProtection="1">
      <alignment horizontal="left"/>
      <protection locked="0"/>
    </xf>
    <xf numFmtId="0" fontId="26" fillId="35" borderId="30" xfId="0" applyFont="1" applyFill="1" applyBorder="1" applyAlignment="1" applyProtection="1">
      <alignment horizontal="left"/>
      <protection locked="0"/>
    </xf>
    <xf numFmtId="0" fontId="26" fillId="35" borderId="31" xfId="0" applyFont="1" applyFill="1" applyBorder="1" applyAlignment="1" applyProtection="1">
      <alignment horizontal="left"/>
      <protection locked="0"/>
    </xf>
    <xf numFmtId="0" fontId="0" fillId="0" borderId="10" xfId="0" applyBorder="1" applyProtection="1">
      <protection locked="0"/>
    </xf>
    <xf numFmtId="165" fontId="0" fillId="35" borderId="3" xfId="0" applyNumberFormat="1" applyFont="1" applyFill="1" applyBorder="1" applyAlignment="1" applyProtection="1">
      <alignment horizontal="right"/>
      <protection locked="0"/>
    </xf>
    <xf numFmtId="165" fontId="0" fillId="35" borderId="13" xfId="0" applyNumberFormat="1" applyFont="1" applyFill="1" applyBorder="1" applyAlignment="1" applyProtection="1">
      <alignment horizontal="right"/>
      <protection locked="0"/>
    </xf>
    <xf numFmtId="165" fontId="0" fillId="35" borderId="12" xfId="28" applyNumberFormat="1" applyFont="1" applyFill="1" applyBorder="1" applyAlignment="1" applyProtection="1">
      <alignment horizontal="right"/>
      <protection locked="0"/>
    </xf>
    <xf numFmtId="165" fontId="0" fillId="35" borderId="11" xfId="28" applyNumberFormat="1" applyFont="1" applyFill="1" applyBorder="1" applyAlignment="1" applyProtection="1">
      <alignment horizontal="right"/>
      <protection locked="0"/>
    </xf>
    <xf numFmtId="0" fontId="0" fillId="35" borderId="9" xfId="0" applyFont="1" applyFill="1" applyBorder="1" applyAlignment="1" applyProtection="1">
      <alignment horizontal="center"/>
      <protection locked="0"/>
    </xf>
    <xf numFmtId="0" fontId="0" fillId="35" borderId="7" xfId="0" applyFont="1" applyFill="1" applyBorder="1" applyAlignment="1" applyProtection="1">
      <alignment horizontal="center"/>
      <protection locked="0"/>
    </xf>
    <xf numFmtId="0" fontId="0" fillId="35" borderId="1" xfId="0" applyFont="1" applyFill="1" applyBorder="1" applyAlignment="1" applyProtection="1">
      <alignment horizontal="center"/>
      <protection locked="0"/>
    </xf>
    <xf numFmtId="0" fontId="26" fillId="34" borderId="7" xfId="0" applyFont="1" applyFill="1" applyBorder="1" applyAlignment="1" applyProtection="1">
      <alignment horizontal="center"/>
    </xf>
    <xf numFmtId="0" fontId="26" fillId="34" borderId="7" xfId="0" applyFont="1" applyFill="1" applyBorder="1" applyAlignment="1" applyProtection="1">
      <alignment horizontal="right"/>
    </xf>
    <xf numFmtId="0" fontId="20" fillId="0" borderId="7" xfId="0" applyFont="1" applyFill="1" applyBorder="1" applyAlignment="1" applyProtection="1">
      <alignment horizontal="center" wrapText="1"/>
    </xf>
    <xf numFmtId="165" fontId="0" fillId="0" borderId="12" xfId="28" applyNumberFormat="1" applyFont="1" applyFill="1" applyBorder="1" applyAlignment="1" applyProtection="1">
      <alignment horizontal="right"/>
    </xf>
    <xf numFmtId="165" fontId="0" fillId="0" borderId="18" xfId="28" applyNumberFormat="1" applyFont="1" applyFill="1" applyBorder="1" applyAlignment="1" applyProtection="1">
      <alignment horizontal="right"/>
    </xf>
    <xf numFmtId="165" fontId="0" fillId="0" borderId="19" xfId="28" applyNumberFormat="1" applyFont="1" applyFill="1" applyBorder="1" applyAlignment="1" applyProtection="1">
      <alignment horizontal="right"/>
    </xf>
    <xf numFmtId="0" fontId="0" fillId="0" borderId="7" xfId="0" applyFont="1" applyFill="1" applyBorder="1" applyAlignment="1" applyProtection="1">
      <alignment horizontal="center"/>
    </xf>
    <xf numFmtId="165" fontId="0" fillId="0" borderId="8" xfId="28" applyNumberFormat="1" applyFont="1" applyFill="1" applyBorder="1" applyAlignment="1" applyProtection="1">
      <alignment horizontal="right"/>
    </xf>
    <xf numFmtId="165" fontId="0" fillId="0" borderId="34" xfId="28" applyNumberFormat="1" applyFont="1" applyFill="1" applyBorder="1" applyAlignment="1" applyProtection="1">
      <alignment horizontal="right"/>
    </xf>
    <xf numFmtId="165" fontId="0" fillId="0" borderId="22" xfId="28" applyNumberFormat="1" applyFont="1" applyFill="1" applyBorder="1" applyAlignment="1" applyProtection="1">
      <alignment horizontal="right"/>
    </xf>
    <xf numFmtId="165" fontId="0" fillId="0" borderId="3" xfId="0" applyNumberFormat="1" applyFont="1" applyFill="1" applyBorder="1" applyAlignment="1" applyProtection="1">
      <alignment horizontal="right"/>
    </xf>
    <xf numFmtId="165" fontId="0" fillId="0" borderId="20" xfId="28" applyNumberFormat="1" applyFont="1" applyFill="1" applyBorder="1" applyAlignment="1" applyProtection="1">
      <alignment horizontal="right"/>
    </xf>
    <xf numFmtId="165" fontId="0" fillId="0" borderId="24" xfId="28" applyNumberFormat="1" applyFont="1" applyFill="1" applyBorder="1" applyAlignment="1" applyProtection="1">
      <alignment horizontal="right"/>
    </xf>
    <xf numFmtId="165" fontId="0" fillId="0" borderId="25" xfId="28" applyNumberFormat="1" applyFont="1" applyFill="1" applyBorder="1" applyAlignment="1" applyProtection="1">
      <alignment horizontal="right"/>
    </xf>
    <xf numFmtId="0" fontId="0" fillId="0" borderId="0" xfId="0" applyAlignment="1" applyProtection="1">
      <alignment horizontal="right"/>
    </xf>
    <xf numFmtId="0" fontId="24" fillId="0" borderId="0" xfId="0" applyFont="1" applyAlignment="1" applyProtection="1">
      <alignment horizontal="right"/>
    </xf>
    <xf numFmtId="0" fontId="30" fillId="0" borderId="0" xfId="0" applyFont="1" applyAlignment="1" applyProtection="1">
      <alignment horizontal="right"/>
    </xf>
    <xf numFmtId="0" fontId="30" fillId="0" borderId="0" xfId="0" applyFont="1" applyAlignment="1" applyProtection="1">
      <alignment horizontal="right" wrapText="1"/>
    </xf>
    <xf numFmtId="0" fontId="29" fillId="0" borderId="0" xfId="0" applyFont="1" applyAlignment="1" applyProtection="1">
      <alignment horizontal="right"/>
    </xf>
    <xf numFmtId="0" fontId="34" fillId="0" borderId="0" xfId="0" applyFont="1" applyAlignment="1" applyProtection="1">
      <alignment horizontal="center"/>
    </xf>
    <xf numFmtId="0" fontId="32" fillId="0" borderId="0" xfId="0" applyFont="1" applyAlignment="1" applyProtection="1">
      <alignment horizontal="center"/>
    </xf>
    <xf numFmtId="0" fontId="33" fillId="0" borderId="0" xfId="0" applyFont="1" applyAlignment="1" applyProtection="1">
      <alignment horizontal="center"/>
    </xf>
    <xf numFmtId="0" fontId="35" fillId="0" borderId="0" xfId="0" applyFont="1" applyAlignment="1" applyProtection="1">
      <alignment horizontal="center"/>
    </xf>
    <xf numFmtId="0" fontId="35" fillId="0" borderId="0" xfId="0" applyFont="1" applyAlignment="1" applyProtection="1">
      <alignment horizontal="center" wrapText="1"/>
    </xf>
    <xf numFmtId="0" fontId="32" fillId="0" borderId="0" xfId="0" applyFont="1" applyAlignment="1" applyProtection="1">
      <alignment horizontal="center" wrapText="1"/>
    </xf>
    <xf numFmtId="0" fontId="33" fillId="0" borderId="0" xfId="0" applyFont="1" applyAlignment="1" applyProtection="1">
      <alignment horizontal="center" wrapText="1"/>
    </xf>
    <xf numFmtId="0" fontId="2" fillId="0" borderId="0" xfId="0" applyFont="1" applyAlignment="1" applyProtection="1">
      <alignment horizontal="left"/>
    </xf>
    <xf numFmtId="0" fontId="0" fillId="35" borderId="1" xfId="0" applyFill="1" applyBorder="1" applyAlignment="1" applyProtection="1">
      <alignment horizontal="center"/>
      <protection locked="0"/>
    </xf>
    <xf numFmtId="0" fontId="0" fillId="0" borderId="3" xfId="0" applyBorder="1" applyAlignment="1"/>
    <xf numFmtId="0" fontId="20" fillId="0" borderId="1" xfId="0" applyFont="1" applyBorder="1" applyAlignment="1"/>
    <xf numFmtId="0" fontId="20" fillId="0" borderId="3" xfId="0" applyFont="1" applyBorder="1" applyAlignment="1"/>
    <xf numFmtId="5" fontId="0" fillId="35" borderId="9" xfId="0" applyNumberFormat="1" applyFont="1" applyFill="1" applyBorder="1" applyAlignment="1" applyProtection="1">
      <protection locked="0"/>
    </xf>
    <xf numFmtId="5" fontId="0" fillId="35" borderId="7" xfId="0" applyNumberFormat="1" applyFont="1" applyFill="1" applyBorder="1" applyAlignment="1" applyProtection="1">
      <protection locked="0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urrency" xfId="28" builtinId="4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colors>
    <mruColors>
      <color rgb="FFFF4747"/>
      <color rgb="FFCCFFCC"/>
      <color rgb="FFCCFFFF"/>
      <color rgb="FFFF8181"/>
      <color rgb="FFFF2F2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285750</xdr:colOff>
      <xdr:row>0</xdr:row>
      <xdr:rowOff>19050</xdr:rowOff>
    </xdr:from>
    <xdr:to>
      <xdr:col>9</xdr:col>
      <xdr:colOff>352425</xdr:colOff>
      <xdr:row>2</xdr:row>
      <xdr:rowOff>168885</xdr:rowOff>
    </xdr:to>
    <xdr:pic>
      <xdr:nvPicPr>
        <xdr:cNvPr id="2" name="Picture 1" descr="logo_250_bw.gif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00750" y="19050"/>
          <a:ext cx="533400" cy="5308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N64"/>
  <sheetViews>
    <sheetView tabSelected="1" workbookViewId="0">
      <selection activeCell="M16" sqref="M16"/>
    </sheetView>
  </sheetViews>
  <sheetFormatPr defaultRowHeight="15"/>
  <cols>
    <col min="1" max="1" width="5.28515625" style="1" customWidth="1"/>
    <col min="2" max="2" width="26.28515625" style="1" customWidth="1"/>
    <col min="3" max="3" width="15.7109375" style="1" customWidth="1"/>
    <col min="4" max="4" width="6.28515625" style="1" customWidth="1"/>
    <col min="5" max="5" width="11.5703125" style="1" customWidth="1"/>
    <col min="6" max="6" width="1.140625" style="1" customWidth="1"/>
    <col min="7" max="7" width="15" style="1" customWidth="1"/>
    <col min="8" max="8" width="10.28515625" style="1" customWidth="1"/>
    <col min="9" max="9" width="7" style="1" customWidth="1"/>
    <col min="10" max="10" width="10.5703125" style="1" bestFit="1" customWidth="1"/>
    <col min="11" max="11" width="9.140625" style="149"/>
    <col min="12" max="16384" width="9.140625" style="1"/>
  </cols>
  <sheetData>
    <row r="1" spans="1:14">
      <c r="A1" s="23" t="s">
        <v>43</v>
      </c>
      <c r="B1" s="23"/>
      <c r="C1" s="23"/>
      <c r="D1" s="23"/>
      <c r="E1" s="23"/>
      <c r="F1" s="23"/>
      <c r="G1" s="23"/>
      <c r="H1" s="23"/>
      <c r="I1" s="23"/>
      <c r="J1" s="23"/>
    </row>
    <row r="2" spans="1:14">
      <c r="A2" s="30"/>
      <c r="B2" s="30"/>
      <c r="C2" s="30"/>
      <c r="D2" s="30"/>
      <c r="E2" s="30"/>
      <c r="F2" s="30"/>
      <c r="G2" s="30"/>
      <c r="H2" s="30"/>
      <c r="I2" s="30"/>
      <c r="J2" s="30"/>
    </row>
    <row r="3" spans="1:14">
      <c r="A3" s="30"/>
      <c r="B3" s="30"/>
      <c r="C3" s="30"/>
      <c r="D3" s="30"/>
      <c r="E3" s="30"/>
      <c r="F3" s="30"/>
      <c r="G3" s="30"/>
      <c r="H3" s="30"/>
      <c r="I3" s="30"/>
      <c r="J3" s="30"/>
    </row>
    <row r="4" spans="1:14" ht="14.1" customHeight="1">
      <c r="A4" s="25"/>
      <c r="B4" s="31" t="s">
        <v>26</v>
      </c>
      <c r="C4" s="101"/>
      <c r="D4" s="101"/>
      <c r="E4" s="101"/>
      <c r="F4" s="32"/>
      <c r="G4" s="31" t="s">
        <v>33</v>
      </c>
      <c r="H4" s="101"/>
      <c r="I4" s="101"/>
      <c r="J4" s="101"/>
    </row>
    <row r="5" spans="1:14" ht="14.1" customHeight="1">
      <c r="A5" s="25"/>
      <c r="B5" s="31" t="s">
        <v>0</v>
      </c>
      <c r="C5" s="101"/>
      <c r="D5" s="101"/>
      <c r="E5" s="101"/>
      <c r="F5" s="32"/>
      <c r="G5" s="31" t="s">
        <v>29</v>
      </c>
      <c r="H5" s="101"/>
      <c r="I5" s="101"/>
      <c r="J5" s="101"/>
    </row>
    <row r="6" spans="1:14" ht="14.1" customHeight="1">
      <c r="A6" s="25"/>
      <c r="B6" s="31" t="s">
        <v>27</v>
      </c>
      <c r="C6" s="101"/>
      <c r="D6" s="101"/>
      <c r="E6" s="101"/>
      <c r="F6" s="32"/>
      <c r="G6" s="31" t="s">
        <v>30</v>
      </c>
      <c r="H6" s="101"/>
      <c r="I6" s="101"/>
      <c r="J6" s="101"/>
    </row>
    <row r="7" spans="1:14" ht="14.1" customHeight="1">
      <c r="A7" s="25"/>
      <c r="B7" s="31" t="s">
        <v>28</v>
      </c>
      <c r="C7" s="101"/>
      <c r="D7" s="101"/>
      <c r="E7" s="101"/>
      <c r="F7" s="32"/>
      <c r="G7" s="31" t="s">
        <v>34</v>
      </c>
      <c r="H7" s="102"/>
      <c r="I7" s="102"/>
      <c r="J7" s="102"/>
    </row>
    <row r="8" spans="1:14" ht="14.1" customHeight="1">
      <c r="A8" s="25"/>
      <c r="B8" s="31" t="s">
        <v>2</v>
      </c>
      <c r="C8" s="103" t="s">
        <v>36</v>
      </c>
      <c r="D8" s="104"/>
      <c r="E8" s="105" t="s">
        <v>35</v>
      </c>
      <c r="F8" s="25"/>
      <c r="G8" s="25"/>
      <c r="H8" s="26"/>
      <c r="I8" s="26"/>
      <c r="J8" s="25"/>
      <c r="K8" s="150"/>
      <c r="L8" s="6"/>
      <c r="M8" s="6"/>
    </row>
    <row r="9" spans="1:14" ht="8.25" customHeight="1" thickBot="1">
      <c r="A9" s="25"/>
      <c r="B9" s="25"/>
      <c r="C9" s="33"/>
      <c r="D9" s="33"/>
      <c r="E9" s="25"/>
      <c r="F9" s="26"/>
      <c r="G9" s="25"/>
      <c r="H9" s="25"/>
      <c r="I9" s="25"/>
      <c r="J9" s="25"/>
      <c r="K9" s="150"/>
      <c r="L9" s="6"/>
      <c r="M9" s="6"/>
    </row>
    <row r="10" spans="1:14">
      <c r="A10" s="34" t="s">
        <v>3</v>
      </c>
      <c r="B10" s="35" t="s">
        <v>16</v>
      </c>
      <c r="C10" s="36"/>
      <c r="D10" s="37"/>
      <c r="E10" s="38" t="s">
        <v>22</v>
      </c>
      <c r="F10" s="39"/>
      <c r="G10" s="40" t="s">
        <v>17</v>
      </c>
      <c r="H10" s="36"/>
      <c r="I10" s="37"/>
      <c r="J10" s="38" t="s">
        <v>23</v>
      </c>
      <c r="K10" s="150"/>
      <c r="L10" s="6"/>
      <c r="M10" s="6"/>
    </row>
    <row r="11" spans="1:14" ht="21.75" customHeight="1">
      <c r="A11" s="2" t="s">
        <v>60</v>
      </c>
      <c r="B11" s="41"/>
      <c r="C11" s="106" t="s">
        <v>61</v>
      </c>
      <c r="D11" s="106" t="s">
        <v>13</v>
      </c>
      <c r="E11" s="42"/>
      <c r="F11" s="39"/>
      <c r="G11" s="43" t="s">
        <v>14</v>
      </c>
      <c r="H11" s="107" t="s">
        <v>62</v>
      </c>
      <c r="I11" s="137" t="s">
        <v>13</v>
      </c>
      <c r="J11" s="3"/>
      <c r="K11" s="150"/>
      <c r="L11" s="6"/>
      <c r="M11" s="6"/>
    </row>
    <row r="12" spans="1:14" ht="14.1" customHeight="1">
      <c r="A12" s="108" t="s">
        <v>40</v>
      </c>
      <c r="B12" s="109"/>
      <c r="C12" s="132"/>
      <c r="D12" s="166"/>
      <c r="E12" s="138">
        <f t="shared" ref="E12:E17" si="0">SUM(C12*D12)</f>
        <v>0</v>
      </c>
      <c r="F12" s="39"/>
      <c r="G12" s="110"/>
      <c r="H12" s="162"/>
      <c r="I12" s="44">
        <f t="shared" ref="I12:I17" si="1">SUM(D12)</f>
        <v>0</v>
      </c>
      <c r="J12" s="138">
        <f t="shared" ref="J12:J17" si="2">SUM(H12*I12)</f>
        <v>0</v>
      </c>
      <c r="K12" s="154"/>
      <c r="L12" s="154"/>
      <c r="M12" s="154"/>
      <c r="N12" s="155"/>
    </row>
    <row r="13" spans="1:14" ht="14.1" customHeight="1">
      <c r="A13" s="108" t="s">
        <v>41</v>
      </c>
      <c r="B13" s="109"/>
      <c r="C13" s="132"/>
      <c r="D13" s="166"/>
      <c r="E13" s="138">
        <f t="shared" si="0"/>
        <v>0</v>
      </c>
      <c r="F13" s="39"/>
      <c r="G13" s="110"/>
      <c r="H13" s="134"/>
      <c r="I13" s="44">
        <f t="shared" si="1"/>
        <v>0</v>
      </c>
      <c r="J13" s="138">
        <f t="shared" si="2"/>
        <v>0</v>
      </c>
      <c r="K13" s="154"/>
      <c r="L13" s="156"/>
      <c r="M13" s="156"/>
      <c r="N13" s="155"/>
    </row>
    <row r="14" spans="1:14" ht="14.1" customHeight="1">
      <c r="A14" s="108" t="s">
        <v>42</v>
      </c>
      <c r="B14" s="109"/>
      <c r="C14" s="132"/>
      <c r="D14" s="166"/>
      <c r="E14" s="138">
        <f t="shared" si="0"/>
        <v>0</v>
      </c>
      <c r="F14" s="39"/>
      <c r="G14" s="110" t="s">
        <v>1</v>
      </c>
      <c r="H14" s="134"/>
      <c r="I14" s="44">
        <f t="shared" si="1"/>
        <v>0</v>
      </c>
      <c r="J14" s="138">
        <f t="shared" si="2"/>
        <v>0</v>
      </c>
      <c r="K14" s="154"/>
      <c r="L14" s="156"/>
      <c r="M14" s="156"/>
      <c r="N14" s="155"/>
    </row>
    <row r="15" spans="1:14" ht="14.1" customHeight="1">
      <c r="A15" s="108" t="s">
        <v>58</v>
      </c>
      <c r="B15" s="109"/>
      <c r="C15" s="132"/>
      <c r="D15" s="166"/>
      <c r="E15" s="138">
        <f t="shared" si="0"/>
        <v>0</v>
      </c>
      <c r="F15" s="39"/>
      <c r="G15" s="110" t="s">
        <v>1</v>
      </c>
      <c r="H15" s="134"/>
      <c r="I15" s="44">
        <f t="shared" si="1"/>
        <v>0</v>
      </c>
      <c r="J15" s="138">
        <f t="shared" si="2"/>
        <v>0</v>
      </c>
      <c r="K15" s="157"/>
      <c r="L15" s="155"/>
      <c r="M15" s="155"/>
      <c r="N15" s="155"/>
    </row>
    <row r="16" spans="1:14" ht="14.1" customHeight="1">
      <c r="A16" s="108"/>
      <c r="B16" s="109"/>
      <c r="C16" s="133"/>
      <c r="D16" s="167"/>
      <c r="E16" s="138">
        <f t="shared" si="0"/>
        <v>0</v>
      </c>
      <c r="F16" s="39"/>
      <c r="G16" s="110"/>
      <c r="H16" s="133"/>
      <c r="I16" s="44">
        <f t="shared" si="1"/>
        <v>0</v>
      </c>
      <c r="J16" s="139">
        <f t="shared" si="2"/>
        <v>0</v>
      </c>
      <c r="K16" s="157"/>
      <c r="L16" s="155"/>
      <c r="M16" s="156"/>
      <c r="N16" s="155"/>
    </row>
    <row r="17" spans="1:14" ht="14.1" customHeight="1" thickBot="1">
      <c r="A17" s="108"/>
      <c r="B17" s="109"/>
      <c r="C17" s="133"/>
      <c r="D17" s="167"/>
      <c r="E17" s="140">
        <f t="shared" si="0"/>
        <v>0</v>
      </c>
      <c r="F17" s="39"/>
      <c r="G17" s="110"/>
      <c r="H17" s="133"/>
      <c r="I17" s="44">
        <f t="shared" si="1"/>
        <v>0</v>
      </c>
      <c r="J17" s="139">
        <f t="shared" si="2"/>
        <v>0</v>
      </c>
      <c r="K17" s="157"/>
      <c r="L17" s="155"/>
      <c r="M17" s="156"/>
      <c r="N17" s="155"/>
    </row>
    <row r="18" spans="1:14" ht="14.1" customHeight="1" thickBot="1">
      <c r="A18" s="20" t="s">
        <v>12</v>
      </c>
      <c r="B18" s="21"/>
      <c r="C18" s="141">
        <f>SUM(C12:C17)</f>
        <v>0</v>
      </c>
      <c r="D18" s="45"/>
      <c r="E18" s="142">
        <f>SUM(E12:E17)</f>
        <v>0</v>
      </c>
      <c r="F18" s="39"/>
      <c r="G18" s="46"/>
      <c r="H18" s="141">
        <f>SUM(H12:H17)</f>
        <v>0</v>
      </c>
      <c r="I18" s="47"/>
      <c r="J18" s="142">
        <f>SUM(J12:J17)</f>
        <v>0</v>
      </c>
      <c r="K18" s="157"/>
      <c r="L18" s="155"/>
      <c r="M18" s="156"/>
      <c r="N18" s="155"/>
    </row>
    <row r="19" spans="1:14" ht="15.75" customHeight="1">
      <c r="A19" s="48"/>
      <c r="B19" s="49"/>
      <c r="C19" s="50"/>
      <c r="D19" s="50"/>
      <c r="E19" s="51"/>
      <c r="F19" s="39"/>
      <c r="G19" s="52"/>
      <c r="H19" s="50"/>
      <c r="I19" s="50"/>
      <c r="J19" s="51"/>
      <c r="K19" s="157"/>
      <c r="L19" s="155"/>
      <c r="M19" s="156"/>
      <c r="N19" s="155"/>
    </row>
    <row r="20" spans="1:14" s="4" customFormat="1" ht="15" customHeight="1">
      <c r="A20" s="53" t="s">
        <v>44</v>
      </c>
      <c r="B20" s="54"/>
      <c r="C20" s="55"/>
      <c r="D20" s="55"/>
      <c r="E20" s="56"/>
      <c r="F20" s="39"/>
      <c r="G20" s="57"/>
      <c r="H20" s="58"/>
      <c r="I20" s="58"/>
      <c r="J20" s="59"/>
      <c r="K20" s="158"/>
      <c r="L20" s="159"/>
      <c r="M20" s="159"/>
      <c r="N20" s="155"/>
    </row>
    <row r="21" spans="1:14" ht="14.1" customHeight="1">
      <c r="A21" s="135"/>
      <c r="B21" s="111"/>
      <c r="C21" s="112"/>
      <c r="D21" s="113"/>
      <c r="E21" s="128">
        <v>0</v>
      </c>
      <c r="F21" s="39"/>
      <c r="G21" s="60"/>
      <c r="H21" s="61"/>
      <c r="I21" s="62"/>
      <c r="J21" s="128">
        <v>0</v>
      </c>
      <c r="K21" s="156"/>
      <c r="L21" s="156"/>
      <c r="M21" s="156"/>
      <c r="N21" s="155"/>
    </row>
    <row r="22" spans="1:14" ht="14.1" customHeight="1" thickBot="1">
      <c r="A22" s="136"/>
      <c r="B22" s="63"/>
      <c r="C22" s="64"/>
      <c r="D22" s="65"/>
      <c r="E22" s="129">
        <v>0</v>
      </c>
      <c r="F22" s="39"/>
      <c r="G22" s="114"/>
      <c r="H22" s="115"/>
      <c r="I22" s="116"/>
      <c r="J22" s="128">
        <v>0</v>
      </c>
      <c r="K22" s="156"/>
      <c r="L22" s="156"/>
      <c r="M22" s="156"/>
      <c r="N22" s="155"/>
    </row>
    <row r="23" spans="1:14" ht="14.1" customHeight="1" thickBot="1">
      <c r="A23" s="16" t="s">
        <v>11</v>
      </c>
      <c r="B23" s="17"/>
      <c r="C23" s="17"/>
      <c r="D23" s="18"/>
      <c r="E23" s="66">
        <f>SUM(E21:E22)</f>
        <v>0</v>
      </c>
      <c r="F23" s="39"/>
      <c r="G23" s="67"/>
      <c r="H23" s="68"/>
      <c r="I23" s="68"/>
      <c r="J23" s="69">
        <f>SUM(J21:J22)</f>
        <v>0</v>
      </c>
      <c r="K23" s="155"/>
      <c r="L23" s="156"/>
      <c r="M23" s="160"/>
      <c r="N23" s="156"/>
    </row>
    <row r="24" spans="1:14" ht="14.1" customHeight="1" thickTop="1" thickBot="1">
      <c r="A24" s="70"/>
      <c r="B24" s="71" t="s">
        <v>18</v>
      </c>
      <c r="C24" s="72"/>
      <c r="D24" s="73"/>
      <c r="E24" s="143">
        <f>SUM(E18+E23)</f>
        <v>0</v>
      </c>
      <c r="F24" s="74"/>
      <c r="G24" s="71" t="s">
        <v>19</v>
      </c>
      <c r="H24" s="72"/>
      <c r="I24" s="75"/>
      <c r="J24" s="144">
        <f>SUM(J18+J23)</f>
        <v>0</v>
      </c>
      <c r="K24" s="153"/>
      <c r="L24" s="151"/>
      <c r="M24" s="6"/>
      <c r="N24" s="6"/>
    </row>
    <row r="25" spans="1:14" ht="14.1" customHeight="1" thickTop="1">
      <c r="A25" s="48"/>
      <c r="B25" s="49"/>
      <c r="C25" s="49"/>
      <c r="D25" s="49"/>
      <c r="E25" s="49"/>
      <c r="F25" s="74"/>
      <c r="G25" s="76"/>
      <c r="H25" s="76"/>
      <c r="I25" s="76"/>
      <c r="J25" s="77"/>
      <c r="K25" s="153"/>
      <c r="L25" s="151"/>
      <c r="M25" s="6"/>
      <c r="N25" s="6"/>
    </row>
    <row r="26" spans="1:14" ht="14.1" customHeight="1">
      <c r="A26" s="79" t="s">
        <v>24</v>
      </c>
      <c r="B26" s="19"/>
      <c r="C26" s="19"/>
      <c r="D26" s="19"/>
      <c r="E26" s="163"/>
      <c r="F26" s="74"/>
      <c r="G26" s="79" t="s">
        <v>25</v>
      </c>
      <c r="H26" s="78"/>
      <c r="I26" s="78"/>
      <c r="J26" s="163"/>
      <c r="K26" s="153"/>
      <c r="L26" s="151"/>
      <c r="M26" s="6"/>
      <c r="N26" s="6"/>
    </row>
    <row r="27" spans="1:14" ht="14.1" customHeight="1">
      <c r="A27" s="79" t="s">
        <v>14</v>
      </c>
      <c r="B27" s="19"/>
      <c r="C27" s="19"/>
      <c r="D27" s="19"/>
      <c r="E27" s="163"/>
      <c r="F27" s="74"/>
      <c r="G27" s="79" t="s">
        <v>14</v>
      </c>
      <c r="H27" s="164"/>
      <c r="I27" s="164"/>
      <c r="J27" s="165"/>
      <c r="K27" s="153"/>
      <c r="L27" s="151"/>
      <c r="M27" s="6"/>
      <c r="N27" s="6"/>
    </row>
    <row r="28" spans="1:14" ht="14.1" customHeight="1">
      <c r="A28" s="117"/>
      <c r="B28" s="80" t="s">
        <v>4</v>
      </c>
      <c r="C28" s="64"/>
      <c r="D28" s="65"/>
      <c r="E28" s="128">
        <v>0</v>
      </c>
      <c r="F28" s="74"/>
      <c r="G28" s="118"/>
      <c r="H28" s="112"/>
      <c r="I28" s="113"/>
      <c r="J28" s="128">
        <v>0</v>
      </c>
      <c r="K28" s="153"/>
      <c r="L28" s="152"/>
      <c r="M28" s="8"/>
      <c r="N28" s="8"/>
    </row>
    <row r="29" spans="1:14" ht="14.1" customHeight="1">
      <c r="A29" s="117"/>
      <c r="B29" s="80" t="s">
        <v>39</v>
      </c>
      <c r="C29" s="64"/>
      <c r="D29" s="81"/>
      <c r="E29" s="128">
        <v>0</v>
      </c>
      <c r="F29" s="74"/>
      <c r="G29" s="119"/>
      <c r="H29" s="120"/>
      <c r="I29" s="121"/>
      <c r="J29" s="128">
        <v>0</v>
      </c>
    </row>
    <row r="30" spans="1:14" ht="14.1" customHeight="1">
      <c r="A30" s="122"/>
      <c r="B30" s="80" t="s">
        <v>5</v>
      </c>
      <c r="C30" s="64"/>
      <c r="D30" s="81"/>
      <c r="E30" s="128">
        <v>0</v>
      </c>
      <c r="F30" s="74"/>
      <c r="G30" s="119"/>
      <c r="H30" s="120"/>
      <c r="I30" s="121"/>
      <c r="J30" s="128">
        <v>0</v>
      </c>
    </row>
    <row r="31" spans="1:14" ht="14.1" customHeight="1">
      <c r="A31" s="122"/>
      <c r="B31" s="80" t="s">
        <v>55</v>
      </c>
      <c r="C31" s="82"/>
      <c r="D31" s="46"/>
      <c r="E31" s="128">
        <v>0</v>
      </c>
      <c r="F31" s="74"/>
      <c r="G31" s="119"/>
      <c r="H31" s="120"/>
      <c r="I31" s="121"/>
      <c r="J31" s="128">
        <v>0</v>
      </c>
    </row>
    <row r="32" spans="1:14" ht="14.1" customHeight="1">
      <c r="A32" s="123"/>
      <c r="B32" s="5" t="s">
        <v>63</v>
      </c>
      <c r="C32" s="64"/>
      <c r="D32" s="65"/>
      <c r="E32" s="128">
        <v>0</v>
      </c>
      <c r="F32" s="74"/>
      <c r="G32" s="118"/>
      <c r="H32" s="112"/>
      <c r="I32" s="113"/>
      <c r="J32" s="128">
        <v>0</v>
      </c>
    </row>
    <row r="33" spans="1:10" ht="14.1" customHeight="1">
      <c r="A33" s="123"/>
      <c r="B33" s="80" t="s">
        <v>15</v>
      </c>
      <c r="C33" s="64"/>
      <c r="D33" s="65"/>
      <c r="E33" s="128">
        <v>0</v>
      </c>
      <c r="F33" s="74"/>
      <c r="G33" s="118"/>
      <c r="H33" s="112"/>
      <c r="I33" s="113"/>
      <c r="J33" s="128">
        <v>0</v>
      </c>
    </row>
    <row r="34" spans="1:10" ht="14.1" customHeight="1">
      <c r="A34" s="123"/>
      <c r="B34" s="80" t="s">
        <v>6</v>
      </c>
      <c r="C34" s="64"/>
      <c r="D34" s="65"/>
      <c r="E34" s="128">
        <v>0</v>
      </c>
      <c r="F34" s="74"/>
      <c r="G34" s="118"/>
      <c r="H34" s="112"/>
      <c r="I34" s="113"/>
      <c r="J34" s="128">
        <v>0</v>
      </c>
    </row>
    <row r="35" spans="1:10" ht="14.1" customHeight="1">
      <c r="A35" s="123"/>
      <c r="B35" s="80" t="s">
        <v>7</v>
      </c>
      <c r="C35" s="64"/>
      <c r="D35" s="65"/>
      <c r="E35" s="128">
        <v>0</v>
      </c>
      <c r="F35" s="74"/>
      <c r="G35" s="118"/>
      <c r="H35" s="112"/>
      <c r="I35" s="113"/>
      <c r="J35" s="128">
        <v>0</v>
      </c>
    </row>
    <row r="36" spans="1:10" ht="14.1" customHeight="1">
      <c r="A36" s="123"/>
      <c r="B36" s="80" t="s">
        <v>31</v>
      </c>
      <c r="C36" s="64"/>
      <c r="D36" s="65"/>
      <c r="E36" s="128">
        <v>0</v>
      </c>
      <c r="F36" s="74"/>
      <c r="G36" s="118"/>
      <c r="H36" s="112"/>
      <c r="I36" s="113"/>
      <c r="J36" s="128">
        <v>0</v>
      </c>
    </row>
    <row r="37" spans="1:10" ht="14.1" customHeight="1">
      <c r="A37" s="123"/>
      <c r="B37" s="80" t="s">
        <v>8</v>
      </c>
      <c r="C37" s="112"/>
      <c r="D37" s="113"/>
      <c r="E37" s="128">
        <v>0</v>
      </c>
      <c r="F37" s="74"/>
      <c r="G37" s="118"/>
      <c r="H37" s="112"/>
      <c r="I37" s="113"/>
      <c r="J37" s="128">
        <v>0</v>
      </c>
    </row>
    <row r="38" spans="1:10" ht="14.1" customHeight="1">
      <c r="A38" s="123"/>
      <c r="B38" s="80" t="s">
        <v>9</v>
      </c>
      <c r="C38" s="64"/>
      <c r="D38" s="65"/>
      <c r="E38" s="128">
        <v>0</v>
      </c>
      <c r="F38" s="74"/>
      <c r="G38" s="118"/>
      <c r="H38" s="112"/>
      <c r="I38" s="113"/>
      <c r="J38" s="128">
        <v>0</v>
      </c>
    </row>
    <row r="39" spans="1:10" ht="14.1" customHeight="1">
      <c r="A39" s="123"/>
      <c r="B39" s="80" t="s">
        <v>10</v>
      </c>
      <c r="C39" s="112"/>
      <c r="D39" s="127"/>
      <c r="E39" s="128">
        <v>0</v>
      </c>
      <c r="F39" s="74"/>
      <c r="G39" s="118"/>
      <c r="H39" s="112"/>
      <c r="I39" s="113"/>
      <c r="J39" s="128">
        <v>0</v>
      </c>
    </row>
    <row r="40" spans="1:10" ht="14.1" customHeight="1">
      <c r="A40" s="123"/>
      <c r="B40" s="11" t="s">
        <v>64</v>
      </c>
      <c r="C40" s="83"/>
      <c r="D40" s="84"/>
      <c r="E40" s="145">
        <f>E47</f>
        <v>0</v>
      </c>
      <c r="F40" s="74"/>
      <c r="G40" s="27" t="s">
        <v>45</v>
      </c>
      <c r="H40" s="28"/>
      <c r="I40" s="29"/>
      <c r="J40" s="145">
        <f>E48</f>
        <v>0</v>
      </c>
    </row>
    <row r="41" spans="1:10" ht="14.1" customHeight="1">
      <c r="A41" s="123"/>
      <c r="B41" s="98" t="s">
        <v>59</v>
      </c>
      <c r="C41" s="99"/>
      <c r="D41" s="100"/>
      <c r="E41" s="138">
        <f>SUM(C18*1)</f>
        <v>0</v>
      </c>
      <c r="F41" s="74"/>
      <c r="G41" s="98" t="s">
        <v>59</v>
      </c>
      <c r="H41" s="99"/>
      <c r="I41" s="100"/>
      <c r="J41" s="139">
        <f>SUM(H18*1)</f>
        <v>0</v>
      </c>
    </row>
    <row r="42" spans="1:10" ht="14.1" customHeight="1" thickBot="1">
      <c r="A42" s="123"/>
      <c r="B42" s="15" t="s">
        <v>56</v>
      </c>
      <c r="C42" s="85"/>
      <c r="D42" s="86"/>
      <c r="E42" s="130">
        <v>0</v>
      </c>
      <c r="F42" s="74"/>
      <c r="G42" s="124"/>
      <c r="H42" s="125"/>
      <c r="I42" s="126"/>
      <c r="J42" s="131">
        <v>0</v>
      </c>
    </row>
    <row r="43" spans="1:10" ht="14.1" customHeight="1" thickBot="1">
      <c r="A43" s="87" t="s">
        <v>57</v>
      </c>
      <c r="B43" s="88"/>
      <c r="C43" s="88"/>
      <c r="D43" s="89"/>
      <c r="E43" s="146">
        <f>SUM((E28+E32+E33+E34+E35+E36+E40+E37+E38+E39+E42)*0.1)</f>
        <v>0</v>
      </c>
      <c r="F43" s="90"/>
      <c r="G43" s="91"/>
      <c r="H43" s="91"/>
      <c r="I43" s="91"/>
      <c r="J43" s="91"/>
    </row>
    <row r="44" spans="1:10" ht="14.1" customHeight="1" thickTop="1" thickBot="1">
      <c r="A44" s="47"/>
      <c r="B44" s="71" t="s">
        <v>32</v>
      </c>
      <c r="C44" s="72"/>
      <c r="D44" s="75"/>
      <c r="E44" s="144">
        <f>SUM(E28:E43)</f>
        <v>0</v>
      </c>
      <c r="F44" s="74"/>
      <c r="G44" s="71" t="s">
        <v>19</v>
      </c>
      <c r="H44" s="72"/>
      <c r="I44" s="75"/>
      <c r="J44" s="144">
        <f>SUM(J28:J43)</f>
        <v>0</v>
      </c>
    </row>
    <row r="45" spans="1:10" ht="14.1" customHeight="1" thickTop="1" thickBot="1">
      <c r="A45" s="50"/>
      <c r="B45" s="50"/>
      <c r="C45" s="50"/>
      <c r="D45" s="50"/>
      <c r="E45" s="50"/>
      <c r="F45" s="74"/>
      <c r="G45" s="92"/>
      <c r="H45" s="92"/>
      <c r="I45" s="92"/>
      <c r="J45" s="92"/>
    </row>
    <row r="46" spans="1:10" ht="14.1" customHeight="1" thickTop="1" thickBot="1">
      <c r="A46" s="93"/>
      <c r="B46" s="71" t="s">
        <v>20</v>
      </c>
      <c r="C46" s="72"/>
      <c r="D46" s="73"/>
      <c r="E46" s="147">
        <f>+E24-E44</f>
        <v>0</v>
      </c>
      <c r="F46" s="94"/>
      <c r="G46" s="95" t="s">
        <v>21</v>
      </c>
      <c r="H46" s="96"/>
      <c r="I46" s="97"/>
      <c r="J46" s="148">
        <f>J24-J44</f>
        <v>0</v>
      </c>
    </row>
    <row r="47" spans="1:10" ht="12" customHeight="1" thickTop="1">
      <c r="A47" s="7">
        <f>C12*20</f>
        <v>0</v>
      </c>
      <c r="B47" s="7">
        <f>C13*14</f>
        <v>0</v>
      </c>
      <c r="C47" s="7">
        <f>C14*14</f>
        <v>0</v>
      </c>
      <c r="D47" s="7"/>
      <c r="E47" s="7">
        <f>SUM(A47:D47)</f>
        <v>0</v>
      </c>
      <c r="F47" s="24"/>
      <c r="G47" s="24"/>
      <c r="H47" s="24"/>
      <c r="I47" s="24"/>
      <c r="J47" s="24"/>
    </row>
    <row r="48" spans="1:10" ht="14.1" customHeight="1">
      <c r="A48" s="7">
        <f>H12*20</f>
        <v>0</v>
      </c>
      <c r="B48" s="7">
        <f>H13*14</f>
        <v>0</v>
      </c>
      <c r="C48" s="7">
        <f>H14*14</f>
        <v>0</v>
      </c>
      <c r="D48" s="7"/>
      <c r="E48" s="7">
        <f>SUM(A48:D48)</f>
        <v>0</v>
      </c>
      <c r="F48" s="24"/>
    </row>
    <row r="49" spans="1:10" ht="15" customHeight="1">
      <c r="A49" s="13" t="s">
        <v>38</v>
      </c>
      <c r="B49" s="13"/>
      <c r="C49" s="13"/>
      <c r="D49" s="13"/>
      <c r="E49" s="14"/>
      <c r="F49" s="14"/>
      <c r="G49" s="14"/>
      <c r="H49" s="14"/>
      <c r="I49" s="14"/>
      <c r="J49" s="14"/>
    </row>
    <row r="50" spans="1:10" ht="11.1" customHeight="1">
      <c r="A50" s="22" t="s">
        <v>37</v>
      </c>
      <c r="B50" s="22"/>
      <c r="C50" s="22"/>
      <c r="D50" s="22"/>
      <c r="E50" s="22"/>
      <c r="F50" s="22"/>
      <c r="G50" s="22"/>
      <c r="H50" s="22"/>
      <c r="I50" s="22"/>
      <c r="J50" s="22"/>
    </row>
    <row r="52" spans="1:10" ht="15" customHeight="1">
      <c r="A52" s="161"/>
      <c r="B52" s="161" t="s">
        <v>65</v>
      </c>
      <c r="C52" s="10"/>
      <c r="D52" s="10"/>
      <c r="E52" s="10"/>
      <c r="F52" s="10"/>
      <c r="G52" s="10"/>
      <c r="H52" s="10"/>
      <c r="I52" s="10"/>
      <c r="J52" s="10"/>
    </row>
    <row r="53" spans="1:10" ht="15" customHeight="1">
      <c r="A53" s="12"/>
      <c r="B53" s="12"/>
      <c r="C53" s="9"/>
      <c r="D53" s="9"/>
      <c r="E53" s="9"/>
      <c r="F53" s="9"/>
      <c r="G53" s="9"/>
      <c r="H53" s="12"/>
      <c r="I53" s="12"/>
      <c r="J53" s="12"/>
    </row>
    <row r="54" spans="1:10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 spans="1:10">
      <c r="A55" s="12"/>
      <c r="B55" s="12"/>
      <c r="C55" s="12"/>
      <c r="D55" s="12"/>
      <c r="E55" s="12"/>
      <c r="F55" s="12"/>
      <c r="G55" s="12"/>
      <c r="H55" s="12"/>
      <c r="I55" s="12"/>
      <c r="J55" s="12"/>
    </row>
    <row r="56" spans="1:10">
      <c r="A56" s="12"/>
      <c r="B56" s="12"/>
      <c r="C56" s="12"/>
      <c r="D56" s="12"/>
      <c r="E56" s="12"/>
      <c r="F56" s="12"/>
      <c r="G56" s="12"/>
      <c r="H56" s="12"/>
      <c r="I56" s="12"/>
      <c r="J56" s="12"/>
    </row>
    <row r="57" spans="1:10">
      <c r="A57" s="12"/>
      <c r="B57" s="12"/>
      <c r="C57" s="12"/>
      <c r="D57" s="12"/>
      <c r="E57" s="12"/>
      <c r="F57" s="12"/>
      <c r="G57" s="12"/>
      <c r="H57" s="12"/>
      <c r="I57" s="12"/>
      <c r="J57" s="12"/>
    </row>
    <row r="58" spans="1:10">
      <c r="A58" s="12"/>
      <c r="B58" s="12"/>
      <c r="C58" s="12"/>
      <c r="D58" s="12"/>
      <c r="E58" s="12"/>
      <c r="F58" s="12"/>
      <c r="G58" s="12"/>
      <c r="H58" s="12"/>
      <c r="I58" s="12"/>
      <c r="J58" s="12"/>
    </row>
    <row r="59" spans="1:10">
      <c r="A59" s="12"/>
      <c r="B59" s="12"/>
      <c r="C59" s="12"/>
      <c r="D59" s="12"/>
      <c r="E59" s="12"/>
      <c r="F59" s="12"/>
      <c r="G59" s="12"/>
      <c r="H59" s="12"/>
      <c r="I59" s="12"/>
      <c r="J59" s="12"/>
    </row>
    <row r="60" spans="1:10">
      <c r="A60" s="12"/>
      <c r="B60" s="12"/>
      <c r="C60" s="12"/>
      <c r="D60" s="12"/>
      <c r="E60" s="12"/>
      <c r="F60" s="12"/>
      <c r="G60" s="12"/>
      <c r="H60" s="12"/>
      <c r="I60" s="12"/>
      <c r="J60" s="12"/>
    </row>
    <row r="61" spans="1:10">
      <c r="A61" s="12"/>
      <c r="B61" s="12"/>
      <c r="C61" s="12"/>
      <c r="D61" s="12"/>
      <c r="E61" s="12"/>
      <c r="F61" s="12"/>
      <c r="G61" s="12"/>
      <c r="H61" s="12"/>
      <c r="I61" s="12"/>
      <c r="J61" s="12"/>
    </row>
    <row r="62" spans="1:10">
      <c r="A62" s="12"/>
      <c r="B62" s="12"/>
      <c r="C62" s="12"/>
      <c r="D62" s="12"/>
      <c r="E62" s="12"/>
      <c r="F62" s="12"/>
      <c r="G62" s="12"/>
      <c r="H62" s="12"/>
      <c r="I62" s="12"/>
      <c r="J62" s="12"/>
    </row>
    <row r="63" spans="1:10">
      <c r="A63" s="12"/>
      <c r="B63" s="12"/>
      <c r="C63" s="12"/>
      <c r="D63" s="12"/>
      <c r="E63" s="12"/>
      <c r="F63" s="12"/>
      <c r="G63" s="12"/>
      <c r="H63" s="12"/>
      <c r="I63" s="12"/>
      <c r="J63" s="12"/>
    </row>
    <row r="64" spans="1:10">
      <c r="A64" s="12"/>
      <c r="B64" s="12"/>
      <c r="C64" s="12"/>
      <c r="D64" s="12"/>
      <c r="E64" s="12"/>
      <c r="F64" s="12"/>
      <c r="G64" s="12"/>
      <c r="H64" s="12"/>
      <c r="I64" s="12"/>
      <c r="J64" s="12"/>
    </row>
  </sheetData>
  <sheetProtection password="CC02" sheet="1" objects="1" scenarios="1"/>
  <mergeCells count="72">
    <mergeCell ref="A26:E26"/>
    <mergeCell ref="A27:E27"/>
    <mergeCell ref="G26:J26"/>
    <mergeCell ref="G27:J27"/>
    <mergeCell ref="A1:J3"/>
    <mergeCell ref="A43:D43"/>
    <mergeCell ref="G39:I39"/>
    <mergeCell ref="G41:I41"/>
    <mergeCell ref="G42:I42"/>
    <mergeCell ref="C5:E5"/>
    <mergeCell ref="C6:E6"/>
    <mergeCell ref="C7:E7"/>
    <mergeCell ref="G38:I38"/>
    <mergeCell ref="G40:I40"/>
    <mergeCell ref="G22:I22"/>
    <mergeCell ref="A19:E19"/>
    <mergeCell ref="A20:E20"/>
    <mergeCell ref="G37:I37"/>
    <mergeCell ref="B10:D10"/>
    <mergeCell ref="G21:I21"/>
    <mergeCell ref="G23:I23"/>
    <mergeCell ref="C38:D38"/>
    <mergeCell ref="C32:D32"/>
    <mergeCell ref="A25:E25"/>
    <mergeCell ref="C33:D33"/>
    <mergeCell ref="C34:D34"/>
    <mergeCell ref="G36:I36"/>
    <mergeCell ref="F10:F46"/>
    <mergeCell ref="A16:B16"/>
    <mergeCell ref="G45:J45"/>
    <mergeCell ref="A50:J50"/>
    <mergeCell ref="G10:I10"/>
    <mergeCell ref="G20:J20"/>
    <mergeCell ref="G19:J19"/>
    <mergeCell ref="A12:B12"/>
    <mergeCell ref="A13:B13"/>
    <mergeCell ref="A14:B14"/>
    <mergeCell ref="A17:B17"/>
    <mergeCell ref="A15:B15"/>
    <mergeCell ref="A18:B18"/>
    <mergeCell ref="C4:E4"/>
    <mergeCell ref="H4:J4"/>
    <mergeCell ref="H5:J5"/>
    <mergeCell ref="H6:J6"/>
    <mergeCell ref="H7:J7"/>
    <mergeCell ref="B21:D21"/>
    <mergeCell ref="B22:D22"/>
    <mergeCell ref="B41:D41"/>
    <mergeCell ref="C39:D39"/>
    <mergeCell ref="C28:D28"/>
    <mergeCell ref="C36:D36"/>
    <mergeCell ref="C35:D35"/>
    <mergeCell ref="B24:D24"/>
    <mergeCell ref="A23:D23"/>
    <mergeCell ref="C37:D37"/>
    <mergeCell ref="C29:D29"/>
    <mergeCell ref="C30:D30"/>
    <mergeCell ref="G35:I35"/>
    <mergeCell ref="G24:I24"/>
    <mergeCell ref="G28:I28"/>
    <mergeCell ref="G32:I32"/>
    <mergeCell ref="A49:J49"/>
    <mergeCell ref="B42:D42"/>
    <mergeCell ref="G43:J43"/>
    <mergeCell ref="G46:I46"/>
    <mergeCell ref="B46:D46"/>
    <mergeCell ref="G33:I33"/>
    <mergeCell ref="B44:D44"/>
    <mergeCell ref="G44:I44"/>
    <mergeCell ref="G25:J25"/>
    <mergeCell ref="A45:E45"/>
    <mergeCell ref="G34:I34"/>
  </mergeCells>
  <phoneticPr fontId="3" type="noConversion"/>
  <pageMargins left="0.1" right="0.1" top="0.25" bottom="0.25" header="0.28000000000000003" footer="0.3"/>
  <pageSetup scale="9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C8"/>
  <sheetViews>
    <sheetView workbookViewId="0">
      <selection activeCell="D2" sqref="D2"/>
    </sheetView>
  </sheetViews>
  <sheetFormatPr defaultRowHeight="15"/>
  <cols>
    <col min="3" max="3" width="2" bestFit="1" customWidth="1"/>
  </cols>
  <sheetData>
    <row r="2" spans="1:3">
      <c r="A2" t="s">
        <v>46</v>
      </c>
      <c r="B2" t="s">
        <v>48</v>
      </c>
      <c r="C2">
        <v>2</v>
      </c>
    </row>
    <row r="3" spans="1:3">
      <c r="A3" t="s">
        <v>47</v>
      </c>
      <c r="B3" t="s">
        <v>49</v>
      </c>
      <c r="C3">
        <v>3</v>
      </c>
    </row>
    <row r="4" spans="1:3">
      <c r="A4" t="s">
        <v>47</v>
      </c>
      <c r="B4" t="s">
        <v>50</v>
      </c>
      <c r="C4">
        <v>2</v>
      </c>
    </row>
    <row r="5" spans="1:3">
      <c r="A5" t="s">
        <v>47</v>
      </c>
      <c r="B5" t="s">
        <v>51</v>
      </c>
      <c r="C5">
        <v>3</v>
      </c>
    </row>
    <row r="6" spans="1:3">
      <c r="A6" t="s">
        <v>47</v>
      </c>
      <c r="B6" t="s">
        <v>52</v>
      </c>
      <c r="C6">
        <v>2</v>
      </c>
    </row>
    <row r="7" spans="1:3">
      <c r="A7" t="s">
        <v>47</v>
      </c>
      <c r="B7" t="s">
        <v>53</v>
      </c>
      <c r="C7">
        <v>5</v>
      </c>
    </row>
    <row r="8" spans="1:3">
      <c r="A8" t="s">
        <v>54</v>
      </c>
      <c r="B8" t="s">
        <v>49</v>
      </c>
      <c r="C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OA CWW BUGET</vt:lpstr>
      <vt:lpstr>Sheet1</vt:lpstr>
      <vt:lpstr>'OA CWW BUGET'!Print_Area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</dc:creator>
  <cp:lastModifiedBy>Dan Lindh</cp:lastModifiedBy>
  <cp:lastPrinted>2011-10-18T20:02:22Z</cp:lastPrinted>
  <dcterms:created xsi:type="dcterms:W3CDTF">2010-01-08T03:40:06Z</dcterms:created>
  <dcterms:modified xsi:type="dcterms:W3CDTF">2011-10-18T20:38:32Z</dcterms:modified>
</cp:coreProperties>
</file>