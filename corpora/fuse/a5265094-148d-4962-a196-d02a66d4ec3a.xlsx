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8" i="1" l="1"/>
  <c r="M9" i="1"/>
  <c r="L8" i="1"/>
  <c r="L9" i="1"/>
  <c r="K8" i="1"/>
  <c r="K9" i="1"/>
  <c r="J8" i="1"/>
  <c r="J9" i="1"/>
  <c r="I9" i="1"/>
  <c r="H9" i="1"/>
  <c r="G9" i="1"/>
  <c r="F9" i="1"/>
  <c r="E9" i="1"/>
  <c r="D9" i="1"/>
  <c r="C9" i="1"/>
  <c r="B9" i="1"/>
  <c r="M7" i="1"/>
  <c r="L7" i="1"/>
  <c r="K7" i="1"/>
  <c r="J7" i="1"/>
  <c r="I7" i="1"/>
  <c r="H7" i="1"/>
  <c r="G7" i="1"/>
  <c r="F7" i="1"/>
  <c r="E7" i="1"/>
  <c r="D7" i="1"/>
  <c r="C7" i="1"/>
  <c r="B7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<sst xmlns="http://schemas.openxmlformats.org/spreadsheetml/2006/main" count="23" uniqueCount="23">
  <si>
    <r>
      <t xml:space="preserve">Table S1. </t>
    </r>
    <r>
      <rPr>
        <sz val="12"/>
        <color theme="1"/>
        <rFont val="Calibri"/>
        <family val="2"/>
        <scheme val="minor"/>
      </rPr>
      <t>Summary of the read mapping and coverage using Bowtie 2 for all samples included in this study</t>
    </r>
    <r>
      <rPr>
        <b/>
        <sz val="12"/>
        <color indexed="8"/>
        <rFont val="Calibri"/>
        <family val="2"/>
      </rPr>
      <t>.</t>
    </r>
  </si>
  <si>
    <t>Strain</t>
  </si>
  <si>
    <t>Sal I</t>
  </si>
  <si>
    <t>Belem</t>
  </si>
  <si>
    <t>C08</t>
  </si>
  <si>
    <t>C127</t>
  </si>
  <si>
    <t>C15</t>
  </si>
  <si>
    <t>M08</t>
  </si>
  <si>
    <t>M19</t>
  </si>
  <si>
    <t>M15</t>
  </si>
  <si>
    <t>Brazil</t>
  </si>
  <si>
    <t>Mauritania I</t>
  </si>
  <si>
    <t>North Korea</t>
  </si>
  <si>
    <t>India VII</t>
  </si>
  <si>
    <t># Read Pairs</t>
  </si>
  <si>
    <t>Mapped on P. vivax (Sal I)</t>
  </si>
  <si>
    <t xml:space="preserve">     % mapped on P. vivax</t>
  </si>
  <si>
    <t>Uniquely mapped on P. vivax</t>
  </si>
  <si>
    <t xml:space="preserve">     % unique</t>
  </si>
  <si>
    <t>After removal of duplic. read pairs</t>
  </si>
  <si>
    <t xml:space="preserve">     % non-duplicated</t>
  </si>
  <si>
    <t>Average nucleotide coverage</t>
  </si>
  <si>
    <t>% genome covered &gt;=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</si>
</sst>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3" fillId="0" borderId="0" xfId="0" applyFont="1" applyBorder="1" applyAlignment="1">
      <alignment horizontal="center"/>
    </xf>
    <xf numFmtId="0" fontId="3" fillId="0" borderId="0" xfId="3" applyFont="1" applyBorder="1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 applyBorder="1" applyAlignment="1">
      <alignment horizontal="justify" wrapText="1"/>
    </xf>
    <xf numFmtId="3" fontId="6" fillId="0" borderId="0" xfId="1" applyNumberFormat="1" applyFont="1" applyAlignment="1">
      <alignment horizontal="right" vertical="center"/>
    </xf>
    <xf numFmtId="3" fontId="6" fillId="0" borderId="0" xfId="1" applyNumberFormat="1" applyFont="1" applyAlignment="1">
      <alignment vertical="center"/>
    </xf>
    <xf numFmtId="3" fontId="6" fillId="0" borderId="0" xfId="0" applyNumberFormat="1" applyFont="1"/>
    <xf numFmtId="0" fontId="7" fillId="0" borderId="0" xfId="0" applyFont="1" applyBorder="1" applyAlignment="1">
      <alignment horizontal="justify" wrapText="1"/>
    </xf>
    <xf numFmtId="10" fontId="6" fillId="0" borderId="0" xfId="2" applyNumberFormat="1" applyFont="1" applyAlignment="1">
      <alignment horizontal="right" vertical="center"/>
    </xf>
    <xf numFmtId="10" fontId="6" fillId="0" borderId="0" xfId="2" applyNumberFormat="1" applyFont="1" applyAlignment="1">
      <alignment vertical="center"/>
    </xf>
    <xf numFmtId="0" fontId="5" fillId="0" borderId="0" xfId="0" applyFont="1" applyBorder="1" applyAlignment="1">
      <alignment horizontal="justify" wrapText="1"/>
    </xf>
    <xf numFmtId="164" fontId="6" fillId="0" borderId="0" xfId="1" applyNumberFormat="1" applyFont="1"/>
    <xf numFmtId="10" fontId="6" fillId="0" borderId="0" xfId="2" applyNumberFormat="1" applyFont="1" applyBorder="1"/>
    <xf numFmtId="10" fontId="6" fillId="0" borderId="0" xfId="2" applyNumberFormat="1" applyFont="1" applyBorder="1" applyAlignment="1"/>
    <xf numFmtId="0" fontId="5" fillId="0" borderId="2" xfId="0" applyFont="1" applyBorder="1" applyAlignment="1">
      <alignment horizontal="justify" wrapText="1"/>
    </xf>
    <xf numFmtId="0" fontId="5" fillId="0" borderId="2" xfId="0" applyFont="1" applyBorder="1"/>
    <xf numFmtId="0" fontId="5" fillId="0" borderId="3" xfId="0" applyFont="1" applyBorder="1" applyAlignment="1">
      <alignment horizontal="justify" wrapText="1"/>
    </xf>
    <xf numFmtId="10" fontId="5" fillId="0" borderId="3" xfId="2" applyNumberFormat="1" applyFont="1" applyBorder="1"/>
  </cellXfs>
  <cellStyles count="4">
    <cellStyle name="Comma" xfId="1" builtinId="3"/>
    <cellStyle name="Normal" xfId="0" builtinId="0"/>
    <cellStyle name="Normal_Sheet2" xfId="3"/>
    <cellStyle name="Percent" xfId="2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M11"/>
    </sheetView>
  </sheetViews>
  <sheetFormatPr baseColWidth="10" defaultRowHeight="15" x14ac:dyDescent="0"/>
  <cols>
    <col min="1" max="1" width="29.664062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>
      <c r="A3" s="7" t="s">
        <v>14</v>
      </c>
      <c r="B3" s="8">
        <v>215743944</v>
      </c>
      <c r="C3" s="9">
        <v>81446663</v>
      </c>
      <c r="D3" s="8">
        <v>231291984</v>
      </c>
      <c r="E3" s="8">
        <v>211061945</v>
      </c>
      <c r="F3" s="8">
        <v>79414201</v>
      </c>
      <c r="G3" s="8">
        <v>215643747</v>
      </c>
      <c r="H3" s="8">
        <v>85703544</v>
      </c>
      <c r="I3" s="8">
        <v>76891834</v>
      </c>
      <c r="J3" s="10">
        <v>133804387</v>
      </c>
      <c r="K3" s="10">
        <v>130982283</v>
      </c>
      <c r="L3" s="10">
        <v>132927529</v>
      </c>
      <c r="M3" s="10">
        <v>95900222</v>
      </c>
    </row>
    <row r="4" spans="1:13">
      <c r="A4" s="7" t="s">
        <v>15</v>
      </c>
      <c r="B4" s="8">
        <v>3016831</v>
      </c>
      <c r="C4" s="9">
        <v>65608265</v>
      </c>
      <c r="D4" s="8">
        <v>37780042</v>
      </c>
      <c r="E4" s="8">
        <v>107565481</v>
      </c>
      <c r="F4" s="8">
        <v>15436467</v>
      </c>
      <c r="G4" s="8">
        <v>48635340</v>
      </c>
      <c r="H4" s="8">
        <v>44691688</v>
      </c>
      <c r="I4" s="8">
        <v>45493468</v>
      </c>
      <c r="J4" s="10">
        <v>34418484</v>
      </c>
      <c r="K4" s="10">
        <v>59153748</v>
      </c>
      <c r="L4" s="10">
        <v>42242940</v>
      </c>
      <c r="M4" s="10">
        <v>10961475</v>
      </c>
    </row>
    <row r="5" spans="1:13">
      <c r="A5" s="11" t="s">
        <v>16</v>
      </c>
      <c r="B5" s="12">
        <f>B4/B3</f>
        <v>1.3983386713278961E-2</v>
      </c>
      <c r="C5" s="13">
        <f t="shared" ref="C5:M5" si="0">C4/C3</f>
        <v>0.80553656323525491</v>
      </c>
      <c r="D5" s="12">
        <f t="shared" si="0"/>
        <v>0.16334349918499552</v>
      </c>
      <c r="E5" s="12">
        <f t="shared" si="0"/>
        <v>0.50963939046425444</v>
      </c>
      <c r="F5" s="12">
        <f t="shared" si="0"/>
        <v>0.19437917659084678</v>
      </c>
      <c r="G5" s="12">
        <f t="shared" si="0"/>
        <v>0.22553559134733456</v>
      </c>
      <c r="H5" s="12">
        <f t="shared" si="0"/>
        <v>0.52146837708368277</v>
      </c>
      <c r="I5" s="12">
        <f>I4/I3</f>
        <v>0.59165538956971686</v>
      </c>
      <c r="J5" s="12">
        <f t="shared" si="0"/>
        <v>0.25722986197754488</v>
      </c>
      <c r="K5" s="12">
        <f t="shared" si="0"/>
        <v>0.45161640677770137</v>
      </c>
      <c r="L5" s="12">
        <f t="shared" si="0"/>
        <v>0.31778925191635815</v>
      </c>
      <c r="M5" s="12">
        <f t="shared" si="0"/>
        <v>0.11430083029421975</v>
      </c>
    </row>
    <row r="6" spans="1:13">
      <c r="A6" s="14" t="s">
        <v>17</v>
      </c>
      <c r="B6" s="8">
        <v>2956886</v>
      </c>
      <c r="C6" s="8">
        <v>63743582</v>
      </c>
      <c r="D6" s="8">
        <v>37060560</v>
      </c>
      <c r="E6" s="8">
        <v>105516889</v>
      </c>
      <c r="F6" s="8">
        <v>15112744</v>
      </c>
      <c r="G6" s="8">
        <v>47672895</v>
      </c>
      <c r="H6" s="8">
        <v>43697609</v>
      </c>
      <c r="I6" s="8">
        <v>44450256</v>
      </c>
      <c r="J6" s="15">
        <v>33772104</v>
      </c>
      <c r="K6" s="15">
        <v>58197023</v>
      </c>
      <c r="L6" s="15">
        <v>41486970</v>
      </c>
      <c r="M6" s="15">
        <v>10741576</v>
      </c>
    </row>
    <row r="7" spans="1:13">
      <c r="A7" s="11" t="s">
        <v>18</v>
      </c>
      <c r="B7" s="12">
        <f>B6/B3</f>
        <v>1.3705534186396444E-2</v>
      </c>
      <c r="C7" s="12">
        <f t="shared" ref="C7:M7" si="1">C6/C3</f>
        <v>0.78264203408800181</v>
      </c>
      <c r="D7" s="12">
        <f t="shared" si="1"/>
        <v>0.16023279042822339</v>
      </c>
      <c r="E7" s="12">
        <f t="shared" si="1"/>
        <v>0.49993327314405256</v>
      </c>
      <c r="F7" s="12">
        <f t="shared" si="1"/>
        <v>0.19030278979952212</v>
      </c>
      <c r="G7" s="12">
        <f t="shared" si="1"/>
        <v>0.22107246633958738</v>
      </c>
      <c r="H7" s="12">
        <f t="shared" si="1"/>
        <v>0.50986933515841537</v>
      </c>
      <c r="I7" s="12">
        <f>I6/I3</f>
        <v>0.57808812311590851</v>
      </c>
      <c r="J7" s="12">
        <f t="shared" si="1"/>
        <v>0.25239907866399031</v>
      </c>
      <c r="K7" s="12">
        <f t="shared" si="1"/>
        <v>0.44431217464731471</v>
      </c>
      <c r="L7" s="12">
        <f t="shared" si="1"/>
        <v>0.31210216809190816</v>
      </c>
      <c r="M7" s="12">
        <f t="shared" si="1"/>
        <v>0.11200783247404787</v>
      </c>
    </row>
    <row r="8" spans="1:13">
      <c r="A8" s="14" t="s">
        <v>19</v>
      </c>
      <c r="B8" s="8">
        <v>2926207</v>
      </c>
      <c r="C8" s="8">
        <v>61411645</v>
      </c>
      <c r="D8" s="8">
        <v>14773862</v>
      </c>
      <c r="E8" s="8">
        <v>61052160</v>
      </c>
      <c r="F8" s="8">
        <v>11022204</v>
      </c>
      <c r="G8" s="8">
        <v>32737022</v>
      </c>
      <c r="H8" s="8">
        <v>17788686</v>
      </c>
      <c r="I8" s="8">
        <v>11154838</v>
      </c>
      <c r="J8" s="15">
        <f>62215742/2</f>
        <v>31107871</v>
      </c>
      <c r="K8" s="15">
        <f>107363752/2</f>
        <v>53681876</v>
      </c>
      <c r="L8" s="15">
        <f>76590754/2</f>
        <v>38295377</v>
      </c>
      <c r="M8" s="15">
        <f>12705312/2</f>
        <v>6352656</v>
      </c>
    </row>
    <row r="9" spans="1:13">
      <c r="A9" s="11" t="s">
        <v>20</v>
      </c>
      <c r="B9" s="16">
        <f>B8/B3</f>
        <v>1.3563333207628762E-2</v>
      </c>
      <c r="C9" s="17">
        <f t="shared" ref="C9:M9" si="2">C8/C3</f>
        <v>0.75401057253874226</v>
      </c>
      <c r="D9" s="16">
        <f t="shared" si="2"/>
        <v>6.387537408127382E-2</v>
      </c>
      <c r="E9" s="16">
        <f t="shared" si="2"/>
        <v>0.28926180889690939</v>
      </c>
      <c r="F9" s="16">
        <f t="shared" si="2"/>
        <v>0.13879386635143506</v>
      </c>
      <c r="G9" s="16">
        <f t="shared" si="2"/>
        <v>0.15181067132913434</v>
      </c>
      <c r="H9" s="16">
        <f t="shared" si="2"/>
        <v>0.20756068150460616</v>
      </c>
      <c r="I9" s="16">
        <f>I8/I3</f>
        <v>0.14507181607867489</v>
      </c>
      <c r="J9" s="16">
        <f t="shared" si="2"/>
        <v>0.23248767620750729</v>
      </c>
      <c r="K9" s="16">
        <f t="shared" si="2"/>
        <v>0.40984074159098294</v>
      </c>
      <c r="L9" s="16">
        <f t="shared" si="2"/>
        <v>0.28809214530723731</v>
      </c>
      <c r="M9" s="16">
        <f t="shared" si="2"/>
        <v>6.6242349261714947E-2</v>
      </c>
    </row>
    <row r="10" spans="1:13">
      <c r="A10" s="18" t="s">
        <v>21</v>
      </c>
      <c r="B10" s="19">
        <v>21</v>
      </c>
      <c r="C10" s="19">
        <v>454</v>
      </c>
      <c r="D10" s="19">
        <v>110</v>
      </c>
      <c r="E10" s="19">
        <v>437</v>
      </c>
      <c r="F10" s="19">
        <v>78</v>
      </c>
      <c r="G10" s="19">
        <v>235</v>
      </c>
      <c r="H10" s="19">
        <v>128</v>
      </c>
      <c r="I10" s="19">
        <v>82</v>
      </c>
      <c r="J10" s="19">
        <v>197</v>
      </c>
      <c r="K10" s="19">
        <v>340</v>
      </c>
      <c r="L10" s="19">
        <v>245</v>
      </c>
      <c r="M10" s="19">
        <v>32</v>
      </c>
    </row>
    <row r="11" spans="1:13">
      <c r="A11" s="20" t="s">
        <v>22</v>
      </c>
      <c r="B11" s="21">
        <v>0.54059999999999997</v>
      </c>
      <c r="C11" s="21">
        <v>0.96599999999999997</v>
      </c>
      <c r="D11" s="21">
        <v>0.94720000000000004</v>
      </c>
      <c r="E11" s="21">
        <v>0.9829</v>
      </c>
      <c r="F11" s="21">
        <v>0.95930000000000004</v>
      </c>
      <c r="G11" s="21">
        <v>0.96509999999999996</v>
      </c>
      <c r="H11" s="21">
        <v>0.97970000000000002</v>
      </c>
      <c r="I11" s="21">
        <v>0.96560000000000001</v>
      </c>
      <c r="J11" s="21">
        <v>0.9758</v>
      </c>
      <c r="K11" s="21">
        <v>0.98340000000000005</v>
      </c>
      <c r="L11" s="21">
        <v>0.98140000000000005</v>
      </c>
      <c r="M11" s="21">
        <v>0.75360000000000005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Case Western Reserve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Zimmerman</dc:creator>
  <cp:lastModifiedBy>Peter Zimmerman</cp:lastModifiedBy>
  <dcterms:created xsi:type="dcterms:W3CDTF">2013-07-02T18:38:26Z</dcterms:created>
  <dcterms:modified xsi:type="dcterms:W3CDTF">2013-07-02T18:39:06Z</dcterms:modified>
</cp:coreProperties>
</file>