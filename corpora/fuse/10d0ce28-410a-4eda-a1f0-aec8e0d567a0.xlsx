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210" yWindow="1110" windowWidth="15450" windowHeight="9690" tabRatio="714" activeTab="1"/>
  </bookViews>
  <sheets>
    <sheet name="Directions" sheetId="10" r:id="rId1"/>
    <sheet name="PAF" sheetId="27" r:id="rId2"/>
    <sheet name="New Hire" sheetId="18" r:id="rId3"/>
    <sheet name="Grant" sheetId="19" r:id="rId4"/>
    <sheet name="Promotion" sheetId="20" r:id="rId5"/>
    <sheet name="Termination" sheetId="21" r:id="rId6"/>
    <sheet name="Pay Change" sheetId="22" r:id="rId7"/>
    <sheet name="Single Payment" sheetId="23" r:id="rId8"/>
    <sheet name="Student Reclassification" sheetId="24" r:id="rId9"/>
  </sheets>
  <definedNames>
    <definedName name="_xlnm.Print_Area" localSheetId="0">Directions!$A$1:$A$60</definedName>
    <definedName name="_xlnm.Print_Area" localSheetId="3">Grant!$A$1:$G$72</definedName>
    <definedName name="_xlnm.Print_Area" localSheetId="2">'New Hire'!$A$1:$G$72</definedName>
    <definedName name="_xlnm.Print_Area" localSheetId="1">PAF!$A$1:$G$72</definedName>
    <definedName name="_xlnm.Print_Area" localSheetId="6">'Pay Change'!$A$1:$G$72</definedName>
    <definedName name="_xlnm.Print_Area" localSheetId="4">Promotion!$A$1:$G$72</definedName>
    <definedName name="_xlnm.Print_Area" localSheetId="7">'Single Payment'!$A$1:$G$72</definedName>
    <definedName name="_xlnm.Print_Area" localSheetId="8">'Student Reclassification'!$A$1:$G$72</definedName>
    <definedName name="_xlnm.Print_Area" localSheetId="5">Termination!$A$1:$G$72</definedName>
  </definedNames>
  <calcPr calcId="145621"/>
</workbook>
</file>

<file path=xl/calcChain.xml><?xml version="1.0" encoding="utf-8"?>
<calcChain xmlns="http://schemas.openxmlformats.org/spreadsheetml/2006/main">
  <c r="G15" i="27" l="1"/>
  <c r="E47" i="27"/>
  <c r="E48" i="27"/>
  <c r="E49" i="27"/>
  <c r="E46" i="27"/>
  <c r="F50" i="27"/>
  <c r="G49" i="27"/>
  <c r="G48" i="27"/>
  <c r="G47" i="27"/>
  <c r="G46" i="27"/>
  <c r="E10" i="27"/>
  <c r="D19" i="24"/>
  <c r="F50" i="24"/>
  <c r="G49" i="24"/>
  <c r="G48" i="24"/>
  <c r="G47" i="24"/>
  <c r="G46" i="24"/>
  <c r="E10" i="24"/>
  <c r="C39" i="23"/>
  <c r="F50" i="23"/>
  <c r="G49" i="23"/>
  <c r="G48" i="23"/>
  <c r="G47" i="23"/>
  <c r="G46" i="23"/>
  <c r="E10" i="23"/>
  <c r="F36" i="22"/>
  <c r="F50" i="22"/>
  <c r="G49" i="22"/>
  <c r="G48" i="22"/>
  <c r="G47" i="22"/>
  <c r="G46" i="22"/>
  <c r="E10" i="22"/>
  <c r="B31" i="21"/>
  <c r="F50" i="21"/>
  <c r="G49" i="21"/>
  <c r="G48" i="21"/>
  <c r="G47" i="21"/>
  <c r="G46" i="21"/>
  <c r="E10" i="21"/>
  <c r="D23" i="20"/>
  <c r="F50" i="20"/>
  <c r="G49" i="20"/>
  <c r="G48" i="20"/>
  <c r="G47" i="20"/>
  <c r="G46" i="20"/>
  <c r="E10" i="20"/>
  <c r="D19" i="19"/>
  <c r="F50" i="19"/>
  <c r="G49" i="19"/>
  <c r="G48" i="19"/>
  <c r="G47" i="19"/>
  <c r="G46" i="19"/>
  <c r="E10" i="19"/>
  <c r="D19" i="18"/>
  <c r="F50" i="18"/>
  <c r="G49" i="18"/>
  <c r="G48" i="18"/>
  <c r="G47" i="18"/>
  <c r="G46" i="18"/>
  <c r="E10" i="18"/>
</calcChain>
</file>

<file path=xl/sharedStrings.xml><?xml version="1.0" encoding="utf-8"?>
<sst xmlns="http://schemas.openxmlformats.org/spreadsheetml/2006/main" count="4223" uniqueCount="681">
  <si>
    <t>Comments:</t>
  </si>
  <si>
    <t>Signature:</t>
  </si>
  <si>
    <t>Supervisor</t>
  </si>
  <si>
    <t>Reason</t>
  </si>
  <si>
    <t>AF - Administrative Full Time</t>
  </si>
  <si>
    <t>AP - Administrative Part Time</t>
  </si>
  <si>
    <t>AN - Administrative Non-Exempt</t>
  </si>
  <si>
    <t>CF - Clerical 37.5 Hours</t>
  </si>
  <si>
    <t>CS - Clerical 35 Hours</t>
  </si>
  <si>
    <t>FF - Faculty Full Time</t>
  </si>
  <si>
    <t>Year</t>
  </si>
  <si>
    <t>Hour</t>
  </si>
  <si>
    <t>Month</t>
  </si>
  <si>
    <t>Semester</t>
  </si>
  <si>
    <t>Last Name:</t>
  </si>
  <si>
    <t>First Name:</t>
  </si>
  <si>
    <t>Roosevelt ID:</t>
  </si>
  <si>
    <t>Department:</t>
  </si>
  <si>
    <t>Date Prepared:</t>
  </si>
  <si>
    <t>Employee Class:</t>
  </si>
  <si>
    <t>Reason:</t>
  </si>
  <si>
    <t>Chicago - Gage Building</t>
  </si>
  <si>
    <t>Chicago - Auditorium Building</t>
  </si>
  <si>
    <t>Schaumburg</t>
  </si>
  <si>
    <t>Auditorium Theatre of RU</t>
  </si>
  <si>
    <t>11110 - Office of the President</t>
  </si>
  <si>
    <t>11120 - Ahrens Aud Theatre Tix Prog</t>
  </si>
  <si>
    <t>11130 - RU Global Lecture Series</t>
  </si>
  <si>
    <t>11210 - Office of Chief of Staff</t>
  </si>
  <si>
    <t>12110 - Board of Trustees Office</t>
  </si>
  <si>
    <t>12120 - Office of Internal Audit</t>
  </si>
  <si>
    <t>21110 - Office of the Chief Academic Office</t>
  </si>
  <si>
    <t>21120 - Faculty Recruitment</t>
  </si>
  <si>
    <t>21130 - Commencement &amp; Convocation</t>
  </si>
  <si>
    <t>21140 - Institutional Reseach</t>
  </si>
  <si>
    <t>21210 - Office of the Dean of Graduate Stud</t>
  </si>
  <si>
    <t>21220 - Research</t>
  </si>
  <si>
    <t>21230 - Graduate Studies</t>
  </si>
  <si>
    <t>21310 - Office of Budget and Planning</t>
  </si>
  <si>
    <t>21410 - Office of Distance Learning</t>
  </si>
  <si>
    <t>21420 - RU Online</t>
  </si>
  <si>
    <t>21430 - External Studies</t>
  </si>
  <si>
    <t>21510 - Center for Teaching and Learning</t>
  </si>
  <si>
    <t>21520 - Summer Session</t>
  </si>
  <si>
    <t>21530 - Special Programs</t>
  </si>
  <si>
    <t>21540 - Assessment and Program Review</t>
  </si>
  <si>
    <t>21550 - Office of Faculty and Academic Admi</t>
  </si>
  <si>
    <t>21560 - Academic Development</t>
  </si>
  <si>
    <t>22110 - Office of the Dean, College of Arts</t>
  </si>
  <si>
    <t>22120 - Women's and Gender Studies</t>
  </si>
  <si>
    <t>22130 - Center for New Deal Studies</t>
  </si>
  <si>
    <t>22140 - Gage Gallery</t>
  </si>
  <si>
    <t>22150 - Institute for Metropolitan Affairs</t>
  </si>
  <si>
    <t>22160 - Institute for Politics</t>
  </si>
  <si>
    <t>22170 - Mansfield Institute of Social Justi</t>
  </si>
  <si>
    <t>22180 - RU Scholars Program</t>
  </si>
  <si>
    <t>22190 - St.Clair Drake Center for African-A</t>
  </si>
  <si>
    <t>22210 - Office of Biological Chemical &amp; Phy</t>
  </si>
  <si>
    <t>22220 - Biology</t>
  </si>
  <si>
    <t>22230 - Chemistry</t>
  </si>
  <si>
    <t>22240 - Physical Science</t>
  </si>
  <si>
    <t>22310 - Office of Communication</t>
  </si>
  <si>
    <t>22320 - Communication</t>
  </si>
  <si>
    <t>22330 - Integrated Marketing Communication</t>
  </si>
  <si>
    <t>22340 - Journalism</t>
  </si>
  <si>
    <t>22410 - Office of Computer Science &amp; Teleco</t>
  </si>
  <si>
    <t>22420 - Computer Science</t>
  </si>
  <si>
    <t>22430 - Telecommunication</t>
  </si>
  <si>
    <t>22510 - Office of Economics</t>
  </si>
  <si>
    <t>22520 - Social Justice Studies</t>
  </si>
  <si>
    <t>22530 - Economics</t>
  </si>
  <si>
    <t>22610 - Office of History, Philosophy &amp; Art</t>
  </si>
  <si>
    <t>22620 - Art History</t>
  </si>
  <si>
    <t>22630 - History</t>
  </si>
  <si>
    <t>22640 - Philosophy</t>
  </si>
  <si>
    <t>22710 - Office of Literature &amp; Languages</t>
  </si>
  <si>
    <t>22720 - English</t>
  </si>
  <si>
    <t>22730 - Composition</t>
  </si>
  <si>
    <t>22740 - Creative Writing</t>
  </si>
  <si>
    <t>22750 - Spanish</t>
  </si>
  <si>
    <t>22760 - Literature &amp; Languages</t>
  </si>
  <si>
    <t>22810 - Office of Mathematics &amp; Actuarial S</t>
  </si>
  <si>
    <t>22820 - Mathematics</t>
  </si>
  <si>
    <t>22830 - Actuarial Science</t>
  </si>
  <si>
    <t>22840 - Math Education</t>
  </si>
  <si>
    <t>22910 - Office of Political Science &amp; Publi</t>
  </si>
  <si>
    <t>22920 - Political Sciences</t>
  </si>
  <si>
    <t>22930 - Public Adminstration</t>
  </si>
  <si>
    <t>23110 - Office of Psychology</t>
  </si>
  <si>
    <t>23120 - I/O Psychology</t>
  </si>
  <si>
    <t>23130 - Clinical Psychology</t>
  </si>
  <si>
    <t>23140 - Psychology</t>
  </si>
  <si>
    <t>23150 - Stress Institute</t>
  </si>
  <si>
    <t>23210 - Office of Sociology &amp; Anthropology</t>
  </si>
  <si>
    <t>24110 - Office of the Dean, College of Educ</t>
  </si>
  <si>
    <t>24120 - COE Schaumburg Reading Clinic</t>
  </si>
  <si>
    <t>24210 - Office of Secondary Education</t>
  </si>
  <si>
    <t>24310 - Office of Counseling &amp; Human Servic</t>
  </si>
  <si>
    <t>24410 - Office of Educational Leadership</t>
  </si>
  <si>
    <t>24510 - Office of Teaching &amp; Learning</t>
  </si>
  <si>
    <t>24520 - Early Childhood Education</t>
  </si>
  <si>
    <t>24530 - Elementary Education</t>
  </si>
  <si>
    <t>24540 - Languages &amp; Literacy</t>
  </si>
  <si>
    <t>24550 - Special Education</t>
  </si>
  <si>
    <t>25110 - Office of the Dean, Evelyn T. Stone</t>
  </si>
  <si>
    <t>25210 - Office of Criminal Justice &amp; Crimin</t>
  </si>
  <si>
    <t>25310 - Office of English Language Program</t>
  </si>
  <si>
    <t>25410 - Office of General/Professional Stud</t>
  </si>
  <si>
    <t>25420 - Organizational Leadership</t>
  </si>
  <si>
    <t>25430 - General/Professional Studies</t>
  </si>
  <si>
    <t>25510 - Office of Hospitality &amp; Tourism Man</t>
  </si>
  <si>
    <t>25520 - Hospitality &amp; Tourism Management</t>
  </si>
  <si>
    <t>25530 - Institute for Tourism</t>
  </si>
  <si>
    <t>25610 - Office of Nursing</t>
  </si>
  <si>
    <t>25710 - Office of Organizational Leadership</t>
  </si>
  <si>
    <t>25810 - Office of Paralegal Studies</t>
  </si>
  <si>
    <t>25820 - PSP Continuing Paralegal Educ Prog</t>
  </si>
  <si>
    <t>25910 - Office of Training &amp; Development</t>
  </si>
  <si>
    <t>26110 - Office of the Dean, Chicago College</t>
  </si>
  <si>
    <t>26120 - CCPA Recruiting</t>
  </si>
  <si>
    <t>26210 - Office of Music Conservatory</t>
  </si>
  <si>
    <t>26215 - Musical Recital/Production</t>
  </si>
  <si>
    <t>26216 - Music Studio &amp; Overload</t>
  </si>
  <si>
    <t>26220 - Composition</t>
  </si>
  <si>
    <t>26221 - Music - Core Studies</t>
  </si>
  <si>
    <t>26222 - Performance - Guitar</t>
  </si>
  <si>
    <t>26230 - Performance - Voice and Opera</t>
  </si>
  <si>
    <t>26240 - Performance - Piano</t>
  </si>
  <si>
    <t>26250 - Performance Orchestral-Instruments</t>
  </si>
  <si>
    <t>26260 - Performance - Percussion</t>
  </si>
  <si>
    <t>26270 - Music - Education</t>
  </si>
  <si>
    <t>26310 - Office of Theatre Conservatory</t>
  </si>
  <si>
    <t>26320 - Acting</t>
  </si>
  <si>
    <t>26330 - Musical Theatre</t>
  </si>
  <si>
    <t>26340 - Theatre - Fast Track Masters</t>
  </si>
  <si>
    <t>27110 - Office of the Dean, Walter E. Helle</t>
  </si>
  <si>
    <t xml:space="preserve">27120 - Marshall Bennett Institute of Real </t>
  </si>
  <si>
    <t>27210 - Accounting</t>
  </si>
  <si>
    <t>27310 - Finance &amp; Financial Services</t>
  </si>
  <si>
    <t>27410 - Human Resources Management</t>
  </si>
  <si>
    <t>27510 - Information Systems</t>
  </si>
  <si>
    <t>27610 - Management</t>
  </si>
  <si>
    <t>27710 - Marketing</t>
  </si>
  <si>
    <t>27810 - Risk Management &amp; Insurance</t>
  </si>
  <si>
    <t>27910 - Real Estate</t>
  </si>
  <si>
    <t>28110 - Office of the University Librarian</t>
  </si>
  <si>
    <t>28210 - Reference, Instruction &amp; Access Ser</t>
  </si>
  <si>
    <t>28310 - Technical Services</t>
  </si>
  <si>
    <t>28410 - Performing Arts Library</t>
  </si>
  <si>
    <t>28510 - Albert A. Robin Campus Library</t>
  </si>
  <si>
    <t>28610 - University Archives</t>
  </si>
  <si>
    <t>31110 - Office of the Chief Financial Offic</t>
  </si>
  <si>
    <t>32110 - Office of Finance</t>
  </si>
  <si>
    <t>32210 - Office of Payroll</t>
  </si>
  <si>
    <t>33110 - Office of Financial Planning &amp; Budg</t>
  </si>
  <si>
    <t>34110 - Office of Administrative Services</t>
  </si>
  <si>
    <t>34120 - Information Desks</t>
  </si>
  <si>
    <t>34130 - Mail Svcs and Info Desk - AUD</t>
  </si>
  <si>
    <t>34135 - Mail Svcs and Info Desk - SCH</t>
  </si>
  <si>
    <t>34140 - Office Services - AUD</t>
  </si>
  <si>
    <t>34145 - Office Services - SCH</t>
  </si>
  <si>
    <t>34210 - Office of Purchasing</t>
  </si>
  <si>
    <t>34310 - Office of Student Accounts</t>
  </si>
  <si>
    <t>34320 - Credit &amp; Collections</t>
  </si>
  <si>
    <t>35110 - Office of Operations</t>
  </si>
  <si>
    <t>35210 - Office of Physical Resources</t>
  </si>
  <si>
    <t>35220 - Physical Resources - Chicago</t>
  </si>
  <si>
    <t>35230 - Physical Resources - Schaumburg</t>
  </si>
  <si>
    <t>35240 - Physical Resources - Gage RU</t>
  </si>
  <si>
    <t>35250 - Physical Resources - Gage Tenants</t>
  </si>
  <si>
    <t>35310 - Office of Capital Projects</t>
  </si>
  <si>
    <t>35410 - Office of Campus Safety &amp; Transport</t>
  </si>
  <si>
    <t>35420 - Campus Safety</t>
  </si>
  <si>
    <t>35421 - Schaumburg Safety</t>
  </si>
  <si>
    <t>35422 - Crown Center Security</t>
  </si>
  <si>
    <t>35430 - Transportation</t>
  </si>
  <si>
    <t>35510 - Office of Auxiliary Enterprises</t>
  </si>
  <si>
    <t>35520 - Bookstore</t>
  </si>
  <si>
    <t>35530 - Dining &amp; Vending</t>
  </si>
  <si>
    <t>35550 - Other Auxiliary Services</t>
  </si>
  <si>
    <t>39110 - Debt service</t>
  </si>
  <si>
    <t>39120 - University Center Subsidy</t>
  </si>
  <si>
    <t>39130 - Depreciation</t>
  </si>
  <si>
    <t>39140 - Contingency Fund</t>
  </si>
  <si>
    <t>39150 - Vacancy Control</t>
  </si>
  <si>
    <t>39210 - Tuition - unallocated</t>
  </si>
  <si>
    <t>39220 - Fall Tuition &amp; fees</t>
  </si>
  <si>
    <t>39230 - Spring tuition &amp; fees</t>
  </si>
  <si>
    <t>39240 - Summer tuition &amp; fees</t>
  </si>
  <si>
    <t>39250 - Prior Year tuition &amp; fees</t>
  </si>
  <si>
    <t>39260 - J Term Tuition</t>
  </si>
  <si>
    <t>39265 - Tuition Adjustments &amp; W/O</t>
  </si>
  <si>
    <t>39270 - Miscellaneous Student Fees</t>
  </si>
  <si>
    <t>39280 - Discounts &amp; Exemptions</t>
  </si>
  <si>
    <t>39290 - Miscellaneous - general</t>
  </si>
  <si>
    <t>39310 - Grants management</t>
  </si>
  <si>
    <t>39320 - Endowments administration</t>
  </si>
  <si>
    <t>39330 - Restricted Funds management</t>
  </si>
  <si>
    <t>39410 - Short Term Investment Income</t>
  </si>
  <si>
    <t>41110 - Office of Chief Communications Offi</t>
  </si>
  <si>
    <t>41210 - Office of Communications</t>
  </si>
  <si>
    <t>41220 - Marketing</t>
  </si>
  <si>
    <t>41310 - Office of University Outreach</t>
  </si>
  <si>
    <t>41410 - Office of Public Relations</t>
  </si>
  <si>
    <t>41510 - Office of Government Relations</t>
  </si>
  <si>
    <t>41610 - Office of Web Design &amp; Development</t>
  </si>
  <si>
    <t>45110 - Office of the Chief Hum Res Officer</t>
  </si>
  <si>
    <t>45210 - Office of Compensation Bene &amp; Tech</t>
  </si>
  <si>
    <t>45220 - Compensation</t>
  </si>
  <si>
    <t>45230 - Benefits</t>
  </si>
  <si>
    <t>45240 - HR Technology</t>
  </si>
  <si>
    <t>45310 - Office of Emp Rel Leadship &amp; Recog</t>
  </si>
  <si>
    <t>45320 - Employee Relations</t>
  </si>
  <si>
    <t>45330 - Leadership Development</t>
  </si>
  <si>
    <t>45340 - Employee Recognition</t>
  </si>
  <si>
    <t>45410 - Office of Recruitment &amp; Employ</t>
  </si>
  <si>
    <t>51110 - Office of the Chief Information Off</t>
  </si>
  <si>
    <t>51210 - Help Desk</t>
  </si>
  <si>
    <t>51220 - Multimedia Services</t>
  </si>
  <si>
    <t>51230 - Computer Classrooms &amp; Labs Services</t>
  </si>
  <si>
    <t>51310 - Office of Technology Systems</t>
  </si>
  <si>
    <t>51320 - Desktop Support</t>
  </si>
  <si>
    <t>51330 - Portal Services</t>
  </si>
  <si>
    <t>51340 - Technology Infrastructure</t>
  </si>
  <si>
    <t>51350 - Banner Support</t>
  </si>
  <si>
    <t>51410 - Technology Pool</t>
  </si>
  <si>
    <t>51420 - Telephone Services</t>
  </si>
  <si>
    <t>51510 - DoIT Capital Expenditures</t>
  </si>
  <si>
    <t>52110 - Office of User Services</t>
  </si>
  <si>
    <t>52210 - Office of Multimedia Services</t>
  </si>
  <si>
    <t>52310 - Office of Academic Technology &amp; Use</t>
  </si>
  <si>
    <t>53110 - Office of Technology Administration</t>
  </si>
  <si>
    <t>54110 - Office of Systems &amp; Telecommunicati</t>
  </si>
  <si>
    <t>54120 - System Administration</t>
  </si>
  <si>
    <t>54130 - Institutional Advancement System</t>
  </si>
  <si>
    <t>54140 - Telecommunications</t>
  </si>
  <si>
    <t>54210 - Office of Desktop Support</t>
  </si>
  <si>
    <t>54220 - Computer Labs</t>
  </si>
  <si>
    <t>54310 - Office of Portal Services</t>
  </si>
  <si>
    <t>54410 - Office of Network Services</t>
  </si>
  <si>
    <t>54510 - Office of Banner Support</t>
  </si>
  <si>
    <t>54610 - Office of Technology Systems</t>
  </si>
  <si>
    <t>61110 - Office of the Chief Development Off</t>
  </si>
  <si>
    <t>62110 - Office of Campaigns</t>
  </si>
  <si>
    <t>63110 - Office of Development</t>
  </si>
  <si>
    <t>63210 - Office of College Development</t>
  </si>
  <si>
    <t>63220 - Arts and Sciences</t>
  </si>
  <si>
    <t>63230 - Education</t>
  </si>
  <si>
    <t>63240 - ETSCPS</t>
  </si>
  <si>
    <t>63250 - Performing Arts</t>
  </si>
  <si>
    <t>63260 - WEHCBA</t>
  </si>
  <si>
    <t>63270 - Library</t>
  </si>
  <si>
    <t>63280 - Research &amp; Prospect Management</t>
  </si>
  <si>
    <t>63310 - Office of Corporate &amp; Foundation Re</t>
  </si>
  <si>
    <t>63410 - Office of Planned Giving</t>
  </si>
  <si>
    <t>64110 - Office of Alumni Relations &amp; Operat</t>
  </si>
  <si>
    <t>64120 - Alumni Relations</t>
  </si>
  <si>
    <t>64130 - Annual Giving</t>
  </si>
  <si>
    <t>64140 - Operations</t>
  </si>
  <si>
    <t>64210 - Office of Special Events</t>
  </si>
  <si>
    <t>64220 - Annual Holiday Party</t>
  </si>
  <si>
    <t>64230 - Commencement</t>
  </si>
  <si>
    <t>64240 - Convocation &amp; State of University</t>
  </si>
  <si>
    <t>64250 - Special Events Administration</t>
  </si>
  <si>
    <t>64260 - Miscellaneous Functions &amp; Events</t>
  </si>
  <si>
    <t>71110 - Office of the Chief Enrollment/Stud</t>
  </si>
  <si>
    <t>71210 - Office of Institutional Research</t>
  </si>
  <si>
    <t>72110 - Office of Enrollment Services</t>
  </si>
  <si>
    <t>72210 - Office of Admissions</t>
  </si>
  <si>
    <t>72220 - Student Recruitment</t>
  </si>
  <si>
    <t>72230 - Admission Counseling</t>
  </si>
  <si>
    <t>72240 - Undergraduate Admission</t>
  </si>
  <si>
    <t>72250 - Graduate Admission</t>
  </si>
  <si>
    <t>72260 - Admission Processing</t>
  </si>
  <si>
    <t>72270 - Welcome Center - Schaumburg</t>
  </si>
  <si>
    <t>72280 - Outreach Call Center</t>
  </si>
  <si>
    <t>72310 - Office of Advising and Assessment</t>
  </si>
  <si>
    <t>72320 - Academic Advising</t>
  </si>
  <si>
    <t>72330 - Student Assessment</t>
  </si>
  <si>
    <t>72410 - Office of Financial Aid</t>
  </si>
  <si>
    <t>72420 - Financial Aid Counseling</t>
  </si>
  <si>
    <t>72430 - Financial Aid Processing</t>
  </si>
  <si>
    <t>72510 - Office of International Programs</t>
  </si>
  <si>
    <t>72520 - International Student Admission</t>
  </si>
  <si>
    <t>72530 - International Student Advising</t>
  </si>
  <si>
    <t>72540 - Study Abroad</t>
  </si>
  <si>
    <t>72550 - International Exchanges</t>
  </si>
  <si>
    <t>72610 - Office of the Registrar</t>
  </si>
  <si>
    <t>72620 - Registration</t>
  </si>
  <si>
    <t>72630 - Graduation Services &amp; Transfer Eval</t>
  </si>
  <si>
    <t>72640 - Course Scheduling</t>
  </si>
  <si>
    <t>73110 - Office of Student Services</t>
  </si>
  <si>
    <t>73210 - Office of the Academic Success Cent</t>
  </si>
  <si>
    <t>73220 - Disability Services</t>
  </si>
  <si>
    <t>73230 - Learning Support Services Program</t>
  </si>
  <si>
    <t>73240 - Tutoring Center/Writing Lab - CHI</t>
  </si>
  <si>
    <t>73241 - Tutoring Center/Writing Lab  SCH</t>
  </si>
  <si>
    <t>73310 - Office of the Center for Student In</t>
  </si>
  <si>
    <t>73320 - Student Leadership</t>
  </si>
  <si>
    <t>73330 - Student Programming</t>
  </si>
  <si>
    <t>73340 - Student Orientation</t>
  </si>
  <si>
    <t>73350 - Student Organizations</t>
  </si>
  <si>
    <t>73351 - Torch</t>
  </si>
  <si>
    <t>73352 - Radio Workshop</t>
  </si>
  <si>
    <t>73353 - Student Government - Chicago</t>
  </si>
  <si>
    <t>73354 - Oyez Magazine</t>
  </si>
  <si>
    <t>73355 - Actos De Inconciencias</t>
  </si>
  <si>
    <t>73360 - Student Recreation &amp; Wellness</t>
  </si>
  <si>
    <t>73370 - First Year Seminar</t>
  </si>
  <si>
    <t>73410 - Office of Career Services</t>
  </si>
  <si>
    <t>73420 - Internships</t>
  </si>
  <si>
    <t>73430 - Career Counseling</t>
  </si>
  <si>
    <t>73440 - Experiential Learning</t>
  </si>
  <si>
    <t>73510 - Office of the Counseling Center</t>
  </si>
  <si>
    <t>73610 - Office of Residence Life</t>
  </si>
  <si>
    <t>73620 - University Center (UC)</t>
  </si>
  <si>
    <t>73630 - Roosevelt on Wabash (ROW)</t>
  </si>
  <si>
    <t>73640 - Summer Conferences</t>
  </si>
  <si>
    <t>73710 - Office of Intercollegiate Athletics</t>
  </si>
  <si>
    <t xml:space="preserve">81110 - Office of the Chief Campus Officer </t>
  </si>
  <si>
    <t>81120 - Institute for Continued Learning</t>
  </si>
  <si>
    <t>81310 - Office of the Center for Campus Out</t>
  </si>
  <si>
    <t xml:space="preserve">81320 - Student Multicultural &amp; Leadership </t>
  </si>
  <si>
    <t>81330 - Student Programming SPEED</t>
  </si>
  <si>
    <t>81340 - Student Government</t>
  </si>
  <si>
    <t>81350 - Student Organizations SPEED</t>
  </si>
  <si>
    <t>81360 - Student Life</t>
  </si>
  <si>
    <t xml:space="preserve">91110 - Office of the Chief ATRU Executive </t>
  </si>
  <si>
    <t>92110 - Office of ATRU Finance and Administ</t>
  </si>
  <si>
    <t>92210 - Ofice of ATRU Accounting</t>
  </si>
  <si>
    <t>93110 - Office of ATRU Food and Beverage</t>
  </si>
  <si>
    <t>93210 - Office of ATRU House</t>
  </si>
  <si>
    <t>93220 - ATRU Customer Relations</t>
  </si>
  <si>
    <t>93230 - ATRU Web and Technology Support</t>
  </si>
  <si>
    <t>93240 - ATRU Box Office</t>
  </si>
  <si>
    <t>93310 - Office of ATRU Operations</t>
  </si>
  <si>
    <t>93320 - ATRU Community Services</t>
  </si>
  <si>
    <t>93325 - ATRU Stagehands</t>
  </si>
  <si>
    <t>93330 - ATRU Teamsters</t>
  </si>
  <si>
    <t>93335 - ATRU Wardrobe</t>
  </si>
  <si>
    <t>93340 - ATRU Projectionists</t>
  </si>
  <si>
    <t>93345 - ATRU Wig/Hair</t>
  </si>
  <si>
    <t>93350 - ATRU Musicians</t>
  </si>
  <si>
    <t>93355 - ATRU US Artists</t>
  </si>
  <si>
    <t>93360 - ATRU Actors</t>
  </si>
  <si>
    <t>93365 - ATRU Security</t>
  </si>
  <si>
    <t>94110 - Office of ATRU Marketing and Sales</t>
  </si>
  <si>
    <t>94120 - ATRU Marketing</t>
  </si>
  <si>
    <t>94130 - ATRU Group Sales/Subscription Sales</t>
  </si>
  <si>
    <t>94210 - Office of ATRU Development</t>
  </si>
  <si>
    <t>94310 - Office of ATRU Marketing and Develo</t>
  </si>
  <si>
    <t>95110 - Office of ATRU Education Programs</t>
  </si>
  <si>
    <t>HP - Hourly Part Time (Non-Student)</t>
  </si>
  <si>
    <t>OC - Operations Carpenter</t>
  </si>
  <si>
    <t>OL - Operations Electrician</t>
  </si>
  <si>
    <t>ON - Operations Engineer</t>
  </si>
  <si>
    <t>OP - Operations Painter</t>
  </si>
  <si>
    <t>OS - Operations Campus Safety</t>
  </si>
  <si>
    <t>OU - Operations Utility Crew</t>
  </si>
  <si>
    <t>TH - Auditorium Theatre of RU</t>
  </si>
  <si>
    <t>Single Payment</t>
  </si>
  <si>
    <t>Bi-Weekly Period</t>
  </si>
  <si>
    <t>Salary/Rate</t>
  </si>
  <si>
    <t>Per</t>
  </si>
  <si>
    <t>Effective Date</t>
  </si>
  <si>
    <t>Amount</t>
  </si>
  <si>
    <t>Payment Date</t>
  </si>
  <si>
    <t>FUND</t>
  </si>
  <si>
    <t>ORG</t>
  </si>
  <si>
    <t>ACCT</t>
  </si>
  <si>
    <t>PROG</t>
  </si>
  <si>
    <t>PERCENTAGE</t>
  </si>
  <si>
    <t>TOTAL</t>
  </si>
  <si>
    <t>Prepared By:</t>
  </si>
  <si>
    <t>Phone:</t>
  </si>
  <si>
    <t>Email:</t>
  </si>
  <si>
    <t>POSITION FUNDING</t>
  </si>
  <si>
    <t>CP - Clerical Part Time</t>
  </si>
  <si>
    <t>FP - Faculty Part Time/Adjunct</t>
  </si>
  <si>
    <t>HR/Payroll Use Only</t>
  </si>
  <si>
    <t>PERSONNEL ACTION FORM</t>
  </si>
  <si>
    <t>Shaded fields are required.</t>
  </si>
  <si>
    <t>End Date</t>
  </si>
  <si>
    <t>DO NOT LEAVE FUNDING INFORMATION BLANK</t>
  </si>
  <si>
    <t>Location:</t>
  </si>
  <si>
    <t>Other (specify in Comments)</t>
  </si>
  <si>
    <t>Transfer/Promotion</t>
  </si>
  <si>
    <t>Employment Changes</t>
  </si>
  <si>
    <t>Transfer or Promotion:</t>
  </si>
  <si>
    <t>Leave of Absence:</t>
  </si>
  <si>
    <t>Leave of Absence</t>
  </si>
  <si>
    <t>Pay Change:</t>
  </si>
  <si>
    <t>Compensation Changes</t>
  </si>
  <si>
    <t>Previous Department</t>
  </si>
  <si>
    <t>(or specify if new)</t>
  </si>
  <si>
    <r>
      <t xml:space="preserve">Replaces </t>
    </r>
    <r>
      <rPr>
        <i/>
        <sz val="10"/>
        <rFont val="Arial"/>
        <family val="2"/>
      </rPr>
      <t>(or specify if new)</t>
    </r>
  </si>
  <si>
    <t>Old Salary/Rate</t>
  </si>
  <si>
    <t>New Salary/Rate</t>
  </si>
  <si>
    <t>Manager or VP/Dean</t>
  </si>
  <si>
    <t>HR Approval</t>
  </si>
  <si>
    <t>HR Processed</t>
  </si>
  <si>
    <t>_____________</t>
  </si>
  <si>
    <t>______________</t>
  </si>
  <si>
    <t>_________--____</t>
  </si>
  <si>
    <t>Position #/Suffix</t>
  </si>
  <si>
    <t>PR Processed</t>
  </si>
  <si>
    <t>Single Payment:</t>
  </si>
  <si>
    <t>__________</t>
  </si>
  <si>
    <t>Earn Code</t>
  </si>
  <si>
    <t>Directions and examples can be found on the other tabs below.</t>
  </si>
  <si>
    <t>GP - Student Assistant (stipend)</t>
  </si>
  <si>
    <t>SP - Student Part Time (hourly)</t>
  </si>
  <si>
    <t>Voluntary, Reason Unknown</t>
  </si>
  <si>
    <t>Voluntary, Refused Position Transfer</t>
  </si>
  <si>
    <t>Voluntary, Did Not Return From Leave</t>
  </si>
  <si>
    <t>Voluntary, School</t>
  </si>
  <si>
    <t>Voluntary, Relocation</t>
  </si>
  <si>
    <t>Voluntary, Accepted Another Job</t>
  </si>
  <si>
    <t>Voluntary, Entering Military</t>
  </si>
  <si>
    <t>Voluntary, Dissatisfied</t>
  </si>
  <si>
    <t>Voluntary, Ineligible For Rehire</t>
  </si>
  <si>
    <t>Retirement</t>
  </si>
  <si>
    <t>Discharge (list HR contact in comments)</t>
  </si>
  <si>
    <t>Deceased</t>
  </si>
  <si>
    <t>New Hire or New Job:</t>
  </si>
  <si>
    <t>Employee/Job Termination:</t>
  </si>
  <si>
    <t>Job Termination</t>
  </si>
  <si>
    <t>Employee Termination</t>
  </si>
  <si>
    <t>Pay Change</t>
  </si>
  <si>
    <t>New Hire (New Employee)</t>
  </si>
  <si>
    <t>New Job (Current Employee)</t>
  </si>
  <si>
    <t>Other (describe in comments below)</t>
  </si>
  <si>
    <t>Correction (note date of original form)</t>
  </si>
  <si>
    <t>SW - Federal Work Study (hourly)</t>
  </si>
  <si>
    <t>Fac Overload</t>
  </si>
  <si>
    <t>Fac Stipend</t>
  </si>
  <si>
    <t>Fac Regular</t>
  </si>
  <si>
    <t>Part Time</t>
  </si>
  <si>
    <t>Student</t>
  </si>
  <si>
    <t>Leave of Abs</t>
  </si>
  <si>
    <t>Fac Non-Cls Inst</t>
  </si>
  <si>
    <t>Fac LOA</t>
  </si>
  <si>
    <t>Administrative</t>
  </si>
  <si>
    <t>Clerical</t>
  </si>
  <si>
    <t>Operations</t>
  </si>
  <si>
    <t>Fac Part Time</t>
  </si>
  <si>
    <t>Supervisor field should list the employee's supervisor's first and last name.</t>
  </si>
  <si>
    <t>EMPLOYMENT CHANGES</t>
  </si>
  <si>
    <t>New Hire or New Job</t>
  </si>
  <si>
    <t>Salary or Rate should be entered based on the frequency selected in the following field.</t>
  </si>
  <si>
    <t>Transfer or Promotion</t>
  </si>
  <si>
    <t>Effective Date should be entered as the first day in the new position.</t>
  </si>
  <si>
    <t>Previous Department should be selected from the drop-down choices.</t>
  </si>
  <si>
    <t>Effective Date should be entered as the first day of absence.</t>
  </si>
  <si>
    <t>End Date should be entered as the last day of absence.</t>
  </si>
  <si>
    <t>Reason should be typed into the available space.</t>
  </si>
  <si>
    <t>Employee or Job Termination</t>
  </si>
  <si>
    <t>Reason should be selected from the drop-down choices.</t>
  </si>
  <si>
    <t>COMPENSATION CHANGES</t>
  </si>
  <si>
    <t>Effective Date should be entered as the first day to be paid the new rate.</t>
  </si>
  <si>
    <t>Amount should be amount of entire payment.</t>
  </si>
  <si>
    <t>Payment Date should coincide with pay cycle of employee's primary job.</t>
  </si>
  <si>
    <t>For questions about funding, please contact your department's budget administrator.</t>
  </si>
  <si>
    <t>Account Code(s) can be selected from the drop-down choices.</t>
  </si>
  <si>
    <t>Distribution of funding can be made in PERCENTAGES ONLY.  Percentages must total 100%</t>
  </si>
  <si>
    <t>Preparer name, phone number and email are required on every PAF.</t>
  </si>
  <si>
    <t>APPROVALS</t>
  </si>
  <si>
    <t>The Supervisor and Manager or VP/Dean approval signatures must be included on every PAF.</t>
  </si>
  <si>
    <t>Before submitting the original PAF, a copy should be made for your department's records.  Copies will no longer be sent to departments from Human Resources or Payroll.</t>
  </si>
  <si>
    <t>Incomplete or incorrectly completed PAFs will be returned to the preparer.</t>
  </si>
  <si>
    <t>Employee Information</t>
  </si>
  <si>
    <t>PERSONNEL ACTION FORM COMPLETION DIRECTIONS</t>
  </si>
  <si>
    <t>Payment date may change based on classification or receipt date.</t>
  </si>
  <si>
    <t>Incomplete or incorrect forms may be returned to preparer.</t>
  </si>
  <si>
    <t>EMPLOYEE INFORMATION</t>
  </si>
  <si>
    <t>New Employee</t>
  </si>
  <si>
    <t>Executive Chef</t>
  </si>
  <si>
    <t>Zahut</t>
  </si>
  <si>
    <t>Pete</t>
  </si>
  <si>
    <t>Gia Dano</t>
  </si>
  <si>
    <t>Cornelius Boyardee</t>
  </si>
  <si>
    <t>gdano@roosevelt.edu</t>
  </si>
  <si>
    <t>Wheat</t>
  </si>
  <si>
    <t>Sam</t>
  </si>
  <si>
    <t>Chief Clerk</t>
  </si>
  <si>
    <t>Transfer from Chief Clerk in Academic Advising to Chief Clerk in Undergraduate Admission.</t>
  </si>
  <si>
    <t>James</t>
  </si>
  <si>
    <t>Jimmy</t>
  </si>
  <si>
    <t>Susie Queue</t>
  </si>
  <si>
    <t>squeue@roosevelt.edu</t>
  </si>
  <si>
    <t>Assistant to the Associate Dean</t>
  </si>
  <si>
    <t>Waddams</t>
  </si>
  <si>
    <t>Milton</t>
  </si>
  <si>
    <t>Bill Lumbergh</t>
  </si>
  <si>
    <t>Debt Collector</t>
  </si>
  <si>
    <t>Einstein</t>
  </si>
  <si>
    <t>Albert</t>
  </si>
  <si>
    <t>Student Assistant</t>
  </si>
  <si>
    <t>Albert will move from being paid by federal work study to being paid by the departmental budget.  Please terminate his FWS job.</t>
  </si>
  <si>
    <t>McFly</t>
  </si>
  <si>
    <t>Marty</t>
  </si>
  <si>
    <t>Part Time Faculty</t>
  </si>
  <si>
    <t>Emmett Brown</t>
  </si>
  <si>
    <t>Rene Descartes</t>
  </si>
  <si>
    <t>rdescartes@roosevelt.edu</t>
  </si>
  <si>
    <t>Replaces should be included for any single-funded position hire.</t>
  </si>
  <si>
    <t>Payments to be made over multiple pay periods should be requested by completing the new job section.</t>
  </si>
  <si>
    <t>Fund, Organization and Account codes are required on all PAF forms including those for termination.</t>
  </si>
  <si>
    <t>The Supervisor and Manager or VP/Dean names should be entered in the appropriate boxes.</t>
  </si>
  <si>
    <t>Grant Accountant approval must be obtained for any personnel action affecting grant funds or as in the footnote *.</t>
  </si>
  <si>
    <t>If you have questions on how to complete a PAF, after reading the directions, please contact Human Resources at 312-341-4334.</t>
  </si>
  <si>
    <t>Effective Date for stipend-based pay should be on the first day of the appropriate pay period. For faculty, the 15th of the month.  For administrators, the first of the month.  For all others, the beginning of a bi-weekly pay period.</t>
  </si>
  <si>
    <t>Last 4 of SS#:</t>
  </si>
  <si>
    <t>(Multiple payment stipends should be entered as a new job in the employment section above)</t>
  </si>
  <si>
    <t>Enter Name:</t>
  </si>
  <si>
    <t>Enter reason for payment in Comment box below.</t>
  </si>
  <si>
    <t>Approvals</t>
  </si>
  <si>
    <t>For multiple payment stipends, enter a reason in the Comments box below.</t>
  </si>
  <si>
    <t>Jerry Szewczyk</t>
  </si>
  <si>
    <t>John</t>
  </si>
  <si>
    <t>Senior Executive Chef</t>
  </si>
  <si>
    <r>
      <t xml:space="preserve">Old Title </t>
    </r>
    <r>
      <rPr>
        <i/>
        <sz val="10"/>
        <rFont val="Arial"/>
        <family val="2"/>
      </rPr>
      <t>(or indicate if same)</t>
    </r>
  </si>
  <si>
    <t>Principal Clerk</t>
  </si>
  <si>
    <t>End Date should be included for all closed-ended assignments.  All student assignments   End Dates for stipend based pay should be on the last day of the appropriate pay period as noted above.</t>
  </si>
  <si>
    <r>
      <t xml:space="preserve">Grants Accountant </t>
    </r>
    <r>
      <rPr>
        <b/>
        <sz val="12"/>
        <rFont val="Arial"/>
        <family val="2"/>
      </rPr>
      <t>*</t>
    </r>
  </si>
  <si>
    <t>* Required for PAF paid with external funds or tracked as a RU match contribution to support a sponsored grant or contract.</t>
  </si>
  <si>
    <t>Select Location, Department, Employee Class and Reason values from the drop-down lists.</t>
  </si>
  <si>
    <t>Employee class is determined by the job.  Example: A graduate assistant (GP) in the academic year who is hired to work in an hourly position in the summer term would have an Employee Class of student part-time (SP) for the summer job.</t>
  </si>
  <si>
    <t>Submission of a correction PAF should include submission date of the incorrect, originally submitted PAF.</t>
  </si>
  <si>
    <t>For stipends, the amount should be the stipend paid each per pay period.  Example: $150 per month or $100 per bi-weekly period.</t>
  </si>
  <si>
    <t>Wendy Thomas</t>
  </si>
  <si>
    <t>Jimmie</t>
  </si>
  <si>
    <t>Sue Bway</t>
  </si>
  <si>
    <t>Carl Bruner</t>
  </si>
  <si>
    <t>Lyle Ferguson</t>
  </si>
  <si>
    <t>Molly Jensen</t>
  </si>
  <si>
    <t>mjensen@roosevelt.edu</t>
  </si>
  <si>
    <t>Joe Green</t>
  </si>
  <si>
    <t>Mike Judge</t>
  </si>
  <si>
    <t>mjudge@roosevelt.edu</t>
  </si>
  <si>
    <t>ebrown@roosevelt.edu</t>
  </si>
  <si>
    <t>Clara Clayton</t>
  </si>
  <si>
    <t>Blaise Pascal</t>
  </si>
  <si>
    <t>End Date should be entered as the last date of employment or final date in that job.</t>
  </si>
  <si>
    <r>
      <t xml:space="preserve">All information, with the exception of approval signatures, should be typed into the form via Excel, </t>
    </r>
    <r>
      <rPr>
        <u/>
        <sz val="10"/>
        <rFont val="Arial"/>
        <family val="2"/>
      </rPr>
      <t>not handwritten</t>
    </r>
    <r>
      <rPr>
        <sz val="10"/>
        <rFont val="Arial"/>
        <family val="2"/>
      </rPr>
      <t xml:space="preserve"> on a printed copy.</t>
    </r>
  </si>
  <si>
    <t>PREPARING AND SUBMITTING A PAF</t>
  </si>
  <si>
    <t>21570 - RAFO Support</t>
  </si>
  <si>
    <t>22930 - Public Administration</t>
  </si>
  <si>
    <t>29110 - Office of the Dean,Coll of Pharmacy</t>
  </si>
  <si>
    <t>51510 - ITS Capital Expenditures</t>
  </si>
  <si>
    <t>73630 - Roosevelt on Washington (ROW)</t>
  </si>
  <si>
    <t>91110 - Office of the Chief ATRU Executive</t>
  </si>
  <si>
    <t/>
  </si>
  <si>
    <t>Roosevelt ID can be obtained via look-up in SPAIDEN (for those with access).  If it is a new employee that has not yet been entered into Banner, please specify as new.</t>
  </si>
  <si>
    <t>Title should list the employee's job being modified with this PAF.  Example:  a full-time administrator is being hired to teach in Distance Learning.  The title on the hiring PAF is adjunct instructor for this overload job.</t>
  </si>
  <si>
    <t>22935 - Executive Masters in Public Adm</t>
  </si>
  <si>
    <t>26280 - Musc Education</t>
  </si>
  <si>
    <t>39340 - Unrestricted Funds Mangmt-Univ Wide</t>
  </si>
  <si>
    <t>11140 - ACE-Fellows</t>
  </si>
  <si>
    <t>22180 - RU Honors Program</t>
  </si>
  <si>
    <t>22310 - Department of Communication</t>
  </si>
  <si>
    <t>24620 - Early Childhood Education</t>
  </si>
  <si>
    <t>24630 - Elementary Education</t>
  </si>
  <si>
    <t>24650 - Secondary Education</t>
  </si>
  <si>
    <t>24720 - Counseling &amp; Human Services</t>
  </si>
  <si>
    <t>24730 - Educational Leadership</t>
  </si>
  <si>
    <t>24740 - Teacher Leadership</t>
  </si>
  <si>
    <t>24750 - Language &amp; Literacy</t>
  </si>
  <si>
    <t>24760 - Special Education</t>
  </si>
  <si>
    <t>26215 - Performance Activities</t>
  </si>
  <si>
    <t>29120 - Pharmaceutical Sciences</t>
  </si>
  <si>
    <t>29130 - Clinical &amp; Administrative Sciences</t>
  </si>
  <si>
    <t>Hours/Week:</t>
  </si>
  <si>
    <t>Academic Year</t>
  </si>
  <si>
    <t>FTE:</t>
  </si>
  <si>
    <t>Funding Change Only</t>
  </si>
  <si>
    <t>Empl's Title:</t>
  </si>
  <si>
    <t>Supv's Name:</t>
  </si>
  <si>
    <t>Revised 10/22/10</t>
  </si>
  <si>
    <t>24130 - Office of Community Engagement</t>
  </si>
  <si>
    <t>24610 - Dept. of Curriculum Studies, COE</t>
  </si>
  <si>
    <t>24640 - General Education</t>
  </si>
  <si>
    <t>24710 - Dept. of Specialized Studies, COE</t>
  </si>
  <si>
    <t>63210 - Development Office</t>
  </si>
  <si>
    <t>63220 - Dev - Arts and Sciences</t>
  </si>
  <si>
    <t>63230 - Dev - Education</t>
  </si>
  <si>
    <t>63240 - Dev - ETSCPS</t>
  </si>
  <si>
    <t>63250 - Dev - Performing Arts</t>
  </si>
  <si>
    <t>63260 - Dev - WEHCBA</t>
  </si>
  <si>
    <t>63270 - Dev - Library</t>
  </si>
  <si>
    <t>63280 - Dev - Research and Prospect Mgmt</t>
  </si>
  <si>
    <t>290003 - Career Advancement Network</t>
  </si>
  <si>
    <t>290020 - Multi Cultural Journalism Workshop</t>
  </si>
  <si>
    <t>290033 - 09-10 HS Journalism MTF support</t>
  </si>
  <si>
    <t>290034 - Youth Media Tech Fund-McCormick Fd</t>
  </si>
  <si>
    <t>293023 - Trans Service Learning Pilot</t>
  </si>
  <si>
    <t>(if new)</t>
  </si>
  <si>
    <t>Enter Hours per Week and FTE will calculate.</t>
  </si>
  <si>
    <t>21610 - Office of Advising and Assessment</t>
  </si>
  <si>
    <t>21710 - Office of the Registrar</t>
  </si>
  <si>
    <t>21720 - Registration</t>
  </si>
  <si>
    <t>21730 - Graduation Services &amp; Transfer Eval</t>
  </si>
  <si>
    <t>21740 - Course Scheduling</t>
  </si>
  <si>
    <t>35260 - Physical Resources-Wabash Building</t>
  </si>
  <si>
    <t>63290 - Dev - Pharmacy, PS, and Athletics</t>
  </si>
  <si>
    <t>64270 - New Deal Service Day</t>
  </si>
  <si>
    <t>81110 - Office of the SCH Campus Provost</t>
  </si>
  <si>
    <t>290080 - IL Campus Compact Presl Fellows</t>
  </si>
  <si>
    <t>293002 - Jumpstart Match-RU</t>
  </si>
  <si>
    <t>293013 - Polk Bros Social Justice 11-12</t>
  </si>
  <si>
    <t>294019 - IMA-RCCHE Heroin Prevention Project</t>
  </si>
  <si>
    <t>Chicago - Wabash Building</t>
  </si>
  <si>
    <t>21580 - Faculty Start Up Support</t>
  </si>
  <si>
    <t>21620 - Undergraduate Studies</t>
  </si>
  <si>
    <t>21630 - Academic Communities of Practice</t>
  </si>
  <si>
    <t>22115 - Dean College of A &amp; S - Sch</t>
  </si>
  <si>
    <t>25410 - Office of Prof and Liberal Studies</t>
  </si>
  <si>
    <t>25420 - PLS Organizational Leadership</t>
  </si>
  <si>
    <t>25430 - PLS</t>
  </si>
  <si>
    <t>39500 - Field House</t>
  </si>
  <si>
    <t>51350 - Enterprise Applications</t>
  </si>
  <si>
    <t>73650 - Wabash Residence Living</t>
  </si>
  <si>
    <t>73720 - Wabash Fitness Center</t>
  </si>
  <si>
    <t>241004 - SSS Project Prime 12-13</t>
  </si>
  <si>
    <t>241014 - Upward Bound Program 12-13</t>
  </si>
  <si>
    <t>241023 - Ed Talent Search 12-13</t>
  </si>
  <si>
    <t>241053 - Veterans Upward Bound 12-13</t>
  </si>
  <si>
    <t>241062 - NSF Halogen MSN Instruction 12-13</t>
  </si>
  <si>
    <t>241068 - NSF RU-HWC Prtns in STEM Ed 12-13</t>
  </si>
  <si>
    <t>241074 - NIH Elgin CC-RU Bridges Prg 12-13</t>
  </si>
  <si>
    <t>241090 - Jumpstart AmeriCorps 12-13</t>
  </si>
  <si>
    <t>241113 - Upward Bound 2 12-13</t>
  </si>
  <si>
    <t>260123 - Gear-Up4 2012-2013</t>
  </si>
  <si>
    <t>260261 - Gear-Up5 2012-2013</t>
  </si>
  <si>
    <t>270003 - IBHE FY12 NCLB Literacy Project</t>
  </si>
  <si>
    <t>271041 - DOC Lifeskills Parole 12-13</t>
  </si>
  <si>
    <t>271050 - DOC Indirect Cost Recovery 12-13</t>
  </si>
  <si>
    <t>271061 - DOC Admin 12-13</t>
  </si>
  <si>
    <t>290006 - Koch Fdn 2011-2012 Reading Group</t>
  </si>
  <si>
    <t>290010 - COE Gage</t>
  </si>
  <si>
    <t>291006 - Green Teen Academy</t>
  </si>
  <si>
    <t>293004 - JPMc HS2 College Transition Proj</t>
  </si>
  <si>
    <t>293021 - Northern Trust Math Project 2011</t>
  </si>
  <si>
    <t>21230 - Graduate Students Admission</t>
  </si>
  <si>
    <t>21590 - International Academic Programs</t>
  </si>
  <si>
    <t>35270 - Physical Resources - Goodman Ctr</t>
  </si>
  <si>
    <t>35530 - Schaumburg Dining Center</t>
  </si>
  <si>
    <t>35540 - Private Events</t>
  </si>
  <si>
    <t>35560 - Wabash Dining Center</t>
  </si>
  <si>
    <t>241086 - NEH Enduring Questions Course</t>
  </si>
  <si>
    <t>290008 - Psi Chi 2013 Mamie Phipps Grant</t>
  </si>
  <si>
    <t>294009 - IMA Drug Policy Alliance 11-13</t>
  </si>
  <si>
    <t>294013 - CCT IMA Substance Use Policy</t>
  </si>
  <si>
    <t>295001 - Col of Pharm-Roquette America Proj</t>
  </si>
  <si>
    <t>297002 - IL Clean Energy Goodman Ctr LEED</t>
  </si>
  <si>
    <t>Completed and approved PAFs should be submitted to Human Resources, AUD 344.</t>
  </si>
  <si>
    <t>Revised Nov-2013</t>
  </si>
  <si>
    <t>21595 - Study Group ISC</t>
  </si>
  <si>
    <t>92210 - Office of ATRU Accounting</t>
  </si>
  <si>
    <t>241006 - SSS Project Prime 13-14</t>
  </si>
  <si>
    <t>241016 - Upward Bound Program 13-14</t>
  </si>
  <si>
    <t>241025 - Ed Talent Search 13-14</t>
  </si>
  <si>
    <t>241055 - Veterans Upward Bound 13-14</t>
  </si>
  <si>
    <t>241059 - NSF Halogen MSN Instruction 13-14</t>
  </si>
  <si>
    <t>241069 - NSF RU-HWC Prtns in STEM Ed 13-14</t>
  </si>
  <si>
    <t>241075 - NIH Elgin CC-RU Bridges Prg 13-14</t>
  </si>
  <si>
    <t>241094 - Jumpstart AmeriCorps 13-14</t>
  </si>
  <si>
    <t>241114 - Upward Bound 2 13-14</t>
  </si>
  <si>
    <t>260124 - Gear-Up4 2013-2014</t>
  </si>
  <si>
    <t>260267 - Gear-Up5 2013-2014</t>
  </si>
  <si>
    <t>270004 - IBHE FY13 NCLB Literacy Project</t>
  </si>
  <si>
    <t>271064 - DOC Lifeskills Reentry 13-14</t>
  </si>
  <si>
    <t>271065 - DOC Admin 13-14</t>
  </si>
  <si>
    <t>271066 - DOC Indirect Cost Recovery 13-14</t>
  </si>
  <si>
    <t>290007 - Summer Leadership &amp; Banking Instit</t>
  </si>
  <si>
    <t>290015 - MM Arts Mgmt Strt Up Irv Harris Fdn</t>
  </si>
  <si>
    <t>290016 - CCT RU Design</t>
  </si>
  <si>
    <t>294021 - IMA Drug Policy Alliance 13-14</t>
  </si>
  <si>
    <t>Chicago - Goodman Center</t>
  </si>
  <si>
    <t>ZZ - Non RU Compensated</t>
  </si>
  <si>
    <t>Sign &amp; Date:</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</si>
</sst>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quot;#,##0.00"/>
    <numFmt numFmtId="165" formatCode="[&lt;=9999999]###\-####;\(###\)\ ###\-####"/>
    <numFmt numFmtId="166" formatCode="0000"/>
    <numFmt numFmtId="167" formatCode="0.000"/>
    <numFmt numFmtId="168" formatCode="mmm\-yyyy"/>
  </numFmts>
  <fonts count="20" x14ac:knownFonts="1">
    <font>
      <sz val="10"/>
      <name val="Arial"/>
    </font>
    <font>
      <b/>
      <sz val="10"/>
      <name val="Arial"/>
      <family val="2"/>
    </font>
    <font>
      <sz val="10"/>
      <name val="Arial"/>
      <family val="2"/>
    </font>
    <font>
      <u/>
      <sz val="10"/>
      <color indexed="12"/>
      <name val="Arial"/>
      <family val="2"/>
    </font>
    <font>
      <i/>
      <sz val="10"/>
      <name val="Arial"/>
      <family val="2"/>
    </font>
    <font>
      <i/>
      <u/>
      <sz val="10"/>
      <name val="Arial"/>
      <family val="2"/>
    </font>
    <font>
      <u/>
      <sz val="14"/>
      <name val="Arial"/>
      <family val="2"/>
    </font>
    <font>
      <b/>
      <u/>
      <sz val="10"/>
      <name val="Arial"/>
      <family val="2"/>
    </font>
    <font>
      <sz val="7"/>
      <name val="Arial"/>
      <family val="2"/>
    </font>
    <font>
      <sz val="9"/>
      <name val="Arial"/>
      <family val="2"/>
    </font>
    <font>
      <b/>
      <sz val="10"/>
      <color indexed="12"/>
      <name val="Arial"/>
      <family val="2"/>
    </font>
    <font>
      <sz val="8"/>
      <name val="Arial"/>
      <family val="2"/>
    </font>
    <font>
      <b/>
      <u/>
      <sz val="12"/>
      <name val="Arial"/>
      <family val="2"/>
    </font>
    <font>
      <b/>
      <i/>
      <sz val="10"/>
      <name val="Arial"/>
      <family val="2"/>
    </font>
    <font>
      <b/>
      <i/>
      <sz val="9"/>
      <name val="Arial"/>
      <family val="2"/>
    </font>
    <font>
      <b/>
      <sz val="12"/>
      <name val="Arial"/>
      <family val="2"/>
    </font>
    <font>
      <u/>
      <sz val="10"/>
      <name val="Arial"/>
      <family val="2"/>
    </font>
    <font>
      <sz val="10"/>
      <color indexed="8"/>
      <name val="Arial"/>
      <family val="2"/>
    </font>
    <font>
      <sz val="12"/>
      <name val="Arial"/>
      <family val="2"/>
    </font>
    <font>
      <sz val="11"/>
      <color theme="1"/>
      <name val="Calibri"/>
      <family val="2"/>
      <scheme val="minor"/>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14999847407452621"/>
        <bgColor indexed="64"/>
      </patternFill>
    </fill>
  </fills>
  <borders count="13">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0" fontId="3" fillId="0" borderId="0" applyNumberFormat="0" applyFill="0" applyBorder="0" applyAlignment="0" applyProtection="0">
      <alignment vertical="top"/>
      <protection locked="0"/>
    </xf>
    <xf numFmtId="0" fontId="19" fillId="0" borderId="0"/>
  </cellStyleXfs>
  <cellXfs count="145">
    <xf numFmtId="0" fontId="0" fillId="0" borderId="0" xfId="0"/>
    <xf numFmtId="0" fontId="2" fillId="0" borderId="0" xfId="0" applyFont="1" applyProtection="1"/>
    <xf numFmtId="0" fontId="0" fillId="0" borderId="0" xfId="0" applyProtection="1"/>
    <xf numFmtId="0" fontId="6" fillId="0" borderId="0" xfId="0" applyFont="1" applyAlignment="1" applyProtection="1">
      <alignment vertical="center"/>
    </xf>
    <xf numFmtId="0" fontId="2" fillId="0" borderId="0" xfId="0" applyFont="1" applyAlignment="1" applyProtection="1">
      <alignment horizontal="center"/>
    </xf>
    <xf numFmtId="0" fontId="0" fillId="2" borderId="0" xfId="0" applyFill="1" applyProtection="1"/>
    <xf numFmtId="0" fontId="1" fillId="2" borderId="0" xfId="0" applyFont="1" applyFill="1" applyAlignment="1" applyProtection="1">
      <alignment horizontal="right"/>
    </xf>
    <xf numFmtId="0" fontId="0" fillId="2" borderId="0" xfId="0" applyFill="1" applyBorder="1" applyAlignment="1" applyProtection="1"/>
    <xf numFmtId="0" fontId="0" fillId="2" borderId="1" xfId="0" applyFill="1" applyBorder="1" applyProtection="1"/>
    <xf numFmtId="0" fontId="2" fillId="2" borderId="0" xfId="0" applyFont="1" applyFill="1" applyProtection="1"/>
    <xf numFmtId="0" fontId="1" fillId="2" borderId="0" xfId="0" applyFont="1" applyFill="1" applyProtection="1"/>
    <xf numFmtId="0" fontId="0" fillId="2" borderId="2" xfId="0" applyFill="1" applyBorder="1" applyProtection="1"/>
    <xf numFmtId="0" fontId="2" fillId="2" borderId="2" xfId="0" applyFont="1" applyFill="1" applyBorder="1" applyProtection="1"/>
    <xf numFmtId="0" fontId="1" fillId="2" borderId="0" xfId="0" applyFont="1" applyFill="1" applyAlignment="1" applyProtection="1">
      <alignment horizontal="center"/>
    </xf>
    <xf numFmtId="0" fontId="0" fillId="2" borderId="0" xfId="0" applyFill="1" applyAlignment="1" applyProtection="1">
      <alignment horizontal="center"/>
    </xf>
    <xf numFmtId="0" fontId="0" fillId="2" borderId="0" xfId="0" applyFill="1" applyAlignment="1" applyProtection="1">
      <alignment horizontal="right"/>
    </xf>
    <xf numFmtId="14" fontId="0" fillId="3" borderId="3" xfId="0" applyNumberFormat="1" applyFill="1" applyBorder="1" applyAlignment="1" applyProtection="1">
      <alignment horizontal="left"/>
    </xf>
    <xf numFmtId="164" fontId="0" fillId="2" borderId="3" xfId="0" applyNumberFormat="1" applyFill="1" applyBorder="1" applyAlignment="1" applyProtection="1">
      <alignment horizontal="left"/>
      <protection locked="0"/>
    </xf>
    <xf numFmtId="0" fontId="1" fillId="2" borderId="3" xfId="0" applyFont="1" applyFill="1" applyBorder="1" applyAlignment="1" applyProtection="1">
      <alignment horizontal="center"/>
    </xf>
    <xf numFmtId="10" fontId="0" fillId="2" borderId="3" xfId="0" applyNumberFormat="1" applyFill="1" applyBorder="1" applyAlignment="1" applyProtection="1">
      <alignment horizontal="center"/>
    </xf>
    <xf numFmtId="0" fontId="0" fillId="2" borderId="0" xfId="0" applyFill="1" applyBorder="1" applyProtection="1"/>
    <xf numFmtId="0" fontId="0" fillId="0" borderId="0" xfId="0" applyFont="1" applyProtection="1"/>
    <xf numFmtId="0" fontId="4" fillId="2" borderId="0" xfId="0" applyFont="1" applyFill="1" applyBorder="1" applyAlignment="1" applyProtection="1">
      <alignment horizontal="left"/>
    </xf>
    <xf numFmtId="0" fontId="8" fillId="2" borderId="0" xfId="0" applyFont="1" applyFill="1" applyProtection="1"/>
    <xf numFmtId="0" fontId="9" fillId="2" borderId="0" xfId="0" applyFont="1" applyFill="1" applyProtection="1"/>
    <xf numFmtId="14" fontId="0" fillId="2" borderId="3" xfId="0" applyNumberFormat="1" applyFill="1" applyBorder="1" applyAlignment="1" applyProtection="1">
      <alignment horizontal="left"/>
      <protection locked="0"/>
    </xf>
    <xf numFmtId="14" fontId="0" fillId="2" borderId="0" xfId="0" applyNumberFormat="1" applyFill="1" applyBorder="1" applyAlignment="1" applyProtection="1"/>
    <xf numFmtId="0" fontId="11" fillId="2" borderId="0" xfId="0" applyFont="1" applyFill="1" applyProtection="1"/>
    <xf numFmtId="0" fontId="0" fillId="0" borderId="0" xfId="0" applyAlignment="1">
      <alignment wrapText="1"/>
    </xf>
    <xf numFmtId="0" fontId="2" fillId="0" borderId="0" xfId="0" applyFont="1" applyAlignment="1">
      <alignment wrapText="1"/>
    </xf>
    <xf numFmtId="0" fontId="1" fillId="0" borderId="0" xfId="0" applyFont="1" applyAlignment="1">
      <alignment wrapText="1"/>
    </xf>
    <xf numFmtId="0" fontId="7" fillId="0" borderId="0" xfId="0" applyFont="1" applyAlignment="1">
      <alignment wrapText="1"/>
    </xf>
    <xf numFmtId="0" fontId="2" fillId="0" borderId="0" xfId="0" applyFont="1" applyAlignment="1">
      <alignment horizontal="left" wrapText="1" indent="1"/>
    </xf>
    <xf numFmtId="0" fontId="12" fillId="0" borderId="0" xfId="0" applyFont="1" applyAlignment="1">
      <alignment horizontal="center" wrapText="1"/>
    </xf>
    <xf numFmtId="0" fontId="4" fillId="2" borderId="0" xfId="0" applyFont="1" applyFill="1" applyProtection="1"/>
    <xf numFmtId="0" fontId="7" fillId="2" borderId="0" xfId="0" applyFont="1" applyFill="1" applyAlignment="1" applyProtection="1">
      <alignment horizontal="center"/>
    </xf>
    <xf numFmtId="0" fontId="1" fillId="2" borderId="0" xfId="0" applyFont="1" applyFill="1" applyAlignment="1" applyProtection="1">
      <alignment horizontal="right" wrapText="1"/>
    </xf>
    <xf numFmtId="0" fontId="0" fillId="2" borderId="0" xfId="0" applyFill="1" applyBorder="1" applyAlignment="1" applyProtection="1">
      <alignment horizontal="left"/>
    </xf>
    <xf numFmtId="0" fontId="0" fillId="2" borderId="3" xfId="0" applyFill="1" applyBorder="1" applyAlignment="1" applyProtection="1">
      <alignment horizontal="left"/>
      <protection locked="0"/>
    </xf>
    <xf numFmtId="0" fontId="5" fillId="2" borderId="0" xfId="0" applyFont="1" applyFill="1" applyProtection="1"/>
    <xf numFmtId="14" fontId="2" fillId="2" borderId="3" xfId="0" applyNumberFormat="1" applyFont="1" applyFill="1" applyBorder="1" applyAlignment="1" applyProtection="1">
      <alignment horizontal="left"/>
      <protection locked="0"/>
    </xf>
    <xf numFmtId="0" fontId="0" fillId="0" borderId="0" xfId="0" applyFill="1" applyProtection="1"/>
    <xf numFmtId="0" fontId="2" fillId="2" borderId="0" xfId="0" applyFont="1" applyFill="1" applyBorder="1" applyAlignment="1" applyProtection="1">
      <alignment horizontal="left" vertical="top" wrapText="1"/>
    </xf>
    <xf numFmtId="0" fontId="14" fillId="2" borderId="0" xfId="0" applyFont="1" applyFill="1" applyAlignment="1" applyProtection="1">
      <alignment wrapText="1"/>
    </xf>
    <xf numFmtId="0" fontId="13" fillId="2" borderId="0" xfId="0" applyFont="1" applyFill="1" applyProtection="1"/>
    <xf numFmtId="0" fontId="14" fillId="2" borderId="2" xfId="0" applyFont="1" applyFill="1" applyBorder="1" applyAlignment="1" applyProtection="1">
      <alignment wrapText="1"/>
    </xf>
    <xf numFmtId="0" fontId="17" fillId="0" borderId="0" xfId="2" applyFont="1" applyProtection="1"/>
    <xf numFmtId="0" fontId="6" fillId="2" borderId="0" xfId="0" applyFont="1" applyFill="1" applyAlignment="1" applyProtection="1">
      <alignment horizontal="center" vertical="center"/>
    </xf>
    <xf numFmtId="0" fontId="4" fillId="2" borderId="0" xfId="0" applyFont="1" applyFill="1" applyAlignment="1" applyProtection="1">
      <alignment horizontal="center"/>
    </xf>
    <xf numFmtId="0" fontId="2" fillId="0" borderId="0" xfId="0" quotePrefix="1" applyFont="1" applyProtection="1"/>
    <xf numFmtId="0" fontId="0" fillId="3" borderId="3" xfId="0" applyFill="1" applyBorder="1" applyAlignment="1" applyProtection="1">
      <alignment horizontal="center"/>
    </xf>
    <xf numFmtId="0" fontId="2" fillId="2" borderId="0" xfId="0" applyFont="1" applyFill="1" applyProtection="1">
      <protection locked="0"/>
    </xf>
    <xf numFmtId="0" fontId="0" fillId="2" borderId="0" xfId="0" applyFill="1" applyProtection="1">
      <protection locked="0"/>
    </xf>
    <xf numFmtId="0" fontId="0" fillId="2" borderId="3" xfId="0" applyFill="1" applyBorder="1" applyAlignment="1" applyProtection="1">
      <alignment horizontal="left"/>
    </xf>
    <xf numFmtId="0" fontId="0" fillId="3" borderId="3" xfId="0" applyFill="1" applyBorder="1" applyAlignment="1" applyProtection="1">
      <alignment horizontal="left"/>
    </xf>
    <xf numFmtId="166" fontId="0" fillId="3" borderId="3" xfId="0" applyNumberFormat="1" applyFill="1" applyBorder="1" applyAlignment="1" applyProtection="1">
      <alignment horizontal="left"/>
    </xf>
    <xf numFmtId="164" fontId="0" fillId="2" borderId="3" xfId="0" applyNumberFormat="1" applyFill="1" applyBorder="1" applyAlignment="1" applyProtection="1">
      <alignment horizontal="left"/>
    </xf>
    <xf numFmtId="14" fontId="0" fillId="2" borderId="3" xfId="0" applyNumberFormat="1" applyFill="1" applyBorder="1" applyAlignment="1" applyProtection="1">
      <alignment horizontal="left"/>
    </xf>
    <xf numFmtId="14" fontId="2" fillId="2" borderId="3" xfId="0" applyNumberFormat="1" applyFont="1" applyFill="1" applyBorder="1" applyAlignment="1" applyProtection="1">
      <alignment horizontal="left"/>
    </xf>
    <xf numFmtId="0" fontId="2" fillId="3" borderId="3" xfId="0" applyFont="1" applyFill="1" applyBorder="1" applyAlignment="1" applyProtection="1">
      <alignment horizontal="center"/>
    </xf>
    <xf numFmtId="10" fontId="0" fillId="3" borderId="3" xfId="0" applyNumberFormat="1" applyFill="1" applyBorder="1" applyAlignment="1" applyProtection="1">
      <alignment horizontal="center"/>
    </xf>
    <xf numFmtId="0" fontId="2" fillId="2" borderId="3" xfId="0" applyFont="1" applyFill="1" applyBorder="1" applyAlignment="1" applyProtection="1">
      <alignment horizontal="left"/>
    </xf>
    <xf numFmtId="167" fontId="0" fillId="4" borderId="3" xfId="0" applyNumberFormat="1" applyFill="1" applyBorder="1" applyAlignment="1" applyProtection="1">
      <alignment horizontal="left"/>
    </xf>
    <xf numFmtId="0" fontId="3" fillId="0" borderId="0" xfId="1" applyAlignment="1" applyProtection="1"/>
    <xf numFmtId="0" fontId="0" fillId="0" borderId="0" xfId="0" applyProtection="1">
      <protection locked="0"/>
    </xf>
    <xf numFmtId="0" fontId="0" fillId="0" borderId="0" xfId="0" applyAlignment="1" applyProtection="1">
      <alignment horizontal="right"/>
      <protection locked="0"/>
    </xf>
    <xf numFmtId="0" fontId="18" fillId="2" borderId="0" xfId="0" applyFont="1" applyFill="1" applyAlignment="1" applyProtection="1"/>
    <xf numFmtId="0" fontId="0" fillId="5" borderId="3" xfId="0" applyFill="1" applyBorder="1" applyAlignment="1" applyProtection="1">
      <alignment horizontal="left"/>
      <protection locked="0"/>
    </xf>
    <xf numFmtId="166" fontId="0" fillId="5" borderId="3" xfId="0" applyNumberFormat="1" applyFill="1" applyBorder="1" applyAlignment="1" applyProtection="1">
      <alignment horizontal="left"/>
      <protection locked="0"/>
    </xf>
    <xf numFmtId="0" fontId="2" fillId="5" borderId="3" xfId="0" applyFont="1" applyFill="1" applyBorder="1" applyAlignment="1" applyProtection="1">
      <alignment horizontal="center"/>
      <protection locked="0"/>
    </xf>
    <xf numFmtId="0" fontId="0" fillId="5" borderId="3" xfId="0" applyFill="1" applyBorder="1" applyAlignment="1" applyProtection="1">
      <alignment horizontal="center"/>
      <protection locked="0"/>
    </xf>
    <xf numFmtId="0" fontId="0" fillId="5" borderId="3" xfId="0" applyFill="1" applyBorder="1" applyAlignment="1" applyProtection="1">
      <alignment horizontal="center"/>
    </xf>
    <xf numFmtId="10" fontId="0" fillId="5" borderId="3" xfId="0" applyNumberFormat="1" applyFill="1" applyBorder="1" applyAlignment="1" applyProtection="1">
      <alignment horizontal="center"/>
      <protection locked="0"/>
    </xf>
    <xf numFmtId="0" fontId="2" fillId="5" borderId="5" xfId="0" applyFont="1" applyFill="1" applyBorder="1" applyAlignment="1" applyProtection="1">
      <alignment horizontal="left"/>
      <protection locked="0"/>
    </xf>
    <xf numFmtId="0" fontId="2" fillId="5" borderId="6" xfId="0" applyFont="1" applyFill="1" applyBorder="1" applyAlignment="1" applyProtection="1">
      <alignment horizontal="left"/>
      <protection locked="0"/>
    </xf>
    <xf numFmtId="0" fontId="0" fillId="5" borderId="3" xfId="0" applyFill="1" applyBorder="1" applyAlignment="1" applyProtection="1">
      <alignment horizontal="left"/>
      <protection locked="0"/>
    </xf>
    <xf numFmtId="0" fontId="4" fillId="2" borderId="0" xfId="0" applyFont="1" applyFill="1" applyAlignment="1" applyProtection="1">
      <alignment horizontal="center"/>
    </xf>
    <xf numFmtId="0" fontId="7" fillId="2" borderId="0" xfId="0" applyFont="1" applyFill="1" applyAlignment="1" applyProtection="1">
      <alignment horizontal="center"/>
    </xf>
    <xf numFmtId="0" fontId="1" fillId="2" borderId="0" xfId="0" applyFont="1" applyFill="1" applyAlignment="1" applyProtection="1">
      <alignment horizontal="right" wrapText="1"/>
    </xf>
    <xf numFmtId="0" fontId="2" fillId="2" borderId="5" xfId="0" applyFont="1" applyFill="1" applyBorder="1" applyAlignment="1" applyProtection="1">
      <alignment horizontal="left"/>
      <protection locked="0"/>
    </xf>
    <xf numFmtId="0" fontId="2" fillId="2" borderId="7" xfId="0" applyFont="1" applyFill="1" applyBorder="1" applyAlignment="1" applyProtection="1">
      <alignment horizontal="left"/>
      <protection locked="0"/>
    </xf>
    <xf numFmtId="0" fontId="2" fillId="2" borderId="6" xfId="0" applyFont="1" applyFill="1" applyBorder="1" applyAlignment="1" applyProtection="1">
      <alignment horizontal="left"/>
      <protection locked="0"/>
    </xf>
    <xf numFmtId="0" fontId="0" fillId="5" borderId="5" xfId="0" applyFill="1" applyBorder="1" applyAlignment="1" applyProtection="1">
      <alignment horizontal="left"/>
      <protection locked="0"/>
    </xf>
    <xf numFmtId="0" fontId="0" fillId="5" borderId="7" xfId="0" applyFill="1" applyBorder="1" applyAlignment="1" applyProtection="1">
      <alignment horizontal="left"/>
      <protection locked="0"/>
    </xf>
    <xf numFmtId="0" fontId="0" fillId="5" borderId="6" xfId="0" applyFill="1" applyBorder="1" applyAlignment="1" applyProtection="1">
      <alignment horizontal="left"/>
      <protection locked="0"/>
    </xf>
    <xf numFmtId="0" fontId="7" fillId="2" borderId="1" xfId="0" applyFont="1" applyFill="1" applyBorder="1" applyAlignment="1" applyProtection="1">
      <alignment horizontal="center"/>
    </xf>
    <xf numFmtId="0" fontId="2" fillId="2" borderId="1" xfId="0" applyFont="1" applyFill="1" applyBorder="1" applyAlignment="1" applyProtection="1">
      <alignment horizontal="left"/>
    </xf>
    <xf numFmtId="0" fontId="2" fillId="5" borderId="3" xfId="0" applyFont="1" applyFill="1" applyBorder="1" applyAlignment="1" applyProtection="1">
      <alignment horizontal="left"/>
      <protection locked="0"/>
    </xf>
    <xf numFmtId="0" fontId="0" fillId="2" borderId="3" xfId="0" applyFill="1" applyBorder="1" applyAlignment="1" applyProtection="1">
      <alignment horizontal="left"/>
      <protection locked="0"/>
    </xf>
    <xf numFmtId="0" fontId="2" fillId="2" borderId="8" xfId="0" applyFont="1" applyFill="1" applyBorder="1" applyAlignment="1" applyProtection="1">
      <alignment horizontal="left" vertical="top" wrapText="1"/>
      <protection locked="0"/>
    </xf>
    <xf numFmtId="0" fontId="2" fillId="2" borderId="1" xfId="0" applyFont="1" applyFill="1" applyBorder="1" applyAlignment="1" applyProtection="1">
      <alignment horizontal="left" vertical="top" wrapText="1"/>
      <protection locked="0"/>
    </xf>
    <xf numFmtId="0" fontId="2" fillId="2" borderId="9" xfId="0" applyFont="1" applyFill="1" applyBorder="1" applyAlignment="1" applyProtection="1">
      <alignment horizontal="left" vertical="top" wrapText="1"/>
      <protection locked="0"/>
    </xf>
    <xf numFmtId="0" fontId="2" fillId="2" borderId="10" xfId="0" applyFont="1" applyFill="1" applyBorder="1" applyAlignment="1" applyProtection="1">
      <alignment horizontal="left" vertical="top" wrapText="1"/>
      <protection locked="0"/>
    </xf>
    <xf numFmtId="0" fontId="2" fillId="2" borderId="0" xfId="0" applyFont="1" applyFill="1" applyBorder="1" applyAlignment="1" applyProtection="1">
      <alignment horizontal="left" vertical="top" wrapText="1"/>
      <protection locked="0"/>
    </xf>
    <xf numFmtId="0" fontId="2" fillId="2" borderId="4" xfId="0" applyFont="1" applyFill="1" applyBorder="1" applyAlignment="1" applyProtection="1">
      <alignment horizontal="left" vertical="top" wrapText="1"/>
      <protection locked="0"/>
    </xf>
    <xf numFmtId="0" fontId="2" fillId="2" borderId="11" xfId="0" applyFont="1" applyFill="1" applyBorder="1" applyAlignment="1" applyProtection="1">
      <alignment horizontal="left" vertical="top" wrapText="1"/>
      <protection locked="0"/>
    </xf>
    <xf numFmtId="0" fontId="2" fillId="2" borderId="2" xfId="0" applyFont="1" applyFill="1" applyBorder="1" applyAlignment="1" applyProtection="1">
      <alignment horizontal="left" vertical="top" wrapText="1"/>
      <protection locked="0"/>
    </xf>
    <xf numFmtId="0" fontId="2" fillId="2" borderId="12" xfId="0" applyFont="1" applyFill="1" applyBorder="1" applyAlignment="1" applyProtection="1">
      <alignment horizontal="left" vertical="top" wrapText="1"/>
      <protection locked="0"/>
    </xf>
    <xf numFmtId="0" fontId="1" fillId="2" borderId="1" xfId="0" applyFont="1" applyFill="1" applyBorder="1" applyAlignment="1" applyProtection="1">
      <alignment horizontal="left"/>
    </xf>
    <xf numFmtId="0" fontId="1" fillId="0" borderId="2" xfId="0" applyFont="1" applyBorder="1" applyAlignment="1" applyProtection="1">
      <alignment horizontal="left"/>
    </xf>
    <xf numFmtId="0" fontId="1" fillId="2" borderId="2" xfId="0" applyFont="1" applyFill="1" applyBorder="1" applyAlignment="1" applyProtection="1">
      <alignment horizontal="left"/>
    </xf>
    <xf numFmtId="0" fontId="1" fillId="2" borderId="0" xfId="0" applyFont="1" applyFill="1" applyBorder="1" applyAlignment="1" applyProtection="1">
      <alignment horizontal="left"/>
    </xf>
    <xf numFmtId="0" fontId="14" fillId="2" borderId="0" xfId="0" applyFont="1" applyFill="1" applyAlignment="1" applyProtection="1">
      <alignment horizontal="center" wrapText="1"/>
    </xf>
    <xf numFmtId="0" fontId="14" fillId="2" borderId="2" xfId="0" applyFont="1" applyFill="1" applyBorder="1" applyAlignment="1" applyProtection="1">
      <alignment horizontal="center" wrapText="1"/>
    </xf>
    <xf numFmtId="165" fontId="0" fillId="5" borderId="5" xfId="0" applyNumberFormat="1" applyFill="1" applyBorder="1" applyAlignment="1" applyProtection="1">
      <alignment horizontal="left"/>
      <protection locked="0"/>
    </xf>
    <xf numFmtId="165" fontId="0" fillId="5" borderId="6" xfId="0" applyNumberFormat="1" applyFill="1" applyBorder="1" applyAlignment="1" applyProtection="1">
      <alignment horizontal="left"/>
      <protection locked="0"/>
    </xf>
    <xf numFmtId="0" fontId="4" fillId="2" borderId="1" xfId="0" applyFont="1" applyFill="1" applyBorder="1" applyAlignment="1" applyProtection="1">
      <alignment horizontal="center" wrapText="1"/>
    </xf>
    <xf numFmtId="0" fontId="4" fillId="2" borderId="2" xfId="0" applyFont="1" applyFill="1" applyBorder="1" applyAlignment="1" applyProtection="1">
      <alignment horizontal="center" wrapText="1"/>
    </xf>
    <xf numFmtId="168" fontId="18" fillId="2" borderId="0" xfId="0" applyNumberFormat="1" applyFont="1" applyFill="1" applyAlignment="1" applyProtection="1">
      <alignment horizontal="center" vertical="top"/>
    </xf>
    <xf numFmtId="0" fontId="6" fillId="2" borderId="0" xfId="0" applyFont="1" applyFill="1" applyAlignment="1" applyProtection="1">
      <alignment horizontal="center" vertical="center"/>
    </xf>
    <xf numFmtId="0" fontId="1" fillId="2" borderId="4" xfId="0" applyFont="1" applyFill="1" applyBorder="1" applyAlignment="1" applyProtection="1">
      <alignment horizontal="right"/>
    </xf>
    <xf numFmtId="0" fontId="0" fillId="0" borderId="4" xfId="0" applyBorder="1" applyAlignment="1" applyProtection="1">
      <alignment horizontal="right"/>
    </xf>
    <xf numFmtId="0" fontId="0" fillId="2" borderId="3" xfId="0" applyFill="1" applyBorder="1" applyAlignment="1" applyProtection="1">
      <alignment horizontal="left"/>
    </xf>
    <xf numFmtId="14" fontId="0" fillId="2" borderId="5" xfId="0" applyNumberFormat="1" applyFill="1" applyBorder="1" applyAlignment="1" applyProtection="1">
      <alignment horizontal="left"/>
      <protection locked="0"/>
    </xf>
    <xf numFmtId="14" fontId="0" fillId="2" borderId="7" xfId="0" applyNumberFormat="1" applyFill="1" applyBorder="1" applyAlignment="1" applyProtection="1">
      <alignment horizontal="left"/>
      <protection locked="0"/>
    </xf>
    <xf numFmtId="14" fontId="0" fillId="2" borderId="6" xfId="0" applyNumberFormat="1" applyFill="1" applyBorder="1" applyAlignment="1" applyProtection="1">
      <alignment horizontal="left"/>
      <protection locked="0"/>
    </xf>
    <xf numFmtId="0" fontId="5" fillId="2" borderId="0" xfId="0" applyFont="1" applyFill="1" applyBorder="1" applyAlignment="1" applyProtection="1">
      <alignment horizontal="left"/>
    </xf>
    <xf numFmtId="0" fontId="5" fillId="2" borderId="0" xfId="0" applyFont="1" applyFill="1" applyAlignment="1" applyProtection="1">
      <alignment horizontal="left"/>
    </xf>
    <xf numFmtId="0" fontId="4" fillId="2" borderId="0" xfId="0" applyFont="1" applyFill="1" applyAlignment="1" applyProtection="1">
      <alignment horizontal="left"/>
    </xf>
    <xf numFmtId="0" fontId="10" fillId="2" borderId="2" xfId="1" applyFont="1" applyFill="1" applyBorder="1" applyAlignment="1" applyProtection="1">
      <alignment horizontal="center"/>
    </xf>
    <xf numFmtId="0" fontId="1" fillId="2" borderId="0" xfId="0" applyFont="1" applyFill="1" applyBorder="1" applyAlignment="1" applyProtection="1">
      <alignment horizontal="center" wrapText="1"/>
    </xf>
    <xf numFmtId="0" fontId="2" fillId="3" borderId="3" xfId="0" applyFont="1" applyFill="1" applyBorder="1" applyAlignment="1" applyProtection="1">
      <alignment horizontal="left"/>
    </xf>
    <xf numFmtId="0" fontId="0" fillId="3" borderId="3" xfId="0" applyFill="1" applyBorder="1" applyAlignment="1" applyProtection="1">
      <alignment horizontal="left"/>
    </xf>
    <xf numFmtId="165" fontId="0" fillId="3" borderId="5" xfId="0" applyNumberFormat="1" applyFill="1" applyBorder="1" applyAlignment="1" applyProtection="1">
      <alignment horizontal="left"/>
    </xf>
    <xf numFmtId="165" fontId="0" fillId="3" borderId="6" xfId="0" applyNumberFormat="1" applyFill="1" applyBorder="1" applyAlignment="1" applyProtection="1">
      <alignment horizontal="left"/>
    </xf>
    <xf numFmtId="0" fontId="2" fillId="2" borderId="8" xfId="0" applyFont="1" applyFill="1" applyBorder="1" applyAlignment="1" applyProtection="1">
      <alignment horizontal="left" vertical="top" wrapText="1"/>
    </xf>
    <xf numFmtId="0" fontId="2" fillId="2" borderId="1" xfId="0" applyFont="1" applyFill="1" applyBorder="1" applyAlignment="1" applyProtection="1">
      <alignment horizontal="left" vertical="top" wrapText="1"/>
    </xf>
    <xf numFmtId="0" fontId="2" fillId="2" borderId="9" xfId="0" applyFont="1" applyFill="1" applyBorder="1" applyAlignment="1" applyProtection="1">
      <alignment horizontal="left" vertical="top" wrapText="1"/>
    </xf>
    <xf numFmtId="0" fontId="2" fillId="2" borderId="10" xfId="0" applyFont="1" applyFill="1" applyBorder="1" applyAlignment="1" applyProtection="1">
      <alignment horizontal="left" vertical="top" wrapText="1"/>
    </xf>
    <xf numFmtId="0" fontId="2" fillId="2" borderId="0" xfId="0" applyFont="1" applyFill="1" applyBorder="1" applyAlignment="1" applyProtection="1">
      <alignment horizontal="left" vertical="top" wrapText="1"/>
    </xf>
    <xf numFmtId="0" fontId="2" fillId="2" borderId="4" xfId="0" applyFont="1" applyFill="1" applyBorder="1" applyAlignment="1" applyProtection="1">
      <alignment horizontal="left" vertical="top" wrapText="1"/>
    </xf>
    <xf numFmtId="0" fontId="2" fillId="2" borderId="11" xfId="0" applyFont="1" applyFill="1" applyBorder="1" applyAlignment="1" applyProtection="1">
      <alignment horizontal="left" vertical="top" wrapText="1"/>
    </xf>
    <xf numFmtId="0" fontId="2" fillId="2" borderId="2" xfId="0" applyFont="1" applyFill="1" applyBorder="1" applyAlignment="1" applyProtection="1">
      <alignment horizontal="left" vertical="top" wrapText="1"/>
    </xf>
    <xf numFmtId="0" fontId="2" fillId="2" borderId="12" xfId="0" applyFont="1" applyFill="1" applyBorder="1" applyAlignment="1" applyProtection="1">
      <alignment horizontal="left" vertical="top" wrapText="1"/>
    </xf>
    <xf numFmtId="0" fontId="2" fillId="2" borderId="5" xfId="0" applyFont="1" applyFill="1" applyBorder="1" applyAlignment="1" applyProtection="1">
      <alignment horizontal="left"/>
    </xf>
    <xf numFmtId="0" fontId="2" fillId="2" borderId="7" xfId="0" applyFont="1" applyFill="1" applyBorder="1" applyAlignment="1" applyProtection="1">
      <alignment horizontal="left"/>
    </xf>
    <xf numFmtId="0" fontId="2" fillId="2" borderId="6" xfId="0" applyFont="1" applyFill="1" applyBorder="1" applyAlignment="1" applyProtection="1">
      <alignment horizontal="left"/>
    </xf>
    <xf numFmtId="14" fontId="0" fillId="2" borderId="5" xfId="0" applyNumberFormat="1" applyFill="1" applyBorder="1" applyAlignment="1" applyProtection="1">
      <alignment horizontal="left"/>
    </xf>
    <xf numFmtId="14" fontId="0" fillId="2" borderId="7" xfId="0" applyNumberFormat="1" applyFill="1" applyBorder="1" applyAlignment="1" applyProtection="1">
      <alignment horizontal="left"/>
    </xf>
    <xf numFmtId="14" fontId="0" fillId="2" borderId="6" xfId="0" applyNumberFormat="1" applyFill="1" applyBorder="1" applyAlignment="1" applyProtection="1">
      <alignment horizontal="left"/>
    </xf>
    <xf numFmtId="0" fontId="2" fillId="3" borderId="5" xfId="0" applyFont="1" applyFill="1" applyBorder="1" applyAlignment="1" applyProtection="1">
      <alignment horizontal="left"/>
    </xf>
    <xf numFmtId="0" fontId="2" fillId="3" borderId="6" xfId="0" applyFont="1" applyFill="1" applyBorder="1" applyAlignment="1" applyProtection="1">
      <alignment horizontal="left"/>
    </xf>
    <xf numFmtId="0" fontId="0" fillId="3" borderId="5" xfId="0" applyFill="1" applyBorder="1" applyAlignment="1" applyProtection="1">
      <alignment horizontal="left"/>
    </xf>
    <xf numFmtId="0" fontId="0" fillId="3" borderId="7" xfId="0" applyFill="1" applyBorder="1" applyAlignment="1" applyProtection="1">
      <alignment horizontal="left"/>
    </xf>
    <xf numFmtId="0" fontId="0" fillId="3" borderId="6" xfId="0" applyFill="1" applyBorder="1" applyAlignment="1" applyProtection="1">
      <alignment horizontal="left"/>
    </xf>
  </cellXfs>
  <cellStyles count="3">
    <cellStyle name="Hyperlink" xfId="1" builtinId="8"/>
    <cellStyle name="Normal" xfId="0" builtinId="0"/>
    <cellStyle name="Normal 2" xfId="2"/>
  </cellStyles>
  <dxfs count="117">
    <dxf>
      <fill>
        <patternFill patternType="solid">
          <bgColor theme="0"/>
        </patternFill>
      </fill>
    </dxf>
    <dxf>
      <fill>
        <patternFill patternType="solid">
          <bgColor theme="0"/>
        </patternFill>
      </fill>
    </dxf>
    <dxf>
      <fill>
        <patternFill>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ont>
        <color theme="0"/>
      </font>
    </dxf>
    <dxf>
      <font>
        <color theme="0"/>
      </font>
    </dxf>
    <dxf>
      <font>
        <color theme="0"/>
      </font>
    </dxf>
    <dxf>
      <font>
        <color theme="0"/>
      </font>
    </dxf>
    <dxf>
      <font>
        <b val="0"/>
        <i/>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ont>
        <color theme="0"/>
      </font>
    </dxf>
    <dxf>
      <font>
        <color theme="0"/>
      </font>
    </dxf>
    <dxf>
      <font>
        <color theme="0"/>
      </font>
    </dxf>
    <dxf>
      <font>
        <color theme="0"/>
      </font>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438150</xdr:colOff>
      <xdr:row>2</xdr:row>
      <xdr:rowOff>47625</xdr:rowOff>
    </xdr:to>
    <xdr:pic>
      <xdr:nvPicPr>
        <xdr:cNvPr id="27692" name="Picture 1" descr="oneline.tiff"/>
        <xdr:cNvPicPr>
          <a:picLocks noChangeAspect="1"/>
        </xdr:cNvPicPr>
      </xdr:nvPicPr>
      <xdr:blipFill>
        <a:blip xmlns:r="http://schemas.openxmlformats.org/officeDocument/2006/relationships" r:embed="rId1" cstate="print"/>
        <a:srcRect/>
        <a:stretch>
          <a:fillRect/>
        </a:stretch>
      </xdr:blipFill>
      <xdr:spPr bwMode="auto">
        <a:xfrm>
          <a:off x="0" y="0"/>
          <a:ext cx="1400175" cy="3714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438150</xdr:colOff>
      <xdr:row>2</xdr:row>
      <xdr:rowOff>47625</xdr:rowOff>
    </xdr:to>
    <xdr:pic>
      <xdr:nvPicPr>
        <xdr:cNvPr id="19604" name="Picture 1" descr="oneline.tiff"/>
        <xdr:cNvPicPr>
          <a:picLocks noChangeAspect="1"/>
        </xdr:cNvPicPr>
      </xdr:nvPicPr>
      <xdr:blipFill>
        <a:blip xmlns:r="http://schemas.openxmlformats.org/officeDocument/2006/relationships" r:embed="rId1" cstate="print"/>
        <a:srcRect/>
        <a:stretch>
          <a:fillRect/>
        </a:stretch>
      </xdr:blipFill>
      <xdr:spPr bwMode="auto">
        <a:xfrm>
          <a:off x="0" y="0"/>
          <a:ext cx="1400175" cy="371475"/>
        </a:xfrm>
        <a:prstGeom prst="rect">
          <a:avLst/>
        </a:prstGeom>
        <a:noFill/>
        <a:ln w="9525">
          <a:noFill/>
          <a:miter lim="800000"/>
          <a:headEnd/>
          <a:tailEnd/>
        </a:ln>
      </xdr:spPr>
    </xdr:pic>
    <xdr:clientData/>
  </xdr:twoCellAnchor>
  <xdr:oneCellAnchor>
    <xdr:from>
      <xdr:col>0</xdr:col>
      <xdr:colOff>468797</xdr:colOff>
      <xdr:row>25</xdr:row>
      <xdr:rowOff>137224</xdr:rowOff>
    </xdr:from>
    <xdr:ext cx="6219954" cy="2287288"/>
    <xdr:sp macro="" textlink="">
      <xdr:nvSpPr>
        <xdr:cNvPr id="3" name="TextBox 2"/>
        <xdr:cNvSpPr txBox="1"/>
      </xdr:nvSpPr>
      <xdr:spPr>
        <a:xfrm rot="18900000" flipH="1">
          <a:off x="468797" y="3594799"/>
          <a:ext cx="6219954" cy="228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4000">
              <a:solidFill>
                <a:schemeClr val="tx1">
                  <a:alpha val="25000"/>
                </a:schemeClr>
              </a:solidFill>
            </a:rPr>
            <a:t>SAMPLE</a:t>
          </a: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438150</xdr:colOff>
      <xdr:row>2</xdr:row>
      <xdr:rowOff>47625</xdr:rowOff>
    </xdr:to>
    <xdr:pic>
      <xdr:nvPicPr>
        <xdr:cNvPr id="20626" name="Picture 1" descr="oneline.tiff"/>
        <xdr:cNvPicPr>
          <a:picLocks noChangeAspect="1"/>
        </xdr:cNvPicPr>
      </xdr:nvPicPr>
      <xdr:blipFill>
        <a:blip xmlns:r="http://schemas.openxmlformats.org/officeDocument/2006/relationships" r:embed="rId1" cstate="print"/>
        <a:srcRect/>
        <a:stretch>
          <a:fillRect/>
        </a:stretch>
      </xdr:blipFill>
      <xdr:spPr bwMode="auto">
        <a:xfrm>
          <a:off x="0" y="0"/>
          <a:ext cx="1400175" cy="371475"/>
        </a:xfrm>
        <a:prstGeom prst="rect">
          <a:avLst/>
        </a:prstGeom>
        <a:noFill/>
        <a:ln w="9525">
          <a:noFill/>
          <a:miter lim="800000"/>
          <a:headEnd/>
          <a:tailEnd/>
        </a:ln>
      </xdr:spPr>
    </xdr:pic>
    <xdr:clientData/>
  </xdr:twoCellAnchor>
  <xdr:oneCellAnchor>
    <xdr:from>
      <xdr:col>0</xdr:col>
      <xdr:colOff>457201</xdr:colOff>
      <xdr:row>25</xdr:row>
      <xdr:rowOff>142874</xdr:rowOff>
    </xdr:from>
    <xdr:ext cx="6219954" cy="2287288"/>
    <xdr:sp macro="" textlink="">
      <xdr:nvSpPr>
        <xdr:cNvPr id="11" name="TextBox 10"/>
        <xdr:cNvSpPr txBox="1"/>
      </xdr:nvSpPr>
      <xdr:spPr>
        <a:xfrm rot="18900000" flipH="1">
          <a:off x="457201" y="3600449"/>
          <a:ext cx="6219954" cy="228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4000">
              <a:solidFill>
                <a:schemeClr val="tx1">
                  <a:alpha val="25000"/>
                </a:schemeClr>
              </a:solidFill>
            </a:rPr>
            <a:t>SAMPLE</a:t>
          </a:r>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438150</xdr:colOff>
      <xdr:row>2</xdr:row>
      <xdr:rowOff>47625</xdr:rowOff>
    </xdr:to>
    <xdr:pic>
      <xdr:nvPicPr>
        <xdr:cNvPr id="21650" name="Picture 1" descr="oneline.tiff"/>
        <xdr:cNvPicPr>
          <a:picLocks noChangeAspect="1"/>
        </xdr:cNvPicPr>
      </xdr:nvPicPr>
      <xdr:blipFill>
        <a:blip xmlns:r="http://schemas.openxmlformats.org/officeDocument/2006/relationships" r:embed="rId1" cstate="print"/>
        <a:srcRect/>
        <a:stretch>
          <a:fillRect/>
        </a:stretch>
      </xdr:blipFill>
      <xdr:spPr bwMode="auto">
        <a:xfrm>
          <a:off x="0" y="0"/>
          <a:ext cx="1400175" cy="371475"/>
        </a:xfrm>
        <a:prstGeom prst="rect">
          <a:avLst/>
        </a:prstGeom>
        <a:noFill/>
        <a:ln w="9525">
          <a:noFill/>
          <a:miter lim="800000"/>
          <a:headEnd/>
          <a:tailEnd/>
        </a:ln>
      </xdr:spPr>
    </xdr:pic>
    <xdr:clientData/>
  </xdr:twoCellAnchor>
  <xdr:oneCellAnchor>
    <xdr:from>
      <xdr:col>0</xdr:col>
      <xdr:colOff>457201</xdr:colOff>
      <xdr:row>25</xdr:row>
      <xdr:rowOff>133350</xdr:rowOff>
    </xdr:from>
    <xdr:ext cx="6219954" cy="2287288"/>
    <xdr:sp macro="" textlink="">
      <xdr:nvSpPr>
        <xdr:cNvPr id="3" name="TextBox 2"/>
        <xdr:cNvSpPr txBox="1"/>
      </xdr:nvSpPr>
      <xdr:spPr>
        <a:xfrm rot="18900000" flipH="1">
          <a:off x="457201" y="3590925"/>
          <a:ext cx="6219954" cy="228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4000">
              <a:solidFill>
                <a:schemeClr val="tx1">
                  <a:alpha val="25000"/>
                </a:schemeClr>
              </a:solidFill>
            </a:rPr>
            <a:t>SAMPLE</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438150</xdr:colOff>
      <xdr:row>2</xdr:row>
      <xdr:rowOff>47625</xdr:rowOff>
    </xdr:to>
    <xdr:pic>
      <xdr:nvPicPr>
        <xdr:cNvPr id="22673" name="Picture 1" descr="oneline.tiff"/>
        <xdr:cNvPicPr>
          <a:picLocks noChangeAspect="1"/>
        </xdr:cNvPicPr>
      </xdr:nvPicPr>
      <xdr:blipFill>
        <a:blip xmlns:r="http://schemas.openxmlformats.org/officeDocument/2006/relationships" r:embed="rId1" cstate="print"/>
        <a:srcRect/>
        <a:stretch>
          <a:fillRect/>
        </a:stretch>
      </xdr:blipFill>
      <xdr:spPr bwMode="auto">
        <a:xfrm>
          <a:off x="0" y="0"/>
          <a:ext cx="1400175" cy="371475"/>
        </a:xfrm>
        <a:prstGeom prst="rect">
          <a:avLst/>
        </a:prstGeom>
        <a:noFill/>
        <a:ln w="9525">
          <a:noFill/>
          <a:miter lim="800000"/>
          <a:headEnd/>
          <a:tailEnd/>
        </a:ln>
      </xdr:spPr>
    </xdr:pic>
    <xdr:clientData/>
  </xdr:twoCellAnchor>
  <xdr:oneCellAnchor>
    <xdr:from>
      <xdr:col>0</xdr:col>
      <xdr:colOff>457201</xdr:colOff>
      <xdr:row>25</xdr:row>
      <xdr:rowOff>142874</xdr:rowOff>
    </xdr:from>
    <xdr:ext cx="6219954" cy="2287288"/>
    <xdr:sp macro="" textlink="">
      <xdr:nvSpPr>
        <xdr:cNvPr id="3" name="TextBox 2"/>
        <xdr:cNvSpPr txBox="1"/>
      </xdr:nvSpPr>
      <xdr:spPr>
        <a:xfrm rot="18900000" flipH="1">
          <a:off x="457201" y="3600449"/>
          <a:ext cx="6219954" cy="228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4000">
              <a:solidFill>
                <a:schemeClr val="tx1">
                  <a:alpha val="25000"/>
                </a:schemeClr>
              </a:solidFill>
            </a:rPr>
            <a:t>SAMPLE</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438150</xdr:colOff>
      <xdr:row>2</xdr:row>
      <xdr:rowOff>47625</xdr:rowOff>
    </xdr:to>
    <xdr:pic>
      <xdr:nvPicPr>
        <xdr:cNvPr id="23697" name="Picture 1" descr="oneline.tiff"/>
        <xdr:cNvPicPr>
          <a:picLocks noChangeAspect="1"/>
        </xdr:cNvPicPr>
      </xdr:nvPicPr>
      <xdr:blipFill>
        <a:blip xmlns:r="http://schemas.openxmlformats.org/officeDocument/2006/relationships" r:embed="rId1" cstate="print"/>
        <a:srcRect/>
        <a:stretch>
          <a:fillRect/>
        </a:stretch>
      </xdr:blipFill>
      <xdr:spPr bwMode="auto">
        <a:xfrm>
          <a:off x="0" y="0"/>
          <a:ext cx="1400175" cy="371475"/>
        </a:xfrm>
        <a:prstGeom prst="rect">
          <a:avLst/>
        </a:prstGeom>
        <a:noFill/>
        <a:ln w="9525">
          <a:noFill/>
          <a:miter lim="800000"/>
          <a:headEnd/>
          <a:tailEnd/>
        </a:ln>
      </xdr:spPr>
    </xdr:pic>
    <xdr:clientData/>
  </xdr:twoCellAnchor>
  <xdr:oneCellAnchor>
    <xdr:from>
      <xdr:col>0</xdr:col>
      <xdr:colOff>457200</xdr:colOff>
      <xdr:row>25</xdr:row>
      <xdr:rowOff>133350</xdr:rowOff>
    </xdr:from>
    <xdr:ext cx="6219954" cy="2287288"/>
    <xdr:sp macro="" textlink="">
      <xdr:nvSpPr>
        <xdr:cNvPr id="3" name="TextBox 2"/>
        <xdr:cNvSpPr txBox="1"/>
      </xdr:nvSpPr>
      <xdr:spPr>
        <a:xfrm rot="18900000" flipH="1">
          <a:off x="457200" y="3590925"/>
          <a:ext cx="6219954" cy="228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4000">
              <a:solidFill>
                <a:schemeClr val="tx1">
                  <a:alpha val="25000"/>
                </a:schemeClr>
              </a:solidFill>
            </a:rPr>
            <a:t>SAMPLE</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438150</xdr:colOff>
      <xdr:row>2</xdr:row>
      <xdr:rowOff>47625</xdr:rowOff>
    </xdr:to>
    <xdr:pic>
      <xdr:nvPicPr>
        <xdr:cNvPr id="24721" name="Picture 1" descr="oneline.tiff"/>
        <xdr:cNvPicPr>
          <a:picLocks noChangeAspect="1"/>
        </xdr:cNvPicPr>
      </xdr:nvPicPr>
      <xdr:blipFill>
        <a:blip xmlns:r="http://schemas.openxmlformats.org/officeDocument/2006/relationships" r:embed="rId1" cstate="print"/>
        <a:srcRect/>
        <a:stretch>
          <a:fillRect/>
        </a:stretch>
      </xdr:blipFill>
      <xdr:spPr bwMode="auto">
        <a:xfrm>
          <a:off x="0" y="0"/>
          <a:ext cx="1400175" cy="371475"/>
        </a:xfrm>
        <a:prstGeom prst="rect">
          <a:avLst/>
        </a:prstGeom>
        <a:noFill/>
        <a:ln w="9525">
          <a:noFill/>
          <a:miter lim="800000"/>
          <a:headEnd/>
          <a:tailEnd/>
        </a:ln>
      </xdr:spPr>
    </xdr:pic>
    <xdr:clientData/>
  </xdr:twoCellAnchor>
  <xdr:oneCellAnchor>
    <xdr:from>
      <xdr:col>0</xdr:col>
      <xdr:colOff>457200</xdr:colOff>
      <xdr:row>25</xdr:row>
      <xdr:rowOff>142875</xdr:rowOff>
    </xdr:from>
    <xdr:ext cx="6219954" cy="2287288"/>
    <xdr:sp macro="" textlink="">
      <xdr:nvSpPr>
        <xdr:cNvPr id="3" name="TextBox 2"/>
        <xdr:cNvSpPr txBox="1"/>
      </xdr:nvSpPr>
      <xdr:spPr>
        <a:xfrm rot="18900000" flipH="1">
          <a:off x="457200" y="3600450"/>
          <a:ext cx="6219954" cy="228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4000">
              <a:solidFill>
                <a:schemeClr val="tx1">
                  <a:alpha val="25000"/>
                </a:schemeClr>
              </a:solidFill>
            </a:rPr>
            <a:t>SAMPLE</a:t>
          </a:r>
        </a:p>
      </xdr:txBody>
    </xdr:sp>
    <xdr:clientData/>
  </xdr:one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438150</xdr:colOff>
      <xdr:row>2</xdr:row>
      <xdr:rowOff>47625</xdr:rowOff>
    </xdr:to>
    <xdr:pic>
      <xdr:nvPicPr>
        <xdr:cNvPr id="25745" name="Picture 1" descr="oneline.tiff"/>
        <xdr:cNvPicPr>
          <a:picLocks noChangeAspect="1"/>
        </xdr:cNvPicPr>
      </xdr:nvPicPr>
      <xdr:blipFill>
        <a:blip xmlns:r="http://schemas.openxmlformats.org/officeDocument/2006/relationships" r:embed="rId1" cstate="print"/>
        <a:srcRect/>
        <a:stretch>
          <a:fillRect/>
        </a:stretch>
      </xdr:blipFill>
      <xdr:spPr bwMode="auto">
        <a:xfrm>
          <a:off x="0" y="0"/>
          <a:ext cx="1400175" cy="371475"/>
        </a:xfrm>
        <a:prstGeom prst="rect">
          <a:avLst/>
        </a:prstGeom>
        <a:noFill/>
        <a:ln w="9525">
          <a:noFill/>
          <a:miter lim="800000"/>
          <a:headEnd/>
          <a:tailEnd/>
        </a:ln>
      </xdr:spPr>
    </xdr:pic>
    <xdr:clientData/>
  </xdr:twoCellAnchor>
  <xdr:oneCellAnchor>
    <xdr:from>
      <xdr:col>0</xdr:col>
      <xdr:colOff>457200</xdr:colOff>
      <xdr:row>25</xdr:row>
      <xdr:rowOff>114300</xdr:rowOff>
    </xdr:from>
    <xdr:ext cx="6219954" cy="2287288"/>
    <xdr:sp macro="" textlink="">
      <xdr:nvSpPr>
        <xdr:cNvPr id="3" name="TextBox 2"/>
        <xdr:cNvSpPr txBox="1"/>
      </xdr:nvSpPr>
      <xdr:spPr>
        <a:xfrm rot="18900000" flipH="1">
          <a:off x="457200" y="3571875"/>
          <a:ext cx="6219954" cy="228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4000">
              <a:solidFill>
                <a:schemeClr val="tx1">
                  <a:alpha val="25000"/>
                </a:schemeClr>
              </a:solidFill>
            </a:rPr>
            <a:t>SAMPLE</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intranet.roosevelt.edu/controller/chart.htm"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intranet.roosevelt.edu/controller/chart.htm"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intranet.roosevelt.edu/controller/chart.htm" TargetMode="External"/><Relationship Id="rId1" Type="http://schemas.openxmlformats.org/officeDocument/2006/relationships/hyperlink" Target="https://www4.roosevelt.edu/staffid/Default.asp" TargetMode="Externa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intranet.roosevelt.edu/controller/chart.htm" TargetMode="External"/><Relationship Id="rId1" Type="http://schemas.openxmlformats.org/officeDocument/2006/relationships/hyperlink" Target="https://www4.roosevelt.edu/staffid/Default.asp" TargetMode="Externa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intranet.roosevelt.edu/controller/chart.htm" TargetMode="External"/><Relationship Id="rId1" Type="http://schemas.openxmlformats.org/officeDocument/2006/relationships/hyperlink" Target="https://www4.roosevelt.edu/staffid/Default.asp" TargetMode="External"/><Relationship Id="rId4"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intranet.roosevelt.edu/controller/chart.htm" TargetMode="External"/><Relationship Id="rId1" Type="http://schemas.openxmlformats.org/officeDocument/2006/relationships/hyperlink" Target="https://www4.roosevelt.edu/staffid/Default.asp" TargetMode="Externa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intranet.roosevelt.edu/controller/chart.htm" TargetMode="External"/><Relationship Id="rId1" Type="http://schemas.openxmlformats.org/officeDocument/2006/relationships/hyperlink" Target="https://www4.roosevelt.edu/staffid/Default.asp" TargetMode="External"/><Relationship Id="rId4"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intranet.roosevelt.edu/controller/chart.htm" TargetMode="External"/><Relationship Id="rId1" Type="http://schemas.openxmlformats.org/officeDocument/2006/relationships/hyperlink" Target="https://www4.roosevelt.edu/staffid/Default.asp" TargetMode="External"/><Relationship Id="rId4"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A60"/>
  <sheetViews>
    <sheetView workbookViewId="0"/>
  </sheetViews>
  <sheetFormatPr defaultRowHeight="12.75" x14ac:dyDescent="0.2"/>
  <cols>
    <col min="1" max="1" width="99.42578125" style="28" customWidth="1"/>
  </cols>
  <sheetData>
    <row r="1" spans="1:1" ht="15.75" x14ac:dyDescent="0.25">
      <c r="A1" s="33" t="s">
        <v>471</v>
      </c>
    </row>
    <row r="2" spans="1:1" ht="15.75" x14ac:dyDescent="0.25">
      <c r="A2" s="33"/>
    </row>
    <row r="3" spans="1:1" x14ac:dyDescent="0.2">
      <c r="A3" s="31" t="s">
        <v>545</v>
      </c>
    </row>
    <row r="4" spans="1:1" ht="25.5" x14ac:dyDescent="0.2">
      <c r="A4" s="32" t="s">
        <v>544</v>
      </c>
    </row>
    <row r="5" spans="1:1" x14ac:dyDescent="0.2">
      <c r="A5" s="32" t="s">
        <v>655</v>
      </c>
    </row>
    <row r="6" spans="1:1" ht="25.5" x14ac:dyDescent="0.2">
      <c r="A6" s="32" t="s">
        <v>468</v>
      </c>
    </row>
    <row r="7" spans="1:1" ht="25.5" x14ac:dyDescent="0.2">
      <c r="A7" s="32" t="s">
        <v>510</v>
      </c>
    </row>
    <row r="8" spans="1:1" x14ac:dyDescent="0.2">
      <c r="A8" s="32" t="s">
        <v>469</v>
      </c>
    </row>
    <row r="10" spans="1:1" x14ac:dyDescent="0.2">
      <c r="A10" s="31" t="s">
        <v>474</v>
      </c>
    </row>
    <row r="11" spans="1:1" ht="25.5" x14ac:dyDescent="0.2">
      <c r="A11" s="32" t="s">
        <v>553</v>
      </c>
    </row>
    <row r="12" spans="1:1" ht="27" customHeight="1" x14ac:dyDescent="0.2">
      <c r="A12" s="32" t="s">
        <v>554</v>
      </c>
    </row>
    <row r="13" spans="1:1" x14ac:dyDescent="0.2">
      <c r="A13" s="32" t="s">
        <v>446</v>
      </c>
    </row>
    <row r="14" spans="1:1" x14ac:dyDescent="0.2">
      <c r="A14" s="32" t="s">
        <v>526</v>
      </c>
    </row>
    <row r="15" spans="1:1" ht="38.25" x14ac:dyDescent="0.2">
      <c r="A15" s="32" t="s">
        <v>527</v>
      </c>
    </row>
    <row r="16" spans="1:1" x14ac:dyDescent="0.2">
      <c r="A16" s="32" t="s">
        <v>528</v>
      </c>
    </row>
    <row r="17" spans="1:1" x14ac:dyDescent="0.2">
      <c r="A17" s="32" t="s">
        <v>597</v>
      </c>
    </row>
    <row r="18" spans="1:1" x14ac:dyDescent="0.2">
      <c r="A18" s="29"/>
    </row>
    <row r="19" spans="1:1" x14ac:dyDescent="0.2">
      <c r="A19" s="31" t="s">
        <v>447</v>
      </c>
    </row>
    <row r="20" spans="1:1" x14ac:dyDescent="0.2">
      <c r="A20" s="30" t="s">
        <v>448</v>
      </c>
    </row>
    <row r="21" spans="1:1" x14ac:dyDescent="0.2">
      <c r="A21" s="32" t="s">
        <v>449</v>
      </c>
    </row>
    <row r="22" spans="1:1" ht="25.5" x14ac:dyDescent="0.2">
      <c r="A22" s="32" t="s">
        <v>511</v>
      </c>
    </row>
    <row r="23" spans="1:1" ht="25.5" x14ac:dyDescent="0.2">
      <c r="A23" s="32" t="s">
        <v>523</v>
      </c>
    </row>
    <row r="24" spans="1:1" x14ac:dyDescent="0.2">
      <c r="A24" s="32" t="s">
        <v>505</v>
      </c>
    </row>
    <row r="25" spans="1:1" ht="25.5" x14ac:dyDescent="0.2">
      <c r="A25" s="32" t="s">
        <v>529</v>
      </c>
    </row>
    <row r="26" spans="1:1" x14ac:dyDescent="0.2">
      <c r="A26" s="30" t="s">
        <v>450</v>
      </c>
    </row>
    <row r="27" spans="1:1" x14ac:dyDescent="0.2">
      <c r="A27" s="32" t="s">
        <v>449</v>
      </c>
    </row>
    <row r="28" spans="1:1" x14ac:dyDescent="0.2">
      <c r="A28" s="32" t="s">
        <v>451</v>
      </c>
    </row>
    <row r="29" spans="1:1" x14ac:dyDescent="0.2">
      <c r="A29" s="32" t="s">
        <v>452</v>
      </c>
    </row>
    <row r="30" spans="1:1" x14ac:dyDescent="0.2">
      <c r="A30" s="32" t="s">
        <v>505</v>
      </c>
    </row>
    <row r="31" spans="1:1" x14ac:dyDescent="0.2">
      <c r="A31" s="30" t="s">
        <v>390</v>
      </c>
    </row>
    <row r="32" spans="1:1" x14ac:dyDescent="0.2">
      <c r="A32" s="32" t="s">
        <v>453</v>
      </c>
    </row>
    <row r="33" spans="1:1" x14ac:dyDescent="0.2">
      <c r="A33" s="32" t="s">
        <v>454</v>
      </c>
    </row>
    <row r="34" spans="1:1" x14ac:dyDescent="0.2">
      <c r="A34" s="32" t="s">
        <v>455</v>
      </c>
    </row>
    <row r="35" spans="1:1" x14ac:dyDescent="0.2">
      <c r="A35" s="30" t="s">
        <v>456</v>
      </c>
    </row>
    <row r="36" spans="1:1" x14ac:dyDescent="0.2">
      <c r="A36" s="32" t="s">
        <v>543</v>
      </c>
    </row>
    <row r="37" spans="1:1" x14ac:dyDescent="0.2">
      <c r="A37" s="32" t="s">
        <v>457</v>
      </c>
    </row>
    <row r="39" spans="1:1" x14ac:dyDescent="0.2">
      <c r="A39" s="31" t="s">
        <v>458</v>
      </c>
    </row>
    <row r="40" spans="1:1" x14ac:dyDescent="0.2">
      <c r="A40" s="30" t="s">
        <v>428</v>
      </c>
    </row>
    <row r="41" spans="1:1" x14ac:dyDescent="0.2">
      <c r="A41" s="32" t="s">
        <v>449</v>
      </c>
    </row>
    <row r="42" spans="1:1" x14ac:dyDescent="0.2">
      <c r="A42" s="32" t="s">
        <v>459</v>
      </c>
    </row>
    <row r="43" spans="1:1" x14ac:dyDescent="0.2">
      <c r="A43" s="30" t="s">
        <v>360</v>
      </c>
    </row>
    <row r="44" spans="1:1" x14ac:dyDescent="0.2">
      <c r="A44" s="32" t="s">
        <v>460</v>
      </c>
    </row>
    <row r="45" spans="1:1" x14ac:dyDescent="0.2">
      <c r="A45" s="32" t="s">
        <v>461</v>
      </c>
    </row>
    <row r="46" spans="1:1" x14ac:dyDescent="0.2">
      <c r="A46" s="32" t="s">
        <v>506</v>
      </c>
    </row>
    <row r="48" spans="1:1" x14ac:dyDescent="0.2">
      <c r="A48" s="31" t="s">
        <v>376</v>
      </c>
    </row>
    <row r="49" spans="1:1" x14ac:dyDescent="0.2">
      <c r="A49" s="32" t="s">
        <v>507</v>
      </c>
    </row>
    <row r="50" spans="1:1" x14ac:dyDescent="0.2">
      <c r="A50" s="32" t="s">
        <v>463</v>
      </c>
    </row>
    <row r="51" spans="1:1" x14ac:dyDescent="0.2">
      <c r="A51" s="32" t="s">
        <v>464</v>
      </c>
    </row>
    <row r="52" spans="1:1" x14ac:dyDescent="0.2">
      <c r="A52" s="32" t="s">
        <v>462</v>
      </c>
    </row>
    <row r="54" spans="1:1" x14ac:dyDescent="0.2">
      <c r="A54" s="31" t="s">
        <v>466</v>
      </c>
    </row>
    <row r="55" spans="1:1" x14ac:dyDescent="0.2">
      <c r="A55" s="32" t="s">
        <v>465</v>
      </c>
    </row>
    <row r="56" spans="1:1" x14ac:dyDescent="0.2">
      <c r="A56" s="32" t="s">
        <v>508</v>
      </c>
    </row>
    <row r="57" spans="1:1" x14ac:dyDescent="0.2">
      <c r="A57" s="32" t="s">
        <v>467</v>
      </c>
    </row>
    <row r="58" spans="1:1" x14ac:dyDescent="0.2">
      <c r="A58" s="32" t="s">
        <v>509</v>
      </c>
    </row>
    <row r="60" spans="1:1" x14ac:dyDescent="0.2">
      <c r="A60" s="65"/>
    </row>
  </sheetData>
  <phoneticPr fontId="0" type="noConversion"/>
  <pageMargins left="0.7" right="0.7" top="0.75" bottom="0.75" header="0.3" footer="0.3"/>
  <pageSetup scale="79" fitToWidth="0" orientation="portrait" r:id="rId1"/>
  <headerFooter>
    <oddFooter>&amp;L&amp;Z&amp;F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V447"/>
  <sheetViews>
    <sheetView tabSelected="1" zoomScaleNormal="100" workbookViewId="0">
      <selection activeCell="B10" sqref="B10:C10"/>
    </sheetView>
  </sheetViews>
  <sheetFormatPr defaultRowHeight="12.75" x14ac:dyDescent="0.2"/>
  <cols>
    <col min="1" max="1" width="14.42578125" style="2" customWidth="1"/>
    <col min="2" max="2" width="14.28515625" style="2" bestFit="1" customWidth="1"/>
    <col min="3" max="3" width="15.5703125" style="2" bestFit="1" customWidth="1"/>
    <col min="4" max="4" width="16" style="2" bestFit="1" customWidth="1"/>
    <col min="5" max="5" width="15.42578125" style="2" customWidth="1"/>
    <col min="6" max="6" width="14" style="2" customWidth="1"/>
    <col min="7" max="7" width="12.7109375" style="2" customWidth="1"/>
    <col min="8" max="9" width="8.140625" style="2" customWidth="1"/>
    <col min="10" max="11" width="9.140625" style="2"/>
    <col min="12" max="12" width="46.7109375" style="2" hidden="1" customWidth="1"/>
    <col min="13" max="13" width="15.5703125" style="2" hidden="1" customWidth="1"/>
    <col min="14" max="14" width="11.85546875" style="2" hidden="1" customWidth="1"/>
    <col min="15" max="15" width="5" style="2" hidden="1" customWidth="1"/>
    <col min="16" max="16" width="41.140625" style="2" hidden="1" customWidth="1"/>
    <col min="17" max="17" width="6" style="2" hidden="1" customWidth="1"/>
    <col min="18" max="18" width="3" style="2" hidden="1" customWidth="1"/>
    <col min="19" max="19" width="9.140625" style="2" hidden="1" customWidth="1"/>
    <col min="20" max="20" width="43.42578125" style="2" hidden="1" customWidth="1"/>
    <col min="21" max="21" width="7" style="2" hidden="1" customWidth="1"/>
    <col min="22" max="22" width="3" style="2" hidden="1" customWidth="1"/>
    <col min="23" max="16384" width="9.140625" style="2"/>
  </cols>
  <sheetData>
    <row r="1" spans="1:8" ht="12.75" customHeight="1" x14ac:dyDescent="0.2">
      <c r="A1" s="5"/>
      <c r="B1" s="5"/>
      <c r="C1" s="5"/>
      <c r="D1" s="5"/>
      <c r="E1" s="5"/>
      <c r="F1" s="108" t="s">
        <v>656</v>
      </c>
      <c r="G1" s="108"/>
    </row>
    <row r="2" spans="1:8" ht="12.75" customHeight="1" x14ac:dyDescent="0.2">
      <c r="A2" s="66"/>
      <c r="B2" s="66"/>
      <c r="C2" s="66"/>
      <c r="D2" s="66"/>
      <c r="E2" s="66"/>
      <c r="F2" s="108"/>
      <c r="G2" s="108"/>
      <c r="H2" s="3"/>
    </row>
    <row r="3" spans="1:8" ht="7.5" customHeight="1" x14ac:dyDescent="0.2">
      <c r="A3" s="109" t="s">
        <v>380</v>
      </c>
      <c r="B3" s="109"/>
      <c r="C3" s="109"/>
      <c r="D3" s="109"/>
      <c r="E3" s="109"/>
      <c r="F3" s="109"/>
      <c r="G3" s="109"/>
      <c r="H3" s="3"/>
    </row>
    <row r="4" spans="1:8" ht="12.75" customHeight="1" x14ac:dyDescent="0.2">
      <c r="A4" s="109"/>
      <c r="B4" s="109"/>
      <c r="C4" s="109"/>
      <c r="D4" s="109"/>
      <c r="E4" s="109"/>
      <c r="F4" s="109"/>
      <c r="G4" s="109"/>
      <c r="H4" s="4"/>
    </row>
    <row r="5" spans="1:8" ht="6" customHeight="1" x14ac:dyDescent="0.2">
      <c r="A5" s="47"/>
      <c r="B5" s="47"/>
      <c r="C5" s="47"/>
      <c r="D5" s="47"/>
      <c r="E5" s="47"/>
      <c r="F5" s="47"/>
      <c r="G5" s="47"/>
      <c r="H5" s="4"/>
    </row>
    <row r="6" spans="1:8" x14ac:dyDescent="0.2">
      <c r="A6" s="76" t="s">
        <v>381</v>
      </c>
      <c r="B6" s="76"/>
      <c r="C6" s="76" t="s">
        <v>409</v>
      </c>
      <c r="D6" s="76"/>
      <c r="E6" s="76"/>
      <c r="F6" s="76"/>
      <c r="G6" s="5"/>
    </row>
    <row r="7" spans="1:8" ht="6" customHeight="1" x14ac:dyDescent="0.2">
      <c r="A7" s="48"/>
      <c r="B7" s="48"/>
      <c r="C7" s="48"/>
      <c r="D7" s="48"/>
      <c r="E7" s="48"/>
      <c r="F7" s="48"/>
      <c r="G7" s="5"/>
    </row>
    <row r="8" spans="1:8" x14ac:dyDescent="0.2">
      <c r="A8" s="77" t="s">
        <v>470</v>
      </c>
      <c r="B8" s="77"/>
      <c r="C8" s="77"/>
      <c r="D8" s="77"/>
      <c r="E8" s="77"/>
      <c r="F8" s="77"/>
      <c r="G8" s="77"/>
    </row>
    <row r="9" spans="1:8" ht="6" customHeight="1" x14ac:dyDescent="0.2">
      <c r="A9" s="35"/>
      <c r="B9" s="35"/>
      <c r="C9" s="35"/>
      <c r="D9" s="35"/>
      <c r="E9" s="35"/>
      <c r="F9" s="35"/>
      <c r="G9" s="35"/>
    </row>
    <row r="10" spans="1:8" x14ac:dyDescent="0.2">
      <c r="A10" s="6" t="s">
        <v>14</v>
      </c>
      <c r="B10" s="73"/>
      <c r="C10" s="74"/>
      <c r="D10" s="6" t="s">
        <v>18</v>
      </c>
      <c r="E10" s="16">
        <f ca="1">TODAY()</f>
        <v>41600</v>
      </c>
      <c r="F10" s="5"/>
      <c r="G10" s="5"/>
    </row>
    <row r="11" spans="1:8" x14ac:dyDescent="0.2">
      <c r="A11" s="6" t="s">
        <v>15</v>
      </c>
      <c r="B11" s="73"/>
      <c r="C11" s="74"/>
      <c r="D11" s="6" t="s">
        <v>384</v>
      </c>
      <c r="E11" s="75"/>
      <c r="F11" s="75"/>
      <c r="G11" s="7"/>
    </row>
    <row r="12" spans="1:8" x14ac:dyDescent="0.2">
      <c r="A12" s="6" t="s">
        <v>16</v>
      </c>
      <c r="B12" s="67"/>
      <c r="C12" s="22" t="s">
        <v>394</v>
      </c>
      <c r="D12" s="6" t="s">
        <v>17</v>
      </c>
      <c r="E12" s="75"/>
      <c r="F12" s="75"/>
      <c r="G12" s="75"/>
    </row>
    <row r="13" spans="1:8" x14ac:dyDescent="0.2">
      <c r="A13" s="6" t="s">
        <v>512</v>
      </c>
      <c r="B13" s="68"/>
      <c r="C13" s="22" t="s">
        <v>596</v>
      </c>
      <c r="D13" s="6" t="s">
        <v>19</v>
      </c>
      <c r="E13" s="82"/>
      <c r="F13" s="83"/>
      <c r="G13" s="84"/>
    </row>
    <row r="14" spans="1:8" x14ac:dyDescent="0.2">
      <c r="A14" s="6" t="s">
        <v>576</v>
      </c>
      <c r="B14" s="73"/>
      <c r="C14" s="74"/>
      <c r="D14" s="6" t="s">
        <v>20</v>
      </c>
      <c r="E14" s="82"/>
      <c r="F14" s="83"/>
      <c r="G14" s="84"/>
    </row>
    <row r="15" spans="1:8" x14ac:dyDescent="0.2">
      <c r="A15" s="6" t="s">
        <v>577</v>
      </c>
      <c r="B15" s="87"/>
      <c r="C15" s="75"/>
      <c r="D15" s="6" t="s">
        <v>572</v>
      </c>
      <c r="E15" s="67"/>
      <c r="F15" s="6" t="s">
        <v>574</v>
      </c>
      <c r="G15" s="62">
        <f>(E15/VLOOKUP(E13,L:O,4,FALSE))</f>
        <v>0</v>
      </c>
    </row>
    <row r="16" spans="1:8" ht="6" customHeight="1" x14ac:dyDescent="0.2">
      <c r="A16" s="5"/>
      <c r="B16" s="5"/>
      <c r="C16" s="5"/>
      <c r="D16" s="5"/>
      <c r="E16" s="5"/>
      <c r="F16" s="5"/>
      <c r="G16" s="5"/>
    </row>
    <row r="17" spans="1:7" x14ac:dyDescent="0.2">
      <c r="A17" s="85" t="s">
        <v>387</v>
      </c>
      <c r="B17" s="85"/>
      <c r="C17" s="85"/>
      <c r="D17" s="85"/>
      <c r="E17" s="85"/>
      <c r="F17" s="85"/>
      <c r="G17" s="85"/>
    </row>
    <row r="18" spans="1:7" ht="6" customHeight="1" x14ac:dyDescent="0.2">
      <c r="A18" s="20"/>
      <c r="B18" s="20"/>
      <c r="C18" s="20"/>
      <c r="D18" s="20"/>
      <c r="E18" s="20"/>
      <c r="F18" s="20"/>
      <c r="G18" s="20"/>
    </row>
    <row r="19" spans="1:7" x14ac:dyDescent="0.2">
      <c r="A19" s="78" t="s">
        <v>424</v>
      </c>
      <c r="B19" s="17"/>
      <c r="C19" s="38"/>
      <c r="D19" s="25"/>
      <c r="E19" s="25"/>
      <c r="F19" s="79"/>
      <c r="G19" s="81"/>
    </row>
    <row r="20" spans="1:7" x14ac:dyDescent="0.2">
      <c r="A20" s="78"/>
      <c r="B20" s="9" t="s">
        <v>362</v>
      </c>
      <c r="C20" s="9" t="s">
        <v>363</v>
      </c>
      <c r="D20" s="9" t="s">
        <v>364</v>
      </c>
      <c r="E20" s="9" t="s">
        <v>382</v>
      </c>
      <c r="F20" s="86" t="s">
        <v>395</v>
      </c>
      <c r="G20" s="86"/>
    </row>
    <row r="21" spans="1:7" ht="12" customHeight="1" x14ac:dyDescent="0.2">
      <c r="A21" s="36"/>
      <c r="B21" s="39" t="s">
        <v>517</v>
      </c>
      <c r="C21" s="9"/>
      <c r="D21" s="9"/>
      <c r="E21" s="9"/>
      <c r="F21" s="9"/>
      <c r="G21" s="5"/>
    </row>
    <row r="22" spans="1:7" ht="6" customHeight="1" x14ac:dyDescent="0.2">
      <c r="A22" s="36"/>
      <c r="B22" s="9"/>
      <c r="C22" s="9"/>
      <c r="D22" s="9"/>
      <c r="E22" s="9"/>
      <c r="F22" s="9"/>
      <c r="G22" s="5"/>
    </row>
    <row r="23" spans="1:7" ht="12.75" customHeight="1" x14ac:dyDescent="0.2">
      <c r="A23" s="78" t="s">
        <v>388</v>
      </c>
      <c r="B23" s="17"/>
      <c r="C23" s="38"/>
      <c r="D23" s="25"/>
      <c r="E23" s="88"/>
      <c r="F23" s="88"/>
      <c r="G23" s="88"/>
    </row>
    <row r="24" spans="1:7" x14ac:dyDescent="0.2">
      <c r="A24" s="78"/>
      <c r="B24" s="9" t="s">
        <v>362</v>
      </c>
      <c r="C24" s="9" t="s">
        <v>363</v>
      </c>
      <c r="D24" s="9" t="s">
        <v>364</v>
      </c>
      <c r="E24" s="9" t="s">
        <v>393</v>
      </c>
      <c r="F24" s="9"/>
      <c r="G24" s="5"/>
    </row>
    <row r="25" spans="1:7" x14ac:dyDescent="0.2">
      <c r="A25" s="36"/>
      <c r="B25" s="79"/>
      <c r="C25" s="81"/>
      <c r="D25" s="79"/>
      <c r="E25" s="81"/>
      <c r="F25" s="9"/>
      <c r="G25" s="5"/>
    </row>
    <row r="26" spans="1:7" x14ac:dyDescent="0.2">
      <c r="A26" s="36"/>
      <c r="B26" s="86" t="s">
        <v>395</v>
      </c>
      <c r="C26" s="86"/>
      <c r="D26" s="9" t="s">
        <v>521</v>
      </c>
      <c r="E26" s="9"/>
      <c r="F26" s="9"/>
      <c r="G26" s="5"/>
    </row>
    <row r="27" spans="1:7" ht="6" customHeight="1" x14ac:dyDescent="0.2">
      <c r="A27" s="36"/>
      <c r="B27" s="9"/>
      <c r="C27" s="9"/>
      <c r="D27" s="9"/>
      <c r="E27" s="9"/>
      <c r="F27" s="9"/>
      <c r="G27" s="5"/>
    </row>
    <row r="28" spans="1:7" x14ac:dyDescent="0.2">
      <c r="A28" s="78" t="s">
        <v>389</v>
      </c>
      <c r="B28" s="25"/>
      <c r="C28" s="40"/>
      <c r="D28" s="79"/>
      <c r="E28" s="80"/>
      <c r="F28" s="80"/>
      <c r="G28" s="81"/>
    </row>
    <row r="29" spans="1:7" x14ac:dyDescent="0.2">
      <c r="A29" s="78"/>
      <c r="B29" s="9" t="s">
        <v>364</v>
      </c>
      <c r="C29" s="9" t="s">
        <v>382</v>
      </c>
      <c r="D29" s="9" t="s">
        <v>3</v>
      </c>
      <c r="E29" s="9"/>
      <c r="F29" s="9"/>
      <c r="G29" s="5"/>
    </row>
    <row r="30" spans="1:7" ht="6" customHeight="1" x14ac:dyDescent="0.2">
      <c r="A30" s="5"/>
      <c r="B30" s="5"/>
      <c r="C30" s="5"/>
      <c r="D30" s="5"/>
      <c r="E30" s="20"/>
      <c r="F30" s="20"/>
      <c r="G30" s="5"/>
    </row>
    <row r="31" spans="1:7" x14ac:dyDescent="0.2">
      <c r="A31" s="78" t="s">
        <v>425</v>
      </c>
      <c r="B31" s="25"/>
      <c r="C31" s="113"/>
      <c r="D31" s="114"/>
      <c r="E31" s="115"/>
      <c r="F31" s="26"/>
      <c r="G31" s="5"/>
    </row>
    <row r="32" spans="1:7" x14ac:dyDescent="0.2">
      <c r="A32" s="78"/>
      <c r="B32" s="9" t="s">
        <v>382</v>
      </c>
      <c r="C32" s="9" t="s">
        <v>3</v>
      </c>
      <c r="D32" s="5"/>
      <c r="E32" s="5"/>
      <c r="F32" s="5"/>
      <c r="G32" s="5"/>
    </row>
    <row r="33" spans="1:7" ht="6" customHeight="1" x14ac:dyDescent="0.2">
      <c r="A33" s="5"/>
      <c r="B33" s="9"/>
      <c r="C33" s="9"/>
      <c r="D33" s="5"/>
      <c r="E33" s="5"/>
      <c r="F33" s="5"/>
      <c r="G33" s="5"/>
    </row>
    <row r="34" spans="1:7" x14ac:dyDescent="0.2">
      <c r="A34" s="85" t="s">
        <v>392</v>
      </c>
      <c r="B34" s="85"/>
      <c r="C34" s="85"/>
      <c r="D34" s="85"/>
      <c r="E34" s="85"/>
      <c r="F34" s="85"/>
      <c r="G34" s="85"/>
    </row>
    <row r="35" spans="1:7" ht="6" customHeight="1" x14ac:dyDescent="0.2">
      <c r="A35" s="20"/>
      <c r="B35" s="20"/>
      <c r="C35" s="20"/>
      <c r="D35" s="20"/>
      <c r="E35" s="20"/>
      <c r="F35" s="20"/>
      <c r="G35" s="20"/>
    </row>
    <row r="36" spans="1:7" x14ac:dyDescent="0.2">
      <c r="A36" s="6" t="s">
        <v>391</v>
      </c>
      <c r="B36" s="17"/>
      <c r="C36" s="38"/>
      <c r="D36" s="17"/>
      <c r="E36" s="38"/>
      <c r="F36" s="25"/>
      <c r="G36" s="5"/>
    </row>
    <row r="37" spans="1:7" x14ac:dyDescent="0.2">
      <c r="A37" s="10"/>
      <c r="B37" s="9" t="s">
        <v>396</v>
      </c>
      <c r="C37" s="9" t="s">
        <v>363</v>
      </c>
      <c r="D37" s="9" t="s">
        <v>397</v>
      </c>
      <c r="E37" s="9" t="s">
        <v>363</v>
      </c>
      <c r="F37" s="9" t="s">
        <v>364</v>
      </c>
      <c r="G37" s="5"/>
    </row>
    <row r="38" spans="1:7" ht="6" customHeight="1" x14ac:dyDescent="0.2">
      <c r="A38" s="10"/>
      <c r="B38" s="9"/>
      <c r="C38" s="9"/>
      <c r="D38" s="9"/>
      <c r="E38" s="9"/>
      <c r="F38" s="9"/>
      <c r="G38" s="5"/>
    </row>
    <row r="39" spans="1:7" x14ac:dyDescent="0.2">
      <c r="A39" s="78" t="s">
        <v>406</v>
      </c>
      <c r="B39" s="17"/>
      <c r="C39" s="25"/>
      <c r="D39" s="116" t="s">
        <v>515</v>
      </c>
      <c r="E39" s="117"/>
      <c r="F39" s="117"/>
      <c r="G39" s="5"/>
    </row>
    <row r="40" spans="1:7" x14ac:dyDescent="0.2">
      <c r="A40" s="78"/>
      <c r="B40" s="9" t="s">
        <v>365</v>
      </c>
      <c r="C40" s="9" t="s">
        <v>366</v>
      </c>
      <c r="D40" s="34" t="s">
        <v>472</v>
      </c>
      <c r="E40" s="5"/>
      <c r="F40" s="5"/>
      <c r="G40" s="5"/>
    </row>
    <row r="41" spans="1:7" x14ac:dyDescent="0.2">
      <c r="A41" s="36"/>
      <c r="B41" s="118" t="s">
        <v>513</v>
      </c>
      <c r="C41" s="118"/>
      <c r="D41" s="118"/>
      <c r="E41" s="118"/>
      <c r="F41" s="118"/>
      <c r="G41" s="118"/>
    </row>
    <row r="42" spans="1:7" ht="6" customHeight="1" x14ac:dyDescent="0.2">
      <c r="A42" s="11"/>
      <c r="B42" s="12"/>
      <c r="C42" s="12"/>
      <c r="D42" s="11"/>
      <c r="E42" s="11"/>
      <c r="F42" s="11"/>
      <c r="G42" s="11"/>
    </row>
    <row r="43" spans="1:7" ht="6" customHeight="1" x14ac:dyDescent="0.2">
      <c r="A43" s="20"/>
      <c r="B43" s="12"/>
      <c r="C43" s="12"/>
      <c r="D43" s="11"/>
      <c r="E43" s="11"/>
      <c r="F43" s="11"/>
      <c r="G43" s="20"/>
    </row>
    <row r="44" spans="1:7" x14ac:dyDescent="0.2">
      <c r="A44" s="5"/>
      <c r="B44" s="119" t="s">
        <v>376</v>
      </c>
      <c r="C44" s="119"/>
      <c r="D44" s="119"/>
      <c r="E44" s="119"/>
      <c r="F44" s="119"/>
      <c r="G44" s="5"/>
    </row>
    <row r="45" spans="1:7" x14ac:dyDescent="0.2">
      <c r="A45" s="5"/>
      <c r="B45" s="13" t="s">
        <v>367</v>
      </c>
      <c r="C45" s="13" t="s">
        <v>368</v>
      </c>
      <c r="D45" s="13" t="s">
        <v>369</v>
      </c>
      <c r="E45" s="13" t="s">
        <v>370</v>
      </c>
      <c r="F45" s="13" t="s">
        <v>371</v>
      </c>
      <c r="G45" s="5"/>
    </row>
    <row r="46" spans="1:7" x14ac:dyDescent="0.2">
      <c r="A46" s="120" t="s">
        <v>383</v>
      </c>
      <c r="B46" s="69"/>
      <c r="C46" s="70"/>
      <c r="D46" s="70"/>
      <c r="E46" s="71" t="str">
        <f>IF(OR(B46="110000",B46=0),VLOOKUP(C46,Q:R,2,FALSE),IF(COUNTIF(U:U,B46)&gt;0,VLOOKUP(B46,U:V,2,FALSE),VLOOKUP(C46,Q:R,2,FALSE)))</f>
        <v/>
      </c>
      <c r="F46" s="72"/>
      <c r="G46" s="27" t="e">
        <f>VLOOKUP($D46,$L$165:$M$176,2,FALSE)</f>
        <v>#N/A</v>
      </c>
    </row>
    <row r="47" spans="1:7" x14ac:dyDescent="0.2">
      <c r="A47" s="120"/>
      <c r="B47" s="69"/>
      <c r="C47" s="70"/>
      <c r="D47" s="70"/>
      <c r="E47" s="71" t="str">
        <f>IF(OR(B47="110000",B47=0),VLOOKUP(C47,Q:R,2,FALSE),IF(COUNTIF(U:U,B47)&gt;0,VLOOKUP(B47,U:V,2,FALSE),VLOOKUP(C47,Q:R,2,FALSE)))</f>
        <v/>
      </c>
      <c r="F47" s="72"/>
      <c r="G47" s="27" t="e">
        <f>VLOOKUP($D47,$L$165:$M$176,2,FALSE)</f>
        <v>#N/A</v>
      </c>
    </row>
    <row r="48" spans="1:7" x14ac:dyDescent="0.2">
      <c r="A48" s="120"/>
      <c r="B48" s="69"/>
      <c r="C48" s="70"/>
      <c r="D48" s="70"/>
      <c r="E48" s="71" t="str">
        <f>IF(OR(B48="110000",B48=0),VLOOKUP(C48,Q:R,2,FALSE),IF(COUNTIF(U:U,B48)&gt;0,VLOOKUP(B48,U:V,2,FALSE),VLOOKUP(C48,Q:R,2,FALSE)))</f>
        <v/>
      </c>
      <c r="F48" s="72"/>
      <c r="G48" s="27" t="e">
        <f>VLOOKUP($D48,$L$165:$M$176,2,FALSE)</f>
        <v>#N/A</v>
      </c>
    </row>
    <row r="49" spans="1:7" x14ac:dyDescent="0.2">
      <c r="A49" s="120"/>
      <c r="B49" s="70"/>
      <c r="C49" s="70"/>
      <c r="D49" s="70"/>
      <c r="E49" s="71" t="str">
        <f>IF(OR(B49="110000",B49=0),VLOOKUP(C49,Q:R,2,FALSE),IF(COUNTIF(U:U,B49)&gt;0,VLOOKUP(B49,U:V,2,FALSE),VLOOKUP(C49,Q:R,2,FALSE)))</f>
        <v/>
      </c>
      <c r="F49" s="72"/>
      <c r="G49" s="27" t="e">
        <f>VLOOKUP($D49,$L$165:$M$176,2,FALSE)</f>
        <v>#N/A</v>
      </c>
    </row>
    <row r="50" spans="1:7" x14ac:dyDescent="0.2">
      <c r="A50" s="5"/>
      <c r="B50" s="14"/>
      <c r="C50" s="14"/>
      <c r="D50" s="14"/>
      <c r="E50" s="18" t="s">
        <v>372</v>
      </c>
      <c r="F50" s="19">
        <f>SUM(F46:F49)</f>
        <v>0</v>
      </c>
      <c r="G50" s="5"/>
    </row>
    <row r="51" spans="1:7" ht="6" customHeight="1" x14ac:dyDescent="0.2">
      <c r="A51" s="11"/>
      <c r="B51" s="11"/>
      <c r="C51" s="11"/>
      <c r="D51" s="11"/>
      <c r="E51" s="11"/>
      <c r="F51" s="11"/>
      <c r="G51" s="11"/>
    </row>
    <row r="52" spans="1:7" ht="6" customHeight="1" x14ac:dyDescent="0.2">
      <c r="A52" s="5"/>
      <c r="B52" s="5"/>
      <c r="C52" s="5"/>
      <c r="D52" s="5"/>
      <c r="E52" s="5"/>
      <c r="F52" s="5"/>
      <c r="G52" s="5"/>
    </row>
    <row r="53" spans="1:7" x14ac:dyDescent="0.2">
      <c r="A53" s="6" t="s">
        <v>373</v>
      </c>
      <c r="B53" s="87"/>
      <c r="C53" s="75"/>
      <c r="D53" s="6" t="s">
        <v>374</v>
      </c>
      <c r="E53" s="104"/>
      <c r="F53" s="105"/>
      <c r="G53" s="5"/>
    </row>
    <row r="54" spans="1:7" x14ac:dyDescent="0.2">
      <c r="A54" s="5"/>
      <c r="B54" s="106" t="s">
        <v>473</v>
      </c>
      <c r="C54" s="106"/>
      <c r="D54" s="6" t="s">
        <v>375</v>
      </c>
      <c r="E54" s="75"/>
      <c r="F54" s="75"/>
      <c r="G54" s="5"/>
    </row>
    <row r="55" spans="1:7" x14ac:dyDescent="0.2">
      <c r="A55" s="5"/>
      <c r="B55" s="107"/>
      <c r="C55" s="107"/>
      <c r="D55" s="5"/>
      <c r="E55" s="5"/>
      <c r="F55" s="5"/>
      <c r="G55" s="5"/>
    </row>
    <row r="56" spans="1:7" x14ac:dyDescent="0.2">
      <c r="A56" s="6" t="s">
        <v>0</v>
      </c>
      <c r="B56" s="89"/>
      <c r="C56" s="90"/>
      <c r="D56" s="90"/>
      <c r="E56" s="90"/>
      <c r="F56" s="90"/>
      <c r="G56" s="91"/>
    </row>
    <row r="57" spans="1:7" x14ac:dyDescent="0.2">
      <c r="A57" s="5"/>
      <c r="B57" s="92"/>
      <c r="C57" s="93"/>
      <c r="D57" s="93"/>
      <c r="E57" s="93"/>
      <c r="F57" s="93"/>
      <c r="G57" s="94"/>
    </row>
    <row r="58" spans="1:7" x14ac:dyDescent="0.2">
      <c r="A58" s="5"/>
      <c r="B58" s="92"/>
      <c r="C58" s="93"/>
      <c r="D58" s="93"/>
      <c r="E58" s="93"/>
      <c r="F58" s="93"/>
      <c r="G58" s="94"/>
    </row>
    <row r="59" spans="1:7" x14ac:dyDescent="0.2">
      <c r="A59" s="5"/>
      <c r="B59" s="95"/>
      <c r="C59" s="96"/>
      <c r="D59" s="96"/>
      <c r="E59" s="96"/>
      <c r="F59" s="96"/>
      <c r="G59" s="97"/>
    </row>
    <row r="60" spans="1:7" ht="6" customHeight="1" x14ac:dyDescent="0.2">
      <c r="A60" s="5"/>
      <c r="B60" s="42"/>
      <c r="C60" s="42"/>
      <c r="D60" s="42"/>
      <c r="E60" s="42"/>
      <c r="F60" s="42"/>
      <c r="G60" s="42"/>
    </row>
    <row r="61" spans="1:7" x14ac:dyDescent="0.2">
      <c r="A61" s="85" t="s">
        <v>516</v>
      </c>
      <c r="B61" s="85"/>
      <c r="C61" s="85"/>
      <c r="D61" s="85"/>
      <c r="E61" s="85"/>
      <c r="F61" s="85"/>
      <c r="G61" s="85"/>
    </row>
    <row r="62" spans="1:7" ht="15.75" x14ac:dyDescent="0.25">
      <c r="A62" s="6"/>
      <c r="B62" s="99" t="s">
        <v>2</v>
      </c>
      <c r="C62" s="99"/>
      <c r="D62" s="100" t="s">
        <v>398</v>
      </c>
      <c r="E62" s="100"/>
      <c r="F62" s="101" t="s">
        <v>524</v>
      </c>
      <c r="G62" s="101"/>
    </row>
    <row r="63" spans="1:7" x14ac:dyDescent="0.2">
      <c r="A63" s="6" t="s">
        <v>514</v>
      </c>
      <c r="B63" s="87"/>
      <c r="C63" s="75"/>
      <c r="D63" s="87"/>
      <c r="E63" s="75"/>
      <c r="F63" s="87"/>
      <c r="G63" s="75"/>
    </row>
    <row r="64" spans="1:7" x14ac:dyDescent="0.2">
      <c r="A64" s="110" t="s">
        <v>680</v>
      </c>
      <c r="B64" s="112"/>
      <c r="C64" s="112"/>
      <c r="D64" s="112"/>
      <c r="E64" s="112"/>
      <c r="F64" s="112"/>
      <c r="G64" s="112"/>
    </row>
    <row r="65" spans="1:7" x14ac:dyDescent="0.2">
      <c r="A65" s="111"/>
      <c r="B65" s="112"/>
      <c r="C65" s="112"/>
      <c r="D65" s="112"/>
      <c r="E65" s="112"/>
      <c r="F65" s="112"/>
      <c r="G65" s="112"/>
    </row>
    <row r="66" spans="1:7" ht="6" customHeight="1" x14ac:dyDescent="0.2">
      <c r="A66" s="15"/>
      <c r="B66" s="37"/>
      <c r="C66" s="37"/>
      <c r="D66" s="37"/>
      <c r="E66" s="37"/>
      <c r="F66" s="37"/>
      <c r="G66" s="37"/>
    </row>
    <row r="67" spans="1:7" ht="13.15" customHeight="1" x14ac:dyDescent="0.2">
      <c r="A67" s="5"/>
      <c r="B67" s="5"/>
      <c r="C67" s="43"/>
      <c r="D67" s="102" t="s">
        <v>525</v>
      </c>
      <c r="E67" s="102"/>
      <c r="F67" s="102"/>
      <c r="G67" s="102"/>
    </row>
    <row r="68" spans="1:7" x14ac:dyDescent="0.2">
      <c r="A68" s="44"/>
      <c r="B68" s="45"/>
      <c r="C68" s="45"/>
      <c r="D68" s="103"/>
      <c r="E68" s="103"/>
      <c r="F68" s="103"/>
      <c r="G68" s="103"/>
    </row>
    <row r="69" spans="1:7" x14ac:dyDescent="0.2">
      <c r="A69" s="8"/>
      <c r="B69" s="98" t="s">
        <v>379</v>
      </c>
      <c r="C69" s="98"/>
      <c r="D69" s="8"/>
      <c r="E69" s="8"/>
      <c r="F69" s="8"/>
      <c r="G69" s="8"/>
    </row>
    <row r="70" spans="1:7" ht="6" customHeight="1" x14ac:dyDescent="0.2">
      <c r="A70" s="5"/>
      <c r="B70" s="5"/>
      <c r="C70" s="5"/>
      <c r="D70" s="5"/>
      <c r="E70" s="5"/>
      <c r="F70" s="5"/>
      <c r="G70" s="5"/>
    </row>
    <row r="71" spans="1:7" x14ac:dyDescent="0.2">
      <c r="A71" s="5"/>
      <c r="B71" s="9" t="s">
        <v>401</v>
      </c>
      <c r="C71" s="51" t="s">
        <v>403</v>
      </c>
      <c r="D71" s="52" t="s">
        <v>407</v>
      </c>
      <c r="E71" s="9" t="s">
        <v>402</v>
      </c>
      <c r="F71" s="9" t="s">
        <v>402</v>
      </c>
      <c r="G71" s="9"/>
    </row>
    <row r="72" spans="1:7" x14ac:dyDescent="0.2">
      <c r="A72" s="5"/>
      <c r="B72" s="24" t="s">
        <v>399</v>
      </c>
      <c r="C72" s="24" t="s">
        <v>404</v>
      </c>
      <c r="D72" s="24" t="s">
        <v>408</v>
      </c>
      <c r="E72" s="24" t="s">
        <v>400</v>
      </c>
      <c r="F72" s="24" t="s">
        <v>405</v>
      </c>
      <c r="G72" s="23"/>
    </row>
    <row r="73" spans="1:7" x14ac:dyDescent="0.2">
      <c r="A73" s="41"/>
      <c r="B73" s="41"/>
      <c r="C73" s="41"/>
      <c r="D73" s="41"/>
      <c r="E73" s="41"/>
      <c r="F73" s="41"/>
      <c r="G73" s="41"/>
    </row>
    <row r="86" spans="3:22" x14ac:dyDescent="0.2">
      <c r="C86" s="63"/>
    </row>
    <row r="89" spans="3:22" x14ac:dyDescent="0.2">
      <c r="C89" s="63"/>
    </row>
    <row r="90" spans="3:22" x14ac:dyDescent="0.2">
      <c r="L90" s="2">
        <v>0</v>
      </c>
      <c r="N90" s="49" t="s">
        <v>552</v>
      </c>
      <c r="O90" s="2">
        <v>37.5</v>
      </c>
      <c r="Q90" s="2">
        <v>0</v>
      </c>
      <c r="R90" s="49" t="s">
        <v>552</v>
      </c>
      <c r="U90" s="2">
        <v>0</v>
      </c>
      <c r="V90" s="49" t="s">
        <v>552</v>
      </c>
    </row>
    <row r="91" spans="3:22" x14ac:dyDescent="0.2">
      <c r="L91" s="2" t="s">
        <v>4</v>
      </c>
      <c r="M91" s="1" t="s">
        <v>12</v>
      </c>
      <c r="N91" s="49" t="s">
        <v>552</v>
      </c>
      <c r="O91" s="1">
        <v>37.5</v>
      </c>
      <c r="P91" t="s">
        <v>25</v>
      </c>
      <c r="Q91">
        <v>11110</v>
      </c>
      <c r="R91">
        <v>61</v>
      </c>
      <c r="T91" s="2" t="s">
        <v>623</v>
      </c>
      <c r="U91" s="2">
        <v>241004</v>
      </c>
      <c r="V91" s="2">
        <v>11</v>
      </c>
    </row>
    <row r="92" spans="3:22" x14ac:dyDescent="0.2">
      <c r="L92" s="2" t="s">
        <v>6</v>
      </c>
      <c r="M92" s="1" t="s">
        <v>361</v>
      </c>
      <c r="N92" s="1" t="s">
        <v>572</v>
      </c>
      <c r="O92" s="1">
        <v>37.5</v>
      </c>
      <c r="P92" t="s">
        <v>26</v>
      </c>
      <c r="Q92">
        <v>11120</v>
      </c>
      <c r="R92">
        <v>61</v>
      </c>
      <c r="T92" s="2" t="s">
        <v>659</v>
      </c>
      <c r="U92" s="2">
        <v>241006</v>
      </c>
      <c r="V92" s="2">
        <v>11</v>
      </c>
    </row>
    <row r="93" spans="3:22" x14ac:dyDescent="0.2">
      <c r="L93" s="2" t="s">
        <v>5</v>
      </c>
      <c r="M93" s="1" t="s">
        <v>12</v>
      </c>
      <c r="N93" s="1" t="s">
        <v>572</v>
      </c>
      <c r="O93" s="1">
        <v>37.5</v>
      </c>
      <c r="P93" t="s">
        <v>27</v>
      </c>
      <c r="Q93">
        <v>11130</v>
      </c>
      <c r="R93">
        <v>61</v>
      </c>
      <c r="T93" s="2" t="s">
        <v>624</v>
      </c>
      <c r="U93" s="2">
        <v>241014</v>
      </c>
      <c r="V93" s="2">
        <v>11</v>
      </c>
    </row>
    <row r="94" spans="3:22" x14ac:dyDescent="0.2">
      <c r="L94" s="2" t="s">
        <v>7</v>
      </c>
      <c r="M94" s="1" t="s">
        <v>361</v>
      </c>
      <c r="N94" s="49" t="s">
        <v>552</v>
      </c>
      <c r="O94" s="1">
        <v>37.5</v>
      </c>
      <c r="P94" t="s">
        <v>558</v>
      </c>
      <c r="Q94">
        <v>11140</v>
      </c>
      <c r="R94">
        <v>61</v>
      </c>
      <c r="T94" s="2" t="s">
        <v>660</v>
      </c>
      <c r="U94" s="2">
        <v>241016</v>
      </c>
      <c r="V94" s="2">
        <v>11</v>
      </c>
    </row>
    <row r="95" spans="3:22" x14ac:dyDescent="0.2">
      <c r="L95" s="2" t="s">
        <v>8</v>
      </c>
      <c r="M95" s="1" t="s">
        <v>361</v>
      </c>
      <c r="N95" s="49" t="s">
        <v>552</v>
      </c>
      <c r="O95" s="1">
        <v>35</v>
      </c>
      <c r="P95" t="s">
        <v>28</v>
      </c>
      <c r="Q95">
        <v>11210</v>
      </c>
      <c r="R95">
        <v>61</v>
      </c>
      <c r="T95" s="2" t="s">
        <v>625</v>
      </c>
      <c r="U95" s="2">
        <v>241023</v>
      </c>
      <c r="V95" s="2">
        <v>11</v>
      </c>
    </row>
    <row r="96" spans="3:22" x14ac:dyDescent="0.2">
      <c r="L96" s="1" t="s">
        <v>377</v>
      </c>
      <c r="M96" s="1" t="s">
        <v>361</v>
      </c>
      <c r="N96" s="1" t="s">
        <v>572</v>
      </c>
      <c r="O96" s="1">
        <v>35</v>
      </c>
      <c r="P96" t="s">
        <v>29</v>
      </c>
      <c r="Q96">
        <v>12110</v>
      </c>
      <c r="R96">
        <v>61</v>
      </c>
      <c r="T96" s="2" t="s">
        <v>661</v>
      </c>
      <c r="U96" s="2">
        <v>241025</v>
      </c>
      <c r="V96" s="2">
        <v>11</v>
      </c>
    </row>
    <row r="97" spans="12:22" x14ac:dyDescent="0.2">
      <c r="L97" s="2" t="s">
        <v>9</v>
      </c>
      <c r="M97" s="1" t="s">
        <v>12</v>
      </c>
      <c r="N97" s="49" t="s">
        <v>552</v>
      </c>
      <c r="O97" s="1">
        <v>37.5</v>
      </c>
      <c r="P97" t="s">
        <v>30</v>
      </c>
      <c r="Q97">
        <v>12120</v>
      </c>
      <c r="R97">
        <v>61</v>
      </c>
      <c r="T97" s="2" t="s">
        <v>626</v>
      </c>
      <c r="U97" s="2">
        <v>241053</v>
      </c>
      <c r="V97" s="2">
        <v>11</v>
      </c>
    </row>
    <row r="98" spans="12:22" x14ac:dyDescent="0.2">
      <c r="L98" s="1" t="s">
        <v>378</v>
      </c>
      <c r="M98" s="1" t="s">
        <v>12</v>
      </c>
      <c r="N98" s="49" t="s">
        <v>552</v>
      </c>
      <c r="O98" s="1">
        <v>37.5</v>
      </c>
      <c r="P98" t="s">
        <v>31</v>
      </c>
      <c r="Q98">
        <v>21110</v>
      </c>
      <c r="R98">
        <v>61</v>
      </c>
      <c r="T98" s="2" t="s">
        <v>662</v>
      </c>
      <c r="U98" s="2">
        <v>241055</v>
      </c>
      <c r="V98" s="2">
        <v>11</v>
      </c>
    </row>
    <row r="99" spans="12:22" x14ac:dyDescent="0.2">
      <c r="L99" s="2" t="s">
        <v>353</v>
      </c>
      <c r="M99" s="1" t="s">
        <v>11</v>
      </c>
      <c r="N99" s="1" t="s">
        <v>572</v>
      </c>
      <c r="O99" s="1">
        <v>40</v>
      </c>
      <c r="P99" t="s">
        <v>32</v>
      </c>
      <c r="Q99">
        <v>21120</v>
      </c>
      <c r="R99">
        <v>61</v>
      </c>
      <c r="T99" s="2" t="s">
        <v>663</v>
      </c>
      <c r="U99" s="2">
        <v>241059</v>
      </c>
      <c r="V99" s="2">
        <v>11</v>
      </c>
    </row>
    <row r="100" spans="12:22" x14ac:dyDescent="0.2">
      <c r="L100" s="2" t="s">
        <v>354</v>
      </c>
      <c r="M100" s="1" t="s">
        <v>11</v>
      </c>
      <c r="N100" s="1" t="s">
        <v>572</v>
      </c>
      <c r="O100" s="1">
        <v>40</v>
      </c>
      <c r="P100" t="s">
        <v>33</v>
      </c>
      <c r="Q100">
        <v>21130</v>
      </c>
      <c r="R100">
        <v>61</v>
      </c>
      <c r="T100" s="2" t="s">
        <v>627</v>
      </c>
      <c r="U100" s="2">
        <v>241062</v>
      </c>
      <c r="V100" s="2">
        <v>11</v>
      </c>
    </row>
    <row r="101" spans="12:22" x14ac:dyDescent="0.2">
      <c r="L101" s="2" t="s">
        <v>355</v>
      </c>
      <c r="M101" s="1" t="s">
        <v>11</v>
      </c>
      <c r="N101" s="1" t="s">
        <v>572</v>
      </c>
      <c r="O101" s="1">
        <v>40</v>
      </c>
      <c r="P101" t="s">
        <v>34</v>
      </c>
      <c r="Q101">
        <v>21140</v>
      </c>
      <c r="R101">
        <v>61</v>
      </c>
      <c r="T101" s="2" t="s">
        <v>628</v>
      </c>
      <c r="U101" s="2">
        <v>241068</v>
      </c>
      <c r="V101" s="2">
        <v>11</v>
      </c>
    </row>
    <row r="102" spans="12:22" x14ac:dyDescent="0.2">
      <c r="L102" s="2" t="s">
        <v>356</v>
      </c>
      <c r="M102" s="1" t="s">
        <v>11</v>
      </c>
      <c r="N102" s="1" t="s">
        <v>572</v>
      </c>
      <c r="O102" s="1">
        <v>40</v>
      </c>
      <c r="P102" t="s">
        <v>35</v>
      </c>
      <c r="Q102">
        <v>21210</v>
      </c>
      <c r="R102">
        <v>41</v>
      </c>
      <c r="T102" s="2" t="s">
        <v>664</v>
      </c>
      <c r="U102" s="2">
        <v>241069</v>
      </c>
      <c r="V102" s="2">
        <v>11</v>
      </c>
    </row>
    <row r="103" spans="12:22" x14ac:dyDescent="0.2">
      <c r="L103" s="2" t="s">
        <v>357</v>
      </c>
      <c r="M103" s="1" t="s">
        <v>11</v>
      </c>
      <c r="N103" s="1" t="s">
        <v>572</v>
      </c>
      <c r="O103" s="1">
        <v>40</v>
      </c>
      <c r="P103" t="s">
        <v>36</v>
      </c>
      <c r="Q103">
        <v>21220</v>
      </c>
      <c r="R103">
        <v>61</v>
      </c>
      <c r="T103" s="2" t="s">
        <v>629</v>
      </c>
      <c r="U103" s="2">
        <v>241074</v>
      </c>
      <c r="V103" s="2">
        <v>11</v>
      </c>
    </row>
    <row r="104" spans="12:22" x14ac:dyDescent="0.2">
      <c r="L104" s="2" t="s">
        <v>358</v>
      </c>
      <c r="M104" s="1" t="s">
        <v>11</v>
      </c>
      <c r="N104" s="1" t="s">
        <v>572</v>
      </c>
      <c r="O104" s="1">
        <v>40</v>
      </c>
      <c r="P104" t="s">
        <v>643</v>
      </c>
      <c r="Q104">
        <v>21230</v>
      </c>
      <c r="R104">
        <v>51</v>
      </c>
      <c r="T104" s="2" t="s">
        <v>665</v>
      </c>
      <c r="U104" s="2">
        <v>241075</v>
      </c>
      <c r="V104" s="2">
        <v>11</v>
      </c>
    </row>
    <row r="105" spans="12:22" x14ac:dyDescent="0.2">
      <c r="L105" s="1" t="s">
        <v>411</v>
      </c>
      <c r="M105" s="1" t="s">
        <v>11</v>
      </c>
      <c r="N105" s="1" t="s">
        <v>572</v>
      </c>
      <c r="O105" s="1">
        <v>37.5</v>
      </c>
      <c r="P105" t="s">
        <v>38</v>
      </c>
      <c r="Q105">
        <v>21310</v>
      </c>
      <c r="R105">
        <v>61</v>
      </c>
      <c r="T105" s="2" t="s">
        <v>649</v>
      </c>
      <c r="U105" s="2">
        <v>241086</v>
      </c>
      <c r="V105" s="2">
        <v>11</v>
      </c>
    </row>
    <row r="106" spans="12:22" x14ac:dyDescent="0.2">
      <c r="L106" s="1" t="s">
        <v>433</v>
      </c>
      <c r="M106" s="1" t="s">
        <v>11</v>
      </c>
      <c r="N106" s="1" t="s">
        <v>572</v>
      </c>
      <c r="O106" s="1">
        <v>37.5</v>
      </c>
      <c r="P106" t="s">
        <v>39</v>
      </c>
      <c r="Q106">
        <v>21410</v>
      </c>
      <c r="R106">
        <v>41</v>
      </c>
      <c r="T106" s="2" t="s">
        <v>630</v>
      </c>
      <c r="U106" s="2">
        <v>241090</v>
      </c>
      <c r="V106" s="2">
        <v>31</v>
      </c>
    </row>
    <row r="107" spans="12:22" x14ac:dyDescent="0.2">
      <c r="L107" s="1" t="s">
        <v>410</v>
      </c>
      <c r="M107" s="1" t="s">
        <v>361</v>
      </c>
      <c r="N107" s="1" t="s">
        <v>572</v>
      </c>
      <c r="O107" s="1">
        <v>37.5</v>
      </c>
      <c r="P107" t="s">
        <v>40</v>
      </c>
      <c r="Q107">
        <v>21420</v>
      </c>
      <c r="R107">
        <v>41</v>
      </c>
      <c r="T107" s="2" t="s">
        <v>666</v>
      </c>
      <c r="U107" s="2">
        <v>241094</v>
      </c>
      <c r="V107" s="2">
        <v>31</v>
      </c>
    </row>
    <row r="108" spans="12:22" x14ac:dyDescent="0.2">
      <c r="L108" s="2" t="s">
        <v>352</v>
      </c>
      <c r="M108" s="1" t="s">
        <v>11</v>
      </c>
      <c r="N108" s="1" t="s">
        <v>572</v>
      </c>
      <c r="O108" s="1">
        <v>37.5</v>
      </c>
      <c r="P108" t="s">
        <v>41</v>
      </c>
      <c r="Q108">
        <v>21430</v>
      </c>
      <c r="R108">
        <v>11</v>
      </c>
      <c r="T108" s="2" t="s">
        <v>631</v>
      </c>
      <c r="U108" s="2">
        <v>241113</v>
      </c>
      <c r="V108" s="2">
        <v>11</v>
      </c>
    </row>
    <row r="109" spans="12:22" x14ac:dyDescent="0.2">
      <c r="L109" s="2" t="s">
        <v>359</v>
      </c>
      <c r="M109" s="1" t="s">
        <v>11</v>
      </c>
      <c r="N109" s="49" t="s">
        <v>552</v>
      </c>
      <c r="O109" s="1">
        <v>37.5</v>
      </c>
      <c r="P109" t="s">
        <v>42</v>
      </c>
      <c r="Q109">
        <v>21510</v>
      </c>
      <c r="R109">
        <v>41</v>
      </c>
      <c r="T109" s="2" t="s">
        <v>667</v>
      </c>
      <c r="U109" s="2">
        <v>241114</v>
      </c>
      <c r="V109" s="2">
        <v>11</v>
      </c>
    </row>
    <row r="110" spans="12:22" x14ac:dyDescent="0.2">
      <c r="L110" s="2" t="s">
        <v>679</v>
      </c>
      <c r="P110" t="s">
        <v>43</v>
      </c>
      <c r="Q110">
        <v>21520</v>
      </c>
      <c r="R110">
        <v>41</v>
      </c>
      <c r="T110" s="2" t="s">
        <v>632</v>
      </c>
      <c r="U110" s="2">
        <v>260123</v>
      </c>
      <c r="V110" s="2">
        <v>11</v>
      </c>
    </row>
    <row r="111" spans="12:22" x14ac:dyDescent="0.2">
      <c r="P111" t="s">
        <v>44</v>
      </c>
      <c r="Q111">
        <v>21530</v>
      </c>
      <c r="R111">
        <v>61</v>
      </c>
      <c r="T111" s="2" t="s">
        <v>668</v>
      </c>
      <c r="U111" s="2">
        <v>260124</v>
      </c>
      <c r="V111" s="2">
        <v>11</v>
      </c>
    </row>
    <row r="112" spans="12:22" x14ac:dyDescent="0.2">
      <c r="P112" t="s">
        <v>45</v>
      </c>
      <c r="Q112">
        <v>21540</v>
      </c>
      <c r="R112">
        <v>41</v>
      </c>
      <c r="T112" s="2" t="s">
        <v>633</v>
      </c>
      <c r="U112" s="2">
        <v>260261</v>
      </c>
      <c r="V112" s="2">
        <v>11</v>
      </c>
    </row>
    <row r="113" spans="12:22" x14ac:dyDescent="0.2">
      <c r="P113" t="s">
        <v>46</v>
      </c>
      <c r="Q113">
        <v>21550</v>
      </c>
      <c r="R113">
        <v>41</v>
      </c>
      <c r="T113" s="2" t="s">
        <v>669</v>
      </c>
      <c r="U113" s="2">
        <v>260267</v>
      </c>
      <c r="V113" s="2">
        <v>11</v>
      </c>
    </row>
    <row r="114" spans="12:22" x14ac:dyDescent="0.2">
      <c r="L114" s="2" t="s">
        <v>22</v>
      </c>
      <c r="P114" t="s">
        <v>47</v>
      </c>
      <c r="Q114">
        <v>21560</v>
      </c>
      <c r="R114">
        <v>41</v>
      </c>
      <c r="T114" s="2" t="s">
        <v>634</v>
      </c>
      <c r="U114" s="2">
        <v>270003</v>
      </c>
      <c r="V114" s="2">
        <v>31</v>
      </c>
    </row>
    <row r="115" spans="12:22" x14ac:dyDescent="0.2">
      <c r="L115" s="2" t="s">
        <v>21</v>
      </c>
      <c r="P115" t="s">
        <v>546</v>
      </c>
      <c r="Q115">
        <v>21570</v>
      </c>
      <c r="R115">
        <v>41</v>
      </c>
      <c r="T115" s="2" t="s">
        <v>670</v>
      </c>
      <c r="U115" s="2">
        <v>270004</v>
      </c>
      <c r="V115" s="2">
        <v>31</v>
      </c>
    </row>
    <row r="116" spans="12:22" x14ac:dyDescent="0.2">
      <c r="L116" s="2" t="s">
        <v>678</v>
      </c>
      <c r="P116" t="s">
        <v>612</v>
      </c>
      <c r="Q116">
        <v>21580</v>
      </c>
      <c r="R116">
        <v>41</v>
      </c>
      <c r="T116" s="2" t="s">
        <v>635</v>
      </c>
      <c r="U116" s="2">
        <v>271041</v>
      </c>
      <c r="V116" s="2">
        <v>31</v>
      </c>
    </row>
    <row r="117" spans="12:22" x14ac:dyDescent="0.2">
      <c r="L117" s="2" t="s">
        <v>611</v>
      </c>
      <c r="P117" t="s">
        <v>644</v>
      </c>
      <c r="Q117">
        <v>21590</v>
      </c>
      <c r="R117">
        <v>41</v>
      </c>
      <c r="T117" s="2" t="s">
        <v>636</v>
      </c>
      <c r="U117" s="2">
        <v>271050</v>
      </c>
      <c r="V117" s="2">
        <v>31</v>
      </c>
    </row>
    <row r="118" spans="12:22" x14ac:dyDescent="0.2">
      <c r="L118" s="2" t="s">
        <v>23</v>
      </c>
      <c r="P118" t="s">
        <v>657</v>
      </c>
      <c r="Q118">
        <v>21595</v>
      </c>
      <c r="R118">
        <v>41</v>
      </c>
      <c r="T118" s="2" t="s">
        <v>637</v>
      </c>
      <c r="U118" s="2">
        <v>271061</v>
      </c>
      <c r="V118" s="2">
        <v>31</v>
      </c>
    </row>
    <row r="119" spans="12:22" x14ac:dyDescent="0.2">
      <c r="L119" s="2" t="s">
        <v>385</v>
      </c>
      <c r="P119" t="s">
        <v>598</v>
      </c>
      <c r="Q119">
        <v>21610</v>
      </c>
      <c r="R119">
        <v>51</v>
      </c>
      <c r="T119" s="2" t="s">
        <v>671</v>
      </c>
      <c r="U119" s="2">
        <v>271064</v>
      </c>
      <c r="V119" s="2">
        <v>31</v>
      </c>
    </row>
    <row r="120" spans="12:22" x14ac:dyDescent="0.2">
      <c r="P120" t="s">
        <v>613</v>
      </c>
      <c r="Q120">
        <v>21620</v>
      </c>
      <c r="R120">
        <v>41</v>
      </c>
      <c r="T120" s="2" t="s">
        <v>672</v>
      </c>
      <c r="U120" s="2">
        <v>271065</v>
      </c>
      <c r="V120" s="2">
        <v>31</v>
      </c>
    </row>
    <row r="121" spans="12:22" x14ac:dyDescent="0.2">
      <c r="P121" t="s">
        <v>614</v>
      </c>
      <c r="Q121">
        <v>21630</v>
      </c>
      <c r="R121">
        <v>11</v>
      </c>
      <c r="T121" s="2" t="s">
        <v>673</v>
      </c>
      <c r="U121" s="2">
        <v>271066</v>
      </c>
      <c r="V121" s="2">
        <v>31</v>
      </c>
    </row>
    <row r="122" spans="12:22" x14ac:dyDescent="0.2">
      <c r="L122" s="1" t="s">
        <v>429</v>
      </c>
      <c r="P122" t="s">
        <v>599</v>
      </c>
      <c r="Q122">
        <v>21710</v>
      </c>
      <c r="R122">
        <v>51</v>
      </c>
      <c r="T122" s="2" t="s">
        <v>591</v>
      </c>
      <c r="U122" s="2">
        <v>290003</v>
      </c>
      <c r="V122" s="2">
        <v>31</v>
      </c>
    </row>
    <row r="123" spans="12:22" x14ac:dyDescent="0.2">
      <c r="L123" s="1" t="s">
        <v>430</v>
      </c>
      <c r="P123" t="s">
        <v>600</v>
      </c>
      <c r="Q123">
        <v>21720</v>
      </c>
      <c r="R123">
        <v>51</v>
      </c>
      <c r="T123" s="2" t="s">
        <v>638</v>
      </c>
      <c r="U123" s="2">
        <v>290006</v>
      </c>
      <c r="V123" s="2">
        <v>11</v>
      </c>
    </row>
    <row r="124" spans="12:22" x14ac:dyDescent="0.2">
      <c r="L124" s="2" t="s">
        <v>386</v>
      </c>
      <c r="P124" t="s">
        <v>601</v>
      </c>
      <c r="Q124">
        <v>21730</v>
      </c>
      <c r="R124">
        <v>51</v>
      </c>
      <c r="T124" s="2" t="s">
        <v>674</v>
      </c>
      <c r="U124" s="2">
        <v>290007</v>
      </c>
      <c r="V124" s="2">
        <v>11</v>
      </c>
    </row>
    <row r="125" spans="12:22" x14ac:dyDescent="0.2">
      <c r="L125" s="21" t="s">
        <v>390</v>
      </c>
      <c r="P125" t="s">
        <v>602</v>
      </c>
      <c r="Q125">
        <v>21740</v>
      </c>
      <c r="R125">
        <v>51</v>
      </c>
      <c r="T125" s="2" t="s">
        <v>650</v>
      </c>
      <c r="U125" s="2">
        <v>290008</v>
      </c>
      <c r="V125" s="2">
        <v>21</v>
      </c>
    </row>
    <row r="126" spans="12:22" x14ac:dyDescent="0.2">
      <c r="L126" s="1" t="s">
        <v>427</v>
      </c>
      <c r="P126" t="s">
        <v>48</v>
      </c>
      <c r="Q126">
        <v>22110</v>
      </c>
      <c r="R126">
        <v>41</v>
      </c>
      <c r="T126" s="2" t="s">
        <v>639</v>
      </c>
      <c r="U126" s="2">
        <v>290010</v>
      </c>
      <c r="V126" s="2">
        <v>11</v>
      </c>
    </row>
    <row r="127" spans="12:22" x14ac:dyDescent="0.2">
      <c r="L127" s="1" t="s">
        <v>426</v>
      </c>
      <c r="P127" t="s">
        <v>615</v>
      </c>
      <c r="Q127">
        <v>22115</v>
      </c>
      <c r="R127">
        <v>41</v>
      </c>
      <c r="T127" s="2" t="s">
        <v>675</v>
      </c>
      <c r="U127" s="2">
        <v>290015</v>
      </c>
      <c r="V127" s="2">
        <v>41</v>
      </c>
    </row>
    <row r="128" spans="12:22" x14ac:dyDescent="0.2">
      <c r="L128" s="1" t="s">
        <v>428</v>
      </c>
      <c r="P128" t="s">
        <v>49</v>
      </c>
      <c r="Q128">
        <v>22120</v>
      </c>
      <c r="R128">
        <v>11</v>
      </c>
      <c r="T128" s="2" t="s">
        <v>676</v>
      </c>
      <c r="U128" s="2">
        <v>290016</v>
      </c>
      <c r="V128" s="2">
        <v>11</v>
      </c>
    </row>
    <row r="129" spans="12:22" x14ac:dyDescent="0.2">
      <c r="L129" s="2" t="s">
        <v>360</v>
      </c>
      <c r="P129" t="s">
        <v>50</v>
      </c>
      <c r="Q129">
        <v>22130</v>
      </c>
      <c r="R129">
        <v>31</v>
      </c>
      <c r="T129" s="2" t="s">
        <v>592</v>
      </c>
      <c r="U129" s="2">
        <v>290020</v>
      </c>
      <c r="V129" s="2">
        <v>11</v>
      </c>
    </row>
    <row r="130" spans="12:22" x14ac:dyDescent="0.2">
      <c r="L130" s="21" t="s">
        <v>575</v>
      </c>
      <c r="P130" t="s">
        <v>51</v>
      </c>
      <c r="Q130">
        <v>22140</v>
      </c>
      <c r="R130">
        <v>31</v>
      </c>
      <c r="T130" s="2" t="s">
        <v>593</v>
      </c>
      <c r="U130" s="2">
        <v>290033</v>
      </c>
      <c r="V130" s="2">
        <v>11</v>
      </c>
    </row>
    <row r="131" spans="12:22" x14ac:dyDescent="0.2">
      <c r="L131" s="1" t="s">
        <v>432</v>
      </c>
      <c r="P131" t="s">
        <v>52</v>
      </c>
      <c r="Q131">
        <v>22150</v>
      </c>
      <c r="R131">
        <v>21</v>
      </c>
      <c r="T131" s="2" t="s">
        <v>594</v>
      </c>
      <c r="U131" s="2">
        <v>290034</v>
      </c>
      <c r="V131" s="2">
        <v>31</v>
      </c>
    </row>
    <row r="132" spans="12:22" x14ac:dyDescent="0.2">
      <c r="P132" t="s">
        <v>53</v>
      </c>
      <c r="Q132">
        <v>22160</v>
      </c>
      <c r="R132">
        <v>21</v>
      </c>
      <c r="T132" s="2" t="s">
        <v>607</v>
      </c>
      <c r="U132" s="2">
        <v>290080</v>
      </c>
      <c r="V132" s="2">
        <v>31</v>
      </c>
    </row>
    <row r="133" spans="12:22" x14ac:dyDescent="0.2">
      <c r="P133" t="s">
        <v>54</v>
      </c>
      <c r="Q133">
        <v>22170</v>
      </c>
      <c r="R133">
        <v>31</v>
      </c>
      <c r="T133" s="2" t="s">
        <v>640</v>
      </c>
      <c r="U133" s="2">
        <v>291006</v>
      </c>
      <c r="V133" s="2">
        <v>11</v>
      </c>
    </row>
    <row r="134" spans="12:22" x14ac:dyDescent="0.2">
      <c r="P134" t="s">
        <v>559</v>
      </c>
      <c r="Q134">
        <v>22180</v>
      </c>
      <c r="R134">
        <v>11</v>
      </c>
      <c r="T134" s="2" t="s">
        <v>608</v>
      </c>
      <c r="U134" s="2">
        <v>293002</v>
      </c>
      <c r="V134" s="2">
        <v>11</v>
      </c>
    </row>
    <row r="135" spans="12:22" x14ac:dyDescent="0.2">
      <c r="L135" s="1" t="s">
        <v>10</v>
      </c>
      <c r="P135" t="s">
        <v>56</v>
      </c>
      <c r="Q135">
        <v>22190</v>
      </c>
      <c r="R135">
        <v>11</v>
      </c>
      <c r="T135" s="2" t="s">
        <v>641</v>
      </c>
      <c r="U135" s="2">
        <v>293004</v>
      </c>
      <c r="V135" s="2">
        <v>11</v>
      </c>
    </row>
    <row r="136" spans="12:22" x14ac:dyDescent="0.2">
      <c r="L136" s="1" t="s">
        <v>573</v>
      </c>
      <c r="P136" t="s">
        <v>57</v>
      </c>
      <c r="Q136">
        <v>22210</v>
      </c>
      <c r="R136">
        <v>11</v>
      </c>
      <c r="T136" s="2" t="s">
        <v>609</v>
      </c>
      <c r="U136" s="2">
        <v>293013</v>
      </c>
      <c r="V136" s="2">
        <v>51</v>
      </c>
    </row>
    <row r="137" spans="12:22" x14ac:dyDescent="0.2">
      <c r="L137" s="1" t="s">
        <v>11</v>
      </c>
      <c r="P137" t="s">
        <v>58</v>
      </c>
      <c r="Q137">
        <v>22220</v>
      </c>
      <c r="R137">
        <v>11</v>
      </c>
      <c r="T137" s="2" t="s">
        <v>642</v>
      </c>
      <c r="U137" s="2">
        <v>293021</v>
      </c>
      <c r="V137" s="2">
        <v>11</v>
      </c>
    </row>
    <row r="138" spans="12:22" x14ac:dyDescent="0.2">
      <c r="L138" s="1" t="s">
        <v>361</v>
      </c>
      <c r="P138" t="s">
        <v>59</v>
      </c>
      <c r="Q138">
        <v>22230</v>
      </c>
      <c r="R138">
        <v>11</v>
      </c>
      <c r="T138" s="2" t="s">
        <v>595</v>
      </c>
      <c r="U138" s="2">
        <v>293023</v>
      </c>
      <c r="V138" s="2">
        <v>31</v>
      </c>
    </row>
    <row r="139" spans="12:22" x14ac:dyDescent="0.2">
      <c r="L139" s="1" t="s">
        <v>12</v>
      </c>
      <c r="P139" t="s">
        <v>60</v>
      </c>
      <c r="Q139">
        <v>22240</v>
      </c>
      <c r="R139">
        <v>11</v>
      </c>
      <c r="T139" s="2" t="s">
        <v>651</v>
      </c>
      <c r="U139" s="2">
        <v>294009</v>
      </c>
      <c r="V139" s="2">
        <v>31</v>
      </c>
    </row>
    <row r="140" spans="12:22" x14ac:dyDescent="0.2">
      <c r="L140" s="1" t="s">
        <v>13</v>
      </c>
      <c r="P140" t="s">
        <v>560</v>
      </c>
      <c r="Q140">
        <v>22310</v>
      </c>
      <c r="R140">
        <v>11</v>
      </c>
      <c r="T140" s="2" t="s">
        <v>652</v>
      </c>
      <c r="U140" s="2">
        <v>294013</v>
      </c>
      <c r="V140" s="2">
        <v>31</v>
      </c>
    </row>
    <row r="141" spans="12:22" x14ac:dyDescent="0.2">
      <c r="P141" t="s">
        <v>62</v>
      </c>
      <c r="Q141">
        <v>22320</v>
      </c>
      <c r="R141">
        <v>11</v>
      </c>
      <c r="T141" s="2" t="s">
        <v>610</v>
      </c>
      <c r="U141" s="2">
        <v>294019</v>
      </c>
      <c r="V141" s="2">
        <v>31</v>
      </c>
    </row>
    <row r="142" spans="12:22" x14ac:dyDescent="0.2">
      <c r="P142" t="s">
        <v>63</v>
      </c>
      <c r="Q142">
        <v>22330</v>
      </c>
      <c r="R142">
        <v>11</v>
      </c>
      <c r="T142" s="2" t="s">
        <v>677</v>
      </c>
      <c r="U142" s="2">
        <v>294021</v>
      </c>
      <c r="V142" s="2">
        <v>31</v>
      </c>
    </row>
    <row r="143" spans="12:22" x14ac:dyDescent="0.2">
      <c r="P143" t="s">
        <v>64</v>
      </c>
      <c r="Q143">
        <v>22340</v>
      </c>
      <c r="R143">
        <v>11</v>
      </c>
      <c r="T143" s="2" t="s">
        <v>653</v>
      </c>
      <c r="U143" s="2">
        <v>295001</v>
      </c>
      <c r="V143" s="2">
        <v>21</v>
      </c>
    </row>
    <row r="144" spans="12:22" x14ac:dyDescent="0.2">
      <c r="P144" t="s">
        <v>65</v>
      </c>
      <c r="Q144">
        <v>22410</v>
      </c>
      <c r="R144">
        <v>11</v>
      </c>
      <c r="T144" s="2" t="s">
        <v>654</v>
      </c>
      <c r="U144" s="2">
        <v>297002</v>
      </c>
      <c r="V144" s="2">
        <v>61</v>
      </c>
    </row>
    <row r="145" spans="12:18" x14ac:dyDescent="0.2">
      <c r="P145" t="s">
        <v>66</v>
      </c>
      <c r="Q145">
        <v>22420</v>
      </c>
      <c r="R145">
        <v>11</v>
      </c>
    </row>
    <row r="146" spans="12:18" x14ac:dyDescent="0.2">
      <c r="P146" t="s">
        <v>67</v>
      </c>
      <c r="Q146">
        <v>22430</v>
      </c>
      <c r="R146">
        <v>11</v>
      </c>
    </row>
    <row r="147" spans="12:18" x14ac:dyDescent="0.2">
      <c r="P147" t="s">
        <v>68</v>
      </c>
      <c r="Q147">
        <v>22510</v>
      </c>
      <c r="R147">
        <v>11</v>
      </c>
    </row>
    <row r="148" spans="12:18" x14ac:dyDescent="0.2">
      <c r="P148" t="s">
        <v>69</v>
      </c>
      <c r="Q148">
        <v>22520</v>
      </c>
      <c r="R148">
        <v>11</v>
      </c>
    </row>
    <row r="149" spans="12:18" x14ac:dyDescent="0.2">
      <c r="P149" t="s">
        <v>70</v>
      </c>
      <c r="Q149">
        <v>22530</v>
      </c>
      <c r="R149">
        <v>11</v>
      </c>
    </row>
    <row r="150" spans="12:18" x14ac:dyDescent="0.2">
      <c r="P150" t="s">
        <v>71</v>
      </c>
      <c r="Q150">
        <v>22610</v>
      </c>
      <c r="R150">
        <v>11</v>
      </c>
    </row>
    <row r="151" spans="12:18" x14ac:dyDescent="0.2">
      <c r="L151" s="1" t="s">
        <v>412</v>
      </c>
      <c r="P151" t="s">
        <v>72</v>
      </c>
      <c r="Q151">
        <v>22620</v>
      </c>
      <c r="R151">
        <v>11</v>
      </c>
    </row>
    <row r="152" spans="12:18" x14ac:dyDescent="0.2">
      <c r="L152" s="2" t="s">
        <v>413</v>
      </c>
      <c r="P152" t="s">
        <v>73</v>
      </c>
      <c r="Q152">
        <v>22630</v>
      </c>
      <c r="R152">
        <v>11</v>
      </c>
    </row>
    <row r="153" spans="12:18" x14ac:dyDescent="0.2">
      <c r="L153" s="2" t="s">
        <v>414</v>
      </c>
      <c r="P153" t="s">
        <v>74</v>
      </c>
      <c r="Q153">
        <v>22640</v>
      </c>
      <c r="R153">
        <v>11</v>
      </c>
    </row>
    <row r="154" spans="12:18" x14ac:dyDescent="0.2">
      <c r="L154" s="2" t="s">
        <v>415</v>
      </c>
      <c r="P154" t="s">
        <v>75</v>
      </c>
      <c r="Q154">
        <v>22710</v>
      </c>
      <c r="R154">
        <v>11</v>
      </c>
    </row>
    <row r="155" spans="12:18" x14ac:dyDescent="0.2">
      <c r="L155" s="2" t="s">
        <v>416</v>
      </c>
      <c r="P155" t="s">
        <v>76</v>
      </c>
      <c r="Q155">
        <v>22720</v>
      </c>
      <c r="R155">
        <v>11</v>
      </c>
    </row>
    <row r="156" spans="12:18" x14ac:dyDescent="0.2">
      <c r="L156" s="2" t="s">
        <v>417</v>
      </c>
      <c r="P156" t="s">
        <v>77</v>
      </c>
      <c r="Q156">
        <v>22730</v>
      </c>
      <c r="R156">
        <v>11</v>
      </c>
    </row>
    <row r="157" spans="12:18" x14ac:dyDescent="0.2">
      <c r="L157" s="2" t="s">
        <v>418</v>
      </c>
      <c r="P157" t="s">
        <v>78</v>
      </c>
      <c r="Q157">
        <v>22740</v>
      </c>
      <c r="R157">
        <v>11</v>
      </c>
    </row>
    <row r="158" spans="12:18" x14ac:dyDescent="0.2">
      <c r="L158" s="2" t="s">
        <v>419</v>
      </c>
      <c r="P158" t="s">
        <v>79</v>
      </c>
      <c r="Q158">
        <v>22750</v>
      </c>
      <c r="R158">
        <v>11</v>
      </c>
    </row>
    <row r="159" spans="12:18" x14ac:dyDescent="0.2">
      <c r="L159" s="2" t="s">
        <v>420</v>
      </c>
      <c r="P159" t="s">
        <v>80</v>
      </c>
      <c r="Q159">
        <v>22760</v>
      </c>
      <c r="R159">
        <v>11</v>
      </c>
    </row>
    <row r="160" spans="12:18" x14ac:dyDescent="0.2">
      <c r="L160" s="1" t="s">
        <v>421</v>
      </c>
      <c r="P160" t="s">
        <v>81</v>
      </c>
      <c r="Q160">
        <v>22810</v>
      </c>
      <c r="R160">
        <v>11</v>
      </c>
    </row>
    <row r="161" spans="12:18" x14ac:dyDescent="0.2">
      <c r="L161" s="1" t="s">
        <v>422</v>
      </c>
      <c r="P161" t="s">
        <v>82</v>
      </c>
      <c r="Q161">
        <v>22820</v>
      </c>
      <c r="R161">
        <v>11</v>
      </c>
    </row>
    <row r="162" spans="12:18" x14ac:dyDescent="0.2">
      <c r="L162" s="21" t="s">
        <v>423</v>
      </c>
      <c r="P162" t="s">
        <v>83</v>
      </c>
      <c r="Q162">
        <v>22830</v>
      </c>
      <c r="R162">
        <v>11</v>
      </c>
    </row>
    <row r="163" spans="12:18" x14ac:dyDescent="0.2">
      <c r="L163" s="21" t="s">
        <v>431</v>
      </c>
      <c r="P163" t="s">
        <v>84</v>
      </c>
      <c r="Q163">
        <v>22840</v>
      </c>
      <c r="R163">
        <v>11</v>
      </c>
    </row>
    <row r="164" spans="12:18" x14ac:dyDescent="0.2">
      <c r="P164" t="s">
        <v>85</v>
      </c>
      <c r="Q164">
        <v>22910</v>
      </c>
      <c r="R164">
        <v>11</v>
      </c>
    </row>
    <row r="165" spans="12:18" x14ac:dyDescent="0.2">
      <c r="N165" s="1"/>
      <c r="O165" s="1"/>
      <c r="P165" t="s">
        <v>86</v>
      </c>
      <c r="Q165">
        <v>22920</v>
      </c>
      <c r="R165">
        <v>11</v>
      </c>
    </row>
    <row r="166" spans="12:18" x14ac:dyDescent="0.2">
      <c r="L166" s="2">
        <v>610010</v>
      </c>
      <c r="M166" s="1" t="s">
        <v>436</v>
      </c>
      <c r="N166" s="1"/>
      <c r="O166" s="1"/>
      <c r="P166" t="s">
        <v>547</v>
      </c>
      <c r="Q166">
        <v>22930</v>
      </c>
      <c r="R166">
        <v>11</v>
      </c>
    </row>
    <row r="167" spans="12:18" x14ac:dyDescent="0.2">
      <c r="L167" s="2">
        <v>610011</v>
      </c>
      <c r="M167" s="1" t="s">
        <v>434</v>
      </c>
      <c r="N167" s="1"/>
      <c r="O167" s="1"/>
      <c r="P167" t="s">
        <v>555</v>
      </c>
      <c r="Q167">
        <v>22935</v>
      </c>
      <c r="R167">
        <v>11</v>
      </c>
    </row>
    <row r="168" spans="12:18" x14ac:dyDescent="0.2">
      <c r="L168" s="2">
        <v>610015</v>
      </c>
      <c r="M168" s="1" t="s">
        <v>445</v>
      </c>
      <c r="N168" s="1"/>
      <c r="O168" s="1"/>
      <c r="P168" t="s">
        <v>88</v>
      </c>
      <c r="Q168">
        <v>23110</v>
      </c>
      <c r="R168">
        <v>11</v>
      </c>
    </row>
    <row r="169" spans="12:18" x14ac:dyDescent="0.2">
      <c r="L169" s="2">
        <v>610020</v>
      </c>
      <c r="M169" s="1" t="s">
        <v>440</v>
      </c>
      <c r="N169" s="1"/>
      <c r="O169" s="1"/>
      <c r="P169" t="s">
        <v>89</v>
      </c>
      <c r="Q169">
        <v>23120</v>
      </c>
      <c r="R169">
        <v>11</v>
      </c>
    </row>
    <row r="170" spans="12:18" x14ac:dyDescent="0.2">
      <c r="L170" s="2">
        <v>610025</v>
      </c>
      <c r="M170" s="1" t="s">
        <v>435</v>
      </c>
      <c r="N170" s="1"/>
      <c r="O170" s="1"/>
      <c r="P170" t="s">
        <v>90</v>
      </c>
      <c r="Q170">
        <v>23130</v>
      </c>
      <c r="R170">
        <v>11</v>
      </c>
    </row>
    <row r="171" spans="12:18" x14ac:dyDescent="0.2">
      <c r="L171" s="2">
        <v>610030</v>
      </c>
      <c r="M171" s="1" t="s">
        <v>441</v>
      </c>
      <c r="N171" s="1"/>
      <c r="O171" s="1"/>
      <c r="P171" t="s">
        <v>91</v>
      </c>
      <c r="Q171">
        <v>23140</v>
      </c>
      <c r="R171">
        <v>11</v>
      </c>
    </row>
    <row r="172" spans="12:18" x14ac:dyDescent="0.2">
      <c r="L172" s="2">
        <v>611005</v>
      </c>
      <c r="M172" s="1" t="s">
        <v>442</v>
      </c>
      <c r="N172" s="1"/>
      <c r="O172" s="1"/>
      <c r="P172" t="s">
        <v>92</v>
      </c>
      <c r="Q172">
        <v>23150</v>
      </c>
      <c r="R172">
        <v>21</v>
      </c>
    </row>
    <row r="173" spans="12:18" x14ac:dyDescent="0.2">
      <c r="L173" s="2">
        <v>611010</v>
      </c>
      <c r="M173" s="1" t="s">
        <v>443</v>
      </c>
      <c r="N173" s="1"/>
      <c r="O173" s="1"/>
      <c r="P173" t="s">
        <v>93</v>
      </c>
      <c r="Q173">
        <v>23210</v>
      </c>
      <c r="R173">
        <v>11</v>
      </c>
    </row>
    <row r="174" spans="12:18" x14ac:dyDescent="0.2">
      <c r="L174" s="2">
        <v>611015</v>
      </c>
      <c r="M174" s="1" t="s">
        <v>444</v>
      </c>
      <c r="N174" s="1"/>
      <c r="O174" s="1"/>
      <c r="P174" t="s">
        <v>94</v>
      </c>
      <c r="Q174">
        <v>24110</v>
      </c>
      <c r="R174">
        <v>41</v>
      </c>
    </row>
    <row r="175" spans="12:18" x14ac:dyDescent="0.2">
      <c r="L175" s="2">
        <v>611030</v>
      </c>
      <c r="M175" s="1" t="s">
        <v>437</v>
      </c>
      <c r="N175" s="1"/>
      <c r="O175" s="1"/>
      <c r="P175" t="s">
        <v>95</v>
      </c>
      <c r="Q175">
        <v>24120</v>
      </c>
      <c r="R175">
        <v>11</v>
      </c>
    </row>
    <row r="176" spans="12:18" x14ac:dyDescent="0.2">
      <c r="L176" s="2">
        <v>611035</v>
      </c>
      <c r="M176" s="1" t="s">
        <v>438</v>
      </c>
      <c r="N176" s="1"/>
      <c r="O176" s="1"/>
      <c r="P176" t="s">
        <v>579</v>
      </c>
      <c r="Q176">
        <v>24130</v>
      </c>
      <c r="R176">
        <v>11</v>
      </c>
    </row>
    <row r="177" spans="12:18" x14ac:dyDescent="0.2">
      <c r="L177" s="2">
        <v>611040</v>
      </c>
      <c r="M177" s="1" t="s">
        <v>439</v>
      </c>
      <c r="P177" t="s">
        <v>97</v>
      </c>
      <c r="Q177">
        <v>24310</v>
      </c>
      <c r="R177">
        <v>11</v>
      </c>
    </row>
    <row r="178" spans="12:18" ht="12.75" customHeight="1" x14ac:dyDescent="0.2">
      <c r="P178" t="s">
        <v>98</v>
      </c>
      <c r="Q178">
        <v>24410</v>
      </c>
      <c r="R178">
        <v>11</v>
      </c>
    </row>
    <row r="179" spans="12:18" ht="12.75" customHeight="1" x14ac:dyDescent="0.2">
      <c r="P179" t="s">
        <v>580</v>
      </c>
      <c r="Q179">
        <v>24610</v>
      </c>
      <c r="R179">
        <v>11</v>
      </c>
    </row>
    <row r="180" spans="12:18" x14ac:dyDescent="0.2">
      <c r="P180" t="s">
        <v>561</v>
      </c>
      <c r="Q180">
        <v>24620</v>
      </c>
      <c r="R180">
        <v>11</v>
      </c>
    </row>
    <row r="181" spans="12:18" x14ac:dyDescent="0.2">
      <c r="L181" s="64"/>
      <c r="P181" t="s">
        <v>562</v>
      </c>
      <c r="Q181">
        <v>24630</v>
      </c>
      <c r="R181">
        <v>11</v>
      </c>
    </row>
    <row r="182" spans="12:18" x14ac:dyDescent="0.2">
      <c r="L182" s="64"/>
      <c r="P182" t="s">
        <v>581</v>
      </c>
      <c r="Q182">
        <v>24640</v>
      </c>
      <c r="R182">
        <v>11</v>
      </c>
    </row>
    <row r="183" spans="12:18" x14ac:dyDescent="0.2">
      <c r="L183" s="1"/>
      <c r="P183" t="s">
        <v>563</v>
      </c>
      <c r="Q183">
        <v>24650</v>
      </c>
      <c r="R183">
        <v>11</v>
      </c>
    </row>
    <row r="184" spans="12:18" x14ac:dyDescent="0.2">
      <c r="L184" s="1"/>
      <c r="P184" t="s">
        <v>582</v>
      </c>
      <c r="Q184">
        <v>24710</v>
      </c>
      <c r="R184">
        <v>11</v>
      </c>
    </row>
    <row r="185" spans="12:18" x14ac:dyDescent="0.2">
      <c r="P185" t="s">
        <v>564</v>
      </c>
      <c r="Q185">
        <v>24720</v>
      </c>
      <c r="R185">
        <v>11</v>
      </c>
    </row>
    <row r="186" spans="12:18" x14ac:dyDescent="0.2">
      <c r="P186" t="s">
        <v>565</v>
      </c>
      <c r="Q186">
        <v>24730</v>
      </c>
      <c r="R186">
        <v>11</v>
      </c>
    </row>
    <row r="187" spans="12:18" x14ac:dyDescent="0.2">
      <c r="P187" t="s">
        <v>566</v>
      </c>
      <c r="Q187">
        <v>24740</v>
      </c>
      <c r="R187">
        <v>11</v>
      </c>
    </row>
    <row r="188" spans="12:18" x14ac:dyDescent="0.2">
      <c r="P188" t="s">
        <v>567</v>
      </c>
      <c r="Q188">
        <v>24750</v>
      </c>
      <c r="R188">
        <v>11</v>
      </c>
    </row>
    <row r="189" spans="12:18" x14ac:dyDescent="0.2">
      <c r="P189" t="s">
        <v>568</v>
      </c>
      <c r="Q189">
        <v>24760</v>
      </c>
      <c r="R189">
        <v>11</v>
      </c>
    </row>
    <row r="190" spans="12:18" x14ac:dyDescent="0.2">
      <c r="P190" t="s">
        <v>104</v>
      </c>
      <c r="Q190">
        <v>25110</v>
      </c>
      <c r="R190">
        <v>41</v>
      </c>
    </row>
    <row r="191" spans="12:18" x14ac:dyDescent="0.2">
      <c r="P191" t="s">
        <v>105</v>
      </c>
      <c r="Q191">
        <v>25210</v>
      </c>
      <c r="R191">
        <v>11</v>
      </c>
    </row>
    <row r="192" spans="12:18" x14ac:dyDescent="0.2">
      <c r="P192" t="s">
        <v>106</v>
      </c>
      <c r="Q192">
        <v>25310</v>
      </c>
      <c r="R192">
        <v>11</v>
      </c>
    </row>
    <row r="193" spans="16:18" x14ac:dyDescent="0.2">
      <c r="P193" t="s">
        <v>616</v>
      </c>
      <c r="Q193">
        <v>25410</v>
      </c>
      <c r="R193">
        <v>11</v>
      </c>
    </row>
    <row r="194" spans="16:18" x14ac:dyDescent="0.2">
      <c r="P194" t="s">
        <v>617</v>
      </c>
      <c r="Q194">
        <v>25420</v>
      </c>
      <c r="R194">
        <v>11</v>
      </c>
    </row>
    <row r="195" spans="16:18" x14ac:dyDescent="0.2">
      <c r="P195" t="s">
        <v>618</v>
      </c>
      <c r="Q195">
        <v>25430</v>
      </c>
      <c r="R195">
        <v>11</v>
      </c>
    </row>
    <row r="196" spans="16:18" x14ac:dyDescent="0.2">
      <c r="P196" t="s">
        <v>110</v>
      </c>
      <c r="Q196">
        <v>25510</v>
      </c>
      <c r="R196">
        <v>11</v>
      </c>
    </row>
    <row r="197" spans="16:18" x14ac:dyDescent="0.2">
      <c r="P197" t="s">
        <v>111</v>
      </c>
      <c r="Q197">
        <v>25520</v>
      </c>
      <c r="R197">
        <v>11</v>
      </c>
    </row>
    <row r="198" spans="16:18" x14ac:dyDescent="0.2">
      <c r="P198" t="s">
        <v>112</v>
      </c>
      <c r="Q198">
        <v>25530</v>
      </c>
      <c r="R198">
        <v>31</v>
      </c>
    </row>
    <row r="199" spans="16:18" x14ac:dyDescent="0.2">
      <c r="P199" t="s">
        <v>113</v>
      </c>
      <c r="Q199">
        <v>25610</v>
      </c>
      <c r="R199">
        <v>11</v>
      </c>
    </row>
    <row r="200" spans="16:18" x14ac:dyDescent="0.2">
      <c r="P200" t="s">
        <v>114</v>
      </c>
      <c r="Q200">
        <v>25710</v>
      </c>
      <c r="R200">
        <v>11</v>
      </c>
    </row>
    <row r="201" spans="16:18" x14ac:dyDescent="0.2">
      <c r="P201" t="s">
        <v>115</v>
      </c>
      <c r="Q201">
        <v>25810</v>
      </c>
      <c r="R201">
        <v>11</v>
      </c>
    </row>
    <row r="202" spans="16:18" x14ac:dyDescent="0.2">
      <c r="P202" t="s">
        <v>116</v>
      </c>
      <c r="Q202">
        <v>25820</v>
      </c>
      <c r="R202">
        <v>11</v>
      </c>
    </row>
    <row r="203" spans="16:18" x14ac:dyDescent="0.2">
      <c r="P203" t="s">
        <v>117</v>
      </c>
      <c r="Q203">
        <v>25910</v>
      </c>
      <c r="R203">
        <v>11</v>
      </c>
    </row>
    <row r="204" spans="16:18" x14ac:dyDescent="0.2">
      <c r="P204" t="s">
        <v>118</v>
      </c>
      <c r="Q204">
        <v>26110</v>
      </c>
      <c r="R204">
        <v>41</v>
      </c>
    </row>
    <row r="205" spans="16:18" x14ac:dyDescent="0.2">
      <c r="P205" t="s">
        <v>119</v>
      </c>
      <c r="Q205">
        <v>26120</v>
      </c>
      <c r="R205">
        <v>51</v>
      </c>
    </row>
    <row r="206" spans="16:18" x14ac:dyDescent="0.2">
      <c r="P206" t="s">
        <v>120</v>
      </c>
      <c r="Q206">
        <v>26210</v>
      </c>
      <c r="R206">
        <v>11</v>
      </c>
    </row>
    <row r="207" spans="16:18" x14ac:dyDescent="0.2">
      <c r="P207" t="s">
        <v>569</v>
      </c>
      <c r="Q207">
        <v>26215</v>
      </c>
      <c r="R207">
        <v>11</v>
      </c>
    </row>
    <row r="208" spans="16:18" x14ac:dyDescent="0.2">
      <c r="P208" t="s">
        <v>122</v>
      </c>
      <c r="Q208">
        <v>26216</v>
      </c>
      <c r="R208">
        <v>11</v>
      </c>
    </row>
    <row r="209" spans="16:18" x14ac:dyDescent="0.2">
      <c r="P209" t="s">
        <v>123</v>
      </c>
      <c r="Q209">
        <v>26220</v>
      </c>
      <c r="R209">
        <v>11</v>
      </c>
    </row>
    <row r="210" spans="16:18" x14ac:dyDescent="0.2">
      <c r="P210" t="s">
        <v>124</v>
      </c>
      <c r="Q210">
        <v>26221</v>
      </c>
      <c r="R210">
        <v>11</v>
      </c>
    </row>
    <row r="211" spans="16:18" x14ac:dyDescent="0.2">
      <c r="P211" t="s">
        <v>125</v>
      </c>
      <c r="Q211">
        <v>26222</v>
      </c>
      <c r="R211">
        <v>11</v>
      </c>
    </row>
    <row r="212" spans="16:18" x14ac:dyDescent="0.2">
      <c r="P212" t="s">
        <v>126</v>
      </c>
      <c r="Q212">
        <v>26230</v>
      </c>
      <c r="R212">
        <v>11</v>
      </c>
    </row>
    <row r="213" spans="16:18" x14ac:dyDescent="0.2">
      <c r="P213" t="s">
        <v>127</v>
      </c>
      <c r="Q213">
        <v>26240</v>
      </c>
      <c r="R213">
        <v>11</v>
      </c>
    </row>
    <row r="214" spans="16:18" x14ac:dyDescent="0.2">
      <c r="P214" t="s">
        <v>128</v>
      </c>
      <c r="Q214">
        <v>26250</v>
      </c>
      <c r="R214">
        <v>11</v>
      </c>
    </row>
    <row r="215" spans="16:18" x14ac:dyDescent="0.2">
      <c r="P215" t="s">
        <v>129</v>
      </c>
      <c r="Q215">
        <v>26260</v>
      </c>
      <c r="R215">
        <v>11</v>
      </c>
    </row>
    <row r="216" spans="16:18" x14ac:dyDescent="0.2">
      <c r="P216" t="s">
        <v>130</v>
      </c>
      <c r="Q216">
        <v>26270</v>
      </c>
      <c r="R216">
        <v>11</v>
      </c>
    </row>
    <row r="217" spans="16:18" x14ac:dyDescent="0.2">
      <c r="P217" t="s">
        <v>556</v>
      </c>
      <c r="Q217">
        <v>26280</v>
      </c>
      <c r="R217">
        <v>11</v>
      </c>
    </row>
    <row r="218" spans="16:18" x14ac:dyDescent="0.2">
      <c r="P218" t="s">
        <v>131</v>
      </c>
      <c r="Q218">
        <v>26310</v>
      </c>
      <c r="R218">
        <v>11</v>
      </c>
    </row>
    <row r="219" spans="16:18" x14ac:dyDescent="0.2">
      <c r="P219" t="s">
        <v>132</v>
      </c>
      <c r="Q219">
        <v>26320</v>
      </c>
      <c r="R219">
        <v>11</v>
      </c>
    </row>
    <row r="220" spans="16:18" x14ac:dyDescent="0.2">
      <c r="P220" t="s">
        <v>133</v>
      </c>
      <c r="Q220">
        <v>26330</v>
      </c>
      <c r="R220">
        <v>11</v>
      </c>
    </row>
    <row r="221" spans="16:18" x14ac:dyDescent="0.2">
      <c r="P221" t="s">
        <v>134</v>
      </c>
      <c r="Q221">
        <v>26340</v>
      </c>
      <c r="R221">
        <v>11</v>
      </c>
    </row>
    <row r="222" spans="16:18" x14ac:dyDescent="0.2">
      <c r="P222" t="s">
        <v>135</v>
      </c>
      <c r="Q222">
        <v>27110</v>
      </c>
      <c r="R222">
        <v>41</v>
      </c>
    </row>
    <row r="223" spans="16:18" x14ac:dyDescent="0.2">
      <c r="P223" t="s">
        <v>136</v>
      </c>
      <c r="Q223">
        <v>27120</v>
      </c>
      <c r="R223">
        <v>21</v>
      </c>
    </row>
    <row r="224" spans="16:18" x14ac:dyDescent="0.2">
      <c r="P224" t="s">
        <v>137</v>
      </c>
      <c r="Q224">
        <v>27210</v>
      </c>
      <c r="R224">
        <v>11</v>
      </c>
    </row>
    <row r="225" spans="16:18" x14ac:dyDescent="0.2">
      <c r="P225" t="s">
        <v>138</v>
      </c>
      <c r="Q225">
        <v>27310</v>
      </c>
      <c r="R225">
        <v>11</v>
      </c>
    </row>
    <row r="226" spans="16:18" x14ac:dyDescent="0.2">
      <c r="P226" t="s">
        <v>139</v>
      </c>
      <c r="Q226">
        <v>27410</v>
      </c>
      <c r="R226">
        <v>11</v>
      </c>
    </row>
    <row r="227" spans="16:18" x14ac:dyDescent="0.2">
      <c r="P227" t="s">
        <v>140</v>
      </c>
      <c r="Q227">
        <v>27510</v>
      </c>
      <c r="R227">
        <v>11</v>
      </c>
    </row>
    <row r="228" spans="16:18" x14ac:dyDescent="0.2">
      <c r="P228" t="s">
        <v>141</v>
      </c>
      <c r="Q228">
        <v>27610</v>
      </c>
      <c r="R228">
        <v>11</v>
      </c>
    </row>
    <row r="229" spans="16:18" x14ac:dyDescent="0.2">
      <c r="P229" t="s">
        <v>142</v>
      </c>
      <c r="Q229">
        <v>27710</v>
      </c>
      <c r="R229">
        <v>11</v>
      </c>
    </row>
    <row r="230" spans="16:18" x14ac:dyDescent="0.2">
      <c r="P230" t="s">
        <v>143</v>
      </c>
      <c r="Q230">
        <v>27810</v>
      </c>
      <c r="R230">
        <v>11</v>
      </c>
    </row>
    <row r="231" spans="16:18" x14ac:dyDescent="0.2">
      <c r="P231" t="s">
        <v>144</v>
      </c>
      <c r="Q231">
        <v>27910</v>
      </c>
      <c r="R231">
        <v>11</v>
      </c>
    </row>
    <row r="232" spans="16:18" x14ac:dyDescent="0.2">
      <c r="P232" t="s">
        <v>145</v>
      </c>
      <c r="Q232">
        <v>28110</v>
      </c>
      <c r="R232">
        <v>41</v>
      </c>
    </row>
    <row r="233" spans="16:18" x14ac:dyDescent="0.2">
      <c r="P233" t="s">
        <v>146</v>
      </c>
      <c r="Q233">
        <v>28210</v>
      </c>
      <c r="R233">
        <v>41</v>
      </c>
    </row>
    <row r="234" spans="16:18" x14ac:dyDescent="0.2">
      <c r="P234" t="s">
        <v>147</v>
      </c>
      <c r="Q234">
        <v>28310</v>
      </c>
      <c r="R234">
        <v>41</v>
      </c>
    </row>
    <row r="235" spans="16:18" x14ac:dyDescent="0.2">
      <c r="P235" t="s">
        <v>148</v>
      </c>
      <c r="Q235">
        <v>28410</v>
      </c>
      <c r="R235">
        <v>41</v>
      </c>
    </row>
    <row r="236" spans="16:18" x14ac:dyDescent="0.2">
      <c r="P236" t="s">
        <v>149</v>
      </c>
      <c r="Q236">
        <v>28510</v>
      </c>
      <c r="R236">
        <v>41</v>
      </c>
    </row>
    <row r="237" spans="16:18" x14ac:dyDescent="0.2">
      <c r="P237" t="s">
        <v>150</v>
      </c>
      <c r="Q237">
        <v>28610</v>
      </c>
      <c r="R237">
        <v>41</v>
      </c>
    </row>
    <row r="238" spans="16:18" x14ac:dyDescent="0.2">
      <c r="P238" t="s">
        <v>548</v>
      </c>
      <c r="Q238">
        <v>29110</v>
      </c>
      <c r="R238">
        <v>41</v>
      </c>
    </row>
    <row r="239" spans="16:18" x14ac:dyDescent="0.2">
      <c r="P239" t="s">
        <v>570</v>
      </c>
      <c r="Q239">
        <v>29120</v>
      </c>
      <c r="R239">
        <v>11</v>
      </c>
    </row>
    <row r="240" spans="16:18" x14ac:dyDescent="0.2">
      <c r="P240" t="s">
        <v>571</v>
      </c>
      <c r="Q240">
        <v>29130</v>
      </c>
      <c r="R240">
        <v>11</v>
      </c>
    </row>
    <row r="241" spans="16:18" x14ac:dyDescent="0.2">
      <c r="P241" t="s">
        <v>151</v>
      </c>
      <c r="Q241">
        <v>31110</v>
      </c>
      <c r="R241">
        <v>61</v>
      </c>
    </row>
    <row r="242" spans="16:18" x14ac:dyDescent="0.2">
      <c r="P242" t="s">
        <v>152</v>
      </c>
      <c r="Q242">
        <v>32110</v>
      </c>
      <c r="R242">
        <v>61</v>
      </c>
    </row>
    <row r="243" spans="16:18" x14ac:dyDescent="0.2">
      <c r="P243" t="s">
        <v>153</v>
      </c>
      <c r="Q243">
        <v>32210</v>
      </c>
      <c r="R243">
        <v>61</v>
      </c>
    </row>
    <row r="244" spans="16:18" x14ac:dyDescent="0.2">
      <c r="P244" t="s">
        <v>154</v>
      </c>
      <c r="Q244">
        <v>33110</v>
      </c>
      <c r="R244">
        <v>61</v>
      </c>
    </row>
    <row r="245" spans="16:18" x14ac:dyDescent="0.2">
      <c r="P245" t="s">
        <v>155</v>
      </c>
      <c r="Q245">
        <v>34110</v>
      </c>
      <c r="R245">
        <v>61</v>
      </c>
    </row>
    <row r="246" spans="16:18" x14ac:dyDescent="0.2">
      <c r="P246" t="s">
        <v>156</v>
      </c>
      <c r="Q246">
        <v>34120</v>
      </c>
      <c r="R246">
        <v>61</v>
      </c>
    </row>
    <row r="247" spans="16:18" x14ac:dyDescent="0.2">
      <c r="P247" t="s">
        <v>157</v>
      </c>
      <c r="Q247">
        <v>34130</v>
      </c>
      <c r="R247">
        <v>61</v>
      </c>
    </row>
    <row r="248" spans="16:18" x14ac:dyDescent="0.2">
      <c r="P248" t="s">
        <v>158</v>
      </c>
      <c r="Q248">
        <v>34135</v>
      </c>
      <c r="R248">
        <v>61</v>
      </c>
    </row>
    <row r="249" spans="16:18" x14ac:dyDescent="0.2">
      <c r="P249" t="s">
        <v>159</v>
      </c>
      <c r="Q249">
        <v>34140</v>
      </c>
      <c r="R249">
        <v>61</v>
      </c>
    </row>
    <row r="250" spans="16:18" x14ac:dyDescent="0.2">
      <c r="P250" t="s">
        <v>160</v>
      </c>
      <c r="Q250">
        <v>34145</v>
      </c>
      <c r="R250">
        <v>61</v>
      </c>
    </row>
    <row r="251" spans="16:18" x14ac:dyDescent="0.2">
      <c r="P251" t="s">
        <v>161</v>
      </c>
      <c r="Q251">
        <v>34210</v>
      </c>
      <c r="R251">
        <v>61</v>
      </c>
    </row>
    <row r="252" spans="16:18" x14ac:dyDescent="0.2">
      <c r="P252" t="s">
        <v>162</v>
      </c>
      <c r="Q252">
        <v>34310</v>
      </c>
      <c r="R252">
        <v>61</v>
      </c>
    </row>
    <row r="253" spans="16:18" x14ac:dyDescent="0.2">
      <c r="P253" t="s">
        <v>163</v>
      </c>
      <c r="Q253">
        <v>34320</v>
      </c>
      <c r="R253">
        <v>61</v>
      </c>
    </row>
    <row r="254" spans="16:18" x14ac:dyDescent="0.2">
      <c r="P254" t="s">
        <v>164</v>
      </c>
      <c r="Q254">
        <v>35110</v>
      </c>
      <c r="R254">
        <v>71</v>
      </c>
    </row>
    <row r="255" spans="16:18" x14ac:dyDescent="0.2">
      <c r="P255" t="s">
        <v>165</v>
      </c>
      <c r="Q255">
        <v>35210</v>
      </c>
      <c r="R255">
        <v>71</v>
      </c>
    </row>
    <row r="256" spans="16:18" x14ac:dyDescent="0.2">
      <c r="P256" t="s">
        <v>166</v>
      </c>
      <c r="Q256">
        <v>35220</v>
      </c>
      <c r="R256">
        <v>71</v>
      </c>
    </row>
    <row r="257" spans="16:18" x14ac:dyDescent="0.2">
      <c r="P257" t="s">
        <v>167</v>
      </c>
      <c r="Q257">
        <v>35230</v>
      </c>
      <c r="R257">
        <v>71</v>
      </c>
    </row>
    <row r="258" spans="16:18" x14ac:dyDescent="0.2">
      <c r="P258" t="s">
        <v>168</v>
      </c>
      <c r="Q258">
        <v>35240</v>
      </c>
      <c r="R258">
        <v>71</v>
      </c>
    </row>
    <row r="259" spans="16:18" x14ac:dyDescent="0.2">
      <c r="P259" t="s">
        <v>169</v>
      </c>
      <c r="Q259">
        <v>35250</v>
      </c>
      <c r="R259">
        <v>91</v>
      </c>
    </row>
    <row r="260" spans="16:18" x14ac:dyDescent="0.2">
      <c r="P260" t="s">
        <v>603</v>
      </c>
      <c r="Q260">
        <v>35260</v>
      </c>
      <c r="R260">
        <v>71</v>
      </c>
    </row>
    <row r="261" spans="16:18" x14ac:dyDescent="0.2">
      <c r="P261" t="s">
        <v>645</v>
      </c>
      <c r="Q261">
        <v>35270</v>
      </c>
      <c r="R261">
        <v>71</v>
      </c>
    </row>
    <row r="262" spans="16:18" x14ac:dyDescent="0.2">
      <c r="P262" t="s">
        <v>170</v>
      </c>
      <c r="Q262">
        <v>35310</v>
      </c>
      <c r="R262">
        <v>71</v>
      </c>
    </row>
    <row r="263" spans="16:18" x14ac:dyDescent="0.2">
      <c r="P263" t="s">
        <v>171</v>
      </c>
      <c r="Q263">
        <v>35410</v>
      </c>
      <c r="R263">
        <v>71</v>
      </c>
    </row>
    <row r="264" spans="16:18" x14ac:dyDescent="0.2">
      <c r="P264" t="s">
        <v>172</v>
      </c>
      <c r="Q264">
        <v>35420</v>
      </c>
      <c r="R264">
        <v>61</v>
      </c>
    </row>
    <row r="265" spans="16:18" x14ac:dyDescent="0.2">
      <c r="P265" t="s">
        <v>173</v>
      </c>
      <c r="Q265">
        <v>35421</v>
      </c>
      <c r="R265">
        <v>61</v>
      </c>
    </row>
    <row r="266" spans="16:18" x14ac:dyDescent="0.2">
      <c r="P266" t="s">
        <v>174</v>
      </c>
      <c r="Q266">
        <v>35422</v>
      </c>
      <c r="R266">
        <v>61</v>
      </c>
    </row>
    <row r="267" spans="16:18" x14ac:dyDescent="0.2">
      <c r="P267" t="s">
        <v>175</v>
      </c>
      <c r="Q267">
        <v>35430</v>
      </c>
      <c r="R267">
        <v>51</v>
      </c>
    </row>
    <row r="268" spans="16:18" x14ac:dyDescent="0.2">
      <c r="P268" t="s">
        <v>176</v>
      </c>
      <c r="Q268">
        <v>35510</v>
      </c>
      <c r="R268">
        <v>91</v>
      </c>
    </row>
    <row r="269" spans="16:18" x14ac:dyDescent="0.2">
      <c r="P269" t="s">
        <v>646</v>
      </c>
      <c r="Q269">
        <v>35530</v>
      </c>
      <c r="R269">
        <v>91</v>
      </c>
    </row>
    <row r="270" spans="16:18" x14ac:dyDescent="0.2">
      <c r="P270" t="s">
        <v>647</v>
      </c>
      <c r="Q270">
        <v>35540</v>
      </c>
      <c r="R270">
        <v>91</v>
      </c>
    </row>
    <row r="271" spans="16:18" x14ac:dyDescent="0.2">
      <c r="P271" t="s">
        <v>179</v>
      </c>
      <c r="Q271">
        <v>35550</v>
      </c>
      <c r="R271">
        <v>91</v>
      </c>
    </row>
    <row r="272" spans="16:18" x14ac:dyDescent="0.2">
      <c r="P272" t="s">
        <v>648</v>
      </c>
      <c r="Q272">
        <v>35560</v>
      </c>
      <c r="R272">
        <v>91</v>
      </c>
    </row>
    <row r="273" spans="16:18" x14ac:dyDescent="0.2">
      <c r="P273" t="s">
        <v>180</v>
      </c>
      <c r="Q273">
        <v>39110</v>
      </c>
      <c r="R273">
        <v>61</v>
      </c>
    </row>
    <row r="274" spans="16:18" x14ac:dyDescent="0.2">
      <c r="P274" t="s">
        <v>181</v>
      </c>
      <c r="Q274">
        <v>39120</v>
      </c>
      <c r="R274">
        <v>91</v>
      </c>
    </row>
    <row r="275" spans="16:18" x14ac:dyDescent="0.2">
      <c r="P275" t="s">
        <v>182</v>
      </c>
      <c r="Q275">
        <v>39130</v>
      </c>
      <c r="R275">
        <v>71</v>
      </c>
    </row>
    <row r="276" spans="16:18" x14ac:dyDescent="0.2">
      <c r="P276" t="s">
        <v>183</v>
      </c>
      <c r="Q276">
        <v>39140</v>
      </c>
      <c r="R276">
        <v>61</v>
      </c>
    </row>
    <row r="277" spans="16:18" x14ac:dyDescent="0.2">
      <c r="P277" t="s">
        <v>184</v>
      </c>
      <c r="Q277">
        <v>39150</v>
      </c>
      <c r="R277">
        <v>61</v>
      </c>
    </row>
    <row r="278" spans="16:18" x14ac:dyDescent="0.2">
      <c r="P278" t="s">
        <v>185</v>
      </c>
      <c r="Q278">
        <v>39210</v>
      </c>
      <c r="R278">
        <v>11</v>
      </c>
    </row>
    <row r="279" spans="16:18" x14ac:dyDescent="0.2">
      <c r="P279" t="s">
        <v>186</v>
      </c>
      <c r="Q279">
        <v>39220</v>
      </c>
      <c r="R279">
        <v>11</v>
      </c>
    </row>
    <row r="280" spans="16:18" x14ac:dyDescent="0.2">
      <c r="P280" t="s">
        <v>187</v>
      </c>
      <c r="Q280">
        <v>39230</v>
      </c>
      <c r="R280">
        <v>11</v>
      </c>
    </row>
    <row r="281" spans="16:18" x14ac:dyDescent="0.2">
      <c r="P281" t="s">
        <v>188</v>
      </c>
      <c r="Q281">
        <v>39240</v>
      </c>
      <c r="R281">
        <v>11</v>
      </c>
    </row>
    <row r="282" spans="16:18" x14ac:dyDescent="0.2">
      <c r="P282" t="s">
        <v>189</v>
      </c>
      <c r="Q282">
        <v>39250</v>
      </c>
      <c r="R282">
        <v>11</v>
      </c>
    </row>
    <row r="283" spans="16:18" x14ac:dyDescent="0.2">
      <c r="P283" t="s">
        <v>190</v>
      </c>
      <c r="Q283">
        <v>39260</v>
      </c>
      <c r="R283">
        <v>11</v>
      </c>
    </row>
    <row r="284" spans="16:18" x14ac:dyDescent="0.2">
      <c r="P284" t="s">
        <v>191</v>
      </c>
      <c r="Q284">
        <v>39265</v>
      </c>
      <c r="R284">
        <v>11</v>
      </c>
    </row>
    <row r="285" spans="16:18" x14ac:dyDescent="0.2">
      <c r="P285" t="s">
        <v>192</v>
      </c>
      <c r="Q285">
        <v>39270</v>
      </c>
      <c r="R285">
        <v>11</v>
      </c>
    </row>
    <row r="286" spans="16:18" x14ac:dyDescent="0.2">
      <c r="P286" t="s">
        <v>193</v>
      </c>
      <c r="Q286">
        <v>39280</v>
      </c>
      <c r="R286">
        <v>11</v>
      </c>
    </row>
    <row r="287" spans="16:18" x14ac:dyDescent="0.2">
      <c r="P287" t="s">
        <v>194</v>
      </c>
      <c r="Q287">
        <v>39290</v>
      </c>
      <c r="R287"/>
    </row>
    <row r="288" spans="16:18" x14ac:dyDescent="0.2">
      <c r="P288" t="s">
        <v>195</v>
      </c>
      <c r="Q288">
        <v>39310</v>
      </c>
      <c r="R288">
        <v>61</v>
      </c>
    </row>
    <row r="289" spans="16:18" x14ac:dyDescent="0.2">
      <c r="P289" t="s">
        <v>196</v>
      </c>
      <c r="Q289">
        <v>39320</v>
      </c>
      <c r="R289">
        <v>61</v>
      </c>
    </row>
    <row r="290" spans="16:18" x14ac:dyDescent="0.2">
      <c r="P290" t="s">
        <v>197</v>
      </c>
      <c r="Q290">
        <v>39330</v>
      </c>
      <c r="R290">
        <v>61</v>
      </c>
    </row>
    <row r="291" spans="16:18" x14ac:dyDescent="0.2">
      <c r="P291" t="s">
        <v>557</v>
      </c>
      <c r="Q291">
        <v>39340</v>
      </c>
      <c r="R291">
        <v>61</v>
      </c>
    </row>
    <row r="292" spans="16:18" x14ac:dyDescent="0.2">
      <c r="P292" t="s">
        <v>198</v>
      </c>
      <c r="Q292">
        <v>39410</v>
      </c>
      <c r="R292">
        <v>61</v>
      </c>
    </row>
    <row r="293" spans="16:18" x14ac:dyDescent="0.2">
      <c r="P293" t="s">
        <v>619</v>
      </c>
      <c r="Q293">
        <v>39500</v>
      </c>
      <c r="R293">
        <v>61</v>
      </c>
    </row>
    <row r="294" spans="16:18" x14ac:dyDescent="0.2">
      <c r="P294" t="s">
        <v>199</v>
      </c>
      <c r="Q294">
        <v>41110</v>
      </c>
      <c r="R294">
        <v>61</v>
      </c>
    </row>
    <row r="295" spans="16:18" x14ac:dyDescent="0.2">
      <c r="P295" t="s">
        <v>200</v>
      </c>
      <c r="Q295">
        <v>41210</v>
      </c>
      <c r="R295">
        <v>61</v>
      </c>
    </row>
    <row r="296" spans="16:18" x14ac:dyDescent="0.2">
      <c r="P296" t="s">
        <v>201</v>
      </c>
      <c r="Q296">
        <v>41220</v>
      </c>
      <c r="R296">
        <v>51</v>
      </c>
    </row>
    <row r="297" spans="16:18" x14ac:dyDescent="0.2">
      <c r="P297" t="s">
        <v>202</v>
      </c>
      <c r="Q297">
        <v>41310</v>
      </c>
      <c r="R297">
        <v>61</v>
      </c>
    </row>
    <row r="298" spans="16:18" x14ac:dyDescent="0.2">
      <c r="P298" t="s">
        <v>203</v>
      </c>
      <c r="Q298">
        <v>41410</v>
      </c>
      <c r="R298">
        <v>61</v>
      </c>
    </row>
    <row r="299" spans="16:18" x14ac:dyDescent="0.2">
      <c r="P299" t="s">
        <v>204</v>
      </c>
      <c r="Q299">
        <v>41510</v>
      </c>
      <c r="R299">
        <v>61</v>
      </c>
    </row>
    <row r="300" spans="16:18" x14ac:dyDescent="0.2">
      <c r="P300" t="s">
        <v>205</v>
      </c>
      <c r="Q300">
        <v>41610</v>
      </c>
      <c r="R300">
        <v>61</v>
      </c>
    </row>
    <row r="301" spans="16:18" x14ac:dyDescent="0.2">
      <c r="P301" t="s">
        <v>206</v>
      </c>
      <c r="Q301">
        <v>45110</v>
      </c>
      <c r="R301">
        <v>61</v>
      </c>
    </row>
    <row r="302" spans="16:18" x14ac:dyDescent="0.2">
      <c r="P302" t="s">
        <v>207</v>
      </c>
      <c r="Q302">
        <v>45210</v>
      </c>
      <c r="R302">
        <v>61</v>
      </c>
    </row>
    <row r="303" spans="16:18" x14ac:dyDescent="0.2">
      <c r="P303" t="s">
        <v>208</v>
      </c>
      <c r="Q303">
        <v>45220</v>
      </c>
      <c r="R303">
        <v>61</v>
      </c>
    </row>
    <row r="304" spans="16:18" x14ac:dyDescent="0.2">
      <c r="P304" t="s">
        <v>209</v>
      </c>
      <c r="Q304">
        <v>45230</v>
      </c>
      <c r="R304">
        <v>61</v>
      </c>
    </row>
    <row r="305" spans="16:18" x14ac:dyDescent="0.2">
      <c r="P305" t="s">
        <v>210</v>
      </c>
      <c r="Q305">
        <v>45240</v>
      </c>
      <c r="R305">
        <v>61</v>
      </c>
    </row>
    <row r="306" spans="16:18" x14ac:dyDescent="0.2">
      <c r="P306" t="s">
        <v>211</v>
      </c>
      <c r="Q306">
        <v>45310</v>
      </c>
      <c r="R306">
        <v>61</v>
      </c>
    </row>
    <row r="307" spans="16:18" x14ac:dyDescent="0.2">
      <c r="P307" t="s">
        <v>212</v>
      </c>
      <c r="Q307">
        <v>45320</v>
      </c>
      <c r="R307">
        <v>61</v>
      </c>
    </row>
    <row r="308" spans="16:18" x14ac:dyDescent="0.2">
      <c r="P308" t="s">
        <v>213</v>
      </c>
      <c r="Q308">
        <v>45330</v>
      </c>
      <c r="R308">
        <v>61</v>
      </c>
    </row>
    <row r="309" spans="16:18" x14ac:dyDescent="0.2">
      <c r="P309" t="s">
        <v>214</v>
      </c>
      <c r="Q309">
        <v>45340</v>
      </c>
      <c r="R309">
        <v>61</v>
      </c>
    </row>
    <row r="310" spans="16:18" x14ac:dyDescent="0.2">
      <c r="P310" t="s">
        <v>215</v>
      </c>
      <c r="Q310">
        <v>45410</v>
      </c>
      <c r="R310">
        <v>61</v>
      </c>
    </row>
    <row r="311" spans="16:18" x14ac:dyDescent="0.2">
      <c r="P311" t="s">
        <v>216</v>
      </c>
      <c r="Q311">
        <v>51110</v>
      </c>
      <c r="R311">
        <v>61</v>
      </c>
    </row>
    <row r="312" spans="16:18" x14ac:dyDescent="0.2">
      <c r="P312" t="s">
        <v>218</v>
      </c>
      <c r="Q312">
        <v>51220</v>
      </c>
      <c r="R312">
        <v>61</v>
      </c>
    </row>
    <row r="313" spans="16:18" x14ac:dyDescent="0.2">
      <c r="P313" t="s">
        <v>219</v>
      </c>
      <c r="Q313">
        <v>51230</v>
      </c>
      <c r="R313">
        <v>41</v>
      </c>
    </row>
    <row r="314" spans="16:18" x14ac:dyDescent="0.2">
      <c r="P314" t="s">
        <v>220</v>
      </c>
      <c r="Q314">
        <v>51310</v>
      </c>
      <c r="R314">
        <v>61</v>
      </c>
    </row>
    <row r="315" spans="16:18" x14ac:dyDescent="0.2">
      <c r="P315" t="s">
        <v>221</v>
      </c>
      <c r="Q315">
        <v>51320</v>
      </c>
      <c r="R315">
        <v>61</v>
      </c>
    </row>
    <row r="316" spans="16:18" x14ac:dyDescent="0.2">
      <c r="P316" t="s">
        <v>222</v>
      </c>
      <c r="Q316">
        <v>51330</v>
      </c>
      <c r="R316">
        <v>61</v>
      </c>
    </row>
    <row r="317" spans="16:18" x14ac:dyDescent="0.2">
      <c r="P317" t="s">
        <v>223</v>
      </c>
      <c r="Q317">
        <v>51340</v>
      </c>
      <c r="R317">
        <v>61</v>
      </c>
    </row>
    <row r="318" spans="16:18" x14ac:dyDescent="0.2">
      <c r="P318" t="s">
        <v>620</v>
      </c>
      <c r="Q318">
        <v>51350</v>
      </c>
      <c r="R318">
        <v>61</v>
      </c>
    </row>
    <row r="319" spans="16:18" x14ac:dyDescent="0.2">
      <c r="P319" t="s">
        <v>225</v>
      </c>
      <c r="Q319">
        <v>51410</v>
      </c>
      <c r="R319">
        <v>61</v>
      </c>
    </row>
    <row r="320" spans="16:18" x14ac:dyDescent="0.2">
      <c r="P320" t="s">
        <v>226</v>
      </c>
      <c r="Q320">
        <v>51420</v>
      </c>
      <c r="R320">
        <v>61</v>
      </c>
    </row>
    <row r="321" spans="16:18" x14ac:dyDescent="0.2">
      <c r="P321" t="s">
        <v>549</v>
      </c>
      <c r="Q321">
        <v>51510</v>
      </c>
      <c r="R321">
        <v>61</v>
      </c>
    </row>
    <row r="322" spans="16:18" x14ac:dyDescent="0.2">
      <c r="P322" t="s">
        <v>228</v>
      </c>
      <c r="Q322">
        <v>52110</v>
      </c>
      <c r="R322">
        <v>61</v>
      </c>
    </row>
    <row r="323" spans="16:18" x14ac:dyDescent="0.2">
      <c r="P323" t="s">
        <v>229</v>
      </c>
      <c r="Q323">
        <v>52210</v>
      </c>
      <c r="R323">
        <v>61</v>
      </c>
    </row>
    <row r="324" spans="16:18" x14ac:dyDescent="0.2">
      <c r="P324" t="s">
        <v>230</v>
      </c>
      <c r="Q324">
        <v>52310</v>
      </c>
      <c r="R324">
        <v>61</v>
      </c>
    </row>
    <row r="325" spans="16:18" x14ac:dyDescent="0.2">
      <c r="P325" t="s">
        <v>231</v>
      </c>
      <c r="Q325">
        <v>53110</v>
      </c>
      <c r="R325">
        <v>61</v>
      </c>
    </row>
    <row r="326" spans="16:18" x14ac:dyDescent="0.2">
      <c r="P326" t="s">
        <v>232</v>
      </c>
      <c r="Q326">
        <v>54110</v>
      </c>
      <c r="R326">
        <v>61</v>
      </c>
    </row>
    <row r="327" spans="16:18" x14ac:dyDescent="0.2">
      <c r="P327" t="s">
        <v>233</v>
      </c>
      <c r="Q327">
        <v>54120</v>
      </c>
      <c r="R327">
        <v>61</v>
      </c>
    </row>
    <row r="328" spans="16:18" x14ac:dyDescent="0.2">
      <c r="P328" t="s">
        <v>234</v>
      </c>
      <c r="Q328">
        <v>54130</v>
      </c>
      <c r="R328">
        <v>61</v>
      </c>
    </row>
    <row r="329" spans="16:18" x14ac:dyDescent="0.2">
      <c r="P329" t="s">
        <v>235</v>
      </c>
      <c r="Q329">
        <v>54140</v>
      </c>
      <c r="R329">
        <v>61</v>
      </c>
    </row>
    <row r="330" spans="16:18" x14ac:dyDescent="0.2">
      <c r="P330" t="s">
        <v>236</v>
      </c>
      <c r="Q330">
        <v>54210</v>
      </c>
      <c r="R330">
        <v>61</v>
      </c>
    </row>
    <row r="331" spans="16:18" x14ac:dyDescent="0.2">
      <c r="P331" t="s">
        <v>237</v>
      </c>
      <c r="Q331">
        <v>54220</v>
      </c>
      <c r="R331">
        <v>61</v>
      </c>
    </row>
    <row r="332" spans="16:18" x14ac:dyDescent="0.2">
      <c r="P332" t="s">
        <v>238</v>
      </c>
      <c r="Q332">
        <v>54310</v>
      </c>
      <c r="R332">
        <v>61</v>
      </c>
    </row>
    <row r="333" spans="16:18" x14ac:dyDescent="0.2">
      <c r="P333" t="s">
        <v>239</v>
      </c>
      <c r="Q333">
        <v>54410</v>
      </c>
      <c r="R333">
        <v>61</v>
      </c>
    </row>
    <row r="334" spans="16:18" x14ac:dyDescent="0.2">
      <c r="P334" t="s">
        <v>240</v>
      </c>
      <c r="Q334">
        <v>54510</v>
      </c>
      <c r="R334">
        <v>61</v>
      </c>
    </row>
    <row r="335" spans="16:18" x14ac:dyDescent="0.2">
      <c r="P335" t="s">
        <v>241</v>
      </c>
      <c r="Q335">
        <v>54610</v>
      </c>
      <c r="R335">
        <v>61</v>
      </c>
    </row>
    <row r="336" spans="16:18" x14ac:dyDescent="0.2">
      <c r="P336" t="s">
        <v>242</v>
      </c>
      <c r="Q336">
        <v>61110</v>
      </c>
      <c r="R336">
        <v>61</v>
      </c>
    </row>
    <row r="337" spans="16:18" x14ac:dyDescent="0.2">
      <c r="P337" t="s">
        <v>243</v>
      </c>
      <c r="Q337">
        <v>62110</v>
      </c>
      <c r="R337">
        <v>61</v>
      </c>
    </row>
    <row r="338" spans="16:18" x14ac:dyDescent="0.2">
      <c r="P338" t="s">
        <v>244</v>
      </c>
      <c r="Q338">
        <v>63110</v>
      </c>
      <c r="R338">
        <v>61</v>
      </c>
    </row>
    <row r="339" spans="16:18" x14ac:dyDescent="0.2">
      <c r="P339" t="s">
        <v>583</v>
      </c>
      <c r="Q339">
        <v>63210</v>
      </c>
      <c r="R339">
        <v>61</v>
      </c>
    </row>
    <row r="340" spans="16:18" x14ac:dyDescent="0.2">
      <c r="P340" t="s">
        <v>584</v>
      </c>
      <c r="Q340">
        <v>63220</v>
      </c>
      <c r="R340">
        <v>61</v>
      </c>
    </row>
    <row r="341" spans="16:18" x14ac:dyDescent="0.2">
      <c r="P341" t="s">
        <v>585</v>
      </c>
      <c r="Q341">
        <v>63230</v>
      </c>
      <c r="R341">
        <v>61</v>
      </c>
    </row>
    <row r="342" spans="16:18" x14ac:dyDescent="0.2">
      <c r="P342" t="s">
        <v>586</v>
      </c>
      <c r="Q342">
        <v>63240</v>
      </c>
      <c r="R342">
        <v>61</v>
      </c>
    </row>
    <row r="343" spans="16:18" x14ac:dyDescent="0.2">
      <c r="P343" t="s">
        <v>587</v>
      </c>
      <c r="Q343">
        <v>63250</v>
      </c>
      <c r="R343">
        <v>61</v>
      </c>
    </row>
    <row r="344" spans="16:18" x14ac:dyDescent="0.2">
      <c r="P344" t="s">
        <v>588</v>
      </c>
      <c r="Q344">
        <v>63260</v>
      </c>
      <c r="R344">
        <v>61</v>
      </c>
    </row>
    <row r="345" spans="16:18" x14ac:dyDescent="0.2">
      <c r="P345" t="s">
        <v>589</v>
      </c>
      <c r="Q345">
        <v>63270</v>
      </c>
      <c r="R345">
        <v>61</v>
      </c>
    </row>
    <row r="346" spans="16:18" x14ac:dyDescent="0.2">
      <c r="P346" t="s">
        <v>590</v>
      </c>
      <c r="Q346">
        <v>63280</v>
      </c>
      <c r="R346">
        <v>61</v>
      </c>
    </row>
    <row r="347" spans="16:18" x14ac:dyDescent="0.2">
      <c r="P347" t="s">
        <v>604</v>
      </c>
      <c r="Q347">
        <v>63290</v>
      </c>
      <c r="R347">
        <v>61</v>
      </c>
    </row>
    <row r="348" spans="16:18" x14ac:dyDescent="0.2">
      <c r="P348" t="s">
        <v>253</v>
      </c>
      <c r="Q348">
        <v>63310</v>
      </c>
      <c r="R348">
        <v>61</v>
      </c>
    </row>
    <row r="349" spans="16:18" x14ac:dyDescent="0.2">
      <c r="P349" t="s">
        <v>254</v>
      </c>
      <c r="Q349">
        <v>63410</v>
      </c>
      <c r="R349">
        <v>61</v>
      </c>
    </row>
    <row r="350" spans="16:18" x14ac:dyDescent="0.2">
      <c r="P350" t="s">
        <v>255</v>
      </c>
      <c r="Q350">
        <v>64110</v>
      </c>
      <c r="R350">
        <v>61</v>
      </c>
    </row>
    <row r="351" spans="16:18" x14ac:dyDescent="0.2">
      <c r="P351" t="s">
        <v>256</v>
      </c>
      <c r="Q351">
        <v>64120</v>
      </c>
      <c r="R351">
        <v>61</v>
      </c>
    </row>
    <row r="352" spans="16:18" x14ac:dyDescent="0.2">
      <c r="P352" t="s">
        <v>257</v>
      </c>
      <c r="Q352">
        <v>64130</v>
      </c>
      <c r="R352">
        <v>61</v>
      </c>
    </row>
    <row r="353" spans="16:18" x14ac:dyDescent="0.2">
      <c r="P353" t="s">
        <v>258</v>
      </c>
      <c r="Q353">
        <v>64140</v>
      </c>
      <c r="R353">
        <v>61</v>
      </c>
    </row>
    <row r="354" spans="16:18" x14ac:dyDescent="0.2">
      <c r="P354" t="s">
        <v>259</v>
      </c>
      <c r="Q354">
        <v>64210</v>
      </c>
      <c r="R354">
        <v>61</v>
      </c>
    </row>
    <row r="355" spans="16:18" x14ac:dyDescent="0.2">
      <c r="P355" t="s">
        <v>260</v>
      </c>
      <c r="Q355">
        <v>64220</v>
      </c>
      <c r="R355">
        <v>61</v>
      </c>
    </row>
    <row r="356" spans="16:18" x14ac:dyDescent="0.2">
      <c r="P356" t="s">
        <v>261</v>
      </c>
      <c r="Q356">
        <v>64230</v>
      </c>
      <c r="R356">
        <v>61</v>
      </c>
    </row>
    <row r="357" spans="16:18" x14ac:dyDescent="0.2">
      <c r="P357" t="s">
        <v>262</v>
      </c>
      <c r="Q357">
        <v>64240</v>
      </c>
      <c r="R357">
        <v>61</v>
      </c>
    </row>
    <row r="358" spans="16:18" x14ac:dyDescent="0.2">
      <c r="P358" t="s">
        <v>263</v>
      </c>
      <c r="Q358">
        <v>64250</v>
      </c>
      <c r="R358">
        <v>61</v>
      </c>
    </row>
    <row r="359" spans="16:18" x14ac:dyDescent="0.2">
      <c r="P359" t="s">
        <v>264</v>
      </c>
      <c r="Q359">
        <v>64260</v>
      </c>
      <c r="R359">
        <v>61</v>
      </c>
    </row>
    <row r="360" spans="16:18" x14ac:dyDescent="0.2">
      <c r="P360" t="s">
        <v>605</v>
      </c>
      <c r="Q360">
        <v>64270</v>
      </c>
      <c r="R360">
        <v>61</v>
      </c>
    </row>
    <row r="361" spans="16:18" x14ac:dyDescent="0.2">
      <c r="P361" t="s">
        <v>265</v>
      </c>
      <c r="Q361">
        <v>71110</v>
      </c>
      <c r="R361">
        <v>51</v>
      </c>
    </row>
    <row r="362" spans="16:18" x14ac:dyDescent="0.2">
      <c r="P362" t="s">
        <v>266</v>
      </c>
      <c r="Q362">
        <v>71210</v>
      </c>
      <c r="R362">
        <v>61</v>
      </c>
    </row>
    <row r="363" spans="16:18" x14ac:dyDescent="0.2">
      <c r="P363" t="s">
        <v>267</v>
      </c>
      <c r="Q363">
        <v>72110</v>
      </c>
      <c r="R363">
        <v>51</v>
      </c>
    </row>
    <row r="364" spans="16:18" x14ac:dyDescent="0.2">
      <c r="P364" t="s">
        <v>268</v>
      </c>
      <c r="Q364">
        <v>72210</v>
      </c>
      <c r="R364">
        <v>51</v>
      </c>
    </row>
    <row r="365" spans="16:18" x14ac:dyDescent="0.2">
      <c r="P365" t="s">
        <v>269</v>
      </c>
      <c r="Q365">
        <v>72220</v>
      </c>
      <c r="R365">
        <v>51</v>
      </c>
    </row>
    <row r="366" spans="16:18" x14ac:dyDescent="0.2">
      <c r="P366" t="s">
        <v>270</v>
      </c>
      <c r="Q366">
        <v>72230</v>
      </c>
      <c r="R366">
        <v>51</v>
      </c>
    </row>
    <row r="367" spans="16:18" x14ac:dyDescent="0.2">
      <c r="P367" t="s">
        <v>271</v>
      </c>
      <c r="Q367">
        <v>72240</v>
      </c>
      <c r="R367">
        <v>51</v>
      </c>
    </row>
    <row r="368" spans="16:18" x14ac:dyDescent="0.2">
      <c r="P368" t="s">
        <v>272</v>
      </c>
      <c r="Q368">
        <v>72250</v>
      </c>
      <c r="R368">
        <v>51</v>
      </c>
    </row>
    <row r="369" spans="16:18" x14ac:dyDescent="0.2">
      <c r="P369" t="s">
        <v>273</v>
      </c>
      <c r="Q369">
        <v>72260</v>
      </c>
      <c r="R369">
        <v>51</v>
      </c>
    </row>
    <row r="370" spans="16:18" x14ac:dyDescent="0.2">
      <c r="P370" t="s">
        <v>274</v>
      </c>
      <c r="Q370">
        <v>72270</v>
      </c>
      <c r="R370">
        <v>51</v>
      </c>
    </row>
    <row r="371" spans="16:18" x14ac:dyDescent="0.2">
      <c r="P371" t="s">
        <v>275</v>
      </c>
      <c r="Q371">
        <v>72280</v>
      </c>
      <c r="R371">
        <v>51</v>
      </c>
    </row>
    <row r="372" spans="16:18" x14ac:dyDescent="0.2">
      <c r="P372" t="s">
        <v>277</v>
      </c>
      <c r="Q372">
        <v>72320</v>
      </c>
      <c r="R372">
        <v>51</v>
      </c>
    </row>
    <row r="373" spans="16:18" x14ac:dyDescent="0.2">
      <c r="P373" t="s">
        <v>278</v>
      </c>
      <c r="Q373">
        <v>72330</v>
      </c>
      <c r="R373">
        <v>51</v>
      </c>
    </row>
    <row r="374" spans="16:18" x14ac:dyDescent="0.2">
      <c r="P374" t="s">
        <v>279</v>
      </c>
      <c r="Q374">
        <v>72410</v>
      </c>
      <c r="R374">
        <v>51</v>
      </c>
    </row>
    <row r="375" spans="16:18" x14ac:dyDescent="0.2">
      <c r="P375" t="s">
        <v>280</v>
      </c>
      <c r="Q375">
        <v>72420</v>
      </c>
      <c r="R375">
        <v>51</v>
      </c>
    </row>
    <row r="376" spans="16:18" x14ac:dyDescent="0.2">
      <c r="P376" t="s">
        <v>281</v>
      </c>
      <c r="Q376">
        <v>72430</v>
      </c>
      <c r="R376">
        <v>81</v>
      </c>
    </row>
    <row r="377" spans="16:18" x14ac:dyDescent="0.2">
      <c r="P377" t="s">
        <v>282</v>
      </c>
      <c r="Q377">
        <v>72510</v>
      </c>
      <c r="R377">
        <v>51</v>
      </c>
    </row>
    <row r="378" spans="16:18" x14ac:dyDescent="0.2">
      <c r="P378" t="s">
        <v>283</v>
      </c>
      <c r="Q378">
        <v>72520</v>
      </c>
      <c r="R378">
        <v>51</v>
      </c>
    </row>
    <row r="379" spans="16:18" x14ac:dyDescent="0.2">
      <c r="P379" t="s">
        <v>284</v>
      </c>
      <c r="Q379">
        <v>72530</v>
      </c>
      <c r="R379">
        <v>51</v>
      </c>
    </row>
    <row r="380" spans="16:18" x14ac:dyDescent="0.2">
      <c r="P380" t="s">
        <v>285</v>
      </c>
      <c r="Q380">
        <v>72540</v>
      </c>
      <c r="R380">
        <v>51</v>
      </c>
    </row>
    <row r="381" spans="16:18" x14ac:dyDescent="0.2">
      <c r="P381" t="s">
        <v>286</v>
      </c>
      <c r="Q381">
        <v>72550</v>
      </c>
      <c r="R381">
        <v>51</v>
      </c>
    </row>
    <row r="382" spans="16:18" x14ac:dyDescent="0.2">
      <c r="P382" t="s">
        <v>288</v>
      </c>
      <c r="Q382">
        <v>72620</v>
      </c>
      <c r="R382">
        <v>51</v>
      </c>
    </row>
    <row r="383" spans="16:18" x14ac:dyDescent="0.2">
      <c r="P383" t="s">
        <v>289</v>
      </c>
      <c r="Q383">
        <v>72630</v>
      </c>
      <c r="R383">
        <v>51</v>
      </c>
    </row>
    <row r="384" spans="16:18" x14ac:dyDescent="0.2">
      <c r="P384" t="s">
        <v>290</v>
      </c>
      <c r="Q384">
        <v>72640</v>
      </c>
      <c r="R384">
        <v>51</v>
      </c>
    </row>
    <row r="385" spans="16:18" x14ac:dyDescent="0.2">
      <c r="P385" t="s">
        <v>291</v>
      </c>
      <c r="Q385">
        <v>73110</v>
      </c>
      <c r="R385">
        <v>51</v>
      </c>
    </row>
    <row r="386" spans="16:18" x14ac:dyDescent="0.2">
      <c r="P386" t="s">
        <v>292</v>
      </c>
      <c r="Q386">
        <v>73210</v>
      </c>
      <c r="R386">
        <v>51</v>
      </c>
    </row>
    <row r="387" spans="16:18" x14ac:dyDescent="0.2">
      <c r="P387" t="s">
        <v>293</v>
      </c>
      <c r="Q387">
        <v>73220</v>
      </c>
      <c r="R387">
        <v>51</v>
      </c>
    </row>
    <row r="388" spans="16:18" x14ac:dyDescent="0.2">
      <c r="P388" t="s">
        <v>294</v>
      </c>
      <c r="Q388">
        <v>73230</v>
      </c>
      <c r="R388">
        <v>51</v>
      </c>
    </row>
    <row r="389" spans="16:18" x14ac:dyDescent="0.2">
      <c r="P389" t="s">
        <v>295</v>
      </c>
      <c r="Q389">
        <v>73240</v>
      </c>
      <c r="R389">
        <v>51</v>
      </c>
    </row>
    <row r="390" spans="16:18" x14ac:dyDescent="0.2">
      <c r="P390" t="s">
        <v>296</v>
      </c>
      <c r="Q390">
        <v>73241</v>
      </c>
      <c r="R390">
        <v>51</v>
      </c>
    </row>
    <row r="391" spans="16:18" x14ac:dyDescent="0.2">
      <c r="P391" t="s">
        <v>297</v>
      </c>
      <c r="Q391">
        <v>73310</v>
      </c>
      <c r="R391">
        <v>51</v>
      </c>
    </row>
    <row r="392" spans="16:18" x14ac:dyDescent="0.2">
      <c r="P392" t="s">
        <v>298</v>
      </c>
      <c r="Q392">
        <v>73320</v>
      </c>
      <c r="R392">
        <v>51</v>
      </c>
    </row>
    <row r="393" spans="16:18" x14ac:dyDescent="0.2">
      <c r="P393" t="s">
        <v>299</v>
      </c>
      <c r="Q393">
        <v>73330</v>
      </c>
      <c r="R393">
        <v>51</v>
      </c>
    </row>
    <row r="394" spans="16:18" x14ac:dyDescent="0.2">
      <c r="P394" t="s">
        <v>300</v>
      </c>
      <c r="Q394">
        <v>73340</v>
      </c>
      <c r="R394">
        <v>51</v>
      </c>
    </row>
    <row r="395" spans="16:18" x14ac:dyDescent="0.2">
      <c r="P395" t="s">
        <v>301</v>
      </c>
      <c r="Q395">
        <v>73350</v>
      </c>
      <c r="R395">
        <v>51</v>
      </c>
    </row>
    <row r="396" spans="16:18" x14ac:dyDescent="0.2">
      <c r="P396" t="s">
        <v>302</v>
      </c>
      <c r="Q396">
        <v>73351</v>
      </c>
      <c r="R396">
        <v>51</v>
      </c>
    </row>
    <row r="397" spans="16:18" x14ac:dyDescent="0.2">
      <c r="P397" t="s">
        <v>303</v>
      </c>
      <c r="Q397">
        <v>73352</v>
      </c>
      <c r="R397">
        <v>51</v>
      </c>
    </row>
    <row r="398" spans="16:18" x14ac:dyDescent="0.2">
      <c r="P398" t="s">
        <v>304</v>
      </c>
      <c r="Q398">
        <v>73353</v>
      </c>
      <c r="R398">
        <v>51</v>
      </c>
    </row>
    <row r="399" spans="16:18" x14ac:dyDescent="0.2">
      <c r="P399" t="s">
        <v>305</v>
      </c>
      <c r="Q399">
        <v>73354</v>
      </c>
      <c r="R399">
        <v>51</v>
      </c>
    </row>
    <row r="400" spans="16:18" x14ac:dyDescent="0.2">
      <c r="P400" t="s">
        <v>306</v>
      </c>
      <c r="Q400">
        <v>73355</v>
      </c>
      <c r="R400">
        <v>51</v>
      </c>
    </row>
    <row r="401" spans="16:18" x14ac:dyDescent="0.2">
      <c r="P401" t="s">
        <v>307</v>
      </c>
      <c r="Q401">
        <v>73360</v>
      </c>
      <c r="R401">
        <v>51</v>
      </c>
    </row>
    <row r="402" spans="16:18" x14ac:dyDescent="0.2">
      <c r="P402" t="s">
        <v>308</v>
      </c>
      <c r="Q402">
        <v>73370</v>
      </c>
      <c r="R402">
        <v>51</v>
      </c>
    </row>
    <row r="403" spans="16:18" x14ac:dyDescent="0.2">
      <c r="P403" t="s">
        <v>309</v>
      </c>
      <c r="Q403">
        <v>73410</v>
      </c>
      <c r="R403">
        <v>51</v>
      </c>
    </row>
    <row r="404" spans="16:18" x14ac:dyDescent="0.2">
      <c r="P404" t="s">
        <v>310</v>
      </c>
      <c r="Q404">
        <v>73420</v>
      </c>
      <c r="R404">
        <v>51</v>
      </c>
    </row>
    <row r="405" spans="16:18" x14ac:dyDescent="0.2">
      <c r="P405" t="s">
        <v>311</v>
      </c>
      <c r="Q405">
        <v>73430</v>
      </c>
      <c r="R405">
        <v>51</v>
      </c>
    </row>
    <row r="406" spans="16:18" x14ac:dyDescent="0.2">
      <c r="P406" t="s">
        <v>312</v>
      </c>
      <c r="Q406">
        <v>73440</v>
      </c>
      <c r="R406">
        <v>51</v>
      </c>
    </row>
    <row r="407" spans="16:18" x14ac:dyDescent="0.2">
      <c r="P407" t="s">
        <v>313</v>
      </c>
      <c r="Q407">
        <v>73510</v>
      </c>
      <c r="R407">
        <v>51</v>
      </c>
    </row>
    <row r="408" spans="16:18" x14ac:dyDescent="0.2">
      <c r="P408" t="s">
        <v>314</v>
      </c>
      <c r="Q408">
        <v>73610</v>
      </c>
      <c r="R408">
        <v>91</v>
      </c>
    </row>
    <row r="409" spans="16:18" x14ac:dyDescent="0.2">
      <c r="P409" t="s">
        <v>315</v>
      </c>
      <c r="Q409">
        <v>73620</v>
      </c>
      <c r="R409">
        <v>91</v>
      </c>
    </row>
    <row r="410" spans="16:18" x14ac:dyDescent="0.2">
      <c r="P410" t="s">
        <v>550</v>
      </c>
      <c r="Q410">
        <v>73630</v>
      </c>
      <c r="R410">
        <v>91</v>
      </c>
    </row>
    <row r="411" spans="16:18" x14ac:dyDescent="0.2">
      <c r="P411" t="s">
        <v>317</v>
      </c>
      <c r="Q411">
        <v>73640</v>
      </c>
      <c r="R411">
        <v>71</v>
      </c>
    </row>
    <row r="412" spans="16:18" x14ac:dyDescent="0.2">
      <c r="P412" t="s">
        <v>621</v>
      </c>
      <c r="Q412">
        <v>73650</v>
      </c>
      <c r="R412">
        <v>91</v>
      </c>
    </row>
    <row r="413" spans="16:18" x14ac:dyDescent="0.2">
      <c r="P413" t="s">
        <v>318</v>
      </c>
      <c r="Q413">
        <v>73710</v>
      </c>
      <c r="R413">
        <v>51</v>
      </c>
    </row>
    <row r="414" spans="16:18" x14ac:dyDescent="0.2">
      <c r="P414" t="s">
        <v>622</v>
      </c>
      <c r="Q414">
        <v>73720</v>
      </c>
      <c r="R414">
        <v>51</v>
      </c>
    </row>
    <row r="415" spans="16:18" x14ac:dyDescent="0.2">
      <c r="P415" t="s">
        <v>606</v>
      </c>
      <c r="Q415">
        <v>81110</v>
      </c>
      <c r="R415">
        <v>61</v>
      </c>
    </row>
    <row r="416" spans="16:18" x14ac:dyDescent="0.2">
      <c r="P416" t="s">
        <v>320</v>
      </c>
      <c r="Q416">
        <v>81120</v>
      </c>
      <c r="R416">
        <v>31</v>
      </c>
    </row>
    <row r="417" spans="16:18" x14ac:dyDescent="0.2">
      <c r="P417" t="s">
        <v>321</v>
      </c>
      <c r="Q417">
        <v>81310</v>
      </c>
      <c r="R417">
        <v>51</v>
      </c>
    </row>
    <row r="418" spans="16:18" x14ac:dyDescent="0.2">
      <c r="P418" t="s">
        <v>322</v>
      </c>
      <c r="Q418">
        <v>81320</v>
      </c>
      <c r="R418">
        <v>51</v>
      </c>
    </row>
    <row r="419" spans="16:18" x14ac:dyDescent="0.2">
      <c r="P419" t="s">
        <v>323</v>
      </c>
      <c r="Q419">
        <v>81330</v>
      </c>
      <c r="R419">
        <v>51</v>
      </c>
    </row>
    <row r="420" spans="16:18" x14ac:dyDescent="0.2">
      <c r="P420" t="s">
        <v>324</v>
      </c>
      <c r="Q420">
        <v>81340</v>
      </c>
      <c r="R420">
        <v>51</v>
      </c>
    </row>
    <row r="421" spans="16:18" x14ac:dyDescent="0.2">
      <c r="P421" t="s">
        <v>325</v>
      </c>
      <c r="Q421">
        <v>81350</v>
      </c>
      <c r="R421">
        <v>51</v>
      </c>
    </row>
    <row r="422" spans="16:18" x14ac:dyDescent="0.2">
      <c r="P422" t="s">
        <v>326</v>
      </c>
      <c r="Q422">
        <v>81360</v>
      </c>
      <c r="R422">
        <v>51</v>
      </c>
    </row>
    <row r="423" spans="16:18" x14ac:dyDescent="0.2">
      <c r="P423" t="s">
        <v>551</v>
      </c>
      <c r="Q423">
        <v>91110</v>
      </c>
      <c r="R423">
        <v>99</v>
      </c>
    </row>
    <row r="424" spans="16:18" x14ac:dyDescent="0.2">
      <c r="P424" t="s">
        <v>328</v>
      </c>
      <c r="Q424">
        <v>92110</v>
      </c>
      <c r="R424">
        <v>99</v>
      </c>
    </row>
    <row r="425" spans="16:18" x14ac:dyDescent="0.2">
      <c r="P425" t="s">
        <v>658</v>
      </c>
      <c r="Q425">
        <v>92210</v>
      </c>
      <c r="R425">
        <v>99</v>
      </c>
    </row>
    <row r="426" spans="16:18" x14ac:dyDescent="0.2">
      <c r="P426" t="s">
        <v>330</v>
      </c>
      <c r="Q426">
        <v>93110</v>
      </c>
      <c r="R426">
        <v>99</v>
      </c>
    </row>
    <row r="427" spans="16:18" x14ac:dyDescent="0.2">
      <c r="P427" t="s">
        <v>331</v>
      </c>
      <c r="Q427">
        <v>93210</v>
      </c>
      <c r="R427">
        <v>99</v>
      </c>
    </row>
    <row r="428" spans="16:18" x14ac:dyDescent="0.2">
      <c r="P428" t="s">
        <v>332</v>
      </c>
      <c r="Q428">
        <v>93220</v>
      </c>
      <c r="R428">
        <v>99</v>
      </c>
    </row>
    <row r="429" spans="16:18" x14ac:dyDescent="0.2">
      <c r="P429" t="s">
        <v>333</v>
      </c>
      <c r="Q429">
        <v>93230</v>
      </c>
      <c r="R429">
        <v>99</v>
      </c>
    </row>
    <row r="430" spans="16:18" x14ac:dyDescent="0.2">
      <c r="P430" t="s">
        <v>334</v>
      </c>
      <c r="Q430">
        <v>93240</v>
      </c>
      <c r="R430">
        <v>99</v>
      </c>
    </row>
    <row r="431" spans="16:18" x14ac:dyDescent="0.2">
      <c r="P431" t="s">
        <v>335</v>
      </c>
      <c r="Q431">
        <v>93310</v>
      </c>
      <c r="R431">
        <v>99</v>
      </c>
    </row>
    <row r="432" spans="16:18" x14ac:dyDescent="0.2">
      <c r="P432" t="s">
        <v>336</v>
      </c>
      <c r="Q432">
        <v>93320</v>
      </c>
      <c r="R432">
        <v>99</v>
      </c>
    </row>
    <row r="433" spans="16:18" x14ac:dyDescent="0.2">
      <c r="P433" t="s">
        <v>337</v>
      </c>
      <c r="Q433">
        <v>93325</v>
      </c>
      <c r="R433">
        <v>99</v>
      </c>
    </row>
    <row r="434" spans="16:18" x14ac:dyDescent="0.2">
      <c r="P434" t="s">
        <v>338</v>
      </c>
      <c r="Q434">
        <v>93330</v>
      </c>
      <c r="R434">
        <v>99</v>
      </c>
    </row>
    <row r="435" spans="16:18" x14ac:dyDescent="0.2">
      <c r="P435" s="2" t="s">
        <v>339</v>
      </c>
      <c r="Q435" s="2">
        <v>93335</v>
      </c>
      <c r="R435" s="2">
        <v>99</v>
      </c>
    </row>
    <row r="436" spans="16:18" x14ac:dyDescent="0.2">
      <c r="P436" s="2" t="s">
        <v>340</v>
      </c>
      <c r="Q436" s="2">
        <v>93340</v>
      </c>
      <c r="R436" s="2">
        <v>99</v>
      </c>
    </row>
    <row r="437" spans="16:18" x14ac:dyDescent="0.2">
      <c r="P437" s="2" t="s">
        <v>341</v>
      </c>
      <c r="Q437" s="2">
        <v>93345</v>
      </c>
      <c r="R437" s="2">
        <v>99</v>
      </c>
    </row>
    <row r="438" spans="16:18" x14ac:dyDescent="0.2">
      <c r="P438" s="2" t="s">
        <v>342</v>
      </c>
      <c r="Q438" s="2">
        <v>93350</v>
      </c>
      <c r="R438" s="2">
        <v>99</v>
      </c>
    </row>
    <row r="439" spans="16:18" x14ac:dyDescent="0.2">
      <c r="P439" s="2" t="s">
        <v>343</v>
      </c>
      <c r="Q439" s="2">
        <v>93355</v>
      </c>
      <c r="R439" s="2">
        <v>99</v>
      </c>
    </row>
    <row r="440" spans="16:18" x14ac:dyDescent="0.2">
      <c r="P440" s="2" t="s">
        <v>344</v>
      </c>
      <c r="Q440" s="2">
        <v>93360</v>
      </c>
      <c r="R440" s="2">
        <v>99</v>
      </c>
    </row>
    <row r="441" spans="16:18" x14ac:dyDescent="0.2">
      <c r="P441" s="2" t="s">
        <v>345</v>
      </c>
      <c r="Q441" s="2">
        <v>93365</v>
      </c>
      <c r="R441" s="2">
        <v>99</v>
      </c>
    </row>
    <row r="442" spans="16:18" x14ac:dyDescent="0.2">
      <c r="P442" s="2" t="s">
        <v>346</v>
      </c>
      <c r="Q442" s="2">
        <v>94110</v>
      </c>
      <c r="R442" s="2">
        <v>99</v>
      </c>
    </row>
    <row r="443" spans="16:18" x14ac:dyDescent="0.2">
      <c r="P443" s="2" t="s">
        <v>347</v>
      </c>
      <c r="Q443" s="2">
        <v>94120</v>
      </c>
      <c r="R443" s="2">
        <v>99</v>
      </c>
    </row>
    <row r="444" spans="16:18" x14ac:dyDescent="0.2">
      <c r="P444" s="2" t="s">
        <v>348</v>
      </c>
      <c r="Q444" s="2">
        <v>94130</v>
      </c>
      <c r="R444" s="2">
        <v>99</v>
      </c>
    </row>
    <row r="445" spans="16:18" x14ac:dyDescent="0.2">
      <c r="P445" s="2" t="s">
        <v>349</v>
      </c>
      <c r="Q445" s="2">
        <v>94210</v>
      </c>
      <c r="R445" s="2">
        <v>99</v>
      </c>
    </row>
    <row r="446" spans="16:18" x14ac:dyDescent="0.2">
      <c r="P446" s="2" t="s">
        <v>350</v>
      </c>
      <c r="Q446" s="2">
        <v>94310</v>
      </c>
      <c r="R446" s="2">
        <v>99</v>
      </c>
    </row>
    <row r="447" spans="16:18" x14ac:dyDescent="0.2">
      <c r="P447" s="2" t="s">
        <v>351</v>
      </c>
      <c r="Q447" s="2">
        <v>95110</v>
      </c>
      <c r="R447" s="2">
        <v>99</v>
      </c>
    </row>
  </sheetData>
  <sheetProtection password="D332" sheet="1" objects="1" scenarios="1"/>
  <mergeCells count="50">
    <mergeCell ref="F1:G2"/>
    <mergeCell ref="A3:G4"/>
    <mergeCell ref="A61:G61"/>
    <mergeCell ref="A64:A65"/>
    <mergeCell ref="B64:C65"/>
    <mergeCell ref="D64:E65"/>
    <mergeCell ref="F64:G65"/>
    <mergeCell ref="A31:A32"/>
    <mergeCell ref="C31:E31"/>
    <mergeCell ref="A34:G34"/>
    <mergeCell ref="A39:A40"/>
    <mergeCell ref="D39:F39"/>
    <mergeCell ref="B41:G41"/>
    <mergeCell ref="B44:F44"/>
    <mergeCell ref="A46:A49"/>
    <mergeCell ref="A23:A24"/>
    <mergeCell ref="B53:C53"/>
    <mergeCell ref="E53:F53"/>
    <mergeCell ref="B54:C55"/>
    <mergeCell ref="E54:F54"/>
    <mergeCell ref="D25:E25"/>
    <mergeCell ref="B26:C26"/>
    <mergeCell ref="B56:G59"/>
    <mergeCell ref="B69:C69"/>
    <mergeCell ref="B62:C62"/>
    <mergeCell ref="D62:E62"/>
    <mergeCell ref="F62:G62"/>
    <mergeCell ref="B63:C63"/>
    <mergeCell ref="D63:E63"/>
    <mergeCell ref="F63:G63"/>
    <mergeCell ref="D67:G68"/>
    <mergeCell ref="A28:A29"/>
    <mergeCell ref="D28:G28"/>
    <mergeCell ref="E12:G12"/>
    <mergeCell ref="E13:G13"/>
    <mergeCell ref="A17:G17"/>
    <mergeCell ref="A19:A20"/>
    <mergeCell ref="F19:G19"/>
    <mergeCell ref="F20:G20"/>
    <mergeCell ref="B14:C14"/>
    <mergeCell ref="E14:G14"/>
    <mergeCell ref="B15:C15"/>
    <mergeCell ref="B25:C25"/>
    <mergeCell ref="E23:G23"/>
    <mergeCell ref="B11:C11"/>
    <mergeCell ref="E11:F11"/>
    <mergeCell ref="A6:B6"/>
    <mergeCell ref="C6:F6"/>
    <mergeCell ref="A8:G8"/>
    <mergeCell ref="B10:C10"/>
  </mergeCells>
  <conditionalFormatting sqref="G46">
    <cfRule type="expression" dxfId="116" priority="16" stopIfTrue="1">
      <formula>ISERROR($G$46)</formula>
    </cfRule>
  </conditionalFormatting>
  <conditionalFormatting sqref="G47">
    <cfRule type="expression" dxfId="115" priority="15" stopIfTrue="1">
      <formula>ISERROR($G$47)</formula>
    </cfRule>
  </conditionalFormatting>
  <conditionalFormatting sqref="G48">
    <cfRule type="expression" dxfId="114" priority="14" stopIfTrue="1">
      <formula>ISERROR($G$48)</formula>
    </cfRule>
  </conditionalFormatting>
  <conditionalFormatting sqref="G49">
    <cfRule type="expression" dxfId="113" priority="13" stopIfTrue="1">
      <formula>ISERROR($G$49)</formula>
    </cfRule>
  </conditionalFormatting>
  <conditionalFormatting sqref="B10:C11 B12:B13 B14:C15 E11:F11 E12:G14 B63:G63 B53:C53 E53:F54 E15">
    <cfRule type="cellIs" dxfId="112" priority="12" stopIfTrue="1" operator="notEqual">
      <formula>$A$1</formula>
    </cfRule>
  </conditionalFormatting>
  <conditionalFormatting sqref="E10">
    <cfRule type="cellIs" dxfId="111" priority="11" stopIfTrue="1" operator="notEqual">
      <formula>$A$1</formula>
    </cfRule>
  </conditionalFormatting>
  <conditionalFormatting sqref="B46:B49">
    <cfRule type="expression" dxfId="110" priority="10" stopIfTrue="1">
      <formula>IF(SUM($B$46:$B$49)&lt;&gt;0,TRUE,FALSE)</formula>
    </cfRule>
  </conditionalFormatting>
  <conditionalFormatting sqref="C46:C49">
    <cfRule type="expression" dxfId="109" priority="9" stopIfTrue="1">
      <formula>IF(SUM($C$46:$C$49)&lt;&gt;0,TRUE,FALSE)</formula>
    </cfRule>
  </conditionalFormatting>
  <conditionalFormatting sqref="D46:D49">
    <cfRule type="expression" dxfId="108" priority="8" stopIfTrue="1">
      <formula>IF(SUM($D$46:$D$49)&lt;&gt;0,TRUE,FALSE)</formula>
    </cfRule>
  </conditionalFormatting>
  <conditionalFormatting sqref="E46:E49">
    <cfRule type="expression" dxfId="107" priority="7" stopIfTrue="1">
      <formula>IF(SUM($E$46:$E$49)&lt;&gt;0,TRUE,FALSE)</formula>
    </cfRule>
  </conditionalFormatting>
  <conditionalFormatting sqref="F46:F49">
    <cfRule type="expression" dxfId="106" priority="6" stopIfTrue="1">
      <formula>IF(SUM($F$46:$F$49)&lt;&gt;0,TRUE,FALSE)</formula>
    </cfRule>
  </conditionalFormatting>
  <conditionalFormatting sqref="A2:E2">
    <cfRule type="cellIs" dxfId="105" priority="4" stopIfTrue="1" operator="equal">
      <formula>$L$183</formula>
    </cfRule>
  </conditionalFormatting>
  <dataValidations count="8">
    <dataValidation type="list" allowBlank="1" showInputMessage="1" showErrorMessage="1" sqref="D46:D49">
      <formula1>$L$166:$L$177</formula1>
    </dataValidation>
    <dataValidation type="list" allowBlank="1" showInputMessage="1" showErrorMessage="1" sqref="C31:E31">
      <formula1>$L$151:$L$163</formula1>
    </dataValidation>
    <dataValidation type="list" allowBlank="1" showInputMessage="1" showErrorMessage="1" sqref="C36 E36 C23 C19">
      <formula1>$L$135:$L$140</formula1>
    </dataValidation>
    <dataValidation type="list" allowBlank="1" showInputMessage="1" showErrorMessage="1" sqref="E14">
      <formula1>$L$122:$L$131</formula1>
    </dataValidation>
    <dataValidation type="list" allowBlank="1" showInputMessage="1" showErrorMessage="1" sqref="E23">
      <formula1>$P$91:$P$432</formula1>
    </dataValidation>
    <dataValidation type="list" allowBlank="1" showInputMessage="1" showErrorMessage="1" sqref="E12:G12">
      <formula1>$P$91:$P$447</formula1>
    </dataValidation>
    <dataValidation type="list" allowBlank="1" showInputMessage="1" showErrorMessage="1" sqref="E11:F11">
      <formula1>$L$114:$L$119</formula1>
    </dataValidation>
    <dataValidation type="list" allowBlank="1" showInputMessage="1" showErrorMessage="1" sqref="E13">
      <formula1>$L$91:$L$110</formula1>
    </dataValidation>
  </dataValidations>
  <hyperlinks>
    <hyperlink ref="B44:F44" r:id="rId1" display="POSITION FUNDING"/>
  </hyperlinks>
  <pageMargins left="0.5" right="0.5" top="0.5" bottom="0.5" header="0.3" footer="0.3"/>
  <pageSetup scale="93"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N417"/>
  <sheetViews>
    <sheetView zoomScaleNormal="100" workbookViewId="0">
      <selection activeCell="B10" sqref="B10:C10"/>
    </sheetView>
  </sheetViews>
  <sheetFormatPr defaultRowHeight="12.75" x14ac:dyDescent="0.2"/>
  <cols>
    <col min="1" max="1" width="14.42578125" style="2" customWidth="1"/>
    <col min="2" max="2" width="14.28515625" style="2" bestFit="1" customWidth="1"/>
    <col min="3" max="3" width="15.5703125" style="2" bestFit="1" customWidth="1"/>
    <col min="4" max="4" width="16" style="2" bestFit="1" customWidth="1"/>
    <col min="5" max="5" width="15.42578125" style="2" customWidth="1"/>
    <col min="6" max="6" width="14" style="2" customWidth="1"/>
    <col min="7" max="7" width="12.7109375" style="2" customWidth="1"/>
    <col min="8" max="9" width="8.140625" style="2" customWidth="1"/>
    <col min="10" max="11" width="9.140625" style="2"/>
    <col min="12" max="12" width="35.42578125" style="2" hidden="1" customWidth="1"/>
    <col min="13" max="13" width="17" style="2" hidden="1" customWidth="1"/>
    <col min="14" max="14" width="41.140625" style="2" hidden="1" customWidth="1"/>
    <col min="15" max="16384" width="9.140625" style="2"/>
  </cols>
  <sheetData>
    <row r="1" spans="1:8" x14ac:dyDescent="0.2">
      <c r="A1" s="5"/>
      <c r="B1" s="5"/>
      <c r="C1" s="5"/>
      <c r="D1" s="5"/>
      <c r="E1" s="5"/>
      <c r="F1" s="5"/>
      <c r="G1" s="5"/>
    </row>
    <row r="2" spans="1:8" ht="12.75" customHeight="1" x14ac:dyDescent="0.2">
      <c r="A2" s="5"/>
      <c r="B2" s="5"/>
      <c r="C2" s="5"/>
      <c r="D2" s="5"/>
      <c r="E2" s="5"/>
      <c r="F2" s="5"/>
      <c r="G2" s="5"/>
      <c r="H2" s="3"/>
    </row>
    <row r="3" spans="1:8" ht="7.5" customHeight="1" x14ac:dyDescent="0.2">
      <c r="A3" s="109" t="s">
        <v>380</v>
      </c>
      <c r="B3" s="109"/>
      <c r="C3" s="109"/>
      <c r="D3" s="109"/>
      <c r="E3" s="109"/>
      <c r="F3" s="109"/>
      <c r="G3" s="109"/>
      <c r="H3" s="3"/>
    </row>
    <row r="4" spans="1:8" x14ac:dyDescent="0.2">
      <c r="A4" s="109"/>
      <c r="B4" s="109"/>
      <c r="C4" s="109"/>
      <c r="D4" s="109"/>
      <c r="E4" s="109"/>
      <c r="F4" s="109"/>
      <c r="G4" s="109"/>
      <c r="H4" s="4"/>
    </row>
    <row r="5" spans="1:8" ht="6" customHeight="1" x14ac:dyDescent="0.2">
      <c r="A5" s="47"/>
      <c r="B5" s="47"/>
      <c r="C5" s="47"/>
      <c r="D5" s="47"/>
      <c r="E5" s="47"/>
      <c r="F5" s="47"/>
      <c r="G5" s="47"/>
      <c r="H5" s="4"/>
    </row>
    <row r="6" spans="1:8" x14ac:dyDescent="0.2">
      <c r="A6" s="76" t="s">
        <v>381</v>
      </c>
      <c r="B6" s="76"/>
      <c r="C6" s="76" t="s">
        <v>409</v>
      </c>
      <c r="D6" s="76"/>
      <c r="E6" s="76"/>
      <c r="F6" s="76"/>
      <c r="G6" s="5"/>
    </row>
    <row r="7" spans="1:8" ht="6" customHeight="1" x14ac:dyDescent="0.2">
      <c r="A7" s="48"/>
      <c r="B7" s="48"/>
      <c r="C7" s="48"/>
      <c r="D7" s="48"/>
      <c r="E7" s="48"/>
      <c r="F7" s="48"/>
      <c r="G7" s="5"/>
    </row>
    <row r="8" spans="1:8" x14ac:dyDescent="0.2">
      <c r="A8" s="77" t="s">
        <v>470</v>
      </c>
      <c r="B8" s="77"/>
      <c r="C8" s="77"/>
      <c r="D8" s="77"/>
      <c r="E8" s="77"/>
      <c r="F8" s="77"/>
      <c r="G8" s="77"/>
    </row>
    <row r="9" spans="1:8" ht="6" customHeight="1" x14ac:dyDescent="0.2">
      <c r="A9" s="35"/>
      <c r="B9" s="35"/>
      <c r="C9" s="35"/>
      <c r="D9" s="35"/>
      <c r="E9" s="35"/>
      <c r="F9" s="35"/>
      <c r="G9" s="35"/>
    </row>
    <row r="10" spans="1:8" x14ac:dyDescent="0.2">
      <c r="A10" s="6" t="s">
        <v>14</v>
      </c>
      <c r="B10" s="140" t="s">
        <v>477</v>
      </c>
      <c r="C10" s="141"/>
      <c r="D10" s="6" t="s">
        <v>18</v>
      </c>
      <c r="E10" s="16">
        <f ca="1">TODAY()</f>
        <v>41600</v>
      </c>
      <c r="F10" s="5"/>
      <c r="G10" s="5"/>
    </row>
    <row r="11" spans="1:8" x14ac:dyDescent="0.2">
      <c r="A11" s="6" t="s">
        <v>15</v>
      </c>
      <c r="B11" s="140" t="s">
        <v>478</v>
      </c>
      <c r="C11" s="141"/>
      <c r="D11" s="6" t="s">
        <v>384</v>
      </c>
      <c r="E11" s="122" t="s">
        <v>22</v>
      </c>
      <c r="F11" s="122"/>
      <c r="G11" s="7"/>
    </row>
    <row r="12" spans="1:8" x14ac:dyDescent="0.2">
      <c r="A12" s="6" t="s">
        <v>16</v>
      </c>
      <c r="B12" s="54" t="s">
        <v>475</v>
      </c>
      <c r="C12" s="22" t="s">
        <v>394</v>
      </c>
      <c r="D12" s="6" t="s">
        <v>17</v>
      </c>
      <c r="E12" s="122" t="s">
        <v>31</v>
      </c>
      <c r="F12" s="122"/>
      <c r="G12" s="122"/>
    </row>
    <row r="13" spans="1:8" x14ac:dyDescent="0.2">
      <c r="A13" s="6" t="s">
        <v>512</v>
      </c>
      <c r="B13" s="55">
        <v>1907</v>
      </c>
      <c r="C13" s="22" t="s">
        <v>596</v>
      </c>
      <c r="D13" s="6" t="s">
        <v>19</v>
      </c>
      <c r="E13" s="142" t="s">
        <v>4</v>
      </c>
      <c r="F13" s="143"/>
      <c r="G13" s="144"/>
    </row>
    <row r="14" spans="1:8" x14ac:dyDescent="0.2">
      <c r="A14" s="6" t="s">
        <v>576</v>
      </c>
      <c r="B14" s="140" t="s">
        <v>476</v>
      </c>
      <c r="C14" s="141"/>
      <c r="D14" s="6" t="s">
        <v>20</v>
      </c>
      <c r="E14" s="142" t="s">
        <v>429</v>
      </c>
      <c r="F14" s="143"/>
      <c r="G14" s="144"/>
    </row>
    <row r="15" spans="1:8" x14ac:dyDescent="0.2">
      <c r="A15" s="6" t="s">
        <v>577</v>
      </c>
      <c r="B15" s="121" t="s">
        <v>479</v>
      </c>
      <c r="C15" s="122"/>
      <c r="D15" s="6" t="s">
        <v>572</v>
      </c>
      <c r="E15" s="53">
        <v>37.5</v>
      </c>
      <c r="F15" s="6" t="s">
        <v>574</v>
      </c>
      <c r="G15" s="62">
        <v>1</v>
      </c>
    </row>
    <row r="16" spans="1:8" ht="6" customHeight="1" x14ac:dyDescent="0.2">
      <c r="A16" s="5"/>
      <c r="B16" s="5"/>
      <c r="C16" s="5"/>
      <c r="D16" s="5"/>
      <c r="E16" s="5"/>
      <c r="F16" s="5"/>
      <c r="G16" s="5"/>
    </row>
    <row r="17" spans="1:7" x14ac:dyDescent="0.2">
      <c r="A17" s="85" t="s">
        <v>387</v>
      </c>
      <c r="B17" s="85"/>
      <c r="C17" s="85"/>
      <c r="D17" s="85"/>
      <c r="E17" s="85"/>
      <c r="F17" s="85"/>
      <c r="G17" s="85"/>
    </row>
    <row r="18" spans="1:7" ht="6" customHeight="1" x14ac:dyDescent="0.2">
      <c r="A18" s="20"/>
      <c r="B18" s="20"/>
      <c r="C18" s="20"/>
      <c r="D18" s="20"/>
      <c r="E18" s="20"/>
      <c r="F18" s="20"/>
      <c r="G18" s="20"/>
    </row>
    <row r="19" spans="1:7" x14ac:dyDescent="0.2">
      <c r="A19" s="78" t="s">
        <v>424</v>
      </c>
      <c r="B19" s="56">
        <v>35000</v>
      </c>
      <c r="C19" s="53" t="s">
        <v>10</v>
      </c>
      <c r="D19" s="57">
        <f ca="1">TODAY()+15</f>
        <v>41615</v>
      </c>
      <c r="E19" s="57"/>
      <c r="F19" s="134" t="s">
        <v>480</v>
      </c>
      <c r="G19" s="136"/>
    </row>
    <row r="20" spans="1:7" x14ac:dyDescent="0.2">
      <c r="A20" s="78"/>
      <c r="B20" s="9" t="s">
        <v>362</v>
      </c>
      <c r="C20" s="9" t="s">
        <v>363</v>
      </c>
      <c r="D20" s="9" t="s">
        <v>364</v>
      </c>
      <c r="E20" s="9" t="s">
        <v>382</v>
      </c>
      <c r="F20" s="86" t="s">
        <v>395</v>
      </c>
      <c r="G20" s="86"/>
    </row>
    <row r="21" spans="1:7" ht="12" customHeight="1" x14ac:dyDescent="0.2">
      <c r="A21" s="36"/>
      <c r="B21" s="39" t="s">
        <v>517</v>
      </c>
      <c r="C21" s="9"/>
      <c r="D21" s="9"/>
      <c r="E21" s="9"/>
      <c r="F21" s="9"/>
      <c r="G21" s="5"/>
    </row>
    <row r="22" spans="1:7" ht="6" customHeight="1" x14ac:dyDescent="0.2">
      <c r="A22" s="36"/>
      <c r="B22" s="9"/>
      <c r="C22" s="9"/>
      <c r="D22" s="9"/>
      <c r="E22" s="9"/>
      <c r="F22" s="9"/>
      <c r="G22" s="5"/>
    </row>
    <row r="23" spans="1:7" ht="12.75" customHeight="1" x14ac:dyDescent="0.2">
      <c r="A23" s="78" t="s">
        <v>388</v>
      </c>
      <c r="B23" s="56"/>
      <c r="C23" s="53"/>
      <c r="D23" s="57"/>
      <c r="E23" s="112"/>
      <c r="F23" s="112"/>
      <c r="G23" s="112"/>
    </row>
    <row r="24" spans="1:7" x14ac:dyDescent="0.2">
      <c r="A24" s="78"/>
      <c r="B24" s="9" t="s">
        <v>362</v>
      </c>
      <c r="C24" s="9" t="s">
        <v>363</v>
      </c>
      <c r="D24" s="9" t="s">
        <v>364</v>
      </c>
      <c r="E24" s="9" t="s">
        <v>393</v>
      </c>
      <c r="F24" s="9"/>
      <c r="G24" s="5"/>
    </row>
    <row r="25" spans="1:7" x14ac:dyDescent="0.2">
      <c r="A25" s="36"/>
      <c r="B25" s="134"/>
      <c r="C25" s="136"/>
      <c r="D25" s="134"/>
      <c r="E25" s="136"/>
      <c r="F25" s="9"/>
      <c r="G25" s="5"/>
    </row>
    <row r="26" spans="1:7" x14ac:dyDescent="0.2">
      <c r="A26" s="36"/>
      <c r="B26" s="86" t="s">
        <v>395</v>
      </c>
      <c r="C26" s="86"/>
      <c r="D26" s="9" t="s">
        <v>521</v>
      </c>
      <c r="E26" s="9"/>
      <c r="F26" s="9"/>
      <c r="G26" s="5"/>
    </row>
    <row r="27" spans="1:7" ht="6" customHeight="1" x14ac:dyDescent="0.2">
      <c r="A27" s="36"/>
      <c r="B27" s="9"/>
      <c r="C27" s="9"/>
      <c r="D27" s="9"/>
      <c r="E27" s="9"/>
      <c r="F27" s="9"/>
      <c r="G27" s="5"/>
    </row>
    <row r="28" spans="1:7" x14ac:dyDescent="0.2">
      <c r="A28" s="78" t="s">
        <v>389</v>
      </c>
      <c r="B28" s="57"/>
      <c r="C28" s="58"/>
      <c r="D28" s="134"/>
      <c r="E28" s="135"/>
      <c r="F28" s="135"/>
      <c r="G28" s="136"/>
    </row>
    <row r="29" spans="1:7" x14ac:dyDescent="0.2">
      <c r="A29" s="78"/>
      <c r="B29" s="9" t="s">
        <v>364</v>
      </c>
      <c r="C29" s="9" t="s">
        <v>382</v>
      </c>
      <c r="D29" s="9" t="s">
        <v>3</v>
      </c>
      <c r="E29" s="9"/>
      <c r="F29" s="9"/>
      <c r="G29" s="5"/>
    </row>
    <row r="30" spans="1:7" ht="6" customHeight="1" x14ac:dyDescent="0.2">
      <c r="A30" s="5"/>
      <c r="B30" s="5"/>
      <c r="C30" s="5"/>
      <c r="D30" s="5"/>
      <c r="E30" s="20"/>
      <c r="F30" s="20"/>
      <c r="G30" s="5"/>
    </row>
    <row r="31" spans="1:7" x14ac:dyDescent="0.2">
      <c r="A31" s="78" t="s">
        <v>425</v>
      </c>
      <c r="B31" s="57"/>
      <c r="C31" s="137"/>
      <c r="D31" s="138"/>
      <c r="E31" s="139"/>
      <c r="F31" s="26"/>
      <c r="G31" s="5"/>
    </row>
    <row r="32" spans="1:7" x14ac:dyDescent="0.2">
      <c r="A32" s="78"/>
      <c r="B32" s="9" t="s">
        <v>382</v>
      </c>
      <c r="C32" s="9" t="s">
        <v>3</v>
      </c>
      <c r="D32" s="5"/>
      <c r="E32" s="5"/>
      <c r="F32" s="5"/>
      <c r="G32" s="5"/>
    </row>
    <row r="33" spans="1:7" ht="6" customHeight="1" x14ac:dyDescent="0.2">
      <c r="A33" s="5"/>
      <c r="B33" s="9"/>
      <c r="C33" s="9"/>
      <c r="D33" s="5"/>
      <c r="E33" s="5"/>
      <c r="F33" s="5"/>
      <c r="G33" s="5"/>
    </row>
    <row r="34" spans="1:7" x14ac:dyDescent="0.2">
      <c r="A34" s="85" t="s">
        <v>392</v>
      </c>
      <c r="B34" s="85"/>
      <c r="C34" s="85"/>
      <c r="D34" s="85"/>
      <c r="E34" s="85"/>
      <c r="F34" s="85"/>
      <c r="G34" s="85"/>
    </row>
    <row r="35" spans="1:7" ht="6" customHeight="1" x14ac:dyDescent="0.2">
      <c r="A35" s="20"/>
      <c r="B35" s="20"/>
      <c r="C35" s="20"/>
      <c r="D35" s="20"/>
      <c r="E35" s="20"/>
      <c r="F35" s="20"/>
      <c r="G35" s="20"/>
    </row>
    <row r="36" spans="1:7" x14ac:dyDescent="0.2">
      <c r="A36" s="6" t="s">
        <v>391</v>
      </c>
      <c r="B36" s="56"/>
      <c r="C36" s="53"/>
      <c r="D36" s="56"/>
      <c r="E36" s="53"/>
      <c r="F36" s="57"/>
      <c r="G36" s="5"/>
    </row>
    <row r="37" spans="1:7" x14ac:dyDescent="0.2">
      <c r="A37" s="10"/>
      <c r="B37" s="9" t="s">
        <v>396</v>
      </c>
      <c r="C37" s="9" t="s">
        <v>363</v>
      </c>
      <c r="D37" s="9" t="s">
        <v>397</v>
      </c>
      <c r="E37" s="9" t="s">
        <v>363</v>
      </c>
      <c r="F37" s="9" t="s">
        <v>364</v>
      </c>
      <c r="G37" s="5"/>
    </row>
    <row r="38" spans="1:7" ht="6" customHeight="1" x14ac:dyDescent="0.2">
      <c r="A38" s="10"/>
      <c r="B38" s="9"/>
      <c r="C38" s="9"/>
      <c r="D38" s="9"/>
      <c r="E38" s="9"/>
      <c r="F38" s="9"/>
      <c r="G38" s="5"/>
    </row>
    <row r="39" spans="1:7" x14ac:dyDescent="0.2">
      <c r="A39" s="78" t="s">
        <v>406</v>
      </c>
      <c r="B39" s="56"/>
      <c r="C39" s="57"/>
      <c r="D39" s="116" t="s">
        <v>515</v>
      </c>
      <c r="E39" s="117"/>
      <c r="F39" s="117"/>
      <c r="G39" s="5"/>
    </row>
    <row r="40" spans="1:7" x14ac:dyDescent="0.2">
      <c r="A40" s="78"/>
      <c r="B40" s="9" t="s">
        <v>365</v>
      </c>
      <c r="C40" s="9" t="s">
        <v>366</v>
      </c>
      <c r="D40" s="34" t="s">
        <v>472</v>
      </c>
      <c r="E40" s="5"/>
      <c r="F40" s="5"/>
      <c r="G40" s="5"/>
    </row>
    <row r="41" spans="1:7" x14ac:dyDescent="0.2">
      <c r="A41" s="36"/>
      <c r="B41" s="118" t="s">
        <v>513</v>
      </c>
      <c r="C41" s="118"/>
      <c r="D41" s="118"/>
      <c r="E41" s="118"/>
      <c r="F41" s="118"/>
      <c r="G41" s="118"/>
    </row>
    <row r="42" spans="1:7" ht="6" customHeight="1" x14ac:dyDescent="0.2">
      <c r="A42" s="11"/>
      <c r="B42" s="12"/>
      <c r="C42" s="12"/>
      <c r="D42" s="11"/>
      <c r="E42" s="11"/>
      <c r="F42" s="11"/>
      <c r="G42" s="11"/>
    </row>
    <row r="43" spans="1:7" ht="6" customHeight="1" x14ac:dyDescent="0.2">
      <c r="A43" s="20"/>
      <c r="B43" s="12"/>
      <c r="C43" s="12"/>
      <c r="D43" s="11"/>
      <c r="E43" s="11"/>
      <c r="F43" s="11"/>
      <c r="G43" s="20"/>
    </row>
    <row r="44" spans="1:7" x14ac:dyDescent="0.2">
      <c r="A44" s="5"/>
      <c r="B44" s="119" t="s">
        <v>376</v>
      </c>
      <c r="C44" s="119"/>
      <c r="D44" s="119"/>
      <c r="E44" s="119"/>
      <c r="F44" s="119"/>
      <c r="G44" s="5"/>
    </row>
    <row r="45" spans="1:7" x14ac:dyDescent="0.2">
      <c r="A45" s="5"/>
      <c r="B45" s="13" t="s">
        <v>367</v>
      </c>
      <c r="C45" s="13" t="s">
        <v>368</v>
      </c>
      <c r="D45" s="13" t="s">
        <v>369</v>
      </c>
      <c r="E45" s="13" t="s">
        <v>370</v>
      </c>
      <c r="F45" s="13" t="s">
        <v>371</v>
      </c>
      <c r="G45" s="5"/>
    </row>
    <row r="46" spans="1:7" x14ac:dyDescent="0.2">
      <c r="A46" s="120" t="s">
        <v>383</v>
      </c>
      <c r="B46" s="59">
        <v>110000</v>
      </c>
      <c r="C46" s="50">
        <v>21110</v>
      </c>
      <c r="D46" s="50">
        <v>611005</v>
      </c>
      <c r="E46" s="50">
        <v>61</v>
      </c>
      <c r="F46" s="60">
        <v>1</v>
      </c>
      <c r="G46" s="27" t="str">
        <f>VLOOKUP($D46,$L$163:$M$174,2,FALSE)</f>
        <v>Administrative</v>
      </c>
    </row>
    <row r="47" spans="1:7" x14ac:dyDescent="0.2">
      <c r="A47" s="120"/>
      <c r="B47" s="59"/>
      <c r="C47" s="50"/>
      <c r="D47" s="50"/>
      <c r="E47" s="50"/>
      <c r="F47" s="60"/>
      <c r="G47" s="27" t="e">
        <f>VLOOKUP($D47,$L$163:$M$174,2,FALSE)</f>
        <v>#N/A</v>
      </c>
    </row>
    <row r="48" spans="1:7" x14ac:dyDescent="0.2">
      <c r="A48" s="120"/>
      <c r="B48" s="59"/>
      <c r="C48" s="50"/>
      <c r="D48" s="50"/>
      <c r="E48" s="50"/>
      <c r="F48" s="60"/>
      <c r="G48" s="27" t="e">
        <f>VLOOKUP($D48,$L$163:$M$174,2,FALSE)</f>
        <v>#N/A</v>
      </c>
    </row>
    <row r="49" spans="1:7" x14ac:dyDescent="0.2">
      <c r="A49" s="120"/>
      <c r="B49" s="50"/>
      <c r="C49" s="50"/>
      <c r="D49" s="50"/>
      <c r="E49" s="50"/>
      <c r="F49" s="60"/>
      <c r="G49" s="27" t="e">
        <f>VLOOKUP($D49,$L$163:$M$174,2,FALSE)</f>
        <v>#N/A</v>
      </c>
    </row>
    <row r="50" spans="1:7" x14ac:dyDescent="0.2">
      <c r="A50" s="5"/>
      <c r="B50" s="14"/>
      <c r="C50" s="14"/>
      <c r="D50" s="14"/>
      <c r="E50" s="18" t="s">
        <v>372</v>
      </c>
      <c r="F50" s="19">
        <f>SUM(F46:F49)</f>
        <v>1</v>
      </c>
      <c r="G50" s="5"/>
    </row>
    <row r="51" spans="1:7" ht="6" customHeight="1" x14ac:dyDescent="0.2">
      <c r="A51" s="11"/>
      <c r="B51" s="11"/>
      <c r="C51" s="11"/>
      <c r="D51" s="11"/>
      <c r="E51" s="11"/>
      <c r="F51" s="11"/>
      <c r="G51" s="11"/>
    </row>
    <row r="52" spans="1:7" ht="6" customHeight="1" x14ac:dyDescent="0.2">
      <c r="A52" s="5"/>
      <c r="B52" s="5"/>
      <c r="C52" s="5"/>
      <c r="D52" s="5"/>
      <c r="E52" s="5"/>
      <c r="F52" s="5"/>
      <c r="G52" s="5"/>
    </row>
    <row r="53" spans="1:7" x14ac:dyDescent="0.2">
      <c r="A53" s="6" t="s">
        <v>373</v>
      </c>
      <c r="B53" s="121" t="s">
        <v>479</v>
      </c>
      <c r="C53" s="122"/>
      <c r="D53" s="6" t="s">
        <v>374</v>
      </c>
      <c r="E53" s="123">
        <v>3123410123</v>
      </c>
      <c r="F53" s="124"/>
      <c r="G53" s="5"/>
    </row>
    <row r="54" spans="1:7" ht="12.75" customHeight="1" x14ac:dyDescent="0.2">
      <c r="A54" s="5"/>
      <c r="B54" s="106" t="s">
        <v>473</v>
      </c>
      <c r="C54" s="106"/>
      <c r="D54" s="6" t="s">
        <v>375</v>
      </c>
      <c r="E54" s="122" t="s">
        <v>481</v>
      </c>
      <c r="F54" s="122"/>
      <c r="G54" s="5"/>
    </row>
    <row r="55" spans="1:7" x14ac:dyDescent="0.2">
      <c r="A55" s="5"/>
      <c r="B55" s="107"/>
      <c r="C55" s="107"/>
      <c r="D55" s="5"/>
      <c r="E55" s="5"/>
      <c r="F55" s="5"/>
      <c r="G55" s="5"/>
    </row>
    <row r="56" spans="1:7" x14ac:dyDescent="0.2">
      <c r="A56" s="6" t="s">
        <v>0</v>
      </c>
      <c r="B56" s="125"/>
      <c r="C56" s="126"/>
      <c r="D56" s="126"/>
      <c r="E56" s="126"/>
      <c r="F56" s="126"/>
      <c r="G56" s="127"/>
    </row>
    <row r="57" spans="1:7" x14ac:dyDescent="0.2">
      <c r="A57" s="5"/>
      <c r="B57" s="128"/>
      <c r="C57" s="129"/>
      <c r="D57" s="129"/>
      <c r="E57" s="129"/>
      <c r="F57" s="129"/>
      <c r="G57" s="130"/>
    </row>
    <row r="58" spans="1:7" x14ac:dyDescent="0.2">
      <c r="A58" s="5"/>
      <c r="B58" s="128"/>
      <c r="C58" s="129"/>
      <c r="D58" s="129"/>
      <c r="E58" s="129"/>
      <c r="F58" s="129"/>
      <c r="G58" s="130"/>
    </row>
    <row r="59" spans="1:7" x14ac:dyDescent="0.2">
      <c r="A59" s="5"/>
      <c r="B59" s="131"/>
      <c r="C59" s="132"/>
      <c r="D59" s="132"/>
      <c r="E59" s="132"/>
      <c r="F59" s="132"/>
      <c r="G59" s="133"/>
    </row>
    <row r="60" spans="1:7" ht="6" customHeight="1" x14ac:dyDescent="0.2">
      <c r="A60" s="5"/>
      <c r="B60" s="42"/>
      <c r="C60" s="42"/>
      <c r="D60" s="42"/>
      <c r="E60" s="42"/>
      <c r="F60" s="42"/>
      <c r="G60" s="42"/>
    </row>
    <row r="61" spans="1:7" x14ac:dyDescent="0.2">
      <c r="A61" s="85" t="s">
        <v>516</v>
      </c>
      <c r="B61" s="85"/>
      <c r="C61" s="85"/>
      <c r="D61" s="85"/>
      <c r="E61" s="85"/>
      <c r="F61" s="85"/>
      <c r="G61" s="85"/>
    </row>
    <row r="62" spans="1:7" ht="15.75" x14ac:dyDescent="0.25">
      <c r="A62" s="6"/>
      <c r="B62" s="99" t="s">
        <v>2</v>
      </c>
      <c r="C62" s="99"/>
      <c r="D62" s="100" t="s">
        <v>398</v>
      </c>
      <c r="E62" s="100"/>
      <c r="F62" s="101" t="s">
        <v>524</v>
      </c>
      <c r="G62" s="101"/>
    </row>
    <row r="63" spans="1:7" x14ac:dyDescent="0.2">
      <c r="A63" s="6" t="s">
        <v>514</v>
      </c>
      <c r="B63" s="121" t="s">
        <v>479</v>
      </c>
      <c r="C63" s="122"/>
      <c r="D63" s="121" t="s">
        <v>530</v>
      </c>
      <c r="E63" s="122"/>
      <c r="F63" s="121"/>
      <c r="G63" s="122"/>
    </row>
    <row r="64" spans="1:7" x14ac:dyDescent="0.2">
      <c r="A64" s="110" t="s">
        <v>1</v>
      </c>
      <c r="B64" s="112"/>
      <c r="C64" s="112"/>
      <c r="D64" s="112"/>
      <c r="E64" s="112"/>
      <c r="F64" s="112"/>
      <c r="G64" s="112"/>
    </row>
    <row r="65" spans="1:7" x14ac:dyDescent="0.2">
      <c r="A65" s="111"/>
      <c r="B65" s="112"/>
      <c r="C65" s="112"/>
      <c r="D65" s="112"/>
      <c r="E65" s="112"/>
      <c r="F65" s="112"/>
      <c r="G65" s="112"/>
    </row>
    <row r="66" spans="1:7" ht="6" customHeight="1" x14ac:dyDescent="0.2">
      <c r="A66" s="15"/>
      <c r="B66" s="37"/>
      <c r="C66" s="37"/>
      <c r="D66" s="37"/>
      <c r="E66" s="37"/>
      <c r="F66" s="37"/>
      <c r="G66" s="37"/>
    </row>
    <row r="67" spans="1:7" ht="13.15" customHeight="1" x14ac:dyDescent="0.2">
      <c r="A67" s="5"/>
      <c r="B67" s="5"/>
      <c r="C67" s="43"/>
      <c r="D67" s="102" t="s">
        <v>525</v>
      </c>
      <c r="E67" s="102"/>
      <c r="F67" s="102"/>
      <c r="G67" s="102"/>
    </row>
    <row r="68" spans="1:7" x14ac:dyDescent="0.2">
      <c r="A68" s="44"/>
      <c r="B68" s="45"/>
      <c r="C68" s="45"/>
      <c r="D68" s="103"/>
      <c r="E68" s="103"/>
      <c r="F68" s="103"/>
      <c r="G68" s="103"/>
    </row>
    <row r="69" spans="1:7" x14ac:dyDescent="0.2">
      <c r="A69" s="8"/>
      <c r="B69" s="98" t="s">
        <v>379</v>
      </c>
      <c r="C69" s="98"/>
      <c r="D69" s="8"/>
      <c r="E69" s="8"/>
      <c r="F69" s="8"/>
      <c r="G69" s="8"/>
    </row>
    <row r="70" spans="1:7" ht="6" customHeight="1" x14ac:dyDescent="0.2">
      <c r="A70" s="5"/>
      <c r="B70" s="5"/>
      <c r="C70" s="5"/>
      <c r="D70" s="5"/>
      <c r="E70" s="5"/>
      <c r="F70" s="5"/>
      <c r="G70" s="5"/>
    </row>
    <row r="71" spans="1:7" x14ac:dyDescent="0.2">
      <c r="A71" s="5"/>
      <c r="B71" s="9" t="s">
        <v>401</v>
      </c>
      <c r="C71" s="9" t="s">
        <v>403</v>
      </c>
      <c r="D71" s="5" t="s">
        <v>407</v>
      </c>
      <c r="E71" s="9" t="s">
        <v>402</v>
      </c>
      <c r="F71" s="9" t="s">
        <v>402</v>
      </c>
      <c r="G71" s="9"/>
    </row>
    <row r="72" spans="1:7" x14ac:dyDescent="0.2">
      <c r="A72" s="5"/>
      <c r="B72" s="24" t="s">
        <v>399</v>
      </c>
      <c r="C72" s="24" t="s">
        <v>404</v>
      </c>
      <c r="D72" s="24" t="s">
        <v>408</v>
      </c>
      <c r="E72" s="24" t="s">
        <v>400</v>
      </c>
      <c r="F72" s="24" t="s">
        <v>405</v>
      </c>
      <c r="G72" s="23" t="s">
        <v>578</v>
      </c>
    </row>
    <row r="73" spans="1:7" x14ac:dyDescent="0.2">
      <c r="A73" s="41"/>
      <c r="B73" s="41"/>
      <c r="C73" s="41"/>
      <c r="D73" s="41"/>
      <c r="E73" s="41"/>
      <c r="F73" s="41"/>
      <c r="G73" s="41"/>
    </row>
    <row r="91" spans="12:14" x14ac:dyDescent="0.2">
      <c r="L91" s="2" t="s">
        <v>4</v>
      </c>
      <c r="M91" s="1" t="s">
        <v>12</v>
      </c>
      <c r="N91" s="46" t="s">
        <v>25</v>
      </c>
    </row>
    <row r="92" spans="12:14" x14ac:dyDescent="0.2">
      <c r="L92" s="2" t="s">
        <v>6</v>
      </c>
      <c r="M92" s="1" t="s">
        <v>361</v>
      </c>
      <c r="N92" s="46" t="s">
        <v>26</v>
      </c>
    </row>
    <row r="93" spans="12:14" x14ac:dyDescent="0.2">
      <c r="L93" s="2" t="s">
        <v>5</v>
      </c>
      <c r="M93" s="1" t="s">
        <v>12</v>
      </c>
      <c r="N93" s="46" t="s">
        <v>27</v>
      </c>
    </row>
    <row r="94" spans="12:14" x14ac:dyDescent="0.2">
      <c r="L94" s="2" t="s">
        <v>7</v>
      </c>
      <c r="M94" s="1" t="s">
        <v>361</v>
      </c>
      <c r="N94" s="46" t="s">
        <v>28</v>
      </c>
    </row>
    <row r="95" spans="12:14" x14ac:dyDescent="0.2">
      <c r="L95" s="2" t="s">
        <v>8</v>
      </c>
      <c r="M95" s="1" t="s">
        <v>361</v>
      </c>
      <c r="N95" s="46" t="s">
        <v>29</v>
      </c>
    </row>
    <row r="96" spans="12:14" x14ac:dyDescent="0.2">
      <c r="L96" s="1" t="s">
        <v>377</v>
      </c>
      <c r="M96" s="1" t="s">
        <v>361</v>
      </c>
      <c r="N96" s="46" t="s">
        <v>30</v>
      </c>
    </row>
    <row r="97" spans="12:14" x14ac:dyDescent="0.2">
      <c r="L97" s="2" t="s">
        <v>9</v>
      </c>
      <c r="M97" s="1" t="s">
        <v>12</v>
      </c>
      <c r="N97" s="46" t="s">
        <v>31</v>
      </c>
    </row>
    <row r="98" spans="12:14" x14ac:dyDescent="0.2">
      <c r="L98" s="1" t="s">
        <v>378</v>
      </c>
      <c r="M98" s="1" t="s">
        <v>12</v>
      </c>
      <c r="N98" s="46" t="s">
        <v>32</v>
      </c>
    </row>
    <row r="99" spans="12:14" x14ac:dyDescent="0.2">
      <c r="L99" s="2" t="s">
        <v>353</v>
      </c>
      <c r="M99" s="1" t="s">
        <v>11</v>
      </c>
      <c r="N99" s="46" t="s">
        <v>33</v>
      </c>
    </row>
    <row r="100" spans="12:14" x14ac:dyDescent="0.2">
      <c r="L100" s="2" t="s">
        <v>354</v>
      </c>
      <c r="M100" s="1" t="s">
        <v>11</v>
      </c>
      <c r="N100" s="46" t="s">
        <v>34</v>
      </c>
    </row>
    <row r="101" spans="12:14" x14ac:dyDescent="0.2">
      <c r="L101" s="2" t="s">
        <v>355</v>
      </c>
      <c r="M101" s="1" t="s">
        <v>11</v>
      </c>
      <c r="N101" s="46" t="s">
        <v>35</v>
      </c>
    </row>
    <row r="102" spans="12:14" x14ac:dyDescent="0.2">
      <c r="L102" s="2" t="s">
        <v>356</v>
      </c>
      <c r="M102" s="1" t="s">
        <v>11</v>
      </c>
      <c r="N102" s="46" t="s">
        <v>36</v>
      </c>
    </row>
    <row r="103" spans="12:14" x14ac:dyDescent="0.2">
      <c r="L103" s="2" t="s">
        <v>357</v>
      </c>
      <c r="M103" s="1" t="s">
        <v>11</v>
      </c>
      <c r="N103" s="46" t="s">
        <v>37</v>
      </c>
    </row>
    <row r="104" spans="12:14" x14ac:dyDescent="0.2">
      <c r="L104" s="2" t="s">
        <v>358</v>
      </c>
      <c r="M104" s="1" t="s">
        <v>11</v>
      </c>
      <c r="N104" s="46" t="s">
        <v>38</v>
      </c>
    </row>
    <row r="105" spans="12:14" x14ac:dyDescent="0.2">
      <c r="L105" s="1" t="s">
        <v>411</v>
      </c>
      <c r="M105" s="1" t="s">
        <v>11</v>
      </c>
      <c r="N105" s="46" t="s">
        <v>39</v>
      </c>
    </row>
    <row r="106" spans="12:14" x14ac:dyDescent="0.2">
      <c r="L106" s="1" t="s">
        <v>433</v>
      </c>
      <c r="M106" s="1" t="s">
        <v>11</v>
      </c>
      <c r="N106" s="46" t="s">
        <v>40</v>
      </c>
    </row>
    <row r="107" spans="12:14" x14ac:dyDescent="0.2">
      <c r="L107" s="1" t="s">
        <v>410</v>
      </c>
      <c r="M107" s="1" t="s">
        <v>361</v>
      </c>
      <c r="N107" s="46" t="s">
        <v>41</v>
      </c>
    </row>
    <row r="108" spans="12:14" x14ac:dyDescent="0.2">
      <c r="L108" s="2" t="s">
        <v>352</v>
      </c>
      <c r="M108" s="1" t="s">
        <v>11</v>
      </c>
      <c r="N108" s="46" t="s">
        <v>42</v>
      </c>
    </row>
    <row r="109" spans="12:14" x14ac:dyDescent="0.2">
      <c r="L109" s="2" t="s">
        <v>359</v>
      </c>
      <c r="M109" s="1" t="s">
        <v>11</v>
      </c>
      <c r="N109" s="46" t="s">
        <v>43</v>
      </c>
    </row>
    <row r="110" spans="12:14" x14ac:dyDescent="0.2">
      <c r="N110" s="46" t="s">
        <v>44</v>
      </c>
    </row>
    <row r="111" spans="12:14" x14ac:dyDescent="0.2">
      <c r="N111" s="46" t="s">
        <v>45</v>
      </c>
    </row>
    <row r="112" spans="12:14" x14ac:dyDescent="0.2">
      <c r="N112" s="46" t="s">
        <v>46</v>
      </c>
    </row>
    <row r="113" spans="12:14" x14ac:dyDescent="0.2">
      <c r="N113" s="46" t="s">
        <v>47</v>
      </c>
    </row>
    <row r="114" spans="12:14" x14ac:dyDescent="0.2">
      <c r="L114" s="2" t="s">
        <v>22</v>
      </c>
      <c r="N114" s="46" t="s">
        <v>48</v>
      </c>
    </row>
    <row r="115" spans="12:14" x14ac:dyDescent="0.2">
      <c r="L115" s="2" t="s">
        <v>21</v>
      </c>
      <c r="N115" s="46" t="s">
        <v>49</v>
      </c>
    </row>
    <row r="116" spans="12:14" x14ac:dyDescent="0.2">
      <c r="L116" s="2" t="s">
        <v>23</v>
      </c>
      <c r="N116" s="46" t="s">
        <v>50</v>
      </c>
    </row>
    <row r="117" spans="12:14" x14ac:dyDescent="0.2">
      <c r="L117" s="2" t="s">
        <v>24</v>
      </c>
      <c r="N117" s="46" t="s">
        <v>51</v>
      </c>
    </row>
    <row r="118" spans="12:14" x14ac:dyDescent="0.2">
      <c r="L118" s="2" t="s">
        <v>385</v>
      </c>
      <c r="N118" s="46" t="s">
        <v>52</v>
      </c>
    </row>
    <row r="119" spans="12:14" x14ac:dyDescent="0.2">
      <c r="N119" s="46" t="s">
        <v>53</v>
      </c>
    </row>
    <row r="120" spans="12:14" x14ac:dyDescent="0.2">
      <c r="N120" s="46" t="s">
        <v>54</v>
      </c>
    </row>
    <row r="121" spans="12:14" x14ac:dyDescent="0.2">
      <c r="L121" s="1" t="s">
        <v>429</v>
      </c>
      <c r="N121" s="46" t="s">
        <v>55</v>
      </c>
    </row>
    <row r="122" spans="12:14" x14ac:dyDescent="0.2">
      <c r="L122" s="1" t="s">
        <v>430</v>
      </c>
      <c r="N122" s="46" t="s">
        <v>56</v>
      </c>
    </row>
    <row r="123" spans="12:14" x14ac:dyDescent="0.2">
      <c r="L123" s="2" t="s">
        <v>386</v>
      </c>
      <c r="N123" s="46" t="s">
        <v>57</v>
      </c>
    </row>
    <row r="124" spans="12:14" x14ac:dyDescent="0.2">
      <c r="L124" s="21" t="s">
        <v>390</v>
      </c>
      <c r="N124" s="46" t="s">
        <v>58</v>
      </c>
    </row>
    <row r="125" spans="12:14" x14ac:dyDescent="0.2">
      <c r="L125" s="1" t="s">
        <v>427</v>
      </c>
      <c r="N125" s="46" t="s">
        <v>59</v>
      </c>
    </row>
    <row r="126" spans="12:14" x14ac:dyDescent="0.2">
      <c r="L126" s="1" t="s">
        <v>426</v>
      </c>
      <c r="N126" s="46" t="s">
        <v>60</v>
      </c>
    </row>
    <row r="127" spans="12:14" x14ac:dyDescent="0.2">
      <c r="L127" s="1" t="s">
        <v>428</v>
      </c>
      <c r="N127" s="46" t="s">
        <v>61</v>
      </c>
    </row>
    <row r="128" spans="12:14" x14ac:dyDescent="0.2">
      <c r="L128" s="2" t="s">
        <v>360</v>
      </c>
      <c r="N128" s="46" t="s">
        <v>62</v>
      </c>
    </row>
    <row r="129" spans="12:14" x14ac:dyDescent="0.2">
      <c r="L129" s="1" t="s">
        <v>432</v>
      </c>
      <c r="N129" s="46" t="s">
        <v>63</v>
      </c>
    </row>
    <row r="130" spans="12:14" x14ac:dyDescent="0.2">
      <c r="N130" s="46" t="s">
        <v>64</v>
      </c>
    </row>
    <row r="131" spans="12:14" x14ac:dyDescent="0.2">
      <c r="N131" s="46" t="s">
        <v>65</v>
      </c>
    </row>
    <row r="132" spans="12:14" x14ac:dyDescent="0.2">
      <c r="N132" s="46" t="s">
        <v>66</v>
      </c>
    </row>
    <row r="133" spans="12:14" x14ac:dyDescent="0.2">
      <c r="L133" s="1" t="s">
        <v>10</v>
      </c>
      <c r="N133" s="46" t="s">
        <v>67</v>
      </c>
    </row>
    <row r="134" spans="12:14" x14ac:dyDescent="0.2">
      <c r="L134" s="1" t="s">
        <v>11</v>
      </c>
      <c r="N134" s="46" t="s">
        <v>68</v>
      </c>
    </row>
    <row r="135" spans="12:14" x14ac:dyDescent="0.2">
      <c r="L135" s="1" t="s">
        <v>361</v>
      </c>
      <c r="N135" s="46" t="s">
        <v>69</v>
      </c>
    </row>
    <row r="136" spans="12:14" x14ac:dyDescent="0.2">
      <c r="L136" s="1" t="s">
        <v>12</v>
      </c>
      <c r="N136" s="46" t="s">
        <v>70</v>
      </c>
    </row>
    <row r="137" spans="12:14" x14ac:dyDescent="0.2">
      <c r="L137" s="1" t="s">
        <v>13</v>
      </c>
      <c r="N137" s="46" t="s">
        <v>71</v>
      </c>
    </row>
    <row r="138" spans="12:14" x14ac:dyDescent="0.2">
      <c r="N138" s="46" t="s">
        <v>72</v>
      </c>
    </row>
    <row r="139" spans="12:14" x14ac:dyDescent="0.2">
      <c r="N139" s="46" t="s">
        <v>73</v>
      </c>
    </row>
    <row r="140" spans="12:14" x14ac:dyDescent="0.2">
      <c r="N140" s="46" t="s">
        <v>74</v>
      </c>
    </row>
    <row r="141" spans="12:14" x14ac:dyDescent="0.2">
      <c r="N141" s="46" t="s">
        <v>75</v>
      </c>
    </row>
    <row r="142" spans="12:14" x14ac:dyDescent="0.2">
      <c r="N142" s="46" t="s">
        <v>76</v>
      </c>
    </row>
    <row r="143" spans="12:14" x14ac:dyDescent="0.2">
      <c r="N143" s="46" t="s">
        <v>77</v>
      </c>
    </row>
    <row r="144" spans="12:14" x14ac:dyDescent="0.2">
      <c r="N144" s="46" t="s">
        <v>78</v>
      </c>
    </row>
    <row r="145" spans="12:14" x14ac:dyDescent="0.2">
      <c r="N145" s="46" t="s">
        <v>79</v>
      </c>
    </row>
    <row r="146" spans="12:14" x14ac:dyDescent="0.2">
      <c r="N146" s="46" t="s">
        <v>80</v>
      </c>
    </row>
    <row r="147" spans="12:14" x14ac:dyDescent="0.2">
      <c r="N147" s="46" t="s">
        <v>81</v>
      </c>
    </row>
    <row r="148" spans="12:14" x14ac:dyDescent="0.2">
      <c r="L148" s="1" t="s">
        <v>412</v>
      </c>
      <c r="N148" s="46" t="s">
        <v>82</v>
      </c>
    </row>
    <row r="149" spans="12:14" x14ac:dyDescent="0.2">
      <c r="L149" s="2" t="s">
        <v>413</v>
      </c>
      <c r="N149" s="46" t="s">
        <v>83</v>
      </c>
    </row>
    <row r="150" spans="12:14" x14ac:dyDescent="0.2">
      <c r="L150" s="2" t="s">
        <v>414</v>
      </c>
      <c r="N150" s="46" t="s">
        <v>84</v>
      </c>
    </row>
    <row r="151" spans="12:14" x14ac:dyDescent="0.2">
      <c r="L151" s="2" t="s">
        <v>415</v>
      </c>
      <c r="N151" s="46" t="s">
        <v>85</v>
      </c>
    </row>
    <row r="152" spans="12:14" x14ac:dyDescent="0.2">
      <c r="L152" s="2" t="s">
        <v>416</v>
      </c>
      <c r="N152" s="46" t="s">
        <v>86</v>
      </c>
    </row>
    <row r="153" spans="12:14" x14ac:dyDescent="0.2">
      <c r="L153" s="2" t="s">
        <v>417</v>
      </c>
      <c r="N153" s="46" t="s">
        <v>87</v>
      </c>
    </row>
    <row r="154" spans="12:14" x14ac:dyDescent="0.2">
      <c r="L154" s="2" t="s">
        <v>418</v>
      </c>
      <c r="N154" s="46" t="s">
        <v>88</v>
      </c>
    </row>
    <row r="155" spans="12:14" x14ac:dyDescent="0.2">
      <c r="L155" s="2" t="s">
        <v>419</v>
      </c>
      <c r="N155" s="46" t="s">
        <v>89</v>
      </c>
    </row>
    <row r="156" spans="12:14" x14ac:dyDescent="0.2">
      <c r="L156" s="2" t="s">
        <v>420</v>
      </c>
      <c r="N156" s="46" t="s">
        <v>90</v>
      </c>
    </row>
    <row r="157" spans="12:14" x14ac:dyDescent="0.2">
      <c r="L157" s="1" t="s">
        <v>421</v>
      </c>
      <c r="N157" s="46" t="s">
        <v>91</v>
      </c>
    </row>
    <row r="158" spans="12:14" x14ac:dyDescent="0.2">
      <c r="L158" s="1" t="s">
        <v>422</v>
      </c>
      <c r="N158" s="46" t="s">
        <v>92</v>
      </c>
    </row>
    <row r="159" spans="12:14" x14ac:dyDescent="0.2">
      <c r="L159" s="21" t="s">
        <v>423</v>
      </c>
      <c r="N159" s="46" t="s">
        <v>93</v>
      </c>
    </row>
    <row r="160" spans="12:14" x14ac:dyDescent="0.2">
      <c r="L160" s="21" t="s">
        <v>431</v>
      </c>
      <c r="N160" s="46" t="s">
        <v>94</v>
      </c>
    </row>
    <row r="161" spans="12:14" x14ac:dyDescent="0.2">
      <c r="N161" s="46" t="s">
        <v>95</v>
      </c>
    </row>
    <row r="162" spans="12:14" x14ac:dyDescent="0.2">
      <c r="N162" s="46" t="s">
        <v>96</v>
      </c>
    </row>
    <row r="163" spans="12:14" x14ac:dyDescent="0.2">
      <c r="L163" s="2">
        <v>610010</v>
      </c>
      <c r="M163" s="1" t="s">
        <v>436</v>
      </c>
      <c r="N163" s="46" t="s">
        <v>97</v>
      </c>
    </row>
    <row r="164" spans="12:14" x14ac:dyDescent="0.2">
      <c r="L164" s="2">
        <v>610011</v>
      </c>
      <c r="M164" s="1" t="s">
        <v>434</v>
      </c>
      <c r="N164" s="46" t="s">
        <v>98</v>
      </c>
    </row>
    <row r="165" spans="12:14" x14ac:dyDescent="0.2">
      <c r="L165" s="2">
        <v>610015</v>
      </c>
      <c r="M165" s="1" t="s">
        <v>445</v>
      </c>
      <c r="N165" s="46" t="s">
        <v>99</v>
      </c>
    </row>
    <row r="166" spans="12:14" x14ac:dyDescent="0.2">
      <c r="L166" s="2">
        <v>610020</v>
      </c>
      <c r="M166" s="1" t="s">
        <v>440</v>
      </c>
      <c r="N166" s="46" t="s">
        <v>100</v>
      </c>
    </row>
    <row r="167" spans="12:14" x14ac:dyDescent="0.2">
      <c r="L167" s="2">
        <v>610025</v>
      </c>
      <c r="M167" s="1" t="s">
        <v>435</v>
      </c>
      <c r="N167" s="46" t="s">
        <v>101</v>
      </c>
    </row>
    <row r="168" spans="12:14" x14ac:dyDescent="0.2">
      <c r="L168" s="2">
        <v>610030</v>
      </c>
      <c r="M168" s="1" t="s">
        <v>441</v>
      </c>
      <c r="N168" s="46" t="s">
        <v>102</v>
      </c>
    </row>
    <row r="169" spans="12:14" x14ac:dyDescent="0.2">
      <c r="L169" s="2">
        <v>611005</v>
      </c>
      <c r="M169" s="1" t="s">
        <v>442</v>
      </c>
      <c r="N169" s="46" t="s">
        <v>103</v>
      </c>
    </row>
    <row r="170" spans="12:14" x14ac:dyDescent="0.2">
      <c r="L170" s="2">
        <v>611010</v>
      </c>
      <c r="M170" s="1" t="s">
        <v>443</v>
      </c>
      <c r="N170" s="46" t="s">
        <v>104</v>
      </c>
    </row>
    <row r="171" spans="12:14" x14ac:dyDescent="0.2">
      <c r="L171" s="2">
        <v>611015</v>
      </c>
      <c r="M171" s="1" t="s">
        <v>444</v>
      </c>
      <c r="N171" s="46" t="s">
        <v>105</v>
      </c>
    </row>
    <row r="172" spans="12:14" x14ac:dyDescent="0.2">
      <c r="L172" s="2">
        <v>611030</v>
      </c>
      <c r="M172" s="1" t="s">
        <v>437</v>
      </c>
      <c r="N172" s="46" t="s">
        <v>106</v>
      </c>
    </row>
    <row r="173" spans="12:14" x14ac:dyDescent="0.2">
      <c r="L173" s="2">
        <v>611035</v>
      </c>
      <c r="M173" s="1" t="s">
        <v>438</v>
      </c>
      <c r="N173" s="46" t="s">
        <v>107</v>
      </c>
    </row>
    <row r="174" spans="12:14" x14ac:dyDescent="0.2">
      <c r="L174" s="2">
        <v>611040</v>
      </c>
      <c r="M174" s="1" t="s">
        <v>439</v>
      </c>
      <c r="N174" s="46" t="s">
        <v>108</v>
      </c>
    </row>
    <row r="175" spans="12:14" x14ac:dyDescent="0.2">
      <c r="N175" s="46" t="s">
        <v>109</v>
      </c>
    </row>
    <row r="176" spans="12:14" x14ac:dyDescent="0.2">
      <c r="N176" s="46" t="s">
        <v>110</v>
      </c>
    </row>
    <row r="177" spans="14:14" x14ac:dyDescent="0.2">
      <c r="N177" s="46" t="s">
        <v>111</v>
      </c>
    </row>
    <row r="178" spans="14:14" x14ac:dyDescent="0.2">
      <c r="N178" s="46" t="s">
        <v>112</v>
      </c>
    </row>
    <row r="179" spans="14:14" x14ac:dyDescent="0.2">
      <c r="N179" s="46" t="s">
        <v>113</v>
      </c>
    </row>
    <row r="180" spans="14:14" x14ac:dyDescent="0.2">
      <c r="N180" s="46" t="s">
        <v>114</v>
      </c>
    </row>
    <row r="181" spans="14:14" x14ac:dyDescent="0.2">
      <c r="N181" s="46" t="s">
        <v>115</v>
      </c>
    </row>
    <row r="182" spans="14:14" x14ac:dyDescent="0.2">
      <c r="N182" s="46" t="s">
        <v>116</v>
      </c>
    </row>
    <row r="183" spans="14:14" x14ac:dyDescent="0.2">
      <c r="N183" s="46" t="s">
        <v>117</v>
      </c>
    </row>
    <row r="184" spans="14:14" x14ac:dyDescent="0.2">
      <c r="N184" s="46" t="s">
        <v>118</v>
      </c>
    </row>
    <row r="185" spans="14:14" x14ac:dyDescent="0.2">
      <c r="N185" s="46" t="s">
        <v>119</v>
      </c>
    </row>
    <row r="186" spans="14:14" x14ac:dyDescent="0.2">
      <c r="N186" s="46" t="s">
        <v>120</v>
      </c>
    </row>
    <row r="187" spans="14:14" x14ac:dyDescent="0.2">
      <c r="N187" s="46" t="s">
        <v>121</v>
      </c>
    </row>
    <row r="188" spans="14:14" x14ac:dyDescent="0.2">
      <c r="N188" s="46" t="s">
        <v>122</v>
      </c>
    </row>
    <row r="189" spans="14:14" x14ac:dyDescent="0.2">
      <c r="N189" s="46" t="s">
        <v>123</v>
      </c>
    </row>
    <row r="190" spans="14:14" x14ac:dyDescent="0.2">
      <c r="N190" s="46" t="s">
        <v>124</v>
      </c>
    </row>
    <row r="191" spans="14:14" x14ac:dyDescent="0.2">
      <c r="N191" s="46" t="s">
        <v>125</v>
      </c>
    </row>
    <row r="192" spans="14:14" x14ac:dyDescent="0.2">
      <c r="N192" s="46" t="s">
        <v>126</v>
      </c>
    </row>
    <row r="193" spans="14:14" x14ac:dyDescent="0.2">
      <c r="N193" s="46" t="s">
        <v>127</v>
      </c>
    </row>
    <row r="194" spans="14:14" x14ac:dyDescent="0.2">
      <c r="N194" s="46" t="s">
        <v>128</v>
      </c>
    </row>
    <row r="195" spans="14:14" x14ac:dyDescent="0.2">
      <c r="N195" s="46" t="s">
        <v>129</v>
      </c>
    </row>
    <row r="196" spans="14:14" x14ac:dyDescent="0.2">
      <c r="N196" s="46" t="s">
        <v>130</v>
      </c>
    </row>
    <row r="197" spans="14:14" x14ac:dyDescent="0.2">
      <c r="N197" s="46" t="s">
        <v>131</v>
      </c>
    </row>
    <row r="198" spans="14:14" x14ac:dyDescent="0.2">
      <c r="N198" s="46" t="s">
        <v>132</v>
      </c>
    </row>
    <row r="199" spans="14:14" x14ac:dyDescent="0.2">
      <c r="N199" s="46" t="s">
        <v>133</v>
      </c>
    </row>
    <row r="200" spans="14:14" x14ac:dyDescent="0.2">
      <c r="N200" s="46" t="s">
        <v>134</v>
      </c>
    </row>
    <row r="201" spans="14:14" x14ac:dyDescent="0.2">
      <c r="N201" s="46" t="s">
        <v>135</v>
      </c>
    </row>
    <row r="202" spans="14:14" x14ac:dyDescent="0.2">
      <c r="N202" s="46" t="s">
        <v>136</v>
      </c>
    </row>
    <row r="203" spans="14:14" x14ac:dyDescent="0.2">
      <c r="N203" s="46" t="s">
        <v>137</v>
      </c>
    </row>
    <row r="204" spans="14:14" x14ac:dyDescent="0.2">
      <c r="N204" s="46" t="s">
        <v>138</v>
      </c>
    </row>
    <row r="205" spans="14:14" x14ac:dyDescent="0.2">
      <c r="N205" s="46" t="s">
        <v>139</v>
      </c>
    </row>
    <row r="206" spans="14:14" x14ac:dyDescent="0.2">
      <c r="N206" s="46" t="s">
        <v>140</v>
      </c>
    </row>
    <row r="207" spans="14:14" x14ac:dyDescent="0.2">
      <c r="N207" s="46" t="s">
        <v>141</v>
      </c>
    </row>
    <row r="208" spans="14:14" x14ac:dyDescent="0.2">
      <c r="N208" s="46" t="s">
        <v>142</v>
      </c>
    </row>
    <row r="209" spans="14:14" x14ac:dyDescent="0.2">
      <c r="N209" s="46" t="s">
        <v>143</v>
      </c>
    </row>
    <row r="210" spans="14:14" x14ac:dyDescent="0.2">
      <c r="N210" s="46" t="s">
        <v>144</v>
      </c>
    </row>
    <row r="211" spans="14:14" x14ac:dyDescent="0.2">
      <c r="N211" s="46" t="s">
        <v>145</v>
      </c>
    </row>
    <row r="212" spans="14:14" x14ac:dyDescent="0.2">
      <c r="N212" s="46" t="s">
        <v>146</v>
      </c>
    </row>
    <row r="213" spans="14:14" x14ac:dyDescent="0.2">
      <c r="N213" s="46" t="s">
        <v>147</v>
      </c>
    </row>
    <row r="214" spans="14:14" x14ac:dyDescent="0.2">
      <c r="N214" s="46" t="s">
        <v>148</v>
      </c>
    </row>
    <row r="215" spans="14:14" x14ac:dyDescent="0.2">
      <c r="N215" s="46" t="s">
        <v>149</v>
      </c>
    </row>
    <row r="216" spans="14:14" x14ac:dyDescent="0.2">
      <c r="N216" s="46" t="s">
        <v>150</v>
      </c>
    </row>
    <row r="217" spans="14:14" x14ac:dyDescent="0.2">
      <c r="N217" s="46" t="s">
        <v>151</v>
      </c>
    </row>
    <row r="218" spans="14:14" x14ac:dyDescent="0.2">
      <c r="N218" s="46" t="s">
        <v>152</v>
      </c>
    </row>
    <row r="219" spans="14:14" x14ac:dyDescent="0.2">
      <c r="N219" s="46" t="s">
        <v>153</v>
      </c>
    </row>
    <row r="220" spans="14:14" x14ac:dyDescent="0.2">
      <c r="N220" s="46" t="s">
        <v>154</v>
      </c>
    </row>
    <row r="221" spans="14:14" x14ac:dyDescent="0.2">
      <c r="N221" s="46" t="s">
        <v>155</v>
      </c>
    </row>
    <row r="222" spans="14:14" x14ac:dyDescent="0.2">
      <c r="N222" s="46" t="s">
        <v>156</v>
      </c>
    </row>
    <row r="223" spans="14:14" x14ac:dyDescent="0.2">
      <c r="N223" s="46" t="s">
        <v>157</v>
      </c>
    </row>
    <row r="224" spans="14:14" x14ac:dyDescent="0.2">
      <c r="N224" s="46" t="s">
        <v>158</v>
      </c>
    </row>
    <row r="225" spans="14:14" x14ac:dyDescent="0.2">
      <c r="N225" s="46" t="s">
        <v>159</v>
      </c>
    </row>
    <row r="226" spans="14:14" x14ac:dyDescent="0.2">
      <c r="N226" s="46" t="s">
        <v>160</v>
      </c>
    </row>
    <row r="227" spans="14:14" x14ac:dyDescent="0.2">
      <c r="N227" s="46" t="s">
        <v>161</v>
      </c>
    </row>
    <row r="228" spans="14:14" x14ac:dyDescent="0.2">
      <c r="N228" s="46" t="s">
        <v>162</v>
      </c>
    </row>
    <row r="229" spans="14:14" x14ac:dyDescent="0.2">
      <c r="N229" s="46" t="s">
        <v>163</v>
      </c>
    </row>
    <row r="230" spans="14:14" x14ac:dyDescent="0.2">
      <c r="N230" s="46" t="s">
        <v>164</v>
      </c>
    </row>
    <row r="231" spans="14:14" x14ac:dyDescent="0.2">
      <c r="N231" s="46" t="s">
        <v>165</v>
      </c>
    </row>
    <row r="232" spans="14:14" x14ac:dyDescent="0.2">
      <c r="N232" s="46" t="s">
        <v>166</v>
      </c>
    </row>
    <row r="233" spans="14:14" x14ac:dyDescent="0.2">
      <c r="N233" s="46" t="s">
        <v>167</v>
      </c>
    </row>
    <row r="234" spans="14:14" x14ac:dyDescent="0.2">
      <c r="N234" s="46" t="s">
        <v>168</v>
      </c>
    </row>
    <row r="235" spans="14:14" x14ac:dyDescent="0.2">
      <c r="N235" s="46" t="s">
        <v>169</v>
      </c>
    </row>
    <row r="236" spans="14:14" x14ac:dyDescent="0.2">
      <c r="N236" s="46" t="s">
        <v>170</v>
      </c>
    </row>
    <row r="237" spans="14:14" x14ac:dyDescent="0.2">
      <c r="N237" s="46" t="s">
        <v>171</v>
      </c>
    </row>
    <row r="238" spans="14:14" x14ac:dyDescent="0.2">
      <c r="N238" s="46" t="s">
        <v>172</v>
      </c>
    </row>
    <row r="239" spans="14:14" x14ac:dyDescent="0.2">
      <c r="N239" s="46" t="s">
        <v>173</v>
      </c>
    </row>
    <row r="240" spans="14:14" x14ac:dyDescent="0.2">
      <c r="N240" s="46" t="s">
        <v>174</v>
      </c>
    </row>
    <row r="241" spans="14:14" x14ac:dyDescent="0.2">
      <c r="N241" s="46" t="s">
        <v>175</v>
      </c>
    </row>
    <row r="242" spans="14:14" x14ac:dyDescent="0.2">
      <c r="N242" s="46" t="s">
        <v>176</v>
      </c>
    </row>
    <row r="243" spans="14:14" x14ac:dyDescent="0.2">
      <c r="N243" s="46" t="s">
        <v>177</v>
      </c>
    </row>
    <row r="244" spans="14:14" x14ac:dyDescent="0.2">
      <c r="N244" s="46" t="s">
        <v>178</v>
      </c>
    </row>
    <row r="245" spans="14:14" x14ac:dyDescent="0.2">
      <c r="N245" s="46" t="s">
        <v>179</v>
      </c>
    </row>
    <row r="246" spans="14:14" x14ac:dyDescent="0.2">
      <c r="N246" s="46" t="s">
        <v>180</v>
      </c>
    </row>
    <row r="247" spans="14:14" x14ac:dyDescent="0.2">
      <c r="N247" s="46" t="s">
        <v>181</v>
      </c>
    </row>
    <row r="248" spans="14:14" x14ac:dyDescent="0.2">
      <c r="N248" s="46" t="s">
        <v>182</v>
      </c>
    </row>
    <row r="249" spans="14:14" x14ac:dyDescent="0.2">
      <c r="N249" s="46" t="s">
        <v>183</v>
      </c>
    </row>
    <row r="250" spans="14:14" x14ac:dyDescent="0.2">
      <c r="N250" s="46" t="s">
        <v>184</v>
      </c>
    </row>
    <row r="251" spans="14:14" x14ac:dyDescent="0.2">
      <c r="N251" s="46" t="s">
        <v>185</v>
      </c>
    </row>
    <row r="252" spans="14:14" x14ac:dyDescent="0.2">
      <c r="N252" s="46" t="s">
        <v>186</v>
      </c>
    </row>
    <row r="253" spans="14:14" x14ac:dyDescent="0.2">
      <c r="N253" s="46" t="s">
        <v>187</v>
      </c>
    </row>
    <row r="254" spans="14:14" x14ac:dyDescent="0.2">
      <c r="N254" s="46" t="s">
        <v>188</v>
      </c>
    </row>
    <row r="255" spans="14:14" x14ac:dyDescent="0.2">
      <c r="N255" s="46" t="s">
        <v>189</v>
      </c>
    </row>
    <row r="256" spans="14:14" x14ac:dyDescent="0.2">
      <c r="N256" s="46" t="s">
        <v>190</v>
      </c>
    </row>
    <row r="257" spans="14:14" x14ac:dyDescent="0.2">
      <c r="N257" s="46" t="s">
        <v>191</v>
      </c>
    </row>
    <row r="258" spans="14:14" x14ac:dyDescent="0.2">
      <c r="N258" s="46" t="s">
        <v>192</v>
      </c>
    </row>
    <row r="259" spans="14:14" x14ac:dyDescent="0.2">
      <c r="N259" s="46" t="s">
        <v>193</v>
      </c>
    </row>
    <row r="260" spans="14:14" x14ac:dyDescent="0.2">
      <c r="N260" s="46" t="s">
        <v>194</v>
      </c>
    </row>
    <row r="261" spans="14:14" x14ac:dyDescent="0.2">
      <c r="N261" s="46" t="s">
        <v>195</v>
      </c>
    </row>
    <row r="262" spans="14:14" x14ac:dyDescent="0.2">
      <c r="N262" s="46" t="s">
        <v>196</v>
      </c>
    </row>
    <row r="263" spans="14:14" x14ac:dyDescent="0.2">
      <c r="N263" s="46" t="s">
        <v>197</v>
      </c>
    </row>
    <row r="264" spans="14:14" x14ac:dyDescent="0.2">
      <c r="N264" s="46" t="s">
        <v>198</v>
      </c>
    </row>
    <row r="265" spans="14:14" x14ac:dyDescent="0.2">
      <c r="N265" s="46" t="s">
        <v>199</v>
      </c>
    </row>
    <row r="266" spans="14:14" x14ac:dyDescent="0.2">
      <c r="N266" s="46" t="s">
        <v>200</v>
      </c>
    </row>
    <row r="267" spans="14:14" x14ac:dyDescent="0.2">
      <c r="N267" s="46" t="s">
        <v>201</v>
      </c>
    </row>
    <row r="268" spans="14:14" x14ac:dyDescent="0.2">
      <c r="N268" s="46" t="s">
        <v>202</v>
      </c>
    </row>
    <row r="269" spans="14:14" x14ac:dyDescent="0.2">
      <c r="N269" s="46" t="s">
        <v>203</v>
      </c>
    </row>
    <row r="270" spans="14:14" x14ac:dyDescent="0.2">
      <c r="N270" s="46" t="s">
        <v>204</v>
      </c>
    </row>
    <row r="271" spans="14:14" x14ac:dyDescent="0.2">
      <c r="N271" s="46" t="s">
        <v>205</v>
      </c>
    </row>
    <row r="272" spans="14:14" x14ac:dyDescent="0.2">
      <c r="N272" s="46" t="s">
        <v>206</v>
      </c>
    </row>
    <row r="273" spans="14:14" x14ac:dyDescent="0.2">
      <c r="N273" s="46" t="s">
        <v>207</v>
      </c>
    </row>
    <row r="274" spans="14:14" x14ac:dyDescent="0.2">
      <c r="N274" s="46" t="s">
        <v>208</v>
      </c>
    </row>
    <row r="275" spans="14:14" x14ac:dyDescent="0.2">
      <c r="N275" s="46" t="s">
        <v>209</v>
      </c>
    </row>
    <row r="276" spans="14:14" x14ac:dyDescent="0.2">
      <c r="N276" s="46" t="s">
        <v>210</v>
      </c>
    </row>
    <row r="277" spans="14:14" x14ac:dyDescent="0.2">
      <c r="N277" s="46" t="s">
        <v>211</v>
      </c>
    </row>
    <row r="278" spans="14:14" x14ac:dyDescent="0.2">
      <c r="N278" s="46" t="s">
        <v>212</v>
      </c>
    </row>
    <row r="279" spans="14:14" x14ac:dyDescent="0.2">
      <c r="N279" s="46" t="s">
        <v>213</v>
      </c>
    </row>
    <row r="280" spans="14:14" x14ac:dyDescent="0.2">
      <c r="N280" s="46" t="s">
        <v>214</v>
      </c>
    </row>
    <row r="281" spans="14:14" x14ac:dyDescent="0.2">
      <c r="N281" s="46" t="s">
        <v>215</v>
      </c>
    </row>
    <row r="282" spans="14:14" x14ac:dyDescent="0.2">
      <c r="N282" s="46" t="s">
        <v>216</v>
      </c>
    </row>
    <row r="283" spans="14:14" x14ac:dyDescent="0.2">
      <c r="N283" s="46" t="s">
        <v>217</v>
      </c>
    </row>
    <row r="284" spans="14:14" x14ac:dyDescent="0.2">
      <c r="N284" s="46" t="s">
        <v>218</v>
      </c>
    </row>
    <row r="285" spans="14:14" x14ac:dyDescent="0.2">
      <c r="N285" s="46" t="s">
        <v>219</v>
      </c>
    </row>
    <row r="286" spans="14:14" x14ac:dyDescent="0.2">
      <c r="N286" s="46" t="s">
        <v>220</v>
      </c>
    </row>
    <row r="287" spans="14:14" x14ac:dyDescent="0.2">
      <c r="N287" s="46" t="s">
        <v>221</v>
      </c>
    </row>
    <row r="288" spans="14:14" x14ac:dyDescent="0.2">
      <c r="N288" s="46" t="s">
        <v>222</v>
      </c>
    </row>
    <row r="289" spans="14:14" x14ac:dyDescent="0.2">
      <c r="N289" s="46" t="s">
        <v>223</v>
      </c>
    </row>
    <row r="290" spans="14:14" x14ac:dyDescent="0.2">
      <c r="N290" s="46" t="s">
        <v>224</v>
      </c>
    </row>
    <row r="291" spans="14:14" x14ac:dyDescent="0.2">
      <c r="N291" s="46" t="s">
        <v>225</v>
      </c>
    </row>
    <row r="292" spans="14:14" x14ac:dyDescent="0.2">
      <c r="N292" s="46" t="s">
        <v>226</v>
      </c>
    </row>
    <row r="293" spans="14:14" x14ac:dyDescent="0.2">
      <c r="N293" s="46" t="s">
        <v>227</v>
      </c>
    </row>
    <row r="294" spans="14:14" x14ac:dyDescent="0.2">
      <c r="N294" s="46" t="s">
        <v>228</v>
      </c>
    </row>
    <row r="295" spans="14:14" x14ac:dyDescent="0.2">
      <c r="N295" s="46" t="s">
        <v>229</v>
      </c>
    </row>
    <row r="296" spans="14:14" x14ac:dyDescent="0.2">
      <c r="N296" s="46" t="s">
        <v>230</v>
      </c>
    </row>
    <row r="297" spans="14:14" x14ac:dyDescent="0.2">
      <c r="N297" s="46" t="s">
        <v>231</v>
      </c>
    </row>
    <row r="298" spans="14:14" x14ac:dyDescent="0.2">
      <c r="N298" s="46" t="s">
        <v>232</v>
      </c>
    </row>
    <row r="299" spans="14:14" x14ac:dyDescent="0.2">
      <c r="N299" s="46" t="s">
        <v>233</v>
      </c>
    </row>
    <row r="300" spans="14:14" x14ac:dyDescent="0.2">
      <c r="N300" s="46" t="s">
        <v>234</v>
      </c>
    </row>
    <row r="301" spans="14:14" x14ac:dyDescent="0.2">
      <c r="N301" s="46" t="s">
        <v>235</v>
      </c>
    </row>
    <row r="302" spans="14:14" x14ac:dyDescent="0.2">
      <c r="N302" s="46" t="s">
        <v>236</v>
      </c>
    </row>
    <row r="303" spans="14:14" x14ac:dyDescent="0.2">
      <c r="N303" s="46" t="s">
        <v>237</v>
      </c>
    </row>
    <row r="304" spans="14:14" x14ac:dyDescent="0.2">
      <c r="N304" s="46" t="s">
        <v>238</v>
      </c>
    </row>
    <row r="305" spans="14:14" x14ac:dyDescent="0.2">
      <c r="N305" s="46" t="s">
        <v>239</v>
      </c>
    </row>
    <row r="306" spans="14:14" x14ac:dyDescent="0.2">
      <c r="N306" s="46" t="s">
        <v>240</v>
      </c>
    </row>
    <row r="307" spans="14:14" x14ac:dyDescent="0.2">
      <c r="N307" s="46" t="s">
        <v>241</v>
      </c>
    </row>
    <row r="308" spans="14:14" x14ac:dyDescent="0.2">
      <c r="N308" s="46" t="s">
        <v>242</v>
      </c>
    </row>
    <row r="309" spans="14:14" x14ac:dyDescent="0.2">
      <c r="N309" s="46" t="s">
        <v>243</v>
      </c>
    </row>
    <row r="310" spans="14:14" x14ac:dyDescent="0.2">
      <c r="N310" s="46" t="s">
        <v>244</v>
      </c>
    </row>
    <row r="311" spans="14:14" x14ac:dyDescent="0.2">
      <c r="N311" s="46" t="s">
        <v>245</v>
      </c>
    </row>
    <row r="312" spans="14:14" x14ac:dyDescent="0.2">
      <c r="N312" s="46" t="s">
        <v>246</v>
      </c>
    </row>
    <row r="313" spans="14:14" x14ac:dyDescent="0.2">
      <c r="N313" s="46" t="s">
        <v>247</v>
      </c>
    </row>
    <row r="314" spans="14:14" x14ac:dyDescent="0.2">
      <c r="N314" s="46" t="s">
        <v>248</v>
      </c>
    </row>
    <row r="315" spans="14:14" x14ac:dyDescent="0.2">
      <c r="N315" s="46" t="s">
        <v>249</v>
      </c>
    </row>
    <row r="316" spans="14:14" x14ac:dyDescent="0.2">
      <c r="N316" s="46" t="s">
        <v>250</v>
      </c>
    </row>
    <row r="317" spans="14:14" x14ac:dyDescent="0.2">
      <c r="N317" s="46" t="s">
        <v>251</v>
      </c>
    </row>
    <row r="318" spans="14:14" x14ac:dyDescent="0.2">
      <c r="N318" s="46" t="s">
        <v>252</v>
      </c>
    </row>
    <row r="319" spans="14:14" x14ac:dyDescent="0.2">
      <c r="N319" s="46" t="s">
        <v>253</v>
      </c>
    </row>
    <row r="320" spans="14:14" x14ac:dyDescent="0.2">
      <c r="N320" s="46" t="s">
        <v>254</v>
      </c>
    </row>
    <row r="321" spans="14:14" x14ac:dyDescent="0.2">
      <c r="N321" s="46" t="s">
        <v>255</v>
      </c>
    </row>
    <row r="322" spans="14:14" x14ac:dyDescent="0.2">
      <c r="N322" s="46" t="s">
        <v>256</v>
      </c>
    </row>
    <row r="323" spans="14:14" x14ac:dyDescent="0.2">
      <c r="N323" s="46" t="s">
        <v>257</v>
      </c>
    </row>
    <row r="324" spans="14:14" x14ac:dyDescent="0.2">
      <c r="N324" s="46" t="s">
        <v>258</v>
      </c>
    </row>
    <row r="325" spans="14:14" x14ac:dyDescent="0.2">
      <c r="N325" s="46" t="s">
        <v>259</v>
      </c>
    </row>
    <row r="326" spans="14:14" x14ac:dyDescent="0.2">
      <c r="N326" s="46" t="s">
        <v>260</v>
      </c>
    </row>
    <row r="327" spans="14:14" x14ac:dyDescent="0.2">
      <c r="N327" s="46" t="s">
        <v>261</v>
      </c>
    </row>
    <row r="328" spans="14:14" x14ac:dyDescent="0.2">
      <c r="N328" s="46" t="s">
        <v>262</v>
      </c>
    </row>
    <row r="329" spans="14:14" x14ac:dyDescent="0.2">
      <c r="N329" s="46" t="s">
        <v>263</v>
      </c>
    </row>
    <row r="330" spans="14:14" x14ac:dyDescent="0.2">
      <c r="N330" s="46" t="s">
        <v>264</v>
      </c>
    </row>
    <row r="331" spans="14:14" x14ac:dyDescent="0.2">
      <c r="N331" s="46" t="s">
        <v>265</v>
      </c>
    </row>
    <row r="332" spans="14:14" x14ac:dyDescent="0.2">
      <c r="N332" s="46" t="s">
        <v>266</v>
      </c>
    </row>
    <row r="333" spans="14:14" x14ac:dyDescent="0.2">
      <c r="N333" s="46" t="s">
        <v>267</v>
      </c>
    </row>
    <row r="334" spans="14:14" x14ac:dyDescent="0.2">
      <c r="N334" s="46" t="s">
        <v>268</v>
      </c>
    </row>
    <row r="335" spans="14:14" x14ac:dyDescent="0.2">
      <c r="N335" s="46" t="s">
        <v>269</v>
      </c>
    </row>
    <row r="336" spans="14:14" x14ac:dyDescent="0.2">
      <c r="N336" s="46" t="s">
        <v>270</v>
      </c>
    </row>
    <row r="337" spans="14:14" x14ac:dyDescent="0.2">
      <c r="N337" s="46" t="s">
        <v>271</v>
      </c>
    </row>
    <row r="338" spans="14:14" x14ac:dyDescent="0.2">
      <c r="N338" s="46" t="s">
        <v>272</v>
      </c>
    </row>
    <row r="339" spans="14:14" x14ac:dyDescent="0.2">
      <c r="N339" s="46" t="s">
        <v>273</v>
      </c>
    </row>
    <row r="340" spans="14:14" x14ac:dyDescent="0.2">
      <c r="N340" s="46" t="s">
        <v>274</v>
      </c>
    </row>
    <row r="341" spans="14:14" x14ac:dyDescent="0.2">
      <c r="N341" s="46" t="s">
        <v>275</v>
      </c>
    </row>
    <row r="342" spans="14:14" x14ac:dyDescent="0.2">
      <c r="N342" s="46" t="s">
        <v>276</v>
      </c>
    </row>
    <row r="343" spans="14:14" x14ac:dyDescent="0.2">
      <c r="N343" s="46" t="s">
        <v>277</v>
      </c>
    </row>
    <row r="344" spans="14:14" x14ac:dyDescent="0.2">
      <c r="N344" s="46" t="s">
        <v>278</v>
      </c>
    </row>
    <row r="345" spans="14:14" x14ac:dyDescent="0.2">
      <c r="N345" s="46" t="s">
        <v>279</v>
      </c>
    </row>
    <row r="346" spans="14:14" x14ac:dyDescent="0.2">
      <c r="N346" s="46" t="s">
        <v>280</v>
      </c>
    </row>
    <row r="347" spans="14:14" x14ac:dyDescent="0.2">
      <c r="N347" s="46" t="s">
        <v>281</v>
      </c>
    </row>
    <row r="348" spans="14:14" x14ac:dyDescent="0.2">
      <c r="N348" s="46" t="s">
        <v>282</v>
      </c>
    </row>
    <row r="349" spans="14:14" x14ac:dyDescent="0.2">
      <c r="N349" s="46" t="s">
        <v>283</v>
      </c>
    </row>
    <row r="350" spans="14:14" x14ac:dyDescent="0.2">
      <c r="N350" s="46" t="s">
        <v>284</v>
      </c>
    </row>
    <row r="351" spans="14:14" x14ac:dyDescent="0.2">
      <c r="N351" s="46" t="s">
        <v>285</v>
      </c>
    </row>
    <row r="352" spans="14:14" x14ac:dyDescent="0.2">
      <c r="N352" s="46" t="s">
        <v>286</v>
      </c>
    </row>
    <row r="353" spans="14:14" x14ac:dyDescent="0.2">
      <c r="N353" s="46" t="s">
        <v>287</v>
      </c>
    </row>
    <row r="354" spans="14:14" x14ac:dyDescent="0.2">
      <c r="N354" s="46" t="s">
        <v>288</v>
      </c>
    </row>
    <row r="355" spans="14:14" x14ac:dyDescent="0.2">
      <c r="N355" s="46" t="s">
        <v>289</v>
      </c>
    </row>
    <row r="356" spans="14:14" x14ac:dyDescent="0.2">
      <c r="N356" s="46" t="s">
        <v>290</v>
      </c>
    </row>
    <row r="357" spans="14:14" x14ac:dyDescent="0.2">
      <c r="N357" s="46" t="s">
        <v>291</v>
      </c>
    </row>
    <row r="358" spans="14:14" x14ac:dyDescent="0.2">
      <c r="N358" s="46" t="s">
        <v>292</v>
      </c>
    </row>
    <row r="359" spans="14:14" x14ac:dyDescent="0.2">
      <c r="N359" s="46" t="s">
        <v>293</v>
      </c>
    </row>
    <row r="360" spans="14:14" x14ac:dyDescent="0.2">
      <c r="N360" s="46" t="s">
        <v>294</v>
      </c>
    </row>
    <row r="361" spans="14:14" x14ac:dyDescent="0.2">
      <c r="N361" s="46" t="s">
        <v>295</v>
      </c>
    </row>
    <row r="362" spans="14:14" x14ac:dyDescent="0.2">
      <c r="N362" s="46" t="s">
        <v>296</v>
      </c>
    </row>
    <row r="363" spans="14:14" x14ac:dyDescent="0.2">
      <c r="N363" s="46" t="s">
        <v>297</v>
      </c>
    </row>
    <row r="364" spans="14:14" x14ac:dyDescent="0.2">
      <c r="N364" s="46" t="s">
        <v>298</v>
      </c>
    </row>
    <row r="365" spans="14:14" x14ac:dyDescent="0.2">
      <c r="N365" s="46" t="s">
        <v>299</v>
      </c>
    </row>
    <row r="366" spans="14:14" x14ac:dyDescent="0.2">
      <c r="N366" s="46" t="s">
        <v>300</v>
      </c>
    </row>
    <row r="367" spans="14:14" x14ac:dyDescent="0.2">
      <c r="N367" s="46" t="s">
        <v>301</v>
      </c>
    </row>
    <row r="368" spans="14:14" x14ac:dyDescent="0.2">
      <c r="N368" s="46" t="s">
        <v>302</v>
      </c>
    </row>
    <row r="369" spans="14:14" x14ac:dyDescent="0.2">
      <c r="N369" s="46" t="s">
        <v>303</v>
      </c>
    </row>
    <row r="370" spans="14:14" x14ac:dyDescent="0.2">
      <c r="N370" s="46" t="s">
        <v>304</v>
      </c>
    </row>
    <row r="371" spans="14:14" x14ac:dyDescent="0.2">
      <c r="N371" s="46" t="s">
        <v>305</v>
      </c>
    </row>
    <row r="372" spans="14:14" x14ac:dyDescent="0.2">
      <c r="N372" s="46" t="s">
        <v>306</v>
      </c>
    </row>
    <row r="373" spans="14:14" x14ac:dyDescent="0.2">
      <c r="N373" s="46" t="s">
        <v>307</v>
      </c>
    </row>
    <row r="374" spans="14:14" x14ac:dyDescent="0.2">
      <c r="N374" s="46" t="s">
        <v>308</v>
      </c>
    </row>
    <row r="375" spans="14:14" x14ac:dyDescent="0.2">
      <c r="N375" s="46" t="s">
        <v>309</v>
      </c>
    </row>
    <row r="376" spans="14:14" x14ac:dyDescent="0.2">
      <c r="N376" s="46" t="s">
        <v>310</v>
      </c>
    </row>
    <row r="377" spans="14:14" x14ac:dyDescent="0.2">
      <c r="N377" s="46" t="s">
        <v>311</v>
      </c>
    </row>
    <row r="378" spans="14:14" x14ac:dyDescent="0.2">
      <c r="N378" s="46" t="s">
        <v>312</v>
      </c>
    </row>
    <row r="379" spans="14:14" x14ac:dyDescent="0.2">
      <c r="N379" s="46" t="s">
        <v>313</v>
      </c>
    </row>
    <row r="380" spans="14:14" x14ac:dyDescent="0.2">
      <c r="N380" s="46" t="s">
        <v>314</v>
      </c>
    </row>
    <row r="381" spans="14:14" x14ac:dyDescent="0.2">
      <c r="N381" s="46" t="s">
        <v>315</v>
      </c>
    </row>
    <row r="382" spans="14:14" x14ac:dyDescent="0.2">
      <c r="N382" s="46" t="s">
        <v>316</v>
      </c>
    </row>
    <row r="383" spans="14:14" x14ac:dyDescent="0.2">
      <c r="N383" s="46" t="s">
        <v>317</v>
      </c>
    </row>
    <row r="384" spans="14:14" x14ac:dyDescent="0.2">
      <c r="N384" s="46" t="s">
        <v>318</v>
      </c>
    </row>
    <row r="385" spans="14:14" x14ac:dyDescent="0.2">
      <c r="N385" s="46" t="s">
        <v>319</v>
      </c>
    </row>
    <row r="386" spans="14:14" x14ac:dyDescent="0.2">
      <c r="N386" s="46" t="s">
        <v>320</v>
      </c>
    </row>
    <row r="387" spans="14:14" x14ac:dyDescent="0.2">
      <c r="N387" s="46" t="s">
        <v>321</v>
      </c>
    </row>
    <row r="388" spans="14:14" x14ac:dyDescent="0.2">
      <c r="N388" s="46" t="s">
        <v>322</v>
      </c>
    </row>
    <row r="389" spans="14:14" x14ac:dyDescent="0.2">
      <c r="N389" s="46" t="s">
        <v>323</v>
      </c>
    </row>
    <row r="390" spans="14:14" x14ac:dyDescent="0.2">
      <c r="N390" s="46" t="s">
        <v>324</v>
      </c>
    </row>
    <row r="391" spans="14:14" x14ac:dyDescent="0.2">
      <c r="N391" s="46" t="s">
        <v>325</v>
      </c>
    </row>
    <row r="392" spans="14:14" x14ac:dyDescent="0.2">
      <c r="N392" s="46" t="s">
        <v>326</v>
      </c>
    </row>
    <row r="393" spans="14:14" x14ac:dyDescent="0.2">
      <c r="N393" s="46" t="s">
        <v>327</v>
      </c>
    </row>
    <row r="394" spans="14:14" x14ac:dyDescent="0.2">
      <c r="N394" s="46" t="s">
        <v>328</v>
      </c>
    </row>
    <row r="395" spans="14:14" x14ac:dyDescent="0.2">
      <c r="N395" s="46" t="s">
        <v>329</v>
      </c>
    </row>
    <row r="396" spans="14:14" x14ac:dyDescent="0.2">
      <c r="N396" s="46" t="s">
        <v>330</v>
      </c>
    </row>
    <row r="397" spans="14:14" x14ac:dyDescent="0.2">
      <c r="N397" s="46" t="s">
        <v>331</v>
      </c>
    </row>
    <row r="398" spans="14:14" x14ac:dyDescent="0.2">
      <c r="N398" s="46" t="s">
        <v>332</v>
      </c>
    </row>
    <row r="399" spans="14:14" x14ac:dyDescent="0.2">
      <c r="N399" s="46" t="s">
        <v>333</v>
      </c>
    </row>
    <row r="400" spans="14:14" x14ac:dyDescent="0.2">
      <c r="N400" s="46" t="s">
        <v>334</v>
      </c>
    </row>
    <row r="401" spans="14:14" x14ac:dyDescent="0.2">
      <c r="N401" s="46" t="s">
        <v>335</v>
      </c>
    </row>
    <row r="402" spans="14:14" x14ac:dyDescent="0.2">
      <c r="N402" s="46" t="s">
        <v>336</v>
      </c>
    </row>
    <row r="403" spans="14:14" x14ac:dyDescent="0.2">
      <c r="N403" s="46" t="s">
        <v>337</v>
      </c>
    </row>
    <row r="404" spans="14:14" x14ac:dyDescent="0.2">
      <c r="N404" s="46" t="s">
        <v>338</v>
      </c>
    </row>
    <row r="405" spans="14:14" x14ac:dyDescent="0.2">
      <c r="N405" s="46" t="s">
        <v>339</v>
      </c>
    </row>
    <row r="406" spans="14:14" x14ac:dyDescent="0.2">
      <c r="N406" s="46" t="s">
        <v>340</v>
      </c>
    </row>
    <row r="407" spans="14:14" x14ac:dyDescent="0.2">
      <c r="N407" s="46" t="s">
        <v>341</v>
      </c>
    </row>
    <row r="408" spans="14:14" x14ac:dyDescent="0.2">
      <c r="N408" s="46" t="s">
        <v>342</v>
      </c>
    </row>
    <row r="409" spans="14:14" x14ac:dyDescent="0.2">
      <c r="N409" s="46" t="s">
        <v>343</v>
      </c>
    </row>
    <row r="410" spans="14:14" x14ac:dyDescent="0.2">
      <c r="N410" s="46" t="s">
        <v>344</v>
      </c>
    </row>
    <row r="411" spans="14:14" x14ac:dyDescent="0.2">
      <c r="N411" s="46" t="s">
        <v>345</v>
      </c>
    </row>
    <row r="412" spans="14:14" x14ac:dyDescent="0.2">
      <c r="N412" s="46" t="s">
        <v>346</v>
      </c>
    </row>
    <row r="413" spans="14:14" x14ac:dyDescent="0.2">
      <c r="N413" s="46" t="s">
        <v>347</v>
      </c>
    </row>
    <row r="414" spans="14:14" x14ac:dyDescent="0.2">
      <c r="N414" s="46" t="s">
        <v>348</v>
      </c>
    </row>
    <row r="415" spans="14:14" x14ac:dyDescent="0.2">
      <c r="N415" s="46" t="s">
        <v>349</v>
      </c>
    </row>
    <row r="416" spans="14:14" x14ac:dyDescent="0.2">
      <c r="N416" s="46" t="s">
        <v>350</v>
      </c>
    </row>
    <row r="417" spans="14:14" x14ac:dyDescent="0.2">
      <c r="N417" s="46" t="s">
        <v>351</v>
      </c>
    </row>
  </sheetData>
  <sheetProtection password="D332" sheet="1" objects="1" scenarios="1"/>
  <mergeCells count="49">
    <mergeCell ref="A3:G4"/>
    <mergeCell ref="A6:B6"/>
    <mergeCell ref="C6:F6"/>
    <mergeCell ref="A8:G8"/>
    <mergeCell ref="B10:C10"/>
    <mergeCell ref="B11:C11"/>
    <mergeCell ref="E11:F11"/>
    <mergeCell ref="E12:G12"/>
    <mergeCell ref="E13:G13"/>
    <mergeCell ref="B14:C14"/>
    <mergeCell ref="E14:G14"/>
    <mergeCell ref="B15:C15"/>
    <mergeCell ref="A17:G17"/>
    <mergeCell ref="A19:A20"/>
    <mergeCell ref="F19:G19"/>
    <mergeCell ref="F20:G20"/>
    <mergeCell ref="A23:A24"/>
    <mergeCell ref="E23:G23"/>
    <mergeCell ref="B25:C25"/>
    <mergeCell ref="D25:E25"/>
    <mergeCell ref="B26:C26"/>
    <mergeCell ref="A28:A29"/>
    <mergeCell ref="D28:G28"/>
    <mergeCell ref="A31:A32"/>
    <mergeCell ref="C31:E31"/>
    <mergeCell ref="A34:G34"/>
    <mergeCell ref="A39:A40"/>
    <mergeCell ref="D39:F39"/>
    <mergeCell ref="B41:G41"/>
    <mergeCell ref="B44:F44"/>
    <mergeCell ref="A46:A49"/>
    <mergeCell ref="B53:C53"/>
    <mergeCell ref="E53:F53"/>
    <mergeCell ref="B54:C55"/>
    <mergeCell ref="E54:F54"/>
    <mergeCell ref="B56:G59"/>
    <mergeCell ref="A61:G61"/>
    <mergeCell ref="B62:C62"/>
    <mergeCell ref="D62:E62"/>
    <mergeCell ref="F62:G62"/>
    <mergeCell ref="B63:C63"/>
    <mergeCell ref="D63:E63"/>
    <mergeCell ref="F63:G63"/>
    <mergeCell ref="D67:G68"/>
    <mergeCell ref="B69:C69"/>
    <mergeCell ref="A64:A65"/>
    <mergeCell ref="B64:C65"/>
    <mergeCell ref="D64:E65"/>
    <mergeCell ref="F64:G65"/>
  </mergeCells>
  <phoneticPr fontId="0" type="noConversion"/>
  <conditionalFormatting sqref="G46">
    <cfRule type="expression" dxfId="104" priority="21" stopIfTrue="1">
      <formula>ISERROR($G$46)</formula>
    </cfRule>
  </conditionalFormatting>
  <conditionalFormatting sqref="G47">
    <cfRule type="expression" dxfId="103" priority="20" stopIfTrue="1">
      <formula>ISERROR($G$47)</formula>
    </cfRule>
  </conditionalFormatting>
  <conditionalFormatting sqref="G48">
    <cfRule type="expression" dxfId="102" priority="19" stopIfTrue="1">
      <formula>ISERROR($G$48)</formula>
    </cfRule>
  </conditionalFormatting>
  <conditionalFormatting sqref="G49">
    <cfRule type="expression" dxfId="101" priority="18" stopIfTrue="1">
      <formula>ISERROR($G$49)</formula>
    </cfRule>
  </conditionalFormatting>
  <conditionalFormatting sqref="B10 E10 B11 E11 B12 E12 B13 E13 B14 E14 B15 B46:F49 B53 E53 E54 B63 D63 F63">
    <cfRule type="cellIs" dxfId="100" priority="17" stopIfTrue="1" operator="notEqual">
      <formula>$A$1</formula>
    </cfRule>
  </conditionalFormatting>
  <conditionalFormatting sqref="B46">
    <cfRule type="expression" dxfId="99" priority="16" stopIfTrue="1">
      <formula>IF(SUM($B$46:$B$49)&lt;&gt;0,TRUE,FALSE)</formula>
    </cfRule>
  </conditionalFormatting>
  <conditionalFormatting sqref="B46:B49">
    <cfRule type="expression" dxfId="98" priority="15" stopIfTrue="1">
      <formula>IF(SUM($B$46:$B$49)&lt;&gt;0,TRUE,FALSE)</formula>
    </cfRule>
  </conditionalFormatting>
  <conditionalFormatting sqref="C46:C49">
    <cfRule type="expression" dxfId="97" priority="14" stopIfTrue="1">
      <formula>IF(SUM($C$46:$C$49)&lt;&gt;0,TRUE,FALSE)</formula>
    </cfRule>
  </conditionalFormatting>
  <conditionalFormatting sqref="D46:D49">
    <cfRule type="expression" dxfId="96" priority="13" stopIfTrue="1">
      <formula>IF(SUM($D$46:$D$49)&lt;&gt;0,TRUE,FALSE)</formula>
    </cfRule>
  </conditionalFormatting>
  <conditionalFormatting sqref="E46:E49">
    <cfRule type="expression" dxfId="95" priority="12" stopIfTrue="1">
      <formula>IF(SUM($E$46:$E$49)&lt;&gt;0,TRUE,FALSE)</formula>
    </cfRule>
  </conditionalFormatting>
  <conditionalFormatting sqref="F46:F49">
    <cfRule type="expression" dxfId="94" priority="11" stopIfTrue="1">
      <formula>IF(SUM($F$46:$F$49)&lt;&gt;0,TRUE,FALSE)</formula>
    </cfRule>
  </conditionalFormatting>
  <conditionalFormatting sqref="B46:B49">
    <cfRule type="expression" dxfId="93" priority="10" stopIfTrue="1">
      <formula>IF(SUM($B$46:$B$49)&lt;&gt;0,TRUE,FALSE)</formula>
    </cfRule>
  </conditionalFormatting>
  <conditionalFormatting sqref="C46:C49">
    <cfRule type="expression" dxfId="92" priority="9" stopIfTrue="1">
      <formula>IF(SUM($C$46:$C$49)&lt;&gt;0,TRUE,FALSE)</formula>
    </cfRule>
  </conditionalFormatting>
  <conditionalFormatting sqref="D46:D49">
    <cfRule type="expression" dxfId="91" priority="8" stopIfTrue="1">
      <formula>IF(SUM($D$46:$D$49)&lt;&gt;0,TRUE,FALSE)</formula>
    </cfRule>
  </conditionalFormatting>
  <conditionalFormatting sqref="E46:E49">
    <cfRule type="expression" dxfId="90" priority="7" stopIfTrue="1">
      <formula>IF(SUM($E$46:$E$49)&lt;&gt;0,TRUE,FALSE)</formula>
    </cfRule>
  </conditionalFormatting>
  <conditionalFormatting sqref="F46:F49">
    <cfRule type="expression" dxfId="89" priority="6" stopIfTrue="1">
      <formula>IF(SUM($F$46:$F$49)&lt;&gt;0,TRUE,FALSE)</formula>
    </cfRule>
  </conditionalFormatting>
  <conditionalFormatting sqref="B10:C11 B12:B13 B14:C15">
    <cfRule type="cellIs" dxfId="88" priority="5" stopIfTrue="1" operator="notEqual">
      <formula>$A$1</formula>
    </cfRule>
  </conditionalFormatting>
  <conditionalFormatting sqref="E11:F11 E12:G14">
    <cfRule type="cellIs" dxfId="87" priority="4" stopIfTrue="1" operator="notEqual">
      <formula>$A$1</formula>
    </cfRule>
  </conditionalFormatting>
  <conditionalFormatting sqref="E10">
    <cfRule type="cellIs" dxfId="86" priority="3" stopIfTrue="1" operator="notEqual">
      <formula>$A$1</formula>
    </cfRule>
  </conditionalFormatting>
  <conditionalFormatting sqref="B53:C53 E53:F54">
    <cfRule type="cellIs" dxfId="85" priority="2" stopIfTrue="1" operator="notEqual">
      <formula>$A$1</formula>
    </cfRule>
  </conditionalFormatting>
  <conditionalFormatting sqref="B63:G63">
    <cfRule type="cellIs" dxfId="84" priority="1" stopIfTrue="1" operator="notEqual">
      <formula>$A$1</formula>
    </cfRule>
  </conditionalFormatting>
  <dataValidations count="7">
    <dataValidation type="list" allowBlank="1" showInputMessage="1" showErrorMessage="1" sqref="D46:D49">
      <formula1>$L$163:$L$174</formula1>
    </dataValidation>
    <dataValidation type="list" allowBlank="1" showInputMessage="1" showErrorMessage="1" sqref="C31:E31">
      <formula1>$L$148:$L$160</formula1>
    </dataValidation>
    <dataValidation type="list" allowBlank="1" showInputMessage="1" showErrorMessage="1" sqref="E14">
      <formula1>$L$121:$L$129</formula1>
    </dataValidation>
    <dataValidation type="list" allowBlank="1" showInputMessage="1" showErrorMessage="1" sqref="E13">
      <formula1>$L$91:$L$109</formula1>
    </dataValidation>
    <dataValidation type="list" allowBlank="1" showInputMessage="1" showErrorMessage="1" sqref="E11:F11">
      <formula1>$L$114:$L$118</formula1>
    </dataValidation>
    <dataValidation type="list" allowBlank="1" showInputMessage="1" showErrorMessage="1" sqref="E12 E23">
      <formula1>$N$91:$N$417</formula1>
    </dataValidation>
    <dataValidation type="list" allowBlank="1" showInputMessage="1" showErrorMessage="1" sqref="C36 E36 C23 C19">
      <formula1>$L$133:$L$137</formula1>
    </dataValidation>
  </dataValidations>
  <hyperlinks>
    <hyperlink ref="B44:F44" r:id="rId1" display="POSITION FUNDING"/>
  </hyperlinks>
  <pageMargins left="0.5" right="0.5" top="0.5" bottom="0.5" header="0.3" footer="0.3"/>
  <pageSetup scale="94"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N417"/>
  <sheetViews>
    <sheetView zoomScaleNormal="100" workbookViewId="0">
      <selection activeCell="B10" sqref="B10:C10"/>
    </sheetView>
  </sheetViews>
  <sheetFormatPr defaultRowHeight="12.75" x14ac:dyDescent="0.2"/>
  <cols>
    <col min="1" max="1" width="14.42578125" style="2" customWidth="1"/>
    <col min="2" max="2" width="14.28515625" style="2" bestFit="1" customWidth="1"/>
    <col min="3" max="3" width="15.5703125" style="2" bestFit="1" customWidth="1"/>
    <col min="4" max="4" width="16" style="2" bestFit="1" customWidth="1"/>
    <col min="5" max="5" width="15.42578125" style="2" customWidth="1"/>
    <col min="6" max="6" width="14" style="2" customWidth="1"/>
    <col min="7" max="7" width="12.7109375" style="2" customWidth="1"/>
    <col min="8" max="9" width="8.140625" style="2" customWidth="1"/>
    <col min="10" max="11" width="9.140625" style="2"/>
    <col min="12" max="12" width="35.42578125" style="2" hidden="1" customWidth="1"/>
    <col min="13" max="13" width="17" style="2" hidden="1" customWidth="1"/>
    <col min="14" max="14" width="41.140625" style="2" hidden="1" customWidth="1"/>
    <col min="15" max="16384" width="9.140625" style="2"/>
  </cols>
  <sheetData>
    <row r="1" spans="1:8" x14ac:dyDescent="0.2">
      <c r="A1" s="5"/>
      <c r="B1" s="5"/>
      <c r="C1" s="5"/>
      <c r="D1" s="5"/>
      <c r="E1" s="5"/>
      <c r="F1" s="5"/>
      <c r="G1" s="5"/>
    </row>
    <row r="2" spans="1:8" ht="12.75" customHeight="1" x14ac:dyDescent="0.2">
      <c r="A2" s="5"/>
      <c r="B2" s="5"/>
      <c r="C2" s="5"/>
      <c r="D2" s="5"/>
      <c r="E2" s="5"/>
      <c r="F2" s="5"/>
      <c r="G2" s="5"/>
      <c r="H2" s="3"/>
    </row>
    <row r="3" spans="1:8" ht="7.5" customHeight="1" x14ac:dyDescent="0.2">
      <c r="A3" s="109" t="s">
        <v>380</v>
      </c>
      <c r="B3" s="109"/>
      <c r="C3" s="109"/>
      <c r="D3" s="109"/>
      <c r="E3" s="109"/>
      <c r="F3" s="109"/>
      <c r="G3" s="109"/>
      <c r="H3" s="3"/>
    </row>
    <row r="4" spans="1:8" x14ac:dyDescent="0.2">
      <c r="A4" s="109"/>
      <c r="B4" s="109"/>
      <c r="C4" s="109"/>
      <c r="D4" s="109"/>
      <c r="E4" s="109"/>
      <c r="F4" s="109"/>
      <c r="G4" s="109"/>
      <c r="H4" s="4"/>
    </row>
    <row r="5" spans="1:8" ht="6" customHeight="1" x14ac:dyDescent="0.2">
      <c r="A5" s="47"/>
      <c r="B5" s="47"/>
      <c r="C5" s="47"/>
      <c r="D5" s="47"/>
      <c r="E5" s="47"/>
      <c r="F5" s="47"/>
      <c r="G5" s="47"/>
      <c r="H5" s="4"/>
    </row>
    <row r="6" spans="1:8" x14ac:dyDescent="0.2">
      <c r="A6" s="76" t="s">
        <v>381</v>
      </c>
      <c r="B6" s="76"/>
      <c r="C6" s="76" t="s">
        <v>409</v>
      </c>
      <c r="D6" s="76"/>
      <c r="E6" s="76"/>
      <c r="F6" s="76"/>
      <c r="G6" s="5"/>
    </row>
    <row r="7" spans="1:8" ht="6" customHeight="1" x14ac:dyDescent="0.2">
      <c r="A7" s="48"/>
      <c r="B7" s="48"/>
      <c r="C7" s="48"/>
      <c r="D7" s="48"/>
      <c r="E7" s="48"/>
      <c r="F7" s="48"/>
      <c r="G7" s="5"/>
    </row>
    <row r="8" spans="1:8" x14ac:dyDescent="0.2">
      <c r="A8" s="77" t="s">
        <v>470</v>
      </c>
      <c r="B8" s="77"/>
      <c r="C8" s="77"/>
      <c r="D8" s="77"/>
      <c r="E8" s="77"/>
      <c r="F8" s="77"/>
      <c r="G8" s="77"/>
    </row>
    <row r="9" spans="1:8" ht="6" customHeight="1" x14ac:dyDescent="0.2">
      <c r="A9" s="35"/>
      <c r="B9" s="35"/>
      <c r="C9" s="35"/>
      <c r="D9" s="35"/>
      <c r="E9" s="35"/>
      <c r="F9" s="35"/>
      <c r="G9" s="35"/>
    </row>
    <row r="10" spans="1:8" x14ac:dyDescent="0.2">
      <c r="A10" s="6" t="s">
        <v>14</v>
      </c>
      <c r="B10" s="140" t="s">
        <v>519</v>
      </c>
      <c r="C10" s="141"/>
      <c r="D10" s="6" t="s">
        <v>18</v>
      </c>
      <c r="E10" s="16">
        <f ca="1">TODAY()</f>
        <v>41600</v>
      </c>
      <c r="F10" s="5"/>
      <c r="G10" s="5"/>
    </row>
    <row r="11" spans="1:8" x14ac:dyDescent="0.2">
      <c r="A11" s="6" t="s">
        <v>15</v>
      </c>
      <c r="B11" s="140" t="s">
        <v>531</v>
      </c>
      <c r="C11" s="141"/>
      <c r="D11" s="6" t="s">
        <v>384</v>
      </c>
      <c r="E11" s="122" t="s">
        <v>22</v>
      </c>
      <c r="F11" s="122"/>
      <c r="G11" s="7"/>
    </row>
    <row r="12" spans="1:8" x14ac:dyDescent="0.2">
      <c r="A12" s="6" t="s">
        <v>16</v>
      </c>
      <c r="B12" s="54" t="s">
        <v>475</v>
      </c>
      <c r="C12" s="22" t="s">
        <v>394</v>
      </c>
      <c r="D12" s="6" t="s">
        <v>17</v>
      </c>
      <c r="E12" s="122" t="s">
        <v>291</v>
      </c>
      <c r="F12" s="122"/>
      <c r="G12" s="122"/>
    </row>
    <row r="13" spans="1:8" x14ac:dyDescent="0.2">
      <c r="A13" s="6" t="s">
        <v>512</v>
      </c>
      <c r="B13" s="55">
        <v>9830</v>
      </c>
      <c r="C13" s="22" t="s">
        <v>596</v>
      </c>
      <c r="D13" s="6" t="s">
        <v>19</v>
      </c>
      <c r="E13" s="142" t="s">
        <v>4</v>
      </c>
      <c r="F13" s="143"/>
      <c r="G13" s="144"/>
    </row>
    <row r="14" spans="1:8" x14ac:dyDescent="0.2">
      <c r="A14" s="6" t="s">
        <v>576</v>
      </c>
      <c r="B14" s="140" t="s">
        <v>520</v>
      </c>
      <c r="C14" s="141"/>
      <c r="D14" s="6" t="s">
        <v>20</v>
      </c>
      <c r="E14" s="142" t="s">
        <v>429</v>
      </c>
      <c r="F14" s="143"/>
      <c r="G14" s="144"/>
    </row>
    <row r="15" spans="1:8" x14ac:dyDescent="0.2">
      <c r="A15" s="6" t="s">
        <v>577</v>
      </c>
      <c r="B15" s="121" t="s">
        <v>479</v>
      </c>
      <c r="C15" s="122"/>
      <c r="D15" s="6" t="s">
        <v>572</v>
      </c>
      <c r="E15" s="53">
        <v>37.5</v>
      </c>
      <c r="F15" s="6" t="s">
        <v>574</v>
      </c>
      <c r="G15" s="62">
        <v>1</v>
      </c>
    </row>
    <row r="16" spans="1:8" ht="6" customHeight="1" x14ac:dyDescent="0.2">
      <c r="A16" s="5"/>
      <c r="B16" s="5"/>
      <c r="C16" s="5"/>
      <c r="D16" s="5"/>
      <c r="E16" s="5"/>
      <c r="F16" s="5"/>
      <c r="G16" s="5"/>
    </row>
    <row r="17" spans="1:7" x14ac:dyDescent="0.2">
      <c r="A17" s="85" t="s">
        <v>387</v>
      </c>
      <c r="B17" s="85"/>
      <c r="C17" s="85"/>
      <c r="D17" s="85"/>
      <c r="E17" s="85"/>
      <c r="F17" s="85"/>
      <c r="G17" s="85"/>
    </row>
    <row r="18" spans="1:7" ht="6" customHeight="1" x14ac:dyDescent="0.2">
      <c r="A18" s="20"/>
      <c r="B18" s="20"/>
      <c r="C18" s="20"/>
      <c r="D18" s="20"/>
      <c r="E18" s="20"/>
      <c r="F18" s="20"/>
      <c r="G18" s="20"/>
    </row>
    <row r="19" spans="1:7" x14ac:dyDescent="0.2">
      <c r="A19" s="78" t="s">
        <v>424</v>
      </c>
      <c r="B19" s="56">
        <v>37000</v>
      </c>
      <c r="C19" s="61" t="s">
        <v>10</v>
      </c>
      <c r="D19" s="57">
        <f ca="1">TODAY()+15</f>
        <v>41615</v>
      </c>
      <c r="E19" s="57"/>
      <c r="F19" s="134" t="s">
        <v>532</v>
      </c>
      <c r="G19" s="136"/>
    </row>
    <row r="20" spans="1:7" x14ac:dyDescent="0.2">
      <c r="A20" s="78"/>
      <c r="B20" s="9" t="s">
        <v>362</v>
      </c>
      <c r="C20" s="9" t="s">
        <v>363</v>
      </c>
      <c r="D20" s="9" t="s">
        <v>364</v>
      </c>
      <c r="E20" s="9" t="s">
        <v>382</v>
      </c>
      <c r="F20" s="86" t="s">
        <v>395</v>
      </c>
      <c r="G20" s="86"/>
    </row>
    <row r="21" spans="1:7" ht="12" customHeight="1" x14ac:dyDescent="0.2">
      <c r="A21" s="36"/>
      <c r="B21" s="39" t="s">
        <v>517</v>
      </c>
      <c r="C21" s="9"/>
      <c r="D21" s="9"/>
      <c r="E21" s="9"/>
      <c r="F21" s="9"/>
      <c r="G21" s="5"/>
    </row>
    <row r="22" spans="1:7" ht="6" customHeight="1" x14ac:dyDescent="0.2">
      <c r="A22" s="36"/>
      <c r="B22" s="9"/>
      <c r="C22" s="9"/>
      <c r="D22" s="9"/>
      <c r="E22" s="9"/>
      <c r="F22" s="9"/>
      <c r="G22" s="5"/>
    </row>
    <row r="23" spans="1:7" ht="12.75" customHeight="1" x14ac:dyDescent="0.2">
      <c r="A23" s="78" t="s">
        <v>388</v>
      </c>
      <c r="B23" s="56"/>
      <c r="C23" s="53"/>
      <c r="D23" s="57"/>
      <c r="E23" s="112"/>
      <c r="F23" s="112"/>
      <c r="G23" s="112"/>
    </row>
    <row r="24" spans="1:7" x14ac:dyDescent="0.2">
      <c r="A24" s="78"/>
      <c r="B24" s="9" t="s">
        <v>362</v>
      </c>
      <c r="C24" s="9" t="s">
        <v>363</v>
      </c>
      <c r="D24" s="9" t="s">
        <v>364</v>
      </c>
      <c r="E24" s="9" t="s">
        <v>393</v>
      </c>
      <c r="F24" s="9"/>
      <c r="G24" s="5"/>
    </row>
    <row r="25" spans="1:7" x14ac:dyDescent="0.2">
      <c r="A25" s="36"/>
      <c r="B25" s="134"/>
      <c r="C25" s="136"/>
      <c r="D25" s="134"/>
      <c r="E25" s="136"/>
      <c r="F25" s="9"/>
      <c r="G25" s="5"/>
    </row>
    <row r="26" spans="1:7" x14ac:dyDescent="0.2">
      <c r="A26" s="36"/>
      <c r="B26" s="86" t="s">
        <v>395</v>
      </c>
      <c r="C26" s="86"/>
      <c r="D26" s="9" t="s">
        <v>521</v>
      </c>
      <c r="E26" s="9"/>
      <c r="F26" s="9"/>
      <c r="G26" s="5"/>
    </row>
    <row r="27" spans="1:7" ht="6" customHeight="1" x14ac:dyDescent="0.2">
      <c r="A27" s="36"/>
      <c r="B27" s="9"/>
      <c r="C27" s="9"/>
      <c r="D27" s="9"/>
      <c r="E27" s="9"/>
      <c r="F27" s="9"/>
      <c r="G27" s="5"/>
    </row>
    <row r="28" spans="1:7" x14ac:dyDescent="0.2">
      <c r="A28" s="78" t="s">
        <v>389</v>
      </c>
      <c r="B28" s="57"/>
      <c r="C28" s="58"/>
      <c r="D28" s="134"/>
      <c r="E28" s="135"/>
      <c r="F28" s="135"/>
      <c r="G28" s="136"/>
    </row>
    <row r="29" spans="1:7" x14ac:dyDescent="0.2">
      <c r="A29" s="78"/>
      <c r="B29" s="9" t="s">
        <v>364</v>
      </c>
      <c r="C29" s="9" t="s">
        <v>382</v>
      </c>
      <c r="D29" s="9" t="s">
        <v>3</v>
      </c>
      <c r="E29" s="9"/>
      <c r="F29" s="9"/>
      <c r="G29" s="5"/>
    </row>
    <row r="30" spans="1:7" ht="6" customHeight="1" x14ac:dyDescent="0.2">
      <c r="A30" s="5"/>
      <c r="B30" s="5"/>
      <c r="C30" s="5"/>
      <c r="D30" s="5"/>
      <c r="E30" s="20"/>
      <c r="F30" s="20"/>
      <c r="G30" s="5"/>
    </row>
    <row r="31" spans="1:7" x14ac:dyDescent="0.2">
      <c r="A31" s="78" t="s">
        <v>425</v>
      </c>
      <c r="B31" s="57"/>
      <c r="C31" s="137"/>
      <c r="D31" s="138"/>
      <c r="E31" s="139"/>
      <c r="F31" s="26"/>
      <c r="G31" s="5"/>
    </row>
    <row r="32" spans="1:7" x14ac:dyDescent="0.2">
      <c r="A32" s="78"/>
      <c r="B32" s="9" t="s">
        <v>382</v>
      </c>
      <c r="C32" s="9" t="s">
        <v>3</v>
      </c>
      <c r="D32" s="5"/>
      <c r="E32" s="5"/>
      <c r="F32" s="5"/>
      <c r="G32" s="5"/>
    </row>
    <row r="33" spans="1:7" ht="6" customHeight="1" x14ac:dyDescent="0.2">
      <c r="A33" s="5"/>
      <c r="B33" s="9"/>
      <c r="C33" s="9"/>
      <c r="D33" s="5"/>
      <c r="E33" s="5"/>
      <c r="F33" s="5"/>
      <c r="G33" s="5"/>
    </row>
    <row r="34" spans="1:7" x14ac:dyDescent="0.2">
      <c r="A34" s="85" t="s">
        <v>392</v>
      </c>
      <c r="B34" s="85"/>
      <c r="C34" s="85"/>
      <c r="D34" s="85"/>
      <c r="E34" s="85"/>
      <c r="F34" s="85"/>
      <c r="G34" s="85"/>
    </row>
    <row r="35" spans="1:7" ht="6" customHeight="1" x14ac:dyDescent="0.2">
      <c r="A35" s="20"/>
      <c r="B35" s="20"/>
      <c r="C35" s="20"/>
      <c r="D35" s="20"/>
      <c r="E35" s="20"/>
      <c r="F35" s="20"/>
      <c r="G35" s="20"/>
    </row>
    <row r="36" spans="1:7" x14ac:dyDescent="0.2">
      <c r="A36" s="6" t="s">
        <v>391</v>
      </c>
      <c r="B36" s="56"/>
      <c r="C36" s="53"/>
      <c r="D36" s="56"/>
      <c r="E36" s="53"/>
      <c r="F36" s="57"/>
      <c r="G36" s="5"/>
    </row>
    <row r="37" spans="1:7" x14ac:dyDescent="0.2">
      <c r="A37" s="10"/>
      <c r="B37" s="9" t="s">
        <v>396</v>
      </c>
      <c r="C37" s="9" t="s">
        <v>363</v>
      </c>
      <c r="D37" s="9" t="s">
        <v>397</v>
      </c>
      <c r="E37" s="9" t="s">
        <v>363</v>
      </c>
      <c r="F37" s="9" t="s">
        <v>364</v>
      </c>
      <c r="G37" s="5"/>
    </row>
    <row r="38" spans="1:7" ht="6" customHeight="1" x14ac:dyDescent="0.2">
      <c r="A38" s="10"/>
      <c r="B38" s="9"/>
      <c r="C38" s="9"/>
      <c r="D38" s="9"/>
      <c r="E38" s="9"/>
      <c r="F38" s="9"/>
      <c r="G38" s="5"/>
    </row>
    <row r="39" spans="1:7" x14ac:dyDescent="0.2">
      <c r="A39" s="78" t="s">
        <v>406</v>
      </c>
      <c r="B39" s="56"/>
      <c r="C39" s="57"/>
      <c r="D39" s="116" t="s">
        <v>515</v>
      </c>
      <c r="E39" s="117"/>
      <c r="F39" s="117"/>
      <c r="G39" s="5"/>
    </row>
    <row r="40" spans="1:7" x14ac:dyDescent="0.2">
      <c r="A40" s="78"/>
      <c r="B40" s="9" t="s">
        <v>365</v>
      </c>
      <c r="C40" s="9" t="s">
        <v>366</v>
      </c>
      <c r="D40" s="34" t="s">
        <v>472</v>
      </c>
      <c r="E40" s="5"/>
      <c r="F40" s="5"/>
      <c r="G40" s="5"/>
    </row>
    <row r="41" spans="1:7" x14ac:dyDescent="0.2">
      <c r="A41" s="36"/>
      <c r="B41" s="118" t="s">
        <v>513</v>
      </c>
      <c r="C41" s="118"/>
      <c r="D41" s="118"/>
      <c r="E41" s="118"/>
      <c r="F41" s="118"/>
      <c r="G41" s="118"/>
    </row>
    <row r="42" spans="1:7" ht="6" customHeight="1" x14ac:dyDescent="0.2">
      <c r="A42" s="11"/>
      <c r="B42" s="12"/>
      <c r="C42" s="12"/>
      <c r="D42" s="11"/>
      <c r="E42" s="11"/>
      <c r="F42" s="11"/>
      <c r="G42" s="11"/>
    </row>
    <row r="43" spans="1:7" ht="6" customHeight="1" x14ac:dyDescent="0.2">
      <c r="A43" s="20"/>
      <c r="B43" s="12"/>
      <c r="C43" s="12"/>
      <c r="D43" s="11"/>
      <c r="E43" s="11"/>
      <c r="F43" s="11"/>
      <c r="G43" s="20"/>
    </row>
    <row r="44" spans="1:7" x14ac:dyDescent="0.2">
      <c r="A44" s="5"/>
      <c r="B44" s="119" t="s">
        <v>376</v>
      </c>
      <c r="C44" s="119"/>
      <c r="D44" s="119"/>
      <c r="E44" s="119"/>
      <c r="F44" s="119"/>
      <c r="G44" s="5"/>
    </row>
    <row r="45" spans="1:7" x14ac:dyDescent="0.2">
      <c r="A45" s="5"/>
      <c r="B45" s="13" t="s">
        <v>367</v>
      </c>
      <c r="C45" s="13" t="s">
        <v>368</v>
      </c>
      <c r="D45" s="13" t="s">
        <v>369</v>
      </c>
      <c r="E45" s="13" t="s">
        <v>370</v>
      </c>
      <c r="F45" s="13" t="s">
        <v>371</v>
      </c>
      <c r="G45" s="5"/>
    </row>
    <row r="46" spans="1:7" x14ac:dyDescent="0.2">
      <c r="A46" s="120" t="s">
        <v>383</v>
      </c>
      <c r="B46" s="59">
        <v>241054</v>
      </c>
      <c r="C46" s="50">
        <v>73110</v>
      </c>
      <c r="D46" s="50">
        <v>611005</v>
      </c>
      <c r="E46" s="50">
        <v>11</v>
      </c>
      <c r="F46" s="60">
        <v>1</v>
      </c>
      <c r="G46" s="27" t="str">
        <f>VLOOKUP($D46,$L$163:$M$174,2,FALSE)</f>
        <v>Administrative</v>
      </c>
    </row>
    <row r="47" spans="1:7" x14ac:dyDescent="0.2">
      <c r="A47" s="120"/>
      <c r="B47" s="59"/>
      <c r="C47" s="50"/>
      <c r="D47" s="50"/>
      <c r="E47" s="50"/>
      <c r="F47" s="60"/>
      <c r="G47" s="27" t="e">
        <f>VLOOKUP($D47,$L$163:$M$174,2,FALSE)</f>
        <v>#N/A</v>
      </c>
    </row>
    <row r="48" spans="1:7" x14ac:dyDescent="0.2">
      <c r="A48" s="120"/>
      <c r="B48" s="59"/>
      <c r="C48" s="50"/>
      <c r="D48" s="50"/>
      <c r="E48" s="50"/>
      <c r="F48" s="60"/>
      <c r="G48" s="27" t="e">
        <f>VLOOKUP($D48,$L$163:$M$174,2,FALSE)</f>
        <v>#N/A</v>
      </c>
    </row>
    <row r="49" spans="1:7" x14ac:dyDescent="0.2">
      <c r="A49" s="120"/>
      <c r="B49" s="50"/>
      <c r="C49" s="50"/>
      <c r="D49" s="50"/>
      <c r="E49" s="50"/>
      <c r="F49" s="60"/>
      <c r="G49" s="27" t="e">
        <f>VLOOKUP($D49,$L$163:$M$174,2,FALSE)</f>
        <v>#N/A</v>
      </c>
    </row>
    <row r="50" spans="1:7" x14ac:dyDescent="0.2">
      <c r="A50" s="5"/>
      <c r="B50" s="14"/>
      <c r="C50" s="14"/>
      <c r="D50" s="14"/>
      <c r="E50" s="18" t="s">
        <v>372</v>
      </c>
      <c r="F50" s="19">
        <f>SUM(F46:F49)</f>
        <v>1</v>
      </c>
      <c r="G50" s="5"/>
    </row>
    <row r="51" spans="1:7" ht="6" customHeight="1" x14ac:dyDescent="0.2">
      <c r="A51" s="11"/>
      <c r="B51" s="11"/>
      <c r="C51" s="11"/>
      <c r="D51" s="11"/>
      <c r="E51" s="11"/>
      <c r="F51" s="11"/>
      <c r="G51" s="11"/>
    </row>
    <row r="52" spans="1:7" ht="6" customHeight="1" x14ac:dyDescent="0.2">
      <c r="A52" s="5"/>
      <c r="B52" s="5"/>
      <c r="C52" s="5"/>
      <c r="D52" s="5"/>
      <c r="E52" s="5"/>
      <c r="F52" s="5"/>
      <c r="G52" s="5"/>
    </row>
    <row r="53" spans="1:7" x14ac:dyDescent="0.2">
      <c r="A53" s="6" t="s">
        <v>373</v>
      </c>
      <c r="B53" s="121" t="s">
        <v>479</v>
      </c>
      <c r="C53" s="122"/>
      <c r="D53" s="6" t="s">
        <v>374</v>
      </c>
      <c r="E53" s="123">
        <v>3123410123</v>
      </c>
      <c r="F53" s="124"/>
      <c r="G53" s="5"/>
    </row>
    <row r="54" spans="1:7" ht="12.75" customHeight="1" x14ac:dyDescent="0.2">
      <c r="A54" s="5"/>
      <c r="B54" s="106" t="s">
        <v>473</v>
      </c>
      <c r="C54" s="106"/>
      <c r="D54" s="6" t="s">
        <v>375</v>
      </c>
      <c r="E54" s="122" t="s">
        <v>481</v>
      </c>
      <c r="F54" s="122"/>
      <c r="G54" s="5"/>
    </row>
    <row r="55" spans="1:7" x14ac:dyDescent="0.2">
      <c r="A55" s="5"/>
      <c r="B55" s="107"/>
      <c r="C55" s="107"/>
      <c r="D55" s="5"/>
      <c r="E55" s="5"/>
      <c r="F55" s="5"/>
      <c r="G55" s="5"/>
    </row>
    <row r="56" spans="1:7" x14ac:dyDescent="0.2">
      <c r="A56" s="6" t="s">
        <v>0</v>
      </c>
      <c r="B56" s="125"/>
      <c r="C56" s="126"/>
      <c r="D56" s="126"/>
      <c r="E56" s="126"/>
      <c r="F56" s="126"/>
      <c r="G56" s="127"/>
    </row>
    <row r="57" spans="1:7" x14ac:dyDescent="0.2">
      <c r="A57" s="5"/>
      <c r="B57" s="128"/>
      <c r="C57" s="129"/>
      <c r="D57" s="129"/>
      <c r="E57" s="129"/>
      <c r="F57" s="129"/>
      <c r="G57" s="130"/>
    </row>
    <row r="58" spans="1:7" x14ac:dyDescent="0.2">
      <c r="A58" s="5"/>
      <c r="B58" s="128"/>
      <c r="C58" s="129"/>
      <c r="D58" s="129"/>
      <c r="E58" s="129"/>
      <c r="F58" s="129"/>
      <c r="G58" s="130"/>
    </row>
    <row r="59" spans="1:7" x14ac:dyDescent="0.2">
      <c r="A59" s="5"/>
      <c r="B59" s="131"/>
      <c r="C59" s="132"/>
      <c r="D59" s="132"/>
      <c r="E59" s="132"/>
      <c r="F59" s="132"/>
      <c r="G59" s="133"/>
    </row>
    <row r="60" spans="1:7" ht="6" customHeight="1" x14ac:dyDescent="0.2">
      <c r="A60" s="5"/>
      <c r="B60" s="42"/>
      <c r="C60" s="42"/>
      <c r="D60" s="42"/>
      <c r="E60" s="42"/>
      <c r="F60" s="42"/>
      <c r="G60" s="42"/>
    </row>
    <row r="61" spans="1:7" x14ac:dyDescent="0.2">
      <c r="A61" s="85" t="s">
        <v>516</v>
      </c>
      <c r="B61" s="85"/>
      <c r="C61" s="85"/>
      <c r="D61" s="85"/>
      <c r="E61" s="85"/>
      <c r="F61" s="85"/>
      <c r="G61" s="85"/>
    </row>
    <row r="62" spans="1:7" ht="15.75" x14ac:dyDescent="0.25">
      <c r="A62" s="6"/>
      <c r="B62" s="99" t="s">
        <v>2</v>
      </c>
      <c r="C62" s="99"/>
      <c r="D62" s="100" t="s">
        <v>398</v>
      </c>
      <c r="E62" s="100"/>
      <c r="F62" s="101" t="s">
        <v>524</v>
      </c>
      <c r="G62" s="101"/>
    </row>
    <row r="63" spans="1:7" x14ac:dyDescent="0.2">
      <c r="A63" s="6" t="s">
        <v>514</v>
      </c>
      <c r="B63" s="121" t="s">
        <v>479</v>
      </c>
      <c r="C63" s="122"/>
      <c r="D63" s="121" t="s">
        <v>530</v>
      </c>
      <c r="E63" s="122"/>
      <c r="F63" s="121" t="s">
        <v>518</v>
      </c>
      <c r="G63" s="122"/>
    </row>
    <row r="64" spans="1:7" x14ac:dyDescent="0.2">
      <c r="A64" s="110" t="s">
        <v>1</v>
      </c>
      <c r="B64" s="112"/>
      <c r="C64" s="112"/>
      <c r="D64" s="112"/>
      <c r="E64" s="112"/>
      <c r="F64" s="112"/>
      <c r="G64" s="112"/>
    </row>
    <row r="65" spans="1:7" x14ac:dyDescent="0.2">
      <c r="A65" s="111"/>
      <c r="B65" s="112"/>
      <c r="C65" s="112"/>
      <c r="D65" s="112"/>
      <c r="E65" s="112"/>
      <c r="F65" s="112"/>
      <c r="G65" s="112"/>
    </row>
    <row r="66" spans="1:7" ht="6" customHeight="1" x14ac:dyDescent="0.2">
      <c r="A66" s="15"/>
      <c r="B66" s="37"/>
      <c r="C66" s="37"/>
      <c r="D66" s="37"/>
      <c r="E66" s="37"/>
      <c r="F66" s="37"/>
      <c r="G66" s="37"/>
    </row>
    <row r="67" spans="1:7" ht="13.15" customHeight="1" x14ac:dyDescent="0.2">
      <c r="A67" s="5"/>
      <c r="B67" s="5"/>
      <c r="C67" s="43"/>
      <c r="D67" s="102" t="s">
        <v>525</v>
      </c>
      <c r="E67" s="102"/>
      <c r="F67" s="102"/>
      <c r="G67" s="102"/>
    </row>
    <row r="68" spans="1:7" x14ac:dyDescent="0.2">
      <c r="A68" s="44"/>
      <c r="B68" s="45"/>
      <c r="C68" s="45"/>
      <c r="D68" s="103"/>
      <c r="E68" s="103"/>
      <c r="F68" s="103"/>
      <c r="G68" s="103"/>
    </row>
    <row r="69" spans="1:7" x14ac:dyDescent="0.2">
      <c r="A69" s="8"/>
      <c r="B69" s="98" t="s">
        <v>379</v>
      </c>
      <c r="C69" s="98"/>
      <c r="D69" s="8"/>
      <c r="E69" s="8"/>
      <c r="F69" s="8"/>
      <c r="G69" s="8"/>
    </row>
    <row r="70" spans="1:7" ht="6" customHeight="1" x14ac:dyDescent="0.2">
      <c r="A70" s="5"/>
      <c r="B70" s="5"/>
      <c r="C70" s="5"/>
      <c r="D70" s="5"/>
      <c r="E70" s="5"/>
      <c r="F70" s="5"/>
      <c r="G70" s="5"/>
    </row>
    <row r="71" spans="1:7" x14ac:dyDescent="0.2">
      <c r="A71" s="5"/>
      <c r="B71" s="9" t="s">
        <v>401</v>
      </c>
      <c r="C71" s="9" t="s">
        <v>403</v>
      </c>
      <c r="D71" s="5" t="s">
        <v>407</v>
      </c>
      <c r="E71" s="9" t="s">
        <v>402</v>
      </c>
      <c r="F71" s="9" t="s">
        <v>402</v>
      </c>
      <c r="G71" s="9"/>
    </row>
    <row r="72" spans="1:7" x14ac:dyDescent="0.2">
      <c r="A72" s="5"/>
      <c r="B72" s="24" t="s">
        <v>399</v>
      </c>
      <c r="C72" s="24" t="s">
        <v>404</v>
      </c>
      <c r="D72" s="24" t="s">
        <v>408</v>
      </c>
      <c r="E72" s="24" t="s">
        <v>400</v>
      </c>
      <c r="F72" s="24" t="s">
        <v>405</v>
      </c>
      <c r="G72" s="23" t="s">
        <v>578</v>
      </c>
    </row>
    <row r="73" spans="1:7" x14ac:dyDescent="0.2">
      <c r="A73" s="41"/>
      <c r="B73" s="41"/>
      <c r="C73" s="41"/>
      <c r="D73" s="41"/>
      <c r="E73" s="41"/>
      <c r="F73" s="41"/>
      <c r="G73" s="41"/>
    </row>
    <row r="91" spans="12:14" x14ac:dyDescent="0.2">
      <c r="L91" s="2" t="s">
        <v>4</v>
      </c>
      <c r="M91" s="1" t="s">
        <v>12</v>
      </c>
      <c r="N91" s="46" t="s">
        <v>25</v>
      </c>
    </row>
    <row r="92" spans="12:14" x14ac:dyDescent="0.2">
      <c r="L92" s="2" t="s">
        <v>6</v>
      </c>
      <c r="M92" s="1" t="s">
        <v>361</v>
      </c>
      <c r="N92" s="46" t="s">
        <v>26</v>
      </c>
    </row>
    <row r="93" spans="12:14" x14ac:dyDescent="0.2">
      <c r="L93" s="2" t="s">
        <v>5</v>
      </c>
      <c r="M93" s="1" t="s">
        <v>12</v>
      </c>
      <c r="N93" s="46" t="s">
        <v>27</v>
      </c>
    </row>
    <row r="94" spans="12:14" x14ac:dyDescent="0.2">
      <c r="L94" s="2" t="s">
        <v>7</v>
      </c>
      <c r="M94" s="1" t="s">
        <v>361</v>
      </c>
      <c r="N94" s="46" t="s">
        <v>28</v>
      </c>
    </row>
    <row r="95" spans="12:14" x14ac:dyDescent="0.2">
      <c r="L95" s="2" t="s">
        <v>8</v>
      </c>
      <c r="M95" s="1" t="s">
        <v>361</v>
      </c>
      <c r="N95" s="46" t="s">
        <v>29</v>
      </c>
    </row>
    <row r="96" spans="12:14" x14ac:dyDescent="0.2">
      <c r="L96" s="1" t="s">
        <v>377</v>
      </c>
      <c r="M96" s="1" t="s">
        <v>361</v>
      </c>
      <c r="N96" s="46" t="s">
        <v>30</v>
      </c>
    </row>
    <row r="97" spans="12:14" x14ac:dyDescent="0.2">
      <c r="L97" s="2" t="s">
        <v>9</v>
      </c>
      <c r="M97" s="1" t="s">
        <v>12</v>
      </c>
      <c r="N97" s="46" t="s">
        <v>31</v>
      </c>
    </row>
    <row r="98" spans="12:14" x14ac:dyDescent="0.2">
      <c r="L98" s="1" t="s">
        <v>378</v>
      </c>
      <c r="M98" s="1" t="s">
        <v>12</v>
      </c>
      <c r="N98" s="46" t="s">
        <v>32</v>
      </c>
    </row>
    <row r="99" spans="12:14" x14ac:dyDescent="0.2">
      <c r="L99" s="2" t="s">
        <v>353</v>
      </c>
      <c r="M99" s="1" t="s">
        <v>11</v>
      </c>
      <c r="N99" s="46" t="s">
        <v>33</v>
      </c>
    </row>
    <row r="100" spans="12:14" x14ac:dyDescent="0.2">
      <c r="L100" s="2" t="s">
        <v>354</v>
      </c>
      <c r="M100" s="1" t="s">
        <v>11</v>
      </c>
      <c r="N100" s="46" t="s">
        <v>34</v>
      </c>
    </row>
    <row r="101" spans="12:14" x14ac:dyDescent="0.2">
      <c r="L101" s="2" t="s">
        <v>355</v>
      </c>
      <c r="M101" s="1" t="s">
        <v>11</v>
      </c>
      <c r="N101" s="46" t="s">
        <v>35</v>
      </c>
    </row>
    <row r="102" spans="12:14" x14ac:dyDescent="0.2">
      <c r="L102" s="2" t="s">
        <v>356</v>
      </c>
      <c r="M102" s="1" t="s">
        <v>11</v>
      </c>
      <c r="N102" s="46" t="s">
        <v>36</v>
      </c>
    </row>
    <row r="103" spans="12:14" x14ac:dyDescent="0.2">
      <c r="L103" s="2" t="s">
        <v>357</v>
      </c>
      <c r="M103" s="1" t="s">
        <v>11</v>
      </c>
      <c r="N103" s="46" t="s">
        <v>37</v>
      </c>
    </row>
    <row r="104" spans="12:14" x14ac:dyDescent="0.2">
      <c r="L104" s="2" t="s">
        <v>358</v>
      </c>
      <c r="M104" s="1" t="s">
        <v>11</v>
      </c>
      <c r="N104" s="46" t="s">
        <v>38</v>
      </c>
    </row>
    <row r="105" spans="12:14" x14ac:dyDescent="0.2">
      <c r="L105" s="1" t="s">
        <v>411</v>
      </c>
      <c r="M105" s="1" t="s">
        <v>11</v>
      </c>
      <c r="N105" s="46" t="s">
        <v>39</v>
      </c>
    </row>
    <row r="106" spans="12:14" x14ac:dyDescent="0.2">
      <c r="L106" s="1" t="s">
        <v>433</v>
      </c>
      <c r="M106" s="1" t="s">
        <v>11</v>
      </c>
      <c r="N106" s="46" t="s">
        <v>40</v>
      </c>
    </row>
    <row r="107" spans="12:14" x14ac:dyDescent="0.2">
      <c r="L107" s="1" t="s">
        <v>410</v>
      </c>
      <c r="M107" s="1" t="s">
        <v>361</v>
      </c>
      <c r="N107" s="46" t="s">
        <v>41</v>
      </c>
    </row>
    <row r="108" spans="12:14" x14ac:dyDescent="0.2">
      <c r="L108" s="2" t="s">
        <v>352</v>
      </c>
      <c r="M108" s="1" t="s">
        <v>11</v>
      </c>
      <c r="N108" s="46" t="s">
        <v>42</v>
      </c>
    </row>
    <row r="109" spans="12:14" x14ac:dyDescent="0.2">
      <c r="L109" s="2" t="s">
        <v>359</v>
      </c>
      <c r="M109" s="1" t="s">
        <v>11</v>
      </c>
      <c r="N109" s="46" t="s">
        <v>43</v>
      </c>
    </row>
    <row r="110" spans="12:14" x14ac:dyDescent="0.2">
      <c r="N110" s="46" t="s">
        <v>44</v>
      </c>
    </row>
    <row r="111" spans="12:14" x14ac:dyDescent="0.2">
      <c r="N111" s="46" t="s">
        <v>45</v>
      </c>
    </row>
    <row r="112" spans="12:14" x14ac:dyDescent="0.2">
      <c r="N112" s="46" t="s">
        <v>46</v>
      </c>
    </row>
    <row r="113" spans="12:14" x14ac:dyDescent="0.2">
      <c r="N113" s="46" t="s">
        <v>47</v>
      </c>
    </row>
    <row r="114" spans="12:14" x14ac:dyDescent="0.2">
      <c r="L114" s="2" t="s">
        <v>22</v>
      </c>
      <c r="N114" s="46" t="s">
        <v>48</v>
      </c>
    </row>
    <row r="115" spans="12:14" x14ac:dyDescent="0.2">
      <c r="L115" s="2" t="s">
        <v>21</v>
      </c>
      <c r="N115" s="46" t="s">
        <v>49</v>
      </c>
    </row>
    <row r="116" spans="12:14" x14ac:dyDescent="0.2">
      <c r="L116" s="2" t="s">
        <v>23</v>
      </c>
      <c r="N116" s="46" t="s">
        <v>50</v>
      </c>
    </row>
    <row r="117" spans="12:14" x14ac:dyDescent="0.2">
      <c r="L117" s="2" t="s">
        <v>24</v>
      </c>
      <c r="N117" s="46" t="s">
        <v>51</v>
      </c>
    </row>
    <row r="118" spans="12:14" x14ac:dyDescent="0.2">
      <c r="L118" s="2" t="s">
        <v>385</v>
      </c>
      <c r="N118" s="46" t="s">
        <v>52</v>
      </c>
    </row>
    <row r="119" spans="12:14" x14ac:dyDescent="0.2">
      <c r="N119" s="46" t="s">
        <v>53</v>
      </c>
    </row>
    <row r="120" spans="12:14" x14ac:dyDescent="0.2">
      <c r="N120" s="46" t="s">
        <v>54</v>
      </c>
    </row>
    <row r="121" spans="12:14" x14ac:dyDescent="0.2">
      <c r="L121" s="1" t="s">
        <v>429</v>
      </c>
      <c r="N121" s="46" t="s">
        <v>55</v>
      </c>
    </row>
    <row r="122" spans="12:14" x14ac:dyDescent="0.2">
      <c r="L122" s="1" t="s">
        <v>430</v>
      </c>
      <c r="N122" s="46" t="s">
        <v>56</v>
      </c>
    </row>
    <row r="123" spans="12:14" x14ac:dyDescent="0.2">
      <c r="L123" s="2" t="s">
        <v>386</v>
      </c>
      <c r="N123" s="46" t="s">
        <v>57</v>
      </c>
    </row>
    <row r="124" spans="12:14" x14ac:dyDescent="0.2">
      <c r="L124" s="21" t="s">
        <v>390</v>
      </c>
      <c r="N124" s="46" t="s">
        <v>58</v>
      </c>
    </row>
    <row r="125" spans="12:14" x14ac:dyDescent="0.2">
      <c r="L125" s="1" t="s">
        <v>427</v>
      </c>
      <c r="N125" s="46" t="s">
        <v>59</v>
      </c>
    </row>
    <row r="126" spans="12:14" x14ac:dyDescent="0.2">
      <c r="L126" s="1" t="s">
        <v>426</v>
      </c>
      <c r="N126" s="46" t="s">
        <v>60</v>
      </c>
    </row>
    <row r="127" spans="12:14" x14ac:dyDescent="0.2">
      <c r="L127" s="1" t="s">
        <v>428</v>
      </c>
      <c r="N127" s="46" t="s">
        <v>61</v>
      </c>
    </row>
    <row r="128" spans="12:14" x14ac:dyDescent="0.2">
      <c r="L128" s="2" t="s">
        <v>360</v>
      </c>
      <c r="N128" s="46" t="s">
        <v>62</v>
      </c>
    </row>
    <row r="129" spans="12:14" x14ac:dyDescent="0.2">
      <c r="L129" s="1" t="s">
        <v>432</v>
      </c>
      <c r="N129" s="46" t="s">
        <v>63</v>
      </c>
    </row>
    <row r="130" spans="12:14" x14ac:dyDescent="0.2">
      <c r="N130" s="46" t="s">
        <v>64</v>
      </c>
    </row>
    <row r="131" spans="12:14" x14ac:dyDescent="0.2">
      <c r="N131" s="46" t="s">
        <v>65</v>
      </c>
    </row>
    <row r="132" spans="12:14" x14ac:dyDescent="0.2">
      <c r="N132" s="46" t="s">
        <v>66</v>
      </c>
    </row>
    <row r="133" spans="12:14" x14ac:dyDescent="0.2">
      <c r="L133" s="1" t="s">
        <v>10</v>
      </c>
      <c r="N133" s="46" t="s">
        <v>67</v>
      </c>
    </row>
    <row r="134" spans="12:14" x14ac:dyDescent="0.2">
      <c r="L134" s="1" t="s">
        <v>11</v>
      </c>
      <c r="N134" s="46" t="s">
        <v>68</v>
      </c>
    </row>
    <row r="135" spans="12:14" x14ac:dyDescent="0.2">
      <c r="L135" s="1" t="s">
        <v>361</v>
      </c>
      <c r="N135" s="46" t="s">
        <v>69</v>
      </c>
    </row>
    <row r="136" spans="12:14" x14ac:dyDescent="0.2">
      <c r="L136" s="1" t="s">
        <v>12</v>
      </c>
      <c r="N136" s="46" t="s">
        <v>70</v>
      </c>
    </row>
    <row r="137" spans="12:14" x14ac:dyDescent="0.2">
      <c r="L137" s="1" t="s">
        <v>13</v>
      </c>
      <c r="N137" s="46" t="s">
        <v>71</v>
      </c>
    </row>
    <row r="138" spans="12:14" x14ac:dyDescent="0.2">
      <c r="N138" s="46" t="s">
        <v>72</v>
      </c>
    </row>
    <row r="139" spans="12:14" x14ac:dyDescent="0.2">
      <c r="N139" s="46" t="s">
        <v>73</v>
      </c>
    </row>
    <row r="140" spans="12:14" x14ac:dyDescent="0.2">
      <c r="N140" s="46" t="s">
        <v>74</v>
      </c>
    </row>
    <row r="141" spans="12:14" x14ac:dyDescent="0.2">
      <c r="N141" s="46" t="s">
        <v>75</v>
      </c>
    </row>
    <row r="142" spans="12:14" x14ac:dyDescent="0.2">
      <c r="N142" s="46" t="s">
        <v>76</v>
      </c>
    </row>
    <row r="143" spans="12:14" x14ac:dyDescent="0.2">
      <c r="N143" s="46" t="s">
        <v>77</v>
      </c>
    </row>
    <row r="144" spans="12:14" x14ac:dyDescent="0.2">
      <c r="N144" s="46" t="s">
        <v>78</v>
      </c>
    </row>
    <row r="145" spans="12:14" x14ac:dyDescent="0.2">
      <c r="N145" s="46" t="s">
        <v>79</v>
      </c>
    </row>
    <row r="146" spans="12:14" x14ac:dyDescent="0.2">
      <c r="N146" s="46" t="s">
        <v>80</v>
      </c>
    </row>
    <row r="147" spans="12:14" x14ac:dyDescent="0.2">
      <c r="N147" s="46" t="s">
        <v>81</v>
      </c>
    </row>
    <row r="148" spans="12:14" x14ac:dyDescent="0.2">
      <c r="L148" s="1" t="s">
        <v>412</v>
      </c>
      <c r="N148" s="46" t="s">
        <v>82</v>
      </c>
    </row>
    <row r="149" spans="12:14" x14ac:dyDescent="0.2">
      <c r="L149" s="2" t="s">
        <v>413</v>
      </c>
      <c r="N149" s="46" t="s">
        <v>83</v>
      </c>
    </row>
    <row r="150" spans="12:14" x14ac:dyDescent="0.2">
      <c r="L150" s="2" t="s">
        <v>414</v>
      </c>
      <c r="N150" s="46" t="s">
        <v>84</v>
      </c>
    </row>
    <row r="151" spans="12:14" x14ac:dyDescent="0.2">
      <c r="L151" s="2" t="s">
        <v>415</v>
      </c>
      <c r="N151" s="46" t="s">
        <v>85</v>
      </c>
    </row>
    <row r="152" spans="12:14" x14ac:dyDescent="0.2">
      <c r="L152" s="2" t="s">
        <v>416</v>
      </c>
      <c r="N152" s="46" t="s">
        <v>86</v>
      </c>
    </row>
    <row r="153" spans="12:14" x14ac:dyDescent="0.2">
      <c r="L153" s="2" t="s">
        <v>417</v>
      </c>
      <c r="N153" s="46" t="s">
        <v>87</v>
      </c>
    </row>
    <row r="154" spans="12:14" x14ac:dyDescent="0.2">
      <c r="L154" s="2" t="s">
        <v>418</v>
      </c>
      <c r="N154" s="46" t="s">
        <v>88</v>
      </c>
    </row>
    <row r="155" spans="12:14" x14ac:dyDescent="0.2">
      <c r="L155" s="2" t="s">
        <v>419</v>
      </c>
      <c r="N155" s="46" t="s">
        <v>89</v>
      </c>
    </row>
    <row r="156" spans="12:14" x14ac:dyDescent="0.2">
      <c r="L156" s="2" t="s">
        <v>420</v>
      </c>
      <c r="N156" s="46" t="s">
        <v>90</v>
      </c>
    </row>
    <row r="157" spans="12:14" x14ac:dyDescent="0.2">
      <c r="L157" s="1" t="s">
        <v>421</v>
      </c>
      <c r="N157" s="46" t="s">
        <v>91</v>
      </c>
    </row>
    <row r="158" spans="12:14" x14ac:dyDescent="0.2">
      <c r="L158" s="1" t="s">
        <v>422</v>
      </c>
      <c r="N158" s="46" t="s">
        <v>92</v>
      </c>
    </row>
    <row r="159" spans="12:14" x14ac:dyDescent="0.2">
      <c r="L159" s="21" t="s">
        <v>423</v>
      </c>
      <c r="N159" s="46" t="s">
        <v>93</v>
      </c>
    </row>
    <row r="160" spans="12:14" x14ac:dyDescent="0.2">
      <c r="L160" s="21" t="s">
        <v>431</v>
      </c>
      <c r="N160" s="46" t="s">
        <v>94</v>
      </c>
    </row>
    <row r="161" spans="12:14" x14ac:dyDescent="0.2">
      <c r="N161" s="46" t="s">
        <v>95</v>
      </c>
    </row>
    <row r="162" spans="12:14" x14ac:dyDescent="0.2">
      <c r="N162" s="46" t="s">
        <v>96</v>
      </c>
    </row>
    <row r="163" spans="12:14" x14ac:dyDescent="0.2">
      <c r="L163" s="2">
        <v>610010</v>
      </c>
      <c r="M163" s="1" t="s">
        <v>436</v>
      </c>
      <c r="N163" s="46" t="s">
        <v>97</v>
      </c>
    </row>
    <row r="164" spans="12:14" x14ac:dyDescent="0.2">
      <c r="L164" s="2">
        <v>610011</v>
      </c>
      <c r="M164" s="1" t="s">
        <v>434</v>
      </c>
      <c r="N164" s="46" t="s">
        <v>98</v>
      </c>
    </row>
    <row r="165" spans="12:14" x14ac:dyDescent="0.2">
      <c r="L165" s="2">
        <v>610015</v>
      </c>
      <c r="M165" s="1" t="s">
        <v>445</v>
      </c>
      <c r="N165" s="46" t="s">
        <v>99</v>
      </c>
    </row>
    <row r="166" spans="12:14" x14ac:dyDescent="0.2">
      <c r="L166" s="2">
        <v>610020</v>
      </c>
      <c r="M166" s="1" t="s">
        <v>440</v>
      </c>
      <c r="N166" s="46" t="s">
        <v>100</v>
      </c>
    </row>
    <row r="167" spans="12:14" x14ac:dyDescent="0.2">
      <c r="L167" s="2">
        <v>610025</v>
      </c>
      <c r="M167" s="1" t="s">
        <v>435</v>
      </c>
      <c r="N167" s="46" t="s">
        <v>101</v>
      </c>
    </row>
    <row r="168" spans="12:14" x14ac:dyDescent="0.2">
      <c r="L168" s="2">
        <v>610030</v>
      </c>
      <c r="M168" s="1" t="s">
        <v>441</v>
      </c>
      <c r="N168" s="46" t="s">
        <v>102</v>
      </c>
    </row>
    <row r="169" spans="12:14" x14ac:dyDescent="0.2">
      <c r="L169" s="2">
        <v>611005</v>
      </c>
      <c r="M169" s="1" t="s">
        <v>442</v>
      </c>
      <c r="N169" s="46" t="s">
        <v>103</v>
      </c>
    </row>
    <row r="170" spans="12:14" x14ac:dyDescent="0.2">
      <c r="L170" s="2">
        <v>611010</v>
      </c>
      <c r="M170" s="1" t="s">
        <v>443</v>
      </c>
      <c r="N170" s="46" t="s">
        <v>104</v>
      </c>
    </row>
    <row r="171" spans="12:14" x14ac:dyDescent="0.2">
      <c r="L171" s="2">
        <v>611015</v>
      </c>
      <c r="M171" s="1" t="s">
        <v>444</v>
      </c>
      <c r="N171" s="46" t="s">
        <v>105</v>
      </c>
    </row>
    <row r="172" spans="12:14" x14ac:dyDescent="0.2">
      <c r="L172" s="2">
        <v>611030</v>
      </c>
      <c r="M172" s="1" t="s">
        <v>437</v>
      </c>
      <c r="N172" s="46" t="s">
        <v>106</v>
      </c>
    </row>
    <row r="173" spans="12:14" x14ac:dyDescent="0.2">
      <c r="L173" s="2">
        <v>611035</v>
      </c>
      <c r="M173" s="1" t="s">
        <v>438</v>
      </c>
      <c r="N173" s="46" t="s">
        <v>107</v>
      </c>
    </row>
    <row r="174" spans="12:14" x14ac:dyDescent="0.2">
      <c r="L174" s="2">
        <v>611040</v>
      </c>
      <c r="M174" s="1" t="s">
        <v>439</v>
      </c>
      <c r="N174" s="46" t="s">
        <v>108</v>
      </c>
    </row>
    <row r="175" spans="12:14" x14ac:dyDescent="0.2">
      <c r="N175" s="46" t="s">
        <v>109</v>
      </c>
    </row>
    <row r="176" spans="12:14" x14ac:dyDescent="0.2">
      <c r="N176" s="46" t="s">
        <v>110</v>
      </c>
    </row>
    <row r="177" spans="14:14" x14ac:dyDescent="0.2">
      <c r="N177" s="46" t="s">
        <v>111</v>
      </c>
    </row>
    <row r="178" spans="14:14" x14ac:dyDescent="0.2">
      <c r="N178" s="46" t="s">
        <v>112</v>
      </c>
    </row>
    <row r="179" spans="14:14" x14ac:dyDescent="0.2">
      <c r="N179" s="46" t="s">
        <v>113</v>
      </c>
    </row>
    <row r="180" spans="14:14" x14ac:dyDescent="0.2">
      <c r="N180" s="46" t="s">
        <v>114</v>
      </c>
    </row>
    <row r="181" spans="14:14" x14ac:dyDescent="0.2">
      <c r="N181" s="46" t="s">
        <v>115</v>
      </c>
    </row>
    <row r="182" spans="14:14" x14ac:dyDescent="0.2">
      <c r="N182" s="46" t="s">
        <v>116</v>
      </c>
    </row>
    <row r="183" spans="14:14" x14ac:dyDescent="0.2">
      <c r="N183" s="46" t="s">
        <v>117</v>
      </c>
    </row>
    <row r="184" spans="14:14" x14ac:dyDescent="0.2">
      <c r="N184" s="46" t="s">
        <v>118</v>
      </c>
    </row>
    <row r="185" spans="14:14" x14ac:dyDescent="0.2">
      <c r="N185" s="46" t="s">
        <v>119</v>
      </c>
    </row>
    <row r="186" spans="14:14" x14ac:dyDescent="0.2">
      <c r="N186" s="46" t="s">
        <v>120</v>
      </c>
    </row>
    <row r="187" spans="14:14" x14ac:dyDescent="0.2">
      <c r="N187" s="46" t="s">
        <v>121</v>
      </c>
    </row>
    <row r="188" spans="14:14" x14ac:dyDescent="0.2">
      <c r="N188" s="46" t="s">
        <v>122</v>
      </c>
    </row>
    <row r="189" spans="14:14" x14ac:dyDescent="0.2">
      <c r="N189" s="46" t="s">
        <v>123</v>
      </c>
    </row>
    <row r="190" spans="14:14" x14ac:dyDescent="0.2">
      <c r="N190" s="46" t="s">
        <v>124</v>
      </c>
    </row>
    <row r="191" spans="14:14" x14ac:dyDescent="0.2">
      <c r="N191" s="46" t="s">
        <v>125</v>
      </c>
    </row>
    <row r="192" spans="14:14" x14ac:dyDescent="0.2">
      <c r="N192" s="46" t="s">
        <v>126</v>
      </c>
    </row>
    <row r="193" spans="14:14" x14ac:dyDescent="0.2">
      <c r="N193" s="46" t="s">
        <v>127</v>
      </c>
    </row>
    <row r="194" spans="14:14" x14ac:dyDescent="0.2">
      <c r="N194" s="46" t="s">
        <v>128</v>
      </c>
    </row>
    <row r="195" spans="14:14" x14ac:dyDescent="0.2">
      <c r="N195" s="46" t="s">
        <v>129</v>
      </c>
    </row>
    <row r="196" spans="14:14" x14ac:dyDescent="0.2">
      <c r="N196" s="46" t="s">
        <v>130</v>
      </c>
    </row>
    <row r="197" spans="14:14" x14ac:dyDescent="0.2">
      <c r="N197" s="46" t="s">
        <v>131</v>
      </c>
    </row>
    <row r="198" spans="14:14" x14ac:dyDescent="0.2">
      <c r="N198" s="46" t="s">
        <v>132</v>
      </c>
    </row>
    <row r="199" spans="14:14" x14ac:dyDescent="0.2">
      <c r="N199" s="46" t="s">
        <v>133</v>
      </c>
    </row>
    <row r="200" spans="14:14" x14ac:dyDescent="0.2">
      <c r="N200" s="46" t="s">
        <v>134</v>
      </c>
    </row>
    <row r="201" spans="14:14" x14ac:dyDescent="0.2">
      <c r="N201" s="46" t="s">
        <v>135</v>
      </c>
    </row>
    <row r="202" spans="14:14" x14ac:dyDescent="0.2">
      <c r="N202" s="46" t="s">
        <v>136</v>
      </c>
    </row>
    <row r="203" spans="14:14" x14ac:dyDescent="0.2">
      <c r="N203" s="46" t="s">
        <v>137</v>
      </c>
    </row>
    <row r="204" spans="14:14" x14ac:dyDescent="0.2">
      <c r="N204" s="46" t="s">
        <v>138</v>
      </c>
    </row>
    <row r="205" spans="14:14" x14ac:dyDescent="0.2">
      <c r="N205" s="46" t="s">
        <v>139</v>
      </c>
    </row>
    <row r="206" spans="14:14" x14ac:dyDescent="0.2">
      <c r="N206" s="46" t="s">
        <v>140</v>
      </c>
    </row>
    <row r="207" spans="14:14" x14ac:dyDescent="0.2">
      <c r="N207" s="46" t="s">
        <v>141</v>
      </c>
    </row>
    <row r="208" spans="14:14" x14ac:dyDescent="0.2">
      <c r="N208" s="46" t="s">
        <v>142</v>
      </c>
    </row>
    <row r="209" spans="14:14" x14ac:dyDescent="0.2">
      <c r="N209" s="46" t="s">
        <v>143</v>
      </c>
    </row>
    <row r="210" spans="14:14" x14ac:dyDescent="0.2">
      <c r="N210" s="46" t="s">
        <v>144</v>
      </c>
    </row>
    <row r="211" spans="14:14" x14ac:dyDescent="0.2">
      <c r="N211" s="46" t="s">
        <v>145</v>
      </c>
    </row>
    <row r="212" spans="14:14" x14ac:dyDescent="0.2">
      <c r="N212" s="46" t="s">
        <v>146</v>
      </c>
    </row>
    <row r="213" spans="14:14" x14ac:dyDescent="0.2">
      <c r="N213" s="46" t="s">
        <v>147</v>
      </c>
    </row>
    <row r="214" spans="14:14" x14ac:dyDescent="0.2">
      <c r="N214" s="46" t="s">
        <v>148</v>
      </c>
    </row>
    <row r="215" spans="14:14" x14ac:dyDescent="0.2">
      <c r="N215" s="46" t="s">
        <v>149</v>
      </c>
    </row>
    <row r="216" spans="14:14" x14ac:dyDescent="0.2">
      <c r="N216" s="46" t="s">
        <v>150</v>
      </c>
    </row>
    <row r="217" spans="14:14" x14ac:dyDescent="0.2">
      <c r="N217" s="46" t="s">
        <v>151</v>
      </c>
    </row>
    <row r="218" spans="14:14" x14ac:dyDescent="0.2">
      <c r="N218" s="46" t="s">
        <v>152</v>
      </c>
    </row>
    <row r="219" spans="14:14" x14ac:dyDescent="0.2">
      <c r="N219" s="46" t="s">
        <v>153</v>
      </c>
    </row>
    <row r="220" spans="14:14" x14ac:dyDescent="0.2">
      <c r="N220" s="46" t="s">
        <v>154</v>
      </c>
    </row>
    <row r="221" spans="14:14" x14ac:dyDescent="0.2">
      <c r="N221" s="46" t="s">
        <v>155</v>
      </c>
    </row>
    <row r="222" spans="14:14" x14ac:dyDescent="0.2">
      <c r="N222" s="46" t="s">
        <v>156</v>
      </c>
    </row>
    <row r="223" spans="14:14" x14ac:dyDescent="0.2">
      <c r="N223" s="46" t="s">
        <v>157</v>
      </c>
    </row>
    <row r="224" spans="14:14" x14ac:dyDescent="0.2">
      <c r="N224" s="46" t="s">
        <v>158</v>
      </c>
    </row>
    <row r="225" spans="14:14" x14ac:dyDescent="0.2">
      <c r="N225" s="46" t="s">
        <v>159</v>
      </c>
    </row>
    <row r="226" spans="14:14" x14ac:dyDescent="0.2">
      <c r="N226" s="46" t="s">
        <v>160</v>
      </c>
    </row>
    <row r="227" spans="14:14" x14ac:dyDescent="0.2">
      <c r="N227" s="46" t="s">
        <v>161</v>
      </c>
    </row>
    <row r="228" spans="14:14" x14ac:dyDescent="0.2">
      <c r="N228" s="46" t="s">
        <v>162</v>
      </c>
    </row>
    <row r="229" spans="14:14" x14ac:dyDescent="0.2">
      <c r="N229" s="46" t="s">
        <v>163</v>
      </c>
    </row>
    <row r="230" spans="14:14" x14ac:dyDescent="0.2">
      <c r="N230" s="46" t="s">
        <v>164</v>
      </c>
    </row>
    <row r="231" spans="14:14" x14ac:dyDescent="0.2">
      <c r="N231" s="46" t="s">
        <v>165</v>
      </c>
    </row>
    <row r="232" spans="14:14" x14ac:dyDescent="0.2">
      <c r="N232" s="46" t="s">
        <v>166</v>
      </c>
    </row>
    <row r="233" spans="14:14" x14ac:dyDescent="0.2">
      <c r="N233" s="46" t="s">
        <v>167</v>
      </c>
    </row>
    <row r="234" spans="14:14" x14ac:dyDescent="0.2">
      <c r="N234" s="46" t="s">
        <v>168</v>
      </c>
    </row>
    <row r="235" spans="14:14" x14ac:dyDescent="0.2">
      <c r="N235" s="46" t="s">
        <v>169</v>
      </c>
    </row>
    <row r="236" spans="14:14" x14ac:dyDescent="0.2">
      <c r="N236" s="46" t="s">
        <v>170</v>
      </c>
    </row>
    <row r="237" spans="14:14" x14ac:dyDescent="0.2">
      <c r="N237" s="46" t="s">
        <v>171</v>
      </c>
    </row>
    <row r="238" spans="14:14" x14ac:dyDescent="0.2">
      <c r="N238" s="46" t="s">
        <v>172</v>
      </c>
    </row>
    <row r="239" spans="14:14" x14ac:dyDescent="0.2">
      <c r="N239" s="46" t="s">
        <v>173</v>
      </c>
    </row>
    <row r="240" spans="14:14" x14ac:dyDescent="0.2">
      <c r="N240" s="46" t="s">
        <v>174</v>
      </c>
    </row>
    <row r="241" spans="14:14" x14ac:dyDescent="0.2">
      <c r="N241" s="46" t="s">
        <v>175</v>
      </c>
    </row>
    <row r="242" spans="14:14" x14ac:dyDescent="0.2">
      <c r="N242" s="46" t="s">
        <v>176</v>
      </c>
    </row>
    <row r="243" spans="14:14" x14ac:dyDescent="0.2">
      <c r="N243" s="46" t="s">
        <v>177</v>
      </c>
    </row>
    <row r="244" spans="14:14" x14ac:dyDescent="0.2">
      <c r="N244" s="46" t="s">
        <v>178</v>
      </c>
    </row>
    <row r="245" spans="14:14" x14ac:dyDescent="0.2">
      <c r="N245" s="46" t="s">
        <v>179</v>
      </c>
    </row>
    <row r="246" spans="14:14" x14ac:dyDescent="0.2">
      <c r="N246" s="46" t="s">
        <v>180</v>
      </c>
    </row>
    <row r="247" spans="14:14" x14ac:dyDescent="0.2">
      <c r="N247" s="46" t="s">
        <v>181</v>
      </c>
    </row>
    <row r="248" spans="14:14" x14ac:dyDescent="0.2">
      <c r="N248" s="46" t="s">
        <v>182</v>
      </c>
    </row>
    <row r="249" spans="14:14" x14ac:dyDescent="0.2">
      <c r="N249" s="46" t="s">
        <v>183</v>
      </c>
    </row>
    <row r="250" spans="14:14" x14ac:dyDescent="0.2">
      <c r="N250" s="46" t="s">
        <v>184</v>
      </c>
    </row>
    <row r="251" spans="14:14" x14ac:dyDescent="0.2">
      <c r="N251" s="46" t="s">
        <v>185</v>
      </c>
    </row>
    <row r="252" spans="14:14" x14ac:dyDescent="0.2">
      <c r="N252" s="46" t="s">
        <v>186</v>
      </c>
    </row>
    <row r="253" spans="14:14" x14ac:dyDescent="0.2">
      <c r="N253" s="46" t="s">
        <v>187</v>
      </c>
    </row>
    <row r="254" spans="14:14" x14ac:dyDescent="0.2">
      <c r="N254" s="46" t="s">
        <v>188</v>
      </c>
    </row>
    <row r="255" spans="14:14" x14ac:dyDescent="0.2">
      <c r="N255" s="46" t="s">
        <v>189</v>
      </c>
    </row>
    <row r="256" spans="14:14" x14ac:dyDescent="0.2">
      <c r="N256" s="46" t="s">
        <v>190</v>
      </c>
    </row>
    <row r="257" spans="14:14" x14ac:dyDescent="0.2">
      <c r="N257" s="46" t="s">
        <v>191</v>
      </c>
    </row>
    <row r="258" spans="14:14" x14ac:dyDescent="0.2">
      <c r="N258" s="46" t="s">
        <v>192</v>
      </c>
    </row>
    <row r="259" spans="14:14" x14ac:dyDescent="0.2">
      <c r="N259" s="46" t="s">
        <v>193</v>
      </c>
    </row>
    <row r="260" spans="14:14" x14ac:dyDescent="0.2">
      <c r="N260" s="46" t="s">
        <v>194</v>
      </c>
    </row>
    <row r="261" spans="14:14" x14ac:dyDescent="0.2">
      <c r="N261" s="46" t="s">
        <v>195</v>
      </c>
    </row>
    <row r="262" spans="14:14" x14ac:dyDescent="0.2">
      <c r="N262" s="46" t="s">
        <v>196</v>
      </c>
    </row>
    <row r="263" spans="14:14" x14ac:dyDescent="0.2">
      <c r="N263" s="46" t="s">
        <v>197</v>
      </c>
    </row>
    <row r="264" spans="14:14" x14ac:dyDescent="0.2">
      <c r="N264" s="46" t="s">
        <v>198</v>
      </c>
    </row>
    <row r="265" spans="14:14" x14ac:dyDescent="0.2">
      <c r="N265" s="46" t="s">
        <v>199</v>
      </c>
    </row>
    <row r="266" spans="14:14" x14ac:dyDescent="0.2">
      <c r="N266" s="46" t="s">
        <v>200</v>
      </c>
    </row>
    <row r="267" spans="14:14" x14ac:dyDescent="0.2">
      <c r="N267" s="46" t="s">
        <v>201</v>
      </c>
    </row>
    <row r="268" spans="14:14" x14ac:dyDescent="0.2">
      <c r="N268" s="46" t="s">
        <v>202</v>
      </c>
    </row>
    <row r="269" spans="14:14" x14ac:dyDescent="0.2">
      <c r="N269" s="46" t="s">
        <v>203</v>
      </c>
    </row>
    <row r="270" spans="14:14" x14ac:dyDescent="0.2">
      <c r="N270" s="46" t="s">
        <v>204</v>
      </c>
    </row>
    <row r="271" spans="14:14" x14ac:dyDescent="0.2">
      <c r="N271" s="46" t="s">
        <v>205</v>
      </c>
    </row>
    <row r="272" spans="14:14" x14ac:dyDescent="0.2">
      <c r="N272" s="46" t="s">
        <v>206</v>
      </c>
    </row>
    <row r="273" spans="14:14" x14ac:dyDescent="0.2">
      <c r="N273" s="46" t="s">
        <v>207</v>
      </c>
    </row>
    <row r="274" spans="14:14" x14ac:dyDescent="0.2">
      <c r="N274" s="46" t="s">
        <v>208</v>
      </c>
    </row>
    <row r="275" spans="14:14" x14ac:dyDescent="0.2">
      <c r="N275" s="46" t="s">
        <v>209</v>
      </c>
    </row>
    <row r="276" spans="14:14" x14ac:dyDescent="0.2">
      <c r="N276" s="46" t="s">
        <v>210</v>
      </c>
    </row>
    <row r="277" spans="14:14" x14ac:dyDescent="0.2">
      <c r="N277" s="46" t="s">
        <v>211</v>
      </c>
    </row>
    <row r="278" spans="14:14" x14ac:dyDescent="0.2">
      <c r="N278" s="46" t="s">
        <v>212</v>
      </c>
    </row>
    <row r="279" spans="14:14" x14ac:dyDescent="0.2">
      <c r="N279" s="46" t="s">
        <v>213</v>
      </c>
    </row>
    <row r="280" spans="14:14" x14ac:dyDescent="0.2">
      <c r="N280" s="46" t="s">
        <v>214</v>
      </c>
    </row>
    <row r="281" spans="14:14" x14ac:dyDescent="0.2">
      <c r="N281" s="46" t="s">
        <v>215</v>
      </c>
    </row>
    <row r="282" spans="14:14" x14ac:dyDescent="0.2">
      <c r="N282" s="46" t="s">
        <v>216</v>
      </c>
    </row>
    <row r="283" spans="14:14" x14ac:dyDescent="0.2">
      <c r="N283" s="46" t="s">
        <v>217</v>
      </c>
    </row>
    <row r="284" spans="14:14" x14ac:dyDescent="0.2">
      <c r="N284" s="46" t="s">
        <v>218</v>
      </c>
    </row>
    <row r="285" spans="14:14" x14ac:dyDescent="0.2">
      <c r="N285" s="46" t="s">
        <v>219</v>
      </c>
    </row>
    <row r="286" spans="14:14" x14ac:dyDescent="0.2">
      <c r="N286" s="46" t="s">
        <v>220</v>
      </c>
    </row>
    <row r="287" spans="14:14" x14ac:dyDescent="0.2">
      <c r="N287" s="46" t="s">
        <v>221</v>
      </c>
    </row>
    <row r="288" spans="14:14" x14ac:dyDescent="0.2">
      <c r="N288" s="46" t="s">
        <v>222</v>
      </c>
    </row>
    <row r="289" spans="14:14" x14ac:dyDescent="0.2">
      <c r="N289" s="46" t="s">
        <v>223</v>
      </c>
    </row>
    <row r="290" spans="14:14" x14ac:dyDescent="0.2">
      <c r="N290" s="46" t="s">
        <v>224</v>
      </c>
    </row>
    <row r="291" spans="14:14" x14ac:dyDescent="0.2">
      <c r="N291" s="46" t="s">
        <v>225</v>
      </c>
    </row>
    <row r="292" spans="14:14" x14ac:dyDescent="0.2">
      <c r="N292" s="46" t="s">
        <v>226</v>
      </c>
    </row>
    <row r="293" spans="14:14" x14ac:dyDescent="0.2">
      <c r="N293" s="46" t="s">
        <v>227</v>
      </c>
    </row>
    <row r="294" spans="14:14" x14ac:dyDescent="0.2">
      <c r="N294" s="46" t="s">
        <v>228</v>
      </c>
    </row>
    <row r="295" spans="14:14" x14ac:dyDescent="0.2">
      <c r="N295" s="46" t="s">
        <v>229</v>
      </c>
    </row>
    <row r="296" spans="14:14" x14ac:dyDescent="0.2">
      <c r="N296" s="46" t="s">
        <v>230</v>
      </c>
    </row>
    <row r="297" spans="14:14" x14ac:dyDescent="0.2">
      <c r="N297" s="46" t="s">
        <v>231</v>
      </c>
    </row>
    <row r="298" spans="14:14" x14ac:dyDescent="0.2">
      <c r="N298" s="46" t="s">
        <v>232</v>
      </c>
    </row>
    <row r="299" spans="14:14" x14ac:dyDescent="0.2">
      <c r="N299" s="46" t="s">
        <v>233</v>
      </c>
    </row>
    <row r="300" spans="14:14" x14ac:dyDescent="0.2">
      <c r="N300" s="46" t="s">
        <v>234</v>
      </c>
    </row>
    <row r="301" spans="14:14" x14ac:dyDescent="0.2">
      <c r="N301" s="46" t="s">
        <v>235</v>
      </c>
    </row>
    <row r="302" spans="14:14" x14ac:dyDescent="0.2">
      <c r="N302" s="46" t="s">
        <v>236</v>
      </c>
    </row>
    <row r="303" spans="14:14" x14ac:dyDescent="0.2">
      <c r="N303" s="46" t="s">
        <v>237</v>
      </c>
    </row>
    <row r="304" spans="14:14" x14ac:dyDescent="0.2">
      <c r="N304" s="46" t="s">
        <v>238</v>
      </c>
    </row>
    <row r="305" spans="14:14" x14ac:dyDescent="0.2">
      <c r="N305" s="46" t="s">
        <v>239</v>
      </c>
    </row>
    <row r="306" spans="14:14" x14ac:dyDescent="0.2">
      <c r="N306" s="46" t="s">
        <v>240</v>
      </c>
    </row>
    <row r="307" spans="14:14" x14ac:dyDescent="0.2">
      <c r="N307" s="46" t="s">
        <v>241</v>
      </c>
    </row>
    <row r="308" spans="14:14" x14ac:dyDescent="0.2">
      <c r="N308" s="46" t="s">
        <v>242</v>
      </c>
    </row>
    <row r="309" spans="14:14" x14ac:dyDescent="0.2">
      <c r="N309" s="46" t="s">
        <v>243</v>
      </c>
    </row>
    <row r="310" spans="14:14" x14ac:dyDescent="0.2">
      <c r="N310" s="46" t="s">
        <v>244</v>
      </c>
    </row>
    <row r="311" spans="14:14" x14ac:dyDescent="0.2">
      <c r="N311" s="46" t="s">
        <v>245</v>
      </c>
    </row>
    <row r="312" spans="14:14" x14ac:dyDescent="0.2">
      <c r="N312" s="46" t="s">
        <v>246</v>
      </c>
    </row>
    <row r="313" spans="14:14" x14ac:dyDescent="0.2">
      <c r="N313" s="46" t="s">
        <v>247</v>
      </c>
    </row>
    <row r="314" spans="14:14" x14ac:dyDescent="0.2">
      <c r="N314" s="46" t="s">
        <v>248</v>
      </c>
    </row>
    <row r="315" spans="14:14" x14ac:dyDescent="0.2">
      <c r="N315" s="46" t="s">
        <v>249</v>
      </c>
    </row>
    <row r="316" spans="14:14" x14ac:dyDescent="0.2">
      <c r="N316" s="46" t="s">
        <v>250</v>
      </c>
    </row>
    <row r="317" spans="14:14" x14ac:dyDescent="0.2">
      <c r="N317" s="46" t="s">
        <v>251</v>
      </c>
    </row>
    <row r="318" spans="14:14" x14ac:dyDescent="0.2">
      <c r="N318" s="46" t="s">
        <v>252</v>
      </c>
    </row>
    <row r="319" spans="14:14" x14ac:dyDescent="0.2">
      <c r="N319" s="46" t="s">
        <v>253</v>
      </c>
    </row>
    <row r="320" spans="14:14" x14ac:dyDescent="0.2">
      <c r="N320" s="46" t="s">
        <v>254</v>
      </c>
    </row>
    <row r="321" spans="14:14" x14ac:dyDescent="0.2">
      <c r="N321" s="46" t="s">
        <v>255</v>
      </c>
    </row>
    <row r="322" spans="14:14" x14ac:dyDescent="0.2">
      <c r="N322" s="46" t="s">
        <v>256</v>
      </c>
    </row>
    <row r="323" spans="14:14" x14ac:dyDescent="0.2">
      <c r="N323" s="46" t="s">
        <v>257</v>
      </c>
    </row>
    <row r="324" spans="14:14" x14ac:dyDescent="0.2">
      <c r="N324" s="46" t="s">
        <v>258</v>
      </c>
    </row>
    <row r="325" spans="14:14" x14ac:dyDescent="0.2">
      <c r="N325" s="46" t="s">
        <v>259</v>
      </c>
    </row>
    <row r="326" spans="14:14" x14ac:dyDescent="0.2">
      <c r="N326" s="46" t="s">
        <v>260</v>
      </c>
    </row>
    <row r="327" spans="14:14" x14ac:dyDescent="0.2">
      <c r="N327" s="46" t="s">
        <v>261</v>
      </c>
    </row>
    <row r="328" spans="14:14" x14ac:dyDescent="0.2">
      <c r="N328" s="46" t="s">
        <v>262</v>
      </c>
    </row>
    <row r="329" spans="14:14" x14ac:dyDescent="0.2">
      <c r="N329" s="46" t="s">
        <v>263</v>
      </c>
    </row>
    <row r="330" spans="14:14" x14ac:dyDescent="0.2">
      <c r="N330" s="46" t="s">
        <v>264</v>
      </c>
    </row>
    <row r="331" spans="14:14" x14ac:dyDescent="0.2">
      <c r="N331" s="46" t="s">
        <v>265</v>
      </c>
    </row>
    <row r="332" spans="14:14" x14ac:dyDescent="0.2">
      <c r="N332" s="46" t="s">
        <v>266</v>
      </c>
    </row>
    <row r="333" spans="14:14" x14ac:dyDescent="0.2">
      <c r="N333" s="46" t="s">
        <v>267</v>
      </c>
    </row>
    <row r="334" spans="14:14" x14ac:dyDescent="0.2">
      <c r="N334" s="46" t="s">
        <v>268</v>
      </c>
    </row>
    <row r="335" spans="14:14" x14ac:dyDescent="0.2">
      <c r="N335" s="46" t="s">
        <v>269</v>
      </c>
    </row>
    <row r="336" spans="14:14" x14ac:dyDescent="0.2">
      <c r="N336" s="46" t="s">
        <v>270</v>
      </c>
    </row>
    <row r="337" spans="14:14" x14ac:dyDescent="0.2">
      <c r="N337" s="46" t="s">
        <v>271</v>
      </c>
    </row>
    <row r="338" spans="14:14" x14ac:dyDescent="0.2">
      <c r="N338" s="46" t="s">
        <v>272</v>
      </c>
    </row>
    <row r="339" spans="14:14" x14ac:dyDescent="0.2">
      <c r="N339" s="46" t="s">
        <v>273</v>
      </c>
    </row>
    <row r="340" spans="14:14" x14ac:dyDescent="0.2">
      <c r="N340" s="46" t="s">
        <v>274</v>
      </c>
    </row>
    <row r="341" spans="14:14" x14ac:dyDescent="0.2">
      <c r="N341" s="46" t="s">
        <v>275</v>
      </c>
    </row>
    <row r="342" spans="14:14" x14ac:dyDescent="0.2">
      <c r="N342" s="46" t="s">
        <v>276</v>
      </c>
    </row>
    <row r="343" spans="14:14" x14ac:dyDescent="0.2">
      <c r="N343" s="46" t="s">
        <v>277</v>
      </c>
    </row>
    <row r="344" spans="14:14" x14ac:dyDescent="0.2">
      <c r="N344" s="46" t="s">
        <v>278</v>
      </c>
    </row>
    <row r="345" spans="14:14" x14ac:dyDescent="0.2">
      <c r="N345" s="46" t="s">
        <v>279</v>
      </c>
    </row>
    <row r="346" spans="14:14" x14ac:dyDescent="0.2">
      <c r="N346" s="46" t="s">
        <v>280</v>
      </c>
    </row>
    <row r="347" spans="14:14" x14ac:dyDescent="0.2">
      <c r="N347" s="46" t="s">
        <v>281</v>
      </c>
    </row>
    <row r="348" spans="14:14" x14ac:dyDescent="0.2">
      <c r="N348" s="46" t="s">
        <v>282</v>
      </c>
    </row>
    <row r="349" spans="14:14" x14ac:dyDescent="0.2">
      <c r="N349" s="46" t="s">
        <v>283</v>
      </c>
    </row>
    <row r="350" spans="14:14" x14ac:dyDescent="0.2">
      <c r="N350" s="46" t="s">
        <v>284</v>
      </c>
    </row>
    <row r="351" spans="14:14" x14ac:dyDescent="0.2">
      <c r="N351" s="46" t="s">
        <v>285</v>
      </c>
    </row>
    <row r="352" spans="14:14" x14ac:dyDescent="0.2">
      <c r="N352" s="46" t="s">
        <v>286</v>
      </c>
    </row>
    <row r="353" spans="14:14" x14ac:dyDescent="0.2">
      <c r="N353" s="46" t="s">
        <v>287</v>
      </c>
    </row>
    <row r="354" spans="14:14" x14ac:dyDescent="0.2">
      <c r="N354" s="46" t="s">
        <v>288</v>
      </c>
    </row>
    <row r="355" spans="14:14" x14ac:dyDescent="0.2">
      <c r="N355" s="46" t="s">
        <v>289</v>
      </c>
    </row>
    <row r="356" spans="14:14" x14ac:dyDescent="0.2">
      <c r="N356" s="46" t="s">
        <v>290</v>
      </c>
    </row>
    <row r="357" spans="14:14" x14ac:dyDescent="0.2">
      <c r="N357" s="46" t="s">
        <v>291</v>
      </c>
    </row>
    <row r="358" spans="14:14" x14ac:dyDescent="0.2">
      <c r="N358" s="46" t="s">
        <v>292</v>
      </c>
    </row>
    <row r="359" spans="14:14" x14ac:dyDescent="0.2">
      <c r="N359" s="46" t="s">
        <v>293</v>
      </c>
    </row>
    <row r="360" spans="14:14" x14ac:dyDescent="0.2">
      <c r="N360" s="46" t="s">
        <v>294</v>
      </c>
    </row>
    <row r="361" spans="14:14" x14ac:dyDescent="0.2">
      <c r="N361" s="46" t="s">
        <v>295</v>
      </c>
    </row>
    <row r="362" spans="14:14" x14ac:dyDescent="0.2">
      <c r="N362" s="46" t="s">
        <v>296</v>
      </c>
    </row>
    <row r="363" spans="14:14" x14ac:dyDescent="0.2">
      <c r="N363" s="46" t="s">
        <v>297</v>
      </c>
    </row>
    <row r="364" spans="14:14" x14ac:dyDescent="0.2">
      <c r="N364" s="46" t="s">
        <v>298</v>
      </c>
    </row>
    <row r="365" spans="14:14" x14ac:dyDescent="0.2">
      <c r="N365" s="46" t="s">
        <v>299</v>
      </c>
    </row>
    <row r="366" spans="14:14" x14ac:dyDescent="0.2">
      <c r="N366" s="46" t="s">
        <v>300</v>
      </c>
    </row>
    <row r="367" spans="14:14" x14ac:dyDescent="0.2">
      <c r="N367" s="46" t="s">
        <v>301</v>
      </c>
    </row>
    <row r="368" spans="14:14" x14ac:dyDescent="0.2">
      <c r="N368" s="46" t="s">
        <v>302</v>
      </c>
    </row>
    <row r="369" spans="14:14" x14ac:dyDescent="0.2">
      <c r="N369" s="46" t="s">
        <v>303</v>
      </c>
    </row>
    <row r="370" spans="14:14" x14ac:dyDescent="0.2">
      <c r="N370" s="46" t="s">
        <v>304</v>
      </c>
    </row>
    <row r="371" spans="14:14" x14ac:dyDescent="0.2">
      <c r="N371" s="46" t="s">
        <v>305</v>
      </c>
    </row>
    <row r="372" spans="14:14" x14ac:dyDescent="0.2">
      <c r="N372" s="46" t="s">
        <v>306</v>
      </c>
    </row>
    <row r="373" spans="14:14" x14ac:dyDescent="0.2">
      <c r="N373" s="46" t="s">
        <v>307</v>
      </c>
    </row>
    <row r="374" spans="14:14" x14ac:dyDescent="0.2">
      <c r="N374" s="46" t="s">
        <v>308</v>
      </c>
    </row>
    <row r="375" spans="14:14" x14ac:dyDescent="0.2">
      <c r="N375" s="46" t="s">
        <v>309</v>
      </c>
    </row>
    <row r="376" spans="14:14" x14ac:dyDescent="0.2">
      <c r="N376" s="46" t="s">
        <v>310</v>
      </c>
    </row>
    <row r="377" spans="14:14" x14ac:dyDescent="0.2">
      <c r="N377" s="46" t="s">
        <v>311</v>
      </c>
    </row>
    <row r="378" spans="14:14" x14ac:dyDescent="0.2">
      <c r="N378" s="46" t="s">
        <v>312</v>
      </c>
    </row>
    <row r="379" spans="14:14" x14ac:dyDescent="0.2">
      <c r="N379" s="46" t="s">
        <v>313</v>
      </c>
    </row>
    <row r="380" spans="14:14" x14ac:dyDescent="0.2">
      <c r="N380" s="46" t="s">
        <v>314</v>
      </c>
    </row>
    <row r="381" spans="14:14" x14ac:dyDescent="0.2">
      <c r="N381" s="46" t="s">
        <v>315</v>
      </c>
    </row>
    <row r="382" spans="14:14" x14ac:dyDescent="0.2">
      <c r="N382" s="46" t="s">
        <v>316</v>
      </c>
    </row>
    <row r="383" spans="14:14" x14ac:dyDescent="0.2">
      <c r="N383" s="46" t="s">
        <v>317</v>
      </c>
    </row>
    <row r="384" spans="14:14" x14ac:dyDescent="0.2">
      <c r="N384" s="46" t="s">
        <v>318</v>
      </c>
    </row>
    <row r="385" spans="14:14" x14ac:dyDescent="0.2">
      <c r="N385" s="46" t="s">
        <v>319</v>
      </c>
    </row>
    <row r="386" spans="14:14" x14ac:dyDescent="0.2">
      <c r="N386" s="46" t="s">
        <v>320</v>
      </c>
    </row>
    <row r="387" spans="14:14" x14ac:dyDescent="0.2">
      <c r="N387" s="46" t="s">
        <v>321</v>
      </c>
    </row>
    <row r="388" spans="14:14" x14ac:dyDescent="0.2">
      <c r="N388" s="46" t="s">
        <v>322</v>
      </c>
    </row>
    <row r="389" spans="14:14" x14ac:dyDescent="0.2">
      <c r="N389" s="46" t="s">
        <v>323</v>
      </c>
    </row>
    <row r="390" spans="14:14" x14ac:dyDescent="0.2">
      <c r="N390" s="46" t="s">
        <v>324</v>
      </c>
    </row>
    <row r="391" spans="14:14" x14ac:dyDescent="0.2">
      <c r="N391" s="46" t="s">
        <v>325</v>
      </c>
    </row>
    <row r="392" spans="14:14" x14ac:dyDescent="0.2">
      <c r="N392" s="46" t="s">
        <v>326</v>
      </c>
    </row>
    <row r="393" spans="14:14" x14ac:dyDescent="0.2">
      <c r="N393" s="46" t="s">
        <v>327</v>
      </c>
    </row>
    <row r="394" spans="14:14" x14ac:dyDescent="0.2">
      <c r="N394" s="46" t="s">
        <v>328</v>
      </c>
    </row>
    <row r="395" spans="14:14" x14ac:dyDescent="0.2">
      <c r="N395" s="46" t="s">
        <v>329</v>
      </c>
    </row>
    <row r="396" spans="14:14" x14ac:dyDescent="0.2">
      <c r="N396" s="46" t="s">
        <v>330</v>
      </c>
    </row>
    <row r="397" spans="14:14" x14ac:dyDescent="0.2">
      <c r="N397" s="46" t="s">
        <v>331</v>
      </c>
    </row>
    <row r="398" spans="14:14" x14ac:dyDescent="0.2">
      <c r="N398" s="46" t="s">
        <v>332</v>
      </c>
    </row>
    <row r="399" spans="14:14" x14ac:dyDescent="0.2">
      <c r="N399" s="46" t="s">
        <v>333</v>
      </c>
    </row>
    <row r="400" spans="14:14" x14ac:dyDescent="0.2">
      <c r="N400" s="46" t="s">
        <v>334</v>
      </c>
    </row>
    <row r="401" spans="14:14" x14ac:dyDescent="0.2">
      <c r="N401" s="46" t="s">
        <v>335</v>
      </c>
    </row>
    <row r="402" spans="14:14" x14ac:dyDescent="0.2">
      <c r="N402" s="46" t="s">
        <v>336</v>
      </c>
    </row>
    <row r="403" spans="14:14" x14ac:dyDescent="0.2">
      <c r="N403" s="46" t="s">
        <v>337</v>
      </c>
    </row>
    <row r="404" spans="14:14" x14ac:dyDescent="0.2">
      <c r="N404" s="46" t="s">
        <v>338</v>
      </c>
    </row>
    <row r="405" spans="14:14" x14ac:dyDescent="0.2">
      <c r="N405" s="46" t="s">
        <v>339</v>
      </c>
    </row>
    <row r="406" spans="14:14" x14ac:dyDescent="0.2">
      <c r="N406" s="46" t="s">
        <v>340</v>
      </c>
    </row>
    <row r="407" spans="14:14" x14ac:dyDescent="0.2">
      <c r="N407" s="46" t="s">
        <v>341</v>
      </c>
    </row>
    <row r="408" spans="14:14" x14ac:dyDescent="0.2">
      <c r="N408" s="46" t="s">
        <v>342</v>
      </c>
    </row>
    <row r="409" spans="14:14" x14ac:dyDescent="0.2">
      <c r="N409" s="46" t="s">
        <v>343</v>
      </c>
    </row>
    <row r="410" spans="14:14" x14ac:dyDescent="0.2">
      <c r="N410" s="46" t="s">
        <v>344</v>
      </c>
    </row>
    <row r="411" spans="14:14" x14ac:dyDescent="0.2">
      <c r="N411" s="46" t="s">
        <v>345</v>
      </c>
    </row>
    <row r="412" spans="14:14" x14ac:dyDescent="0.2">
      <c r="N412" s="46" t="s">
        <v>346</v>
      </c>
    </row>
    <row r="413" spans="14:14" x14ac:dyDescent="0.2">
      <c r="N413" s="46" t="s">
        <v>347</v>
      </c>
    </row>
    <row r="414" spans="14:14" x14ac:dyDescent="0.2">
      <c r="N414" s="46" t="s">
        <v>348</v>
      </c>
    </row>
    <row r="415" spans="14:14" x14ac:dyDescent="0.2">
      <c r="N415" s="46" t="s">
        <v>349</v>
      </c>
    </row>
    <row r="416" spans="14:14" x14ac:dyDescent="0.2">
      <c r="N416" s="46" t="s">
        <v>350</v>
      </c>
    </row>
    <row r="417" spans="14:14" x14ac:dyDescent="0.2">
      <c r="N417" s="46" t="s">
        <v>351</v>
      </c>
    </row>
  </sheetData>
  <sheetProtection password="D332" sheet="1" objects="1" scenarios="1"/>
  <mergeCells count="49">
    <mergeCell ref="A3:G4"/>
    <mergeCell ref="A6:B6"/>
    <mergeCell ref="C6:F6"/>
    <mergeCell ref="A8:G8"/>
    <mergeCell ref="B10:C10"/>
    <mergeCell ref="B11:C11"/>
    <mergeCell ref="E11:F11"/>
    <mergeCell ref="E12:G12"/>
    <mergeCell ref="E13:G13"/>
    <mergeCell ref="B14:C14"/>
    <mergeCell ref="E14:G14"/>
    <mergeCell ref="B15:C15"/>
    <mergeCell ref="A17:G17"/>
    <mergeCell ref="A19:A20"/>
    <mergeCell ref="F19:G19"/>
    <mergeCell ref="F20:G20"/>
    <mergeCell ref="A23:A24"/>
    <mergeCell ref="E23:G23"/>
    <mergeCell ref="B25:C25"/>
    <mergeCell ref="D25:E25"/>
    <mergeCell ref="B26:C26"/>
    <mergeCell ref="A28:A29"/>
    <mergeCell ref="D28:G28"/>
    <mergeCell ref="A31:A32"/>
    <mergeCell ref="C31:E31"/>
    <mergeCell ref="A34:G34"/>
    <mergeCell ref="A39:A40"/>
    <mergeCell ref="D39:F39"/>
    <mergeCell ref="B41:G41"/>
    <mergeCell ref="B44:F44"/>
    <mergeCell ref="A46:A49"/>
    <mergeCell ref="B53:C53"/>
    <mergeCell ref="E53:F53"/>
    <mergeCell ref="B54:C55"/>
    <mergeCell ref="E54:F54"/>
    <mergeCell ref="B56:G59"/>
    <mergeCell ref="A61:G61"/>
    <mergeCell ref="B62:C62"/>
    <mergeCell ref="D62:E62"/>
    <mergeCell ref="F62:G62"/>
    <mergeCell ref="B63:C63"/>
    <mergeCell ref="D63:E63"/>
    <mergeCell ref="F63:G63"/>
    <mergeCell ref="D67:G68"/>
    <mergeCell ref="B69:C69"/>
    <mergeCell ref="A64:A65"/>
    <mergeCell ref="B64:C65"/>
    <mergeCell ref="D64:E65"/>
    <mergeCell ref="F64:G65"/>
  </mergeCells>
  <phoneticPr fontId="0" type="noConversion"/>
  <conditionalFormatting sqref="G46">
    <cfRule type="expression" dxfId="83" priority="14" stopIfTrue="1">
      <formula>ISERROR($G$46)</formula>
    </cfRule>
  </conditionalFormatting>
  <conditionalFormatting sqref="G47">
    <cfRule type="expression" dxfId="82" priority="13" stopIfTrue="1">
      <formula>ISERROR($G$47)</formula>
    </cfRule>
  </conditionalFormatting>
  <conditionalFormatting sqref="G48">
    <cfRule type="expression" dxfId="81" priority="12" stopIfTrue="1">
      <formula>ISERROR($G$48)</formula>
    </cfRule>
  </conditionalFormatting>
  <conditionalFormatting sqref="G49">
    <cfRule type="expression" dxfId="80" priority="11" stopIfTrue="1">
      <formula>ISERROR($G$49)</formula>
    </cfRule>
  </conditionalFormatting>
  <conditionalFormatting sqref="B46:B49">
    <cfRule type="expression" dxfId="79" priority="10" stopIfTrue="1">
      <formula>IF(SUM($B$46:$B$49)&lt;&gt;0,TRUE,FALSE)</formula>
    </cfRule>
  </conditionalFormatting>
  <conditionalFormatting sqref="C46:C49">
    <cfRule type="expression" dxfId="78" priority="9" stopIfTrue="1">
      <formula>IF(SUM($C$46:$C$49)&lt;&gt;0,TRUE,FALSE)</formula>
    </cfRule>
  </conditionalFormatting>
  <conditionalFormatting sqref="D46:D49">
    <cfRule type="expression" dxfId="77" priority="8" stopIfTrue="1">
      <formula>IF(SUM($D$46:$D$49)&lt;&gt;0,TRUE,FALSE)</formula>
    </cfRule>
  </conditionalFormatting>
  <conditionalFormatting sqref="E46:E49">
    <cfRule type="expression" dxfId="76" priority="7" stopIfTrue="1">
      <formula>IF(SUM($E$46:$E$49)&lt;&gt;0,TRUE,FALSE)</formula>
    </cfRule>
  </conditionalFormatting>
  <conditionalFormatting sqref="F46:F49">
    <cfRule type="expression" dxfId="75" priority="6" stopIfTrue="1">
      <formula>IF(SUM($F$46:$F$49)&lt;&gt;0,TRUE,FALSE)</formula>
    </cfRule>
  </conditionalFormatting>
  <conditionalFormatting sqref="B10:C11 B12:B13 B14:C15">
    <cfRule type="cellIs" dxfId="74" priority="5" stopIfTrue="1" operator="notEqual">
      <formula>$A$1</formula>
    </cfRule>
  </conditionalFormatting>
  <conditionalFormatting sqref="E11:F11 E12:G14">
    <cfRule type="cellIs" dxfId="73" priority="4" stopIfTrue="1" operator="notEqual">
      <formula>$A$1</formula>
    </cfRule>
  </conditionalFormatting>
  <conditionalFormatting sqref="E10">
    <cfRule type="cellIs" dxfId="72" priority="3" stopIfTrue="1" operator="notEqual">
      <formula>$A$1</formula>
    </cfRule>
  </conditionalFormatting>
  <conditionalFormatting sqref="B53:C53 E53:F54">
    <cfRule type="cellIs" dxfId="71" priority="2" stopIfTrue="1" operator="notEqual">
      <formula>$A$1</formula>
    </cfRule>
  </conditionalFormatting>
  <conditionalFormatting sqref="B63:G63">
    <cfRule type="cellIs" dxfId="70" priority="1" stopIfTrue="1" operator="notEqual">
      <formula>$A$1</formula>
    </cfRule>
  </conditionalFormatting>
  <dataValidations count="7">
    <dataValidation type="list" allowBlank="1" showInputMessage="1" showErrorMessage="1" sqref="D46:D49">
      <formula1>$L$163:$L$174</formula1>
    </dataValidation>
    <dataValidation type="list" allowBlank="1" showInputMessage="1" showErrorMessage="1" sqref="C31:E31">
      <formula1>$L$148:$L$160</formula1>
    </dataValidation>
    <dataValidation type="list" allowBlank="1" showInputMessage="1" showErrorMessage="1" sqref="E14">
      <formula1>$L$121:$L$129</formula1>
    </dataValidation>
    <dataValidation type="list" allowBlank="1" showInputMessage="1" showErrorMessage="1" sqref="E13">
      <formula1>$L$91:$L$109</formula1>
    </dataValidation>
    <dataValidation type="list" allowBlank="1" showInputMessage="1" showErrorMessage="1" sqref="E11:F11">
      <formula1>$L$114:$L$118</formula1>
    </dataValidation>
    <dataValidation type="list" allowBlank="1" showInputMessage="1" showErrorMessage="1" sqref="E12 E23">
      <formula1>$N$91:$N$417</formula1>
    </dataValidation>
    <dataValidation type="list" allowBlank="1" showInputMessage="1" showErrorMessage="1" sqref="C36 E36 C23 C19">
      <formula1>$L$133:$L$137</formula1>
    </dataValidation>
  </dataValidations>
  <hyperlinks>
    <hyperlink ref="A12" r:id="rId1"/>
    <hyperlink ref="B44:F44" r:id="rId2" display="POSITION FUNDING"/>
  </hyperlinks>
  <pageMargins left="0.5" right="0.5" top="0.5" bottom="0.5" header="0.3" footer="0.3"/>
  <pageSetup scale="94" orientation="portrait"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N417"/>
  <sheetViews>
    <sheetView zoomScaleNormal="100" workbookViewId="0">
      <selection activeCell="B10" sqref="B10:C10"/>
    </sheetView>
  </sheetViews>
  <sheetFormatPr defaultRowHeight="12.75" x14ac:dyDescent="0.2"/>
  <cols>
    <col min="1" max="1" width="14.42578125" style="2" customWidth="1"/>
    <col min="2" max="2" width="14.28515625" style="2" bestFit="1" customWidth="1"/>
    <col min="3" max="3" width="15.5703125" style="2" bestFit="1" customWidth="1"/>
    <col min="4" max="4" width="16" style="2" bestFit="1" customWidth="1"/>
    <col min="5" max="5" width="15.42578125" style="2" customWidth="1"/>
    <col min="6" max="6" width="14" style="2" customWidth="1"/>
    <col min="7" max="7" width="12.7109375" style="2" customWidth="1"/>
    <col min="8" max="9" width="8.140625" style="2" customWidth="1"/>
    <col min="10" max="11" width="9.140625" style="2"/>
    <col min="12" max="12" width="35.42578125" style="2" hidden="1" customWidth="1"/>
    <col min="13" max="13" width="17" style="2" hidden="1" customWidth="1"/>
    <col min="14" max="14" width="41.140625" style="2" hidden="1" customWidth="1"/>
    <col min="15" max="16384" width="9.140625" style="2"/>
  </cols>
  <sheetData>
    <row r="1" spans="1:8" x14ac:dyDescent="0.2">
      <c r="A1" s="5"/>
      <c r="B1" s="5"/>
      <c r="C1" s="5"/>
      <c r="D1" s="5"/>
      <c r="E1" s="5"/>
      <c r="F1" s="5"/>
      <c r="G1" s="5"/>
    </row>
    <row r="2" spans="1:8" ht="12.75" customHeight="1" x14ac:dyDescent="0.2">
      <c r="A2" s="5"/>
      <c r="B2" s="5"/>
      <c r="C2" s="5"/>
      <c r="D2" s="5"/>
      <c r="E2" s="5"/>
      <c r="F2" s="5"/>
      <c r="G2" s="5"/>
      <c r="H2" s="3"/>
    </row>
    <row r="3" spans="1:8" ht="7.5" customHeight="1" x14ac:dyDescent="0.2">
      <c r="A3" s="109" t="s">
        <v>380</v>
      </c>
      <c r="B3" s="109"/>
      <c r="C3" s="109"/>
      <c r="D3" s="109"/>
      <c r="E3" s="109"/>
      <c r="F3" s="109"/>
      <c r="G3" s="109"/>
      <c r="H3" s="3"/>
    </row>
    <row r="4" spans="1:8" x14ac:dyDescent="0.2">
      <c r="A4" s="109"/>
      <c r="B4" s="109"/>
      <c r="C4" s="109"/>
      <c r="D4" s="109"/>
      <c r="E4" s="109"/>
      <c r="F4" s="109"/>
      <c r="G4" s="109"/>
      <c r="H4" s="4"/>
    </row>
    <row r="5" spans="1:8" ht="6" customHeight="1" x14ac:dyDescent="0.2">
      <c r="A5" s="47"/>
      <c r="B5" s="47"/>
      <c r="C5" s="47"/>
      <c r="D5" s="47"/>
      <c r="E5" s="47"/>
      <c r="F5" s="47"/>
      <c r="G5" s="47"/>
      <c r="H5" s="4"/>
    </row>
    <row r="6" spans="1:8" x14ac:dyDescent="0.2">
      <c r="A6" s="76" t="s">
        <v>381</v>
      </c>
      <c r="B6" s="76"/>
      <c r="C6" s="76" t="s">
        <v>409</v>
      </c>
      <c r="D6" s="76"/>
      <c r="E6" s="76"/>
      <c r="F6" s="76"/>
      <c r="G6" s="5"/>
    </row>
    <row r="7" spans="1:8" ht="6" customHeight="1" x14ac:dyDescent="0.2">
      <c r="A7" s="48"/>
      <c r="B7" s="48"/>
      <c r="C7" s="48"/>
      <c r="D7" s="48"/>
      <c r="E7" s="48"/>
      <c r="F7" s="48"/>
      <c r="G7" s="5"/>
    </row>
    <row r="8" spans="1:8" x14ac:dyDescent="0.2">
      <c r="A8" s="77" t="s">
        <v>470</v>
      </c>
      <c r="B8" s="77"/>
      <c r="C8" s="77"/>
      <c r="D8" s="77"/>
      <c r="E8" s="77"/>
      <c r="F8" s="77"/>
      <c r="G8" s="77"/>
    </row>
    <row r="9" spans="1:8" ht="6" customHeight="1" x14ac:dyDescent="0.2">
      <c r="A9" s="35"/>
      <c r="B9" s="35"/>
      <c r="C9" s="35"/>
      <c r="D9" s="35"/>
      <c r="E9" s="35"/>
      <c r="F9" s="35"/>
      <c r="G9" s="35"/>
    </row>
    <row r="10" spans="1:8" x14ac:dyDescent="0.2">
      <c r="A10" s="6" t="s">
        <v>14</v>
      </c>
      <c r="B10" s="140" t="s">
        <v>482</v>
      </c>
      <c r="C10" s="141"/>
      <c r="D10" s="6" t="s">
        <v>18</v>
      </c>
      <c r="E10" s="16">
        <f ca="1">TODAY()</f>
        <v>41600</v>
      </c>
      <c r="F10" s="5"/>
      <c r="G10" s="5"/>
    </row>
    <row r="11" spans="1:8" x14ac:dyDescent="0.2">
      <c r="A11" s="6" t="s">
        <v>15</v>
      </c>
      <c r="B11" s="140" t="s">
        <v>483</v>
      </c>
      <c r="C11" s="141"/>
      <c r="D11" s="6" t="s">
        <v>384</v>
      </c>
      <c r="E11" s="122" t="s">
        <v>23</v>
      </c>
      <c r="F11" s="122"/>
      <c r="G11" s="7"/>
    </row>
    <row r="12" spans="1:8" x14ac:dyDescent="0.2">
      <c r="A12" s="6" t="s">
        <v>16</v>
      </c>
      <c r="B12" s="54">
        <v>960934210</v>
      </c>
      <c r="C12" s="22" t="s">
        <v>394</v>
      </c>
      <c r="D12" s="6" t="s">
        <v>17</v>
      </c>
      <c r="E12" s="122" t="s">
        <v>271</v>
      </c>
      <c r="F12" s="122"/>
      <c r="G12" s="122"/>
    </row>
    <row r="13" spans="1:8" x14ac:dyDescent="0.2">
      <c r="A13" s="6" t="s">
        <v>512</v>
      </c>
      <c r="B13" s="55">
        <v>2231</v>
      </c>
      <c r="C13" s="22" t="s">
        <v>596</v>
      </c>
      <c r="D13" s="6" t="s">
        <v>19</v>
      </c>
      <c r="E13" s="142" t="s">
        <v>7</v>
      </c>
      <c r="F13" s="143"/>
      <c r="G13" s="144"/>
    </row>
    <row r="14" spans="1:8" x14ac:dyDescent="0.2">
      <c r="A14" s="6" t="s">
        <v>576</v>
      </c>
      <c r="B14" s="140" t="s">
        <v>484</v>
      </c>
      <c r="C14" s="141"/>
      <c r="D14" s="6" t="s">
        <v>20</v>
      </c>
      <c r="E14" s="142" t="s">
        <v>386</v>
      </c>
      <c r="F14" s="143"/>
      <c r="G14" s="144"/>
    </row>
    <row r="15" spans="1:8" x14ac:dyDescent="0.2">
      <c r="A15" s="6" t="s">
        <v>577</v>
      </c>
      <c r="B15" s="121" t="s">
        <v>533</v>
      </c>
      <c r="C15" s="122"/>
      <c r="D15" s="6" t="s">
        <v>572</v>
      </c>
      <c r="E15" s="53">
        <v>37.5</v>
      </c>
      <c r="F15" s="6" t="s">
        <v>574</v>
      </c>
      <c r="G15" s="62">
        <v>1</v>
      </c>
    </row>
    <row r="16" spans="1:8" ht="6" customHeight="1" x14ac:dyDescent="0.2">
      <c r="A16" s="5"/>
      <c r="B16" s="5"/>
      <c r="C16" s="5"/>
      <c r="D16" s="5"/>
      <c r="E16" s="5"/>
      <c r="F16" s="5"/>
      <c r="G16" s="5"/>
    </row>
    <row r="17" spans="1:7" x14ac:dyDescent="0.2">
      <c r="A17" s="85" t="s">
        <v>387</v>
      </c>
      <c r="B17" s="85"/>
      <c r="C17" s="85"/>
      <c r="D17" s="85"/>
      <c r="E17" s="85"/>
      <c r="F17" s="85"/>
      <c r="G17" s="85"/>
    </row>
    <row r="18" spans="1:7" ht="6" customHeight="1" x14ac:dyDescent="0.2">
      <c r="A18" s="20"/>
      <c r="B18" s="20"/>
      <c r="C18" s="20"/>
      <c r="D18" s="20"/>
      <c r="E18" s="20"/>
      <c r="F18" s="20"/>
      <c r="G18" s="20"/>
    </row>
    <row r="19" spans="1:7" x14ac:dyDescent="0.2">
      <c r="A19" s="78" t="s">
        <v>424</v>
      </c>
      <c r="B19" s="56"/>
      <c r="C19" s="53"/>
      <c r="D19" s="57"/>
      <c r="E19" s="57"/>
      <c r="F19" s="134"/>
      <c r="G19" s="136"/>
    </row>
    <row r="20" spans="1:7" x14ac:dyDescent="0.2">
      <c r="A20" s="78"/>
      <c r="B20" s="9" t="s">
        <v>362</v>
      </c>
      <c r="C20" s="9" t="s">
        <v>363</v>
      </c>
      <c r="D20" s="9" t="s">
        <v>364</v>
      </c>
      <c r="E20" s="9" t="s">
        <v>382</v>
      </c>
      <c r="F20" s="86" t="s">
        <v>395</v>
      </c>
      <c r="G20" s="86"/>
    </row>
    <row r="21" spans="1:7" ht="12" customHeight="1" x14ac:dyDescent="0.2">
      <c r="A21" s="36"/>
      <c r="B21" s="39" t="s">
        <v>517</v>
      </c>
      <c r="C21" s="9"/>
      <c r="D21" s="9"/>
      <c r="E21" s="9"/>
      <c r="F21" s="9"/>
      <c r="G21" s="5"/>
    </row>
    <row r="22" spans="1:7" ht="6" customHeight="1" x14ac:dyDescent="0.2">
      <c r="A22" s="36"/>
      <c r="B22" s="9"/>
      <c r="C22" s="9"/>
      <c r="D22" s="9"/>
      <c r="E22" s="9"/>
      <c r="F22" s="9"/>
      <c r="G22" s="5"/>
    </row>
    <row r="23" spans="1:7" ht="12.75" customHeight="1" x14ac:dyDescent="0.2">
      <c r="A23" s="78" t="s">
        <v>388</v>
      </c>
      <c r="B23" s="56">
        <v>26000</v>
      </c>
      <c r="C23" s="61" t="s">
        <v>10</v>
      </c>
      <c r="D23" s="57">
        <f ca="1">TODAY()+15</f>
        <v>41615</v>
      </c>
      <c r="E23" s="112" t="s">
        <v>277</v>
      </c>
      <c r="F23" s="112"/>
      <c r="G23" s="112"/>
    </row>
    <row r="24" spans="1:7" x14ac:dyDescent="0.2">
      <c r="A24" s="78"/>
      <c r="B24" s="9" t="s">
        <v>362</v>
      </c>
      <c r="C24" s="9" t="s">
        <v>363</v>
      </c>
      <c r="D24" s="9" t="s">
        <v>364</v>
      </c>
      <c r="E24" s="9" t="s">
        <v>393</v>
      </c>
      <c r="F24" s="9"/>
      <c r="G24" s="5"/>
    </row>
    <row r="25" spans="1:7" x14ac:dyDescent="0.2">
      <c r="A25" s="36"/>
      <c r="B25" s="134" t="s">
        <v>534</v>
      </c>
      <c r="C25" s="136"/>
      <c r="D25" s="134" t="s">
        <v>522</v>
      </c>
      <c r="E25" s="136"/>
      <c r="F25" s="9"/>
      <c r="G25" s="5"/>
    </row>
    <row r="26" spans="1:7" x14ac:dyDescent="0.2">
      <c r="A26" s="36"/>
      <c r="B26" s="86" t="s">
        <v>395</v>
      </c>
      <c r="C26" s="86"/>
      <c r="D26" s="9" t="s">
        <v>521</v>
      </c>
      <c r="E26" s="9"/>
      <c r="F26" s="9"/>
      <c r="G26" s="5"/>
    </row>
    <row r="27" spans="1:7" ht="6" customHeight="1" x14ac:dyDescent="0.2">
      <c r="A27" s="36"/>
      <c r="B27" s="9"/>
      <c r="C27" s="9"/>
      <c r="D27" s="9"/>
      <c r="E27" s="9"/>
      <c r="F27" s="9"/>
      <c r="G27" s="5"/>
    </row>
    <row r="28" spans="1:7" x14ac:dyDescent="0.2">
      <c r="A28" s="78" t="s">
        <v>389</v>
      </c>
      <c r="B28" s="57"/>
      <c r="C28" s="58"/>
      <c r="D28" s="134"/>
      <c r="E28" s="135"/>
      <c r="F28" s="135"/>
      <c r="G28" s="136"/>
    </row>
    <row r="29" spans="1:7" x14ac:dyDescent="0.2">
      <c r="A29" s="78"/>
      <c r="B29" s="9" t="s">
        <v>364</v>
      </c>
      <c r="C29" s="9" t="s">
        <v>382</v>
      </c>
      <c r="D29" s="9" t="s">
        <v>3</v>
      </c>
      <c r="E29" s="9"/>
      <c r="F29" s="9"/>
      <c r="G29" s="5"/>
    </row>
    <row r="30" spans="1:7" ht="6" customHeight="1" x14ac:dyDescent="0.2">
      <c r="A30" s="5"/>
      <c r="B30" s="5"/>
      <c r="C30" s="5"/>
      <c r="D30" s="5"/>
      <c r="E30" s="20"/>
      <c r="F30" s="20"/>
      <c r="G30" s="5"/>
    </row>
    <row r="31" spans="1:7" x14ac:dyDescent="0.2">
      <c r="A31" s="78" t="s">
        <v>425</v>
      </c>
      <c r="B31" s="57"/>
      <c r="C31" s="137"/>
      <c r="D31" s="138"/>
      <c r="E31" s="139"/>
      <c r="F31" s="26"/>
      <c r="G31" s="5"/>
    </row>
    <row r="32" spans="1:7" x14ac:dyDescent="0.2">
      <c r="A32" s="78"/>
      <c r="B32" s="9" t="s">
        <v>382</v>
      </c>
      <c r="C32" s="9" t="s">
        <v>3</v>
      </c>
      <c r="D32" s="5"/>
      <c r="E32" s="5"/>
      <c r="F32" s="5"/>
      <c r="G32" s="5"/>
    </row>
    <row r="33" spans="1:7" ht="6" customHeight="1" x14ac:dyDescent="0.2">
      <c r="A33" s="5"/>
      <c r="B33" s="9"/>
      <c r="C33" s="9"/>
      <c r="D33" s="5"/>
      <c r="E33" s="5"/>
      <c r="F33" s="5"/>
      <c r="G33" s="5"/>
    </row>
    <row r="34" spans="1:7" x14ac:dyDescent="0.2">
      <c r="A34" s="85" t="s">
        <v>392</v>
      </c>
      <c r="B34" s="85"/>
      <c r="C34" s="85"/>
      <c r="D34" s="85"/>
      <c r="E34" s="85"/>
      <c r="F34" s="85"/>
      <c r="G34" s="85"/>
    </row>
    <row r="35" spans="1:7" ht="6" customHeight="1" x14ac:dyDescent="0.2">
      <c r="A35" s="20"/>
      <c r="B35" s="20"/>
      <c r="C35" s="20"/>
      <c r="D35" s="20"/>
      <c r="E35" s="20"/>
      <c r="F35" s="20"/>
      <c r="G35" s="20"/>
    </row>
    <row r="36" spans="1:7" x14ac:dyDescent="0.2">
      <c r="A36" s="6" t="s">
        <v>391</v>
      </c>
      <c r="B36" s="56"/>
      <c r="C36" s="53"/>
      <c r="D36" s="56"/>
      <c r="E36" s="53"/>
      <c r="F36" s="57"/>
      <c r="G36" s="5"/>
    </row>
    <row r="37" spans="1:7" x14ac:dyDescent="0.2">
      <c r="A37" s="10"/>
      <c r="B37" s="9" t="s">
        <v>396</v>
      </c>
      <c r="C37" s="9" t="s">
        <v>363</v>
      </c>
      <c r="D37" s="9" t="s">
        <v>397</v>
      </c>
      <c r="E37" s="9" t="s">
        <v>363</v>
      </c>
      <c r="F37" s="9" t="s">
        <v>364</v>
      </c>
      <c r="G37" s="5"/>
    </row>
    <row r="38" spans="1:7" ht="6" customHeight="1" x14ac:dyDescent="0.2">
      <c r="A38" s="10"/>
      <c r="B38" s="9"/>
      <c r="C38" s="9"/>
      <c r="D38" s="9"/>
      <c r="E38" s="9"/>
      <c r="F38" s="9"/>
      <c r="G38" s="5"/>
    </row>
    <row r="39" spans="1:7" x14ac:dyDescent="0.2">
      <c r="A39" s="78" t="s">
        <v>406</v>
      </c>
      <c r="B39" s="56"/>
      <c r="C39" s="57"/>
      <c r="D39" s="116" t="s">
        <v>515</v>
      </c>
      <c r="E39" s="117"/>
      <c r="F39" s="117"/>
      <c r="G39" s="5"/>
    </row>
    <row r="40" spans="1:7" x14ac:dyDescent="0.2">
      <c r="A40" s="78"/>
      <c r="B40" s="9" t="s">
        <v>365</v>
      </c>
      <c r="C40" s="9" t="s">
        <v>366</v>
      </c>
      <c r="D40" s="34" t="s">
        <v>472</v>
      </c>
      <c r="E40" s="5"/>
      <c r="F40" s="5"/>
      <c r="G40" s="5"/>
    </row>
    <row r="41" spans="1:7" x14ac:dyDescent="0.2">
      <c r="A41" s="36"/>
      <c r="B41" s="118" t="s">
        <v>513</v>
      </c>
      <c r="C41" s="118"/>
      <c r="D41" s="118"/>
      <c r="E41" s="118"/>
      <c r="F41" s="118"/>
      <c r="G41" s="118"/>
    </row>
    <row r="42" spans="1:7" ht="6" customHeight="1" x14ac:dyDescent="0.2">
      <c r="A42" s="11"/>
      <c r="B42" s="12"/>
      <c r="C42" s="12"/>
      <c r="D42" s="11"/>
      <c r="E42" s="11"/>
      <c r="F42" s="11"/>
      <c r="G42" s="11"/>
    </row>
    <row r="43" spans="1:7" ht="6" customHeight="1" x14ac:dyDescent="0.2">
      <c r="A43" s="20"/>
      <c r="B43" s="12"/>
      <c r="C43" s="12"/>
      <c r="D43" s="11"/>
      <c r="E43" s="11"/>
      <c r="F43" s="11"/>
      <c r="G43" s="20"/>
    </row>
    <row r="44" spans="1:7" x14ac:dyDescent="0.2">
      <c r="A44" s="5"/>
      <c r="B44" s="119" t="s">
        <v>376</v>
      </c>
      <c r="C44" s="119"/>
      <c r="D44" s="119"/>
      <c r="E44" s="119"/>
      <c r="F44" s="119"/>
      <c r="G44" s="5"/>
    </row>
    <row r="45" spans="1:7" x14ac:dyDescent="0.2">
      <c r="A45" s="5"/>
      <c r="B45" s="13" t="s">
        <v>367</v>
      </c>
      <c r="C45" s="13" t="s">
        <v>368</v>
      </c>
      <c r="D45" s="13" t="s">
        <v>369</v>
      </c>
      <c r="E45" s="13" t="s">
        <v>370</v>
      </c>
      <c r="F45" s="13" t="s">
        <v>371</v>
      </c>
      <c r="G45" s="5"/>
    </row>
    <row r="46" spans="1:7" x14ac:dyDescent="0.2">
      <c r="A46" s="120" t="s">
        <v>383</v>
      </c>
      <c r="B46" s="59">
        <v>110000</v>
      </c>
      <c r="C46" s="50">
        <v>72240</v>
      </c>
      <c r="D46" s="50">
        <v>611010</v>
      </c>
      <c r="E46" s="50">
        <v>51</v>
      </c>
      <c r="F46" s="60">
        <v>1</v>
      </c>
      <c r="G46" s="27" t="str">
        <f>VLOOKUP($D46,$L$163:$M$174,2,FALSE)</f>
        <v>Clerical</v>
      </c>
    </row>
    <row r="47" spans="1:7" x14ac:dyDescent="0.2">
      <c r="A47" s="120"/>
      <c r="B47" s="59"/>
      <c r="C47" s="50"/>
      <c r="D47" s="50"/>
      <c r="E47" s="50"/>
      <c r="F47" s="60"/>
      <c r="G47" s="27" t="e">
        <f>VLOOKUP($D47,$L$163:$M$174,2,FALSE)</f>
        <v>#N/A</v>
      </c>
    </row>
    <row r="48" spans="1:7" x14ac:dyDescent="0.2">
      <c r="A48" s="120"/>
      <c r="B48" s="59"/>
      <c r="C48" s="50"/>
      <c r="D48" s="50"/>
      <c r="E48" s="50"/>
      <c r="F48" s="60"/>
      <c r="G48" s="27" t="e">
        <f>VLOOKUP($D48,$L$163:$M$174,2,FALSE)</f>
        <v>#N/A</v>
      </c>
    </row>
    <row r="49" spans="1:7" x14ac:dyDescent="0.2">
      <c r="A49" s="120"/>
      <c r="B49" s="50"/>
      <c r="C49" s="50"/>
      <c r="D49" s="50"/>
      <c r="E49" s="50"/>
      <c r="F49" s="60"/>
      <c r="G49" s="27" t="e">
        <f>VLOOKUP($D49,$L$163:$M$174,2,FALSE)</f>
        <v>#N/A</v>
      </c>
    </row>
    <row r="50" spans="1:7" x14ac:dyDescent="0.2">
      <c r="A50" s="5"/>
      <c r="B50" s="14"/>
      <c r="C50" s="14"/>
      <c r="D50" s="14"/>
      <c r="E50" s="18" t="s">
        <v>372</v>
      </c>
      <c r="F50" s="19">
        <f>SUM(F46:F49)</f>
        <v>1</v>
      </c>
      <c r="G50" s="5"/>
    </row>
    <row r="51" spans="1:7" ht="6" customHeight="1" x14ac:dyDescent="0.2">
      <c r="A51" s="11"/>
      <c r="B51" s="11"/>
      <c r="C51" s="11"/>
      <c r="D51" s="11"/>
      <c r="E51" s="11"/>
      <c r="F51" s="11"/>
      <c r="G51" s="11"/>
    </row>
    <row r="52" spans="1:7" ht="6" customHeight="1" x14ac:dyDescent="0.2">
      <c r="A52" s="5"/>
      <c r="B52" s="5"/>
      <c r="C52" s="5"/>
      <c r="D52" s="5"/>
      <c r="E52" s="5"/>
      <c r="F52" s="5"/>
      <c r="G52" s="5"/>
    </row>
    <row r="53" spans="1:7" x14ac:dyDescent="0.2">
      <c r="A53" s="6" t="s">
        <v>373</v>
      </c>
      <c r="B53" s="121" t="s">
        <v>535</v>
      </c>
      <c r="C53" s="122"/>
      <c r="D53" s="6" t="s">
        <v>374</v>
      </c>
      <c r="E53" s="123">
        <v>3123410012</v>
      </c>
      <c r="F53" s="124"/>
      <c r="G53" s="5"/>
    </row>
    <row r="54" spans="1:7" ht="12.75" customHeight="1" x14ac:dyDescent="0.2">
      <c r="A54" s="5"/>
      <c r="B54" s="106" t="s">
        <v>473</v>
      </c>
      <c r="C54" s="106"/>
      <c r="D54" s="6" t="s">
        <v>375</v>
      </c>
      <c r="E54" s="122" t="s">
        <v>536</v>
      </c>
      <c r="F54" s="122"/>
      <c r="G54" s="5"/>
    </row>
    <row r="55" spans="1:7" x14ac:dyDescent="0.2">
      <c r="A55" s="5"/>
      <c r="B55" s="107"/>
      <c r="C55" s="107"/>
      <c r="D55" s="5"/>
      <c r="E55" s="5"/>
      <c r="F55" s="5"/>
      <c r="G55" s="5"/>
    </row>
    <row r="56" spans="1:7" x14ac:dyDescent="0.2">
      <c r="A56" s="6" t="s">
        <v>0</v>
      </c>
      <c r="B56" s="125" t="s">
        <v>485</v>
      </c>
      <c r="C56" s="126"/>
      <c r="D56" s="126"/>
      <c r="E56" s="126"/>
      <c r="F56" s="126"/>
      <c r="G56" s="127"/>
    </row>
    <row r="57" spans="1:7" x14ac:dyDescent="0.2">
      <c r="A57" s="5"/>
      <c r="B57" s="128"/>
      <c r="C57" s="129"/>
      <c r="D57" s="129"/>
      <c r="E57" s="129"/>
      <c r="F57" s="129"/>
      <c r="G57" s="130"/>
    </row>
    <row r="58" spans="1:7" x14ac:dyDescent="0.2">
      <c r="A58" s="5"/>
      <c r="B58" s="128"/>
      <c r="C58" s="129"/>
      <c r="D58" s="129"/>
      <c r="E58" s="129"/>
      <c r="F58" s="129"/>
      <c r="G58" s="130"/>
    </row>
    <row r="59" spans="1:7" x14ac:dyDescent="0.2">
      <c r="A59" s="5"/>
      <c r="B59" s="131"/>
      <c r="C59" s="132"/>
      <c r="D59" s="132"/>
      <c r="E59" s="132"/>
      <c r="F59" s="132"/>
      <c r="G59" s="133"/>
    </row>
    <row r="60" spans="1:7" ht="6" customHeight="1" x14ac:dyDescent="0.2">
      <c r="A60" s="5"/>
      <c r="B60" s="42"/>
      <c r="C60" s="42"/>
      <c r="D60" s="42"/>
      <c r="E60" s="42"/>
      <c r="F60" s="42"/>
      <c r="G60" s="42"/>
    </row>
    <row r="61" spans="1:7" x14ac:dyDescent="0.2">
      <c r="A61" s="85" t="s">
        <v>516</v>
      </c>
      <c r="B61" s="85"/>
      <c r="C61" s="85"/>
      <c r="D61" s="85"/>
      <c r="E61" s="85"/>
      <c r="F61" s="85"/>
      <c r="G61" s="85"/>
    </row>
    <row r="62" spans="1:7" ht="15.75" x14ac:dyDescent="0.25">
      <c r="A62" s="6"/>
      <c r="B62" s="99" t="s">
        <v>2</v>
      </c>
      <c r="C62" s="99"/>
      <c r="D62" s="100" t="s">
        <v>398</v>
      </c>
      <c r="E62" s="100"/>
      <c r="F62" s="101" t="s">
        <v>524</v>
      </c>
      <c r="G62" s="101"/>
    </row>
    <row r="63" spans="1:7" x14ac:dyDescent="0.2">
      <c r="A63" s="6" t="s">
        <v>514</v>
      </c>
      <c r="B63" s="121" t="s">
        <v>533</v>
      </c>
      <c r="C63" s="122"/>
      <c r="D63" s="121" t="s">
        <v>535</v>
      </c>
      <c r="E63" s="122"/>
      <c r="F63" s="121"/>
      <c r="G63" s="122"/>
    </row>
    <row r="64" spans="1:7" x14ac:dyDescent="0.2">
      <c r="A64" s="110" t="s">
        <v>1</v>
      </c>
      <c r="B64" s="112"/>
      <c r="C64" s="112"/>
      <c r="D64" s="112"/>
      <c r="E64" s="112"/>
      <c r="F64" s="112"/>
      <c r="G64" s="112"/>
    </row>
    <row r="65" spans="1:7" x14ac:dyDescent="0.2">
      <c r="A65" s="111"/>
      <c r="B65" s="112"/>
      <c r="C65" s="112"/>
      <c r="D65" s="112"/>
      <c r="E65" s="112"/>
      <c r="F65" s="112"/>
      <c r="G65" s="112"/>
    </row>
    <row r="66" spans="1:7" ht="6" customHeight="1" x14ac:dyDescent="0.2">
      <c r="A66" s="15"/>
      <c r="B66" s="37"/>
      <c r="C66" s="37"/>
      <c r="D66" s="37"/>
      <c r="E66" s="37"/>
      <c r="F66" s="37"/>
      <c r="G66" s="37"/>
    </row>
    <row r="67" spans="1:7" ht="13.15" customHeight="1" x14ac:dyDescent="0.2">
      <c r="A67" s="5"/>
      <c r="B67" s="5"/>
      <c r="C67" s="43"/>
      <c r="D67" s="102" t="s">
        <v>525</v>
      </c>
      <c r="E67" s="102"/>
      <c r="F67" s="102"/>
      <c r="G67" s="102"/>
    </row>
    <row r="68" spans="1:7" x14ac:dyDescent="0.2">
      <c r="A68" s="44"/>
      <c r="B68" s="45"/>
      <c r="C68" s="45"/>
      <c r="D68" s="103"/>
      <c r="E68" s="103"/>
      <c r="F68" s="103"/>
      <c r="G68" s="103"/>
    </row>
    <row r="69" spans="1:7" x14ac:dyDescent="0.2">
      <c r="A69" s="8"/>
      <c r="B69" s="98" t="s">
        <v>379</v>
      </c>
      <c r="C69" s="98"/>
      <c r="D69" s="8"/>
      <c r="E69" s="8"/>
      <c r="F69" s="8"/>
      <c r="G69" s="8"/>
    </row>
    <row r="70" spans="1:7" ht="6" customHeight="1" x14ac:dyDescent="0.2">
      <c r="A70" s="5"/>
      <c r="B70" s="5"/>
      <c r="C70" s="5"/>
      <c r="D70" s="5"/>
      <c r="E70" s="5"/>
      <c r="F70" s="5"/>
      <c r="G70" s="5"/>
    </row>
    <row r="71" spans="1:7" x14ac:dyDescent="0.2">
      <c r="A71" s="5"/>
      <c r="B71" s="9" t="s">
        <v>401</v>
      </c>
      <c r="C71" s="9" t="s">
        <v>403</v>
      </c>
      <c r="D71" s="5" t="s">
        <v>407</v>
      </c>
      <c r="E71" s="9" t="s">
        <v>402</v>
      </c>
      <c r="F71" s="9" t="s">
        <v>402</v>
      </c>
      <c r="G71" s="9"/>
    </row>
    <row r="72" spans="1:7" x14ac:dyDescent="0.2">
      <c r="A72" s="5"/>
      <c r="B72" s="24" t="s">
        <v>399</v>
      </c>
      <c r="C72" s="24" t="s">
        <v>404</v>
      </c>
      <c r="D72" s="24" t="s">
        <v>408</v>
      </c>
      <c r="E72" s="24" t="s">
        <v>400</v>
      </c>
      <c r="F72" s="24" t="s">
        <v>405</v>
      </c>
      <c r="G72" s="23" t="s">
        <v>578</v>
      </c>
    </row>
    <row r="73" spans="1:7" x14ac:dyDescent="0.2">
      <c r="A73" s="41"/>
      <c r="B73" s="41"/>
      <c r="C73" s="41"/>
      <c r="D73" s="41"/>
      <c r="E73" s="41"/>
      <c r="F73" s="41"/>
      <c r="G73" s="41"/>
    </row>
    <row r="91" spans="12:14" x14ac:dyDescent="0.2">
      <c r="L91" s="2" t="s">
        <v>4</v>
      </c>
      <c r="M91" s="1" t="s">
        <v>12</v>
      </c>
      <c r="N91" s="46" t="s">
        <v>25</v>
      </c>
    </row>
    <row r="92" spans="12:14" x14ac:dyDescent="0.2">
      <c r="L92" s="2" t="s">
        <v>6</v>
      </c>
      <c r="M92" s="1" t="s">
        <v>361</v>
      </c>
      <c r="N92" s="46" t="s">
        <v>26</v>
      </c>
    </row>
    <row r="93" spans="12:14" x14ac:dyDescent="0.2">
      <c r="L93" s="2" t="s">
        <v>5</v>
      </c>
      <c r="M93" s="1" t="s">
        <v>12</v>
      </c>
      <c r="N93" s="46" t="s">
        <v>27</v>
      </c>
    </row>
    <row r="94" spans="12:14" x14ac:dyDescent="0.2">
      <c r="L94" s="2" t="s">
        <v>7</v>
      </c>
      <c r="M94" s="1" t="s">
        <v>361</v>
      </c>
      <c r="N94" s="46" t="s">
        <v>28</v>
      </c>
    </row>
    <row r="95" spans="12:14" x14ac:dyDescent="0.2">
      <c r="L95" s="2" t="s">
        <v>8</v>
      </c>
      <c r="M95" s="1" t="s">
        <v>361</v>
      </c>
      <c r="N95" s="46" t="s">
        <v>29</v>
      </c>
    </row>
    <row r="96" spans="12:14" x14ac:dyDescent="0.2">
      <c r="L96" s="1" t="s">
        <v>377</v>
      </c>
      <c r="M96" s="1" t="s">
        <v>361</v>
      </c>
      <c r="N96" s="46" t="s">
        <v>30</v>
      </c>
    </row>
    <row r="97" spans="12:14" x14ac:dyDescent="0.2">
      <c r="L97" s="2" t="s">
        <v>9</v>
      </c>
      <c r="M97" s="1" t="s">
        <v>12</v>
      </c>
      <c r="N97" s="46" t="s">
        <v>31</v>
      </c>
    </row>
    <row r="98" spans="12:14" x14ac:dyDescent="0.2">
      <c r="L98" s="1" t="s">
        <v>378</v>
      </c>
      <c r="M98" s="1" t="s">
        <v>12</v>
      </c>
      <c r="N98" s="46" t="s">
        <v>32</v>
      </c>
    </row>
    <row r="99" spans="12:14" x14ac:dyDescent="0.2">
      <c r="L99" s="2" t="s">
        <v>353</v>
      </c>
      <c r="M99" s="1" t="s">
        <v>11</v>
      </c>
      <c r="N99" s="46" t="s">
        <v>33</v>
      </c>
    </row>
    <row r="100" spans="12:14" x14ac:dyDescent="0.2">
      <c r="L100" s="2" t="s">
        <v>354</v>
      </c>
      <c r="M100" s="1" t="s">
        <v>11</v>
      </c>
      <c r="N100" s="46" t="s">
        <v>34</v>
      </c>
    </row>
    <row r="101" spans="12:14" x14ac:dyDescent="0.2">
      <c r="L101" s="2" t="s">
        <v>355</v>
      </c>
      <c r="M101" s="1" t="s">
        <v>11</v>
      </c>
      <c r="N101" s="46" t="s">
        <v>35</v>
      </c>
    </row>
    <row r="102" spans="12:14" x14ac:dyDescent="0.2">
      <c r="L102" s="2" t="s">
        <v>356</v>
      </c>
      <c r="M102" s="1" t="s">
        <v>11</v>
      </c>
      <c r="N102" s="46" t="s">
        <v>36</v>
      </c>
    </row>
    <row r="103" spans="12:14" x14ac:dyDescent="0.2">
      <c r="L103" s="2" t="s">
        <v>357</v>
      </c>
      <c r="M103" s="1" t="s">
        <v>11</v>
      </c>
      <c r="N103" s="46" t="s">
        <v>37</v>
      </c>
    </row>
    <row r="104" spans="12:14" x14ac:dyDescent="0.2">
      <c r="L104" s="2" t="s">
        <v>358</v>
      </c>
      <c r="M104" s="1" t="s">
        <v>11</v>
      </c>
      <c r="N104" s="46" t="s">
        <v>38</v>
      </c>
    </row>
    <row r="105" spans="12:14" x14ac:dyDescent="0.2">
      <c r="L105" s="1" t="s">
        <v>411</v>
      </c>
      <c r="M105" s="1" t="s">
        <v>11</v>
      </c>
      <c r="N105" s="46" t="s">
        <v>39</v>
      </c>
    </row>
    <row r="106" spans="12:14" x14ac:dyDescent="0.2">
      <c r="L106" s="1" t="s">
        <v>433</v>
      </c>
      <c r="M106" s="1" t="s">
        <v>11</v>
      </c>
      <c r="N106" s="46" t="s">
        <v>40</v>
      </c>
    </row>
    <row r="107" spans="12:14" x14ac:dyDescent="0.2">
      <c r="L107" s="1" t="s">
        <v>410</v>
      </c>
      <c r="M107" s="1" t="s">
        <v>361</v>
      </c>
      <c r="N107" s="46" t="s">
        <v>41</v>
      </c>
    </row>
    <row r="108" spans="12:14" x14ac:dyDescent="0.2">
      <c r="L108" s="2" t="s">
        <v>352</v>
      </c>
      <c r="M108" s="1" t="s">
        <v>11</v>
      </c>
      <c r="N108" s="46" t="s">
        <v>42</v>
      </c>
    </row>
    <row r="109" spans="12:14" x14ac:dyDescent="0.2">
      <c r="L109" s="2" t="s">
        <v>359</v>
      </c>
      <c r="M109" s="1" t="s">
        <v>11</v>
      </c>
      <c r="N109" s="46" t="s">
        <v>43</v>
      </c>
    </row>
    <row r="110" spans="12:14" x14ac:dyDescent="0.2">
      <c r="N110" s="46" t="s">
        <v>44</v>
      </c>
    </row>
    <row r="111" spans="12:14" x14ac:dyDescent="0.2">
      <c r="N111" s="46" t="s">
        <v>45</v>
      </c>
    </row>
    <row r="112" spans="12:14" x14ac:dyDescent="0.2">
      <c r="N112" s="46" t="s">
        <v>46</v>
      </c>
    </row>
    <row r="113" spans="12:14" x14ac:dyDescent="0.2">
      <c r="N113" s="46" t="s">
        <v>47</v>
      </c>
    </row>
    <row r="114" spans="12:14" x14ac:dyDescent="0.2">
      <c r="L114" s="2" t="s">
        <v>22</v>
      </c>
      <c r="N114" s="46" t="s">
        <v>48</v>
      </c>
    </row>
    <row r="115" spans="12:14" x14ac:dyDescent="0.2">
      <c r="L115" s="2" t="s">
        <v>21</v>
      </c>
      <c r="N115" s="46" t="s">
        <v>49</v>
      </c>
    </row>
    <row r="116" spans="12:14" x14ac:dyDescent="0.2">
      <c r="L116" s="2" t="s">
        <v>23</v>
      </c>
      <c r="N116" s="46" t="s">
        <v>50</v>
      </c>
    </row>
    <row r="117" spans="12:14" x14ac:dyDescent="0.2">
      <c r="L117" s="2" t="s">
        <v>24</v>
      </c>
      <c r="N117" s="46" t="s">
        <v>51</v>
      </c>
    </row>
    <row r="118" spans="12:14" x14ac:dyDescent="0.2">
      <c r="L118" s="2" t="s">
        <v>385</v>
      </c>
      <c r="N118" s="46" t="s">
        <v>52</v>
      </c>
    </row>
    <row r="119" spans="12:14" x14ac:dyDescent="0.2">
      <c r="N119" s="46" t="s">
        <v>53</v>
      </c>
    </row>
    <row r="120" spans="12:14" x14ac:dyDescent="0.2">
      <c r="N120" s="46" t="s">
        <v>54</v>
      </c>
    </row>
    <row r="121" spans="12:14" x14ac:dyDescent="0.2">
      <c r="L121" s="1" t="s">
        <v>429</v>
      </c>
      <c r="N121" s="46" t="s">
        <v>55</v>
      </c>
    </row>
    <row r="122" spans="12:14" x14ac:dyDescent="0.2">
      <c r="L122" s="1" t="s">
        <v>430</v>
      </c>
      <c r="N122" s="46" t="s">
        <v>56</v>
      </c>
    </row>
    <row r="123" spans="12:14" x14ac:dyDescent="0.2">
      <c r="L123" s="2" t="s">
        <v>386</v>
      </c>
      <c r="N123" s="46" t="s">
        <v>57</v>
      </c>
    </row>
    <row r="124" spans="12:14" x14ac:dyDescent="0.2">
      <c r="L124" s="21" t="s">
        <v>390</v>
      </c>
      <c r="N124" s="46" t="s">
        <v>58</v>
      </c>
    </row>
    <row r="125" spans="12:14" x14ac:dyDescent="0.2">
      <c r="L125" s="1" t="s">
        <v>427</v>
      </c>
      <c r="N125" s="46" t="s">
        <v>59</v>
      </c>
    </row>
    <row r="126" spans="12:14" x14ac:dyDescent="0.2">
      <c r="L126" s="1" t="s">
        <v>426</v>
      </c>
      <c r="N126" s="46" t="s">
        <v>60</v>
      </c>
    </row>
    <row r="127" spans="12:14" x14ac:dyDescent="0.2">
      <c r="L127" s="1" t="s">
        <v>428</v>
      </c>
      <c r="N127" s="46" t="s">
        <v>61</v>
      </c>
    </row>
    <row r="128" spans="12:14" x14ac:dyDescent="0.2">
      <c r="L128" s="2" t="s">
        <v>360</v>
      </c>
      <c r="N128" s="46" t="s">
        <v>62</v>
      </c>
    </row>
    <row r="129" spans="12:14" x14ac:dyDescent="0.2">
      <c r="L129" s="1" t="s">
        <v>432</v>
      </c>
      <c r="N129" s="46" t="s">
        <v>63</v>
      </c>
    </row>
    <row r="130" spans="12:14" x14ac:dyDescent="0.2">
      <c r="N130" s="46" t="s">
        <v>64</v>
      </c>
    </row>
    <row r="131" spans="12:14" x14ac:dyDescent="0.2">
      <c r="N131" s="46" t="s">
        <v>65</v>
      </c>
    </row>
    <row r="132" spans="12:14" x14ac:dyDescent="0.2">
      <c r="N132" s="46" t="s">
        <v>66</v>
      </c>
    </row>
    <row r="133" spans="12:14" x14ac:dyDescent="0.2">
      <c r="L133" s="1" t="s">
        <v>10</v>
      </c>
      <c r="N133" s="46" t="s">
        <v>67</v>
      </c>
    </row>
    <row r="134" spans="12:14" x14ac:dyDescent="0.2">
      <c r="L134" s="1" t="s">
        <v>11</v>
      </c>
      <c r="N134" s="46" t="s">
        <v>68</v>
      </c>
    </row>
    <row r="135" spans="12:14" x14ac:dyDescent="0.2">
      <c r="L135" s="1" t="s">
        <v>361</v>
      </c>
      <c r="N135" s="46" t="s">
        <v>69</v>
      </c>
    </row>
    <row r="136" spans="12:14" x14ac:dyDescent="0.2">
      <c r="L136" s="1" t="s">
        <v>12</v>
      </c>
      <c r="N136" s="46" t="s">
        <v>70</v>
      </c>
    </row>
    <row r="137" spans="12:14" x14ac:dyDescent="0.2">
      <c r="L137" s="1" t="s">
        <v>13</v>
      </c>
      <c r="N137" s="46" t="s">
        <v>71</v>
      </c>
    </row>
    <row r="138" spans="12:14" x14ac:dyDescent="0.2">
      <c r="N138" s="46" t="s">
        <v>72</v>
      </c>
    </row>
    <row r="139" spans="12:14" x14ac:dyDescent="0.2">
      <c r="N139" s="46" t="s">
        <v>73</v>
      </c>
    </row>
    <row r="140" spans="12:14" x14ac:dyDescent="0.2">
      <c r="N140" s="46" t="s">
        <v>74</v>
      </c>
    </row>
    <row r="141" spans="12:14" x14ac:dyDescent="0.2">
      <c r="N141" s="46" t="s">
        <v>75</v>
      </c>
    </row>
    <row r="142" spans="12:14" x14ac:dyDescent="0.2">
      <c r="N142" s="46" t="s">
        <v>76</v>
      </c>
    </row>
    <row r="143" spans="12:14" x14ac:dyDescent="0.2">
      <c r="N143" s="46" t="s">
        <v>77</v>
      </c>
    </row>
    <row r="144" spans="12:14" x14ac:dyDescent="0.2">
      <c r="N144" s="46" t="s">
        <v>78</v>
      </c>
    </row>
    <row r="145" spans="12:14" x14ac:dyDescent="0.2">
      <c r="N145" s="46" t="s">
        <v>79</v>
      </c>
    </row>
    <row r="146" spans="12:14" x14ac:dyDescent="0.2">
      <c r="N146" s="46" t="s">
        <v>80</v>
      </c>
    </row>
    <row r="147" spans="12:14" x14ac:dyDescent="0.2">
      <c r="N147" s="46" t="s">
        <v>81</v>
      </c>
    </row>
    <row r="148" spans="12:14" x14ac:dyDescent="0.2">
      <c r="L148" s="1" t="s">
        <v>412</v>
      </c>
      <c r="N148" s="46" t="s">
        <v>82</v>
      </c>
    </row>
    <row r="149" spans="12:14" x14ac:dyDescent="0.2">
      <c r="L149" s="2" t="s">
        <v>413</v>
      </c>
      <c r="N149" s="46" t="s">
        <v>83</v>
      </c>
    </row>
    <row r="150" spans="12:14" x14ac:dyDescent="0.2">
      <c r="L150" s="2" t="s">
        <v>414</v>
      </c>
      <c r="N150" s="46" t="s">
        <v>84</v>
      </c>
    </row>
    <row r="151" spans="12:14" x14ac:dyDescent="0.2">
      <c r="L151" s="2" t="s">
        <v>415</v>
      </c>
      <c r="N151" s="46" t="s">
        <v>85</v>
      </c>
    </row>
    <row r="152" spans="12:14" x14ac:dyDescent="0.2">
      <c r="L152" s="2" t="s">
        <v>416</v>
      </c>
      <c r="N152" s="46" t="s">
        <v>86</v>
      </c>
    </row>
    <row r="153" spans="12:14" x14ac:dyDescent="0.2">
      <c r="L153" s="2" t="s">
        <v>417</v>
      </c>
      <c r="N153" s="46" t="s">
        <v>87</v>
      </c>
    </row>
    <row r="154" spans="12:14" x14ac:dyDescent="0.2">
      <c r="L154" s="2" t="s">
        <v>418</v>
      </c>
      <c r="N154" s="46" t="s">
        <v>88</v>
      </c>
    </row>
    <row r="155" spans="12:14" x14ac:dyDescent="0.2">
      <c r="L155" s="2" t="s">
        <v>419</v>
      </c>
      <c r="N155" s="46" t="s">
        <v>89</v>
      </c>
    </row>
    <row r="156" spans="12:14" x14ac:dyDescent="0.2">
      <c r="L156" s="2" t="s">
        <v>420</v>
      </c>
      <c r="N156" s="46" t="s">
        <v>90</v>
      </c>
    </row>
    <row r="157" spans="12:14" x14ac:dyDescent="0.2">
      <c r="L157" s="1" t="s">
        <v>421</v>
      </c>
      <c r="N157" s="46" t="s">
        <v>91</v>
      </c>
    </row>
    <row r="158" spans="12:14" x14ac:dyDescent="0.2">
      <c r="L158" s="1" t="s">
        <v>422</v>
      </c>
      <c r="N158" s="46" t="s">
        <v>92</v>
      </c>
    </row>
    <row r="159" spans="12:14" x14ac:dyDescent="0.2">
      <c r="L159" s="21" t="s">
        <v>423</v>
      </c>
      <c r="N159" s="46" t="s">
        <v>93</v>
      </c>
    </row>
    <row r="160" spans="12:14" x14ac:dyDescent="0.2">
      <c r="L160" s="21" t="s">
        <v>431</v>
      </c>
      <c r="N160" s="46" t="s">
        <v>94</v>
      </c>
    </row>
    <row r="161" spans="12:14" x14ac:dyDescent="0.2">
      <c r="N161" s="46" t="s">
        <v>95</v>
      </c>
    </row>
    <row r="162" spans="12:14" x14ac:dyDescent="0.2">
      <c r="N162" s="46" t="s">
        <v>96</v>
      </c>
    </row>
    <row r="163" spans="12:14" x14ac:dyDescent="0.2">
      <c r="L163" s="2">
        <v>610010</v>
      </c>
      <c r="M163" s="1" t="s">
        <v>436</v>
      </c>
      <c r="N163" s="46" t="s">
        <v>97</v>
      </c>
    </row>
    <row r="164" spans="12:14" x14ac:dyDescent="0.2">
      <c r="L164" s="2">
        <v>610011</v>
      </c>
      <c r="M164" s="1" t="s">
        <v>434</v>
      </c>
      <c r="N164" s="46" t="s">
        <v>98</v>
      </c>
    </row>
    <row r="165" spans="12:14" x14ac:dyDescent="0.2">
      <c r="L165" s="2">
        <v>610015</v>
      </c>
      <c r="M165" s="1" t="s">
        <v>445</v>
      </c>
      <c r="N165" s="46" t="s">
        <v>99</v>
      </c>
    </row>
    <row r="166" spans="12:14" x14ac:dyDescent="0.2">
      <c r="L166" s="2">
        <v>610020</v>
      </c>
      <c r="M166" s="1" t="s">
        <v>440</v>
      </c>
      <c r="N166" s="46" t="s">
        <v>100</v>
      </c>
    </row>
    <row r="167" spans="12:14" x14ac:dyDescent="0.2">
      <c r="L167" s="2">
        <v>610025</v>
      </c>
      <c r="M167" s="1" t="s">
        <v>435</v>
      </c>
      <c r="N167" s="46" t="s">
        <v>101</v>
      </c>
    </row>
    <row r="168" spans="12:14" x14ac:dyDescent="0.2">
      <c r="L168" s="2">
        <v>610030</v>
      </c>
      <c r="M168" s="1" t="s">
        <v>441</v>
      </c>
      <c r="N168" s="46" t="s">
        <v>102</v>
      </c>
    </row>
    <row r="169" spans="12:14" x14ac:dyDescent="0.2">
      <c r="L169" s="2">
        <v>611005</v>
      </c>
      <c r="M169" s="1" t="s">
        <v>442</v>
      </c>
      <c r="N169" s="46" t="s">
        <v>103</v>
      </c>
    </row>
    <row r="170" spans="12:14" x14ac:dyDescent="0.2">
      <c r="L170" s="2">
        <v>611010</v>
      </c>
      <c r="M170" s="1" t="s">
        <v>443</v>
      </c>
      <c r="N170" s="46" t="s">
        <v>104</v>
      </c>
    </row>
    <row r="171" spans="12:14" x14ac:dyDescent="0.2">
      <c r="L171" s="2">
        <v>611015</v>
      </c>
      <c r="M171" s="1" t="s">
        <v>444</v>
      </c>
      <c r="N171" s="46" t="s">
        <v>105</v>
      </c>
    </row>
    <row r="172" spans="12:14" x14ac:dyDescent="0.2">
      <c r="L172" s="2">
        <v>611030</v>
      </c>
      <c r="M172" s="1" t="s">
        <v>437</v>
      </c>
      <c r="N172" s="46" t="s">
        <v>106</v>
      </c>
    </row>
    <row r="173" spans="12:14" x14ac:dyDescent="0.2">
      <c r="L173" s="2">
        <v>611035</v>
      </c>
      <c r="M173" s="1" t="s">
        <v>438</v>
      </c>
      <c r="N173" s="46" t="s">
        <v>107</v>
      </c>
    </row>
    <row r="174" spans="12:14" x14ac:dyDescent="0.2">
      <c r="L174" s="2">
        <v>611040</v>
      </c>
      <c r="M174" s="1" t="s">
        <v>439</v>
      </c>
      <c r="N174" s="46" t="s">
        <v>108</v>
      </c>
    </row>
    <row r="175" spans="12:14" x14ac:dyDescent="0.2">
      <c r="N175" s="46" t="s">
        <v>109</v>
      </c>
    </row>
    <row r="176" spans="12:14" x14ac:dyDescent="0.2">
      <c r="N176" s="46" t="s">
        <v>110</v>
      </c>
    </row>
    <row r="177" spans="14:14" x14ac:dyDescent="0.2">
      <c r="N177" s="46" t="s">
        <v>111</v>
      </c>
    </row>
    <row r="178" spans="14:14" x14ac:dyDescent="0.2">
      <c r="N178" s="46" t="s">
        <v>112</v>
      </c>
    </row>
    <row r="179" spans="14:14" x14ac:dyDescent="0.2">
      <c r="N179" s="46" t="s">
        <v>113</v>
      </c>
    </row>
    <row r="180" spans="14:14" x14ac:dyDescent="0.2">
      <c r="N180" s="46" t="s">
        <v>114</v>
      </c>
    </row>
    <row r="181" spans="14:14" x14ac:dyDescent="0.2">
      <c r="N181" s="46" t="s">
        <v>115</v>
      </c>
    </row>
    <row r="182" spans="14:14" x14ac:dyDescent="0.2">
      <c r="N182" s="46" t="s">
        <v>116</v>
      </c>
    </row>
    <row r="183" spans="14:14" x14ac:dyDescent="0.2">
      <c r="N183" s="46" t="s">
        <v>117</v>
      </c>
    </row>
    <row r="184" spans="14:14" x14ac:dyDescent="0.2">
      <c r="N184" s="46" t="s">
        <v>118</v>
      </c>
    </row>
    <row r="185" spans="14:14" x14ac:dyDescent="0.2">
      <c r="N185" s="46" t="s">
        <v>119</v>
      </c>
    </row>
    <row r="186" spans="14:14" x14ac:dyDescent="0.2">
      <c r="N186" s="46" t="s">
        <v>120</v>
      </c>
    </row>
    <row r="187" spans="14:14" x14ac:dyDescent="0.2">
      <c r="N187" s="46" t="s">
        <v>121</v>
      </c>
    </row>
    <row r="188" spans="14:14" x14ac:dyDescent="0.2">
      <c r="N188" s="46" t="s">
        <v>122</v>
      </c>
    </row>
    <row r="189" spans="14:14" x14ac:dyDescent="0.2">
      <c r="N189" s="46" t="s">
        <v>123</v>
      </c>
    </row>
    <row r="190" spans="14:14" x14ac:dyDescent="0.2">
      <c r="N190" s="46" t="s">
        <v>124</v>
      </c>
    </row>
    <row r="191" spans="14:14" x14ac:dyDescent="0.2">
      <c r="N191" s="46" t="s">
        <v>125</v>
      </c>
    </row>
    <row r="192" spans="14:14" x14ac:dyDescent="0.2">
      <c r="N192" s="46" t="s">
        <v>126</v>
      </c>
    </row>
    <row r="193" spans="14:14" x14ac:dyDescent="0.2">
      <c r="N193" s="46" t="s">
        <v>127</v>
      </c>
    </row>
    <row r="194" spans="14:14" x14ac:dyDescent="0.2">
      <c r="N194" s="46" t="s">
        <v>128</v>
      </c>
    </row>
    <row r="195" spans="14:14" x14ac:dyDescent="0.2">
      <c r="N195" s="46" t="s">
        <v>129</v>
      </c>
    </row>
    <row r="196" spans="14:14" x14ac:dyDescent="0.2">
      <c r="N196" s="46" t="s">
        <v>130</v>
      </c>
    </row>
    <row r="197" spans="14:14" x14ac:dyDescent="0.2">
      <c r="N197" s="46" t="s">
        <v>131</v>
      </c>
    </row>
    <row r="198" spans="14:14" x14ac:dyDescent="0.2">
      <c r="N198" s="46" t="s">
        <v>132</v>
      </c>
    </row>
    <row r="199" spans="14:14" x14ac:dyDescent="0.2">
      <c r="N199" s="46" t="s">
        <v>133</v>
      </c>
    </row>
    <row r="200" spans="14:14" x14ac:dyDescent="0.2">
      <c r="N200" s="46" t="s">
        <v>134</v>
      </c>
    </row>
    <row r="201" spans="14:14" x14ac:dyDescent="0.2">
      <c r="N201" s="46" t="s">
        <v>135</v>
      </c>
    </row>
    <row r="202" spans="14:14" x14ac:dyDescent="0.2">
      <c r="N202" s="46" t="s">
        <v>136</v>
      </c>
    </row>
    <row r="203" spans="14:14" x14ac:dyDescent="0.2">
      <c r="N203" s="46" t="s">
        <v>137</v>
      </c>
    </row>
    <row r="204" spans="14:14" x14ac:dyDescent="0.2">
      <c r="N204" s="46" t="s">
        <v>138</v>
      </c>
    </row>
    <row r="205" spans="14:14" x14ac:dyDescent="0.2">
      <c r="N205" s="46" t="s">
        <v>139</v>
      </c>
    </row>
    <row r="206" spans="14:14" x14ac:dyDescent="0.2">
      <c r="N206" s="46" t="s">
        <v>140</v>
      </c>
    </row>
    <row r="207" spans="14:14" x14ac:dyDescent="0.2">
      <c r="N207" s="46" t="s">
        <v>141</v>
      </c>
    </row>
    <row r="208" spans="14:14" x14ac:dyDescent="0.2">
      <c r="N208" s="46" t="s">
        <v>142</v>
      </c>
    </row>
    <row r="209" spans="14:14" x14ac:dyDescent="0.2">
      <c r="N209" s="46" t="s">
        <v>143</v>
      </c>
    </row>
    <row r="210" spans="14:14" x14ac:dyDescent="0.2">
      <c r="N210" s="46" t="s">
        <v>144</v>
      </c>
    </row>
    <row r="211" spans="14:14" x14ac:dyDescent="0.2">
      <c r="N211" s="46" t="s">
        <v>145</v>
      </c>
    </row>
    <row r="212" spans="14:14" x14ac:dyDescent="0.2">
      <c r="N212" s="46" t="s">
        <v>146</v>
      </c>
    </row>
    <row r="213" spans="14:14" x14ac:dyDescent="0.2">
      <c r="N213" s="46" t="s">
        <v>147</v>
      </c>
    </row>
    <row r="214" spans="14:14" x14ac:dyDescent="0.2">
      <c r="N214" s="46" t="s">
        <v>148</v>
      </c>
    </row>
    <row r="215" spans="14:14" x14ac:dyDescent="0.2">
      <c r="N215" s="46" t="s">
        <v>149</v>
      </c>
    </row>
    <row r="216" spans="14:14" x14ac:dyDescent="0.2">
      <c r="N216" s="46" t="s">
        <v>150</v>
      </c>
    </row>
    <row r="217" spans="14:14" x14ac:dyDescent="0.2">
      <c r="N217" s="46" t="s">
        <v>151</v>
      </c>
    </row>
    <row r="218" spans="14:14" x14ac:dyDescent="0.2">
      <c r="N218" s="46" t="s">
        <v>152</v>
      </c>
    </row>
    <row r="219" spans="14:14" x14ac:dyDescent="0.2">
      <c r="N219" s="46" t="s">
        <v>153</v>
      </c>
    </row>
    <row r="220" spans="14:14" x14ac:dyDescent="0.2">
      <c r="N220" s="46" t="s">
        <v>154</v>
      </c>
    </row>
    <row r="221" spans="14:14" x14ac:dyDescent="0.2">
      <c r="N221" s="46" t="s">
        <v>155</v>
      </c>
    </row>
    <row r="222" spans="14:14" x14ac:dyDescent="0.2">
      <c r="N222" s="46" t="s">
        <v>156</v>
      </c>
    </row>
    <row r="223" spans="14:14" x14ac:dyDescent="0.2">
      <c r="N223" s="46" t="s">
        <v>157</v>
      </c>
    </row>
    <row r="224" spans="14:14" x14ac:dyDescent="0.2">
      <c r="N224" s="46" t="s">
        <v>158</v>
      </c>
    </row>
    <row r="225" spans="14:14" x14ac:dyDescent="0.2">
      <c r="N225" s="46" t="s">
        <v>159</v>
      </c>
    </row>
    <row r="226" spans="14:14" x14ac:dyDescent="0.2">
      <c r="N226" s="46" t="s">
        <v>160</v>
      </c>
    </row>
    <row r="227" spans="14:14" x14ac:dyDescent="0.2">
      <c r="N227" s="46" t="s">
        <v>161</v>
      </c>
    </row>
    <row r="228" spans="14:14" x14ac:dyDescent="0.2">
      <c r="N228" s="46" t="s">
        <v>162</v>
      </c>
    </row>
    <row r="229" spans="14:14" x14ac:dyDescent="0.2">
      <c r="N229" s="46" t="s">
        <v>163</v>
      </c>
    </row>
    <row r="230" spans="14:14" x14ac:dyDescent="0.2">
      <c r="N230" s="46" t="s">
        <v>164</v>
      </c>
    </row>
    <row r="231" spans="14:14" x14ac:dyDescent="0.2">
      <c r="N231" s="46" t="s">
        <v>165</v>
      </c>
    </row>
    <row r="232" spans="14:14" x14ac:dyDescent="0.2">
      <c r="N232" s="46" t="s">
        <v>166</v>
      </c>
    </row>
    <row r="233" spans="14:14" x14ac:dyDescent="0.2">
      <c r="N233" s="46" t="s">
        <v>167</v>
      </c>
    </row>
    <row r="234" spans="14:14" x14ac:dyDescent="0.2">
      <c r="N234" s="46" t="s">
        <v>168</v>
      </c>
    </row>
    <row r="235" spans="14:14" x14ac:dyDescent="0.2">
      <c r="N235" s="46" t="s">
        <v>169</v>
      </c>
    </row>
    <row r="236" spans="14:14" x14ac:dyDescent="0.2">
      <c r="N236" s="46" t="s">
        <v>170</v>
      </c>
    </row>
    <row r="237" spans="14:14" x14ac:dyDescent="0.2">
      <c r="N237" s="46" t="s">
        <v>171</v>
      </c>
    </row>
    <row r="238" spans="14:14" x14ac:dyDescent="0.2">
      <c r="N238" s="46" t="s">
        <v>172</v>
      </c>
    </row>
    <row r="239" spans="14:14" x14ac:dyDescent="0.2">
      <c r="N239" s="46" t="s">
        <v>173</v>
      </c>
    </row>
    <row r="240" spans="14:14" x14ac:dyDescent="0.2">
      <c r="N240" s="46" t="s">
        <v>174</v>
      </c>
    </row>
    <row r="241" spans="14:14" x14ac:dyDescent="0.2">
      <c r="N241" s="46" t="s">
        <v>175</v>
      </c>
    </row>
    <row r="242" spans="14:14" x14ac:dyDescent="0.2">
      <c r="N242" s="46" t="s">
        <v>176</v>
      </c>
    </row>
    <row r="243" spans="14:14" x14ac:dyDescent="0.2">
      <c r="N243" s="46" t="s">
        <v>177</v>
      </c>
    </row>
    <row r="244" spans="14:14" x14ac:dyDescent="0.2">
      <c r="N244" s="46" t="s">
        <v>178</v>
      </c>
    </row>
    <row r="245" spans="14:14" x14ac:dyDescent="0.2">
      <c r="N245" s="46" t="s">
        <v>179</v>
      </c>
    </row>
    <row r="246" spans="14:14" x14ac:dyDescent="0.2">
      <c r="N246" s="46" t="s">
        <v>180</v>
      </c>
    </row>
    <row r="247" spans="14:14" x14ac:dyDescent="0.2">
      <c r="N247" s="46" t="s">
        <v>181</v>
      </c>
    </row>
    <row r="248" spans="14:14" x14ac:dyDescent="0.2">
      <c r="N248" s="46" t="s">
        <v>182</v>
      </c>
    </row>
    <row r="249" spans="14:14" x14ac:dyDescent="0.2">
      <c r="N249" s="46" t="s">
        <v>183</v>
      </c>
    </row>
    <row r="250" spans="14:14" x14ac:dyDescent="0.2">
      <c r="N250" s="46" t="s">
        <v>184</v>
      </c>
    </row>
    <row r="251" spans="14:14" x14ac:dyDescent="0.2">
      <c r="N251" s="46" t="s">
        <v>185</v>
      </c>
    </row>
    <row r="252" spans="14:14" x14ac:dyDescent="0.2">
      <c r="N252" s="46" t="s">
        <v>186</v>
      </c>
    </row>
    <row r="253" spans="14:14" x14ac:dyDescent="0.2">
      <c r="N253" s="46" t="s">
        <v>187</v>
      </c>
    </row>
    <row r="254" spans="14:14" x14ac:dyDescent="0.2">
      <c r="N254" s="46" t="s">
        <v>188</v>
      </c>
    </row>
    <row r="255" spans="14:14" x14ac:dyDescent="0.2">
      <c r="N255" s="46" t="s">
        <v>189</v>
      </c>
    </row>
    <row r="256" spans="14:14" x14ac:dyDescent="0.2">
      <c r="N256" s="46" t="s">
        <v>190</v>
      </c>
    </row>
    <row r="257" spans="14:14" x14ac:dyDescent="0.2">
      <c r="N257" s="46" t="s">
        <v>191</v>
      </c>
    </row>
    <row r="258" spans="14:14" x14ac:dyDescent="0.2">
      <c r="N258" s="46" t="s">
        <v>192</v>
      </c>
    </row>
    <row r="259" spans="14:14" x14ac:dyDescent="0.2">
      <c r="N259" s="46" t="s">
        <v>193</v>
      </c>
    </row>
    <row r="260" spans="14:14" x14ac:dyDescent="0.2">
      <c r="N260" s="46" t="s">
        <v>194</v>
      </c>
    </row>
    <row r="261" spans="14:14" x14ac:dyDescent="0.2">
      <c r="N261" s="46" t="s">
        <v>195</v>
      </c>
    </row>
    <row r="262" spans="14:14" x14ac:dyDescent="0.2">
      <c r="N262" s="46" t="s">
        <v>196</v>
      </c>
    </row>
    <row r="263" spans="14:14" x14ac:dyDescent="0.2">
      <c r="N263" s="46" t="s">
        <v>197</v>
      </c>
    </row>
    <row r="264" spans="14:14" x14ac:dyDescent="0.2">
      <c r="N264" s="46" t="s">
        <v>198</v>
      </c>
    </row>
    <row r="265" spans="14:14" x14ac:dyDescent="0.2">
      <c r="N265" s="46" t="s">
        <v>199</v>
      </c>
    </row>
    <row r="266" spans="14:14" x14ac:dyDescent="0.2">
      <c r="N266" s="46" t="s">
        <v>200</v>
      </c>
    </row>
    <row r="267" spans="14:14" x14ac:dyDescent="0.2">
      <c r="N267" s="46" t="s">
        <v>201</v>
      </c>
    </row>
    <row r="268" spans="14:14" x14ac:dyDescent="0.2">
      <c r="N268" s="46" t="s">
        <v>202</v>
      </c>
    </row>
    <row r="269" spans="14:14" x14ac:dyDescent="0.2">
      <c r="N269" s="46" t="s">
        <v>203</v>
      </c>
    </row>
    <row r="270" spans="14:14" x14ac:dyDescent="0.2">
      <c r="N270" s="46" t="s">
        <v>204</v>
      </c>
    </row>
    <row r="271" spans="14:14" x14ac:dyDescent="0.2">
      <c r="N271" s="46" t="s">
        <v>205</v>
      </c>
    </row>
    <row r="272" spans="14:14" x14ac:dyDescent="0.2">
      <c r="N272" s="46" t="s">
        <v>206</v>
      </c>
    </row>
    <row r="273" spans="14:14" x14ac:dyDescent="0.2">
      <c r="N273" s="46" t="s">
        <v>207</v>
      </c>
    </row>
    <row r="274" spans="14:14" x14ac:dyDescent="0.2">
      <c r="N274" s="46" t="s">
        <v>208</v>
      </c>
    </row>
    <row r="275" spans="14:14" x14ac:dyDescent="0.2">
      <c r="N275" s="46" t="s">
        <v>209</v>
      </c>
    </row>
    <row r="276" spans="14:14" x14ac:dyDescent="0.2">
      <c r="N276" s="46" t="s">
        <v>210</v>
      </c>
    </row>
    <row r="277" spans="14:14" x14ac:dyDescent="0.2">
      <c r="N277" s="46" t="s">
        <v>211</v>
      </c>
    </row>
    <row r="278" spans="14:14" x14ac:dyDescent="0.2">
      <c r="N278" s="46" t="s">
        <v>212</v>
      </c>
    </row>
    <row r="279" spans="14:14" x14ac:dyDescent="0.2">
      <c r="N279" s="46" t="s">
        <v>213</v>
      </c>
    </row>
    <row r="280" spans="14:14" x14ac:dyDescent="0.2">
      <c r="N280" s="46" t="s">
        <v>214</v>
      </c>
    </row>
    <row r="281" spans="14:14" x14ac:dyDescent="0.2">
      <c r="N281" s="46" t="s">
        <v>215</v>
      </c>
    </row>
    <row r="282" spans="14:14" x14ac:dyDescent="0.2">
      <c r="N282" s="46" t="s">
        <v>216</v>
      </c>
    </row>
    <row r="283" spans="14:14" x14ac:dyDescent="0.2">
      <c r="N283" s="46" t="s">
        <v>217</v>
      </c>
    </row>
    <row r="284" spans="14:14" x14ac:dyDescent="0.2">
      <c r="N284" s="46" t="s">
        <v>218</v>
      </c>
    </row>
    <row r="285" spans="14:14" x14ac:dyDescent="0.2">
      <c r="N285" s="46" t="s">
        <v>219</v>
      </c>
    </row>
    <row r="286" spans="14:14" x14ac:dyDescent="0.2">
      <c r="N286" s="46" t="s">
        <v>220</v>
      </c>
    </row>
    <row r="287" spans="14:14" x14ac:dyDescent="0.2">
      <c r="N287" s="46" t="s">
        <v>221</v>
      </c>
    </row>
    <row r="288" spans="14:14" x14ac:dyDescent="0.2">
      <c r="N288" s="46" t="s">
        <v>222</v>
      </c>
    </row>
    <row r="289" spans="14:14" x14ac:dyDescent="0.2">
      <c r="N289" s="46" t="s">
        <v>223</v>
      </c>
    </row>
    <row r="290" spans="14:14" x14ac:dyDescent="0.2">
      <c r="N290" s="46" t="s">
        <v>224</v>
      </c>
    </row>
    <row r="291" spans="14:14" x14ac:dyDescent="0.2">
      <c r="N291" s="46" t="s">
        <v>225</v>
      </c>
    </row>
    <row r="292" spans="14:14" x14ac:dyDescent="0.2">
      <c r="N292" s="46" t="s">
        <v>226</v>
      </c>
    </row>
    <row r="293" spans="14:14" x14ac:dyDescent="0.2">
      <c r="N293" s="46" t="s">
        <v>227</v>
      </c>
    </row>
    <row r="294" spans="14:14" x14ac:dyDescent="0.2">
      <c r="N294" s="46" t="s">
        <v>228</v>
      </c>
    </row>
    <row r="295" spans="14:14" x14ac:dyDescent="0.2">
      <c r="N295" s="46" t="s">
        <v>229</v>
      </c>
    </row>
    <row r="296" spans="14:14" x14ac:dyDescent="0.2">
      <c r="N296" s="46" t="s">
        <v>230</v>
      </c>
    </row>
    <row r="297" spans="14:14" x14ac:dyDescent="0.2">
      <c r="N297" s="46" t="s">
        <v>231</v>
      </c>
    </row>
    <row r="298" spans="14:14" x14ac:dyDescent="0.2">
      <c r="N298" s="46" t="s">
        <v>232</v>
      </c>
    </row>
    <row r="299" spans="14:14" x14ac:dyDescent="0.2">
      <c r="N299" s="46" t="s">
        <v>233</v>
      </c>
    </row>
    <row r="300" spans="14:14" x14ac:dyDescent="0.2">
      <c r="N300" s="46" t="s">
        <v>234</v>
      </c>
    </row>
    <row r="301" spans="14:14" x14ac:dyDescent="0.2">
      <c r="N301" s="46" t="s">
        <v>235</v>
      </c>
    </row>
    <row r="302" spans="14:14" x14ac:dyDescent="0.2">
      <c r="N302" s="46" t="s">
        <v>236</v>
      </c>
    </row>
    <row r="303" spans="14:14" x14ac:dyDescent="0.2">
      <c r="N303" s="46" t="s">
        <v>237</v>
      </c>
    </row>
    <row r="304" spans="14:14" x14ac:dyDescent="0.2">
      <c r="N304" s="46" t="s">
        <v>238</v>
      </c>
    </row>
    <row r="305" spans="14:14" x14ac:dyDescent="0.2">
      <c r="N305" s="46" t="s">
        <v>239</v>
      </c>
    </row>
    <row r="306" spans="14:14" x14ac:dyDescent="0.2">
      <c r="N306" s="46" t="s">
        <v>240</v>
      </c>
    </row>
    <row r="307" spans="14:14" x14ac:dyDescent="0.2">
      <c r="N307" s="46" t="s">
        <v>241</v>
      </c>
    </row>
    <row r="308" spans="14:14" x14ac:dyDescent="0.2">
      <c r="N308" s="46" t="s">
        <v>242</v>
      </c>
    </row>
    <row r="309" spans="14:14" x14ac:dyDescent="0.2">
      <c r="N309" s="46" t="s">
        <v>243</v>
      </c>
    </row>
    <row r="310" spans="14:14" x14ac:dyDescent="0.2">
      <c r="N310" s="46" t="s">
        <v>244</v>
      </c>
    </row>
    <row r="311" spans="14:14" x14ac:dyDescent="0.2">
      <c r="N311" s="46" t="s">
        <v>245</v>
      </c>
    </row>
    <row r="312" spans="14:14" x14ac:dyDescent="0.2">
      <c r="N312" s="46" t="s">
        <v>246</v>
      </c>
    </row>
    <row r="313" spans="14:14" x14ac:dyDescent="0.2">
      <c r="N313" s="46" t="s">
        <v>247</v>
      </c>
    </row>
    <row r="314" spans="14:14" x14ac:dyDescent="0.2">
      <c r="N314" s="46" t="s">
        <v>248</v>
      </c>
    </row>
    <row r="315" spans="14:14" x14ac:dyDescent="0.2">
      <c r="N315" s="46" t="s">
        <v>249</v>
      </c>
    </row>
    <row r="316" spans="14:14" x14ac:dyDescent="0.2">
      <c r="N316" s="46" t="s">
        <v>250</v>
      </c>
    </row>
    <row r="317" spans="14:14" x14ac:dyDescent="0.2">
      <c r="N317" s="46" t="s">
        <v>251</v>
      </c>
    </row>
    <row r="318" spans="14:14" x14ac:dyDescent="0.2">
      <c r="N318" s="46" t="s">
        <v>252</v>
      </c>
    </row>
    <row r="319" spans="14:14" x14ac:dyDescent="0.2">
      <c r="N319" s="46" t="s">
        <v>253</v>
      </c>
    </row>
    <row r="320" spans="14:14" x14ac:dyDescent="0.2">
      <c r="N320" s="46" t="s">
        <v>254</v>
      </c>
    </row>
    <row r="321" spans="14:14" x14ac:dyDescent="0.2">
      <c r="N321" s="46" t="s">
        <v>255</v>
      </c>
    </row>
    <row r="322" spans="14:14" x14ac:dyDescent="0.2">
      <c r="N322" s="46" t="s">
        <v>256</v>
      </c>
    </row>
    <row r="323" spans="14:14" x14ac:dyDescent="0.2">
      <c r="N323" s="46" t="s">
        <v>257</v>
      </c>
    </row>
    <row r="324" spans="14:14" x14ac:dyDescent="0.2">
      <c r="N324" s="46" t="s">
        <v>258</v>
      </c>
    </row>
    <row r="325" spans="14:14" x14ac:dyDescent="0.2">
      <c r="N325" s="46" t="s">
        <v>259</v>
      </c>
    </row>
    <row r="326" spans="14:14" x14ac:dyDescent="0.2">
      <c r="N326" s="46" t="s">
        <v>260</v>
      </c>
    </row>
    <row r="327" spans="14:14" x14ac:dyDescent="0.2">
      <c r="N327" s="46" t="s">
        <v>261</v>
      </c>
    </row>
    <row r="328" spans="14:14" x14ac:dyDescent="0.2">
      <c r="N328" s="46" t="s">
        <v>262</v>
      </c>
    </row>
    <row r="329" spans="14:14" x14ac:dyDescent="0.2">
      <c r="N329" s="46" t="s">
        <v>263</v>
      </c>
    </row>
    <row r="330" spans="14:14" x14ac:dyDescent="0.2">
      <c r="N330" s="46" t="s">
        <v>264</v>
      </c>
    </row>
    <row r="331" spans="14:14" x14ac:dyDescent="0.2">
      <c r="N331" s="46" t="s">
        <v>265</v>
      </c>
    </row>
    <row r="332" spans="14:14" x14ac:dyDescent="0.2">
      <c r="N332" s="46" t="s">
        <v>266</v>
      </c>
    </row>
    <row r="333" spans="14:14" x14ac:dyDescent="0.2">
      <c r="N333" s="46" t="s">
        <v>267</v>
      </c>
    </row>
    <row r="334" spans="14:14" x14ac:dyDescent="0.2">
      <c r="N334" s="46" t="s">
        <v>268</v>
      </c>
    </row>
    <row r="335" spans="14:14" x14ac:dyDescent="0.2">
      <c r="N335" s="46" t="s">
        <v>269</v>
      </c>
    </row>
    <row r="336" spans="14:14" x14ac:dyDescent="0.2">
      <c r="N336" s="46" t="s">
        <v>270</v>
      </c>
    </row>
    <row r="337" spans="14:14" x14ac:dyDescent="0.2">
      <c r="N337" s="46" t="s">
        <v>271</v>
      </c>
    </row>
    <row r="338" spans="14:14" x14ac:dyDescent="0.2">
      <c r="N338" s="46" t="s">
        <v>272</v>
      </c>
    </row>
    <row r="339" spans="14:14" x14ac:dyDescent="0.2">
      <c r="N339" s="46" t="s">
        <v>273</v>
      </c>
    </row>
    <row r="340" spans="14:14" x14ac:dyDescent="0.2">
      <c r="N340" s="46" t="s">
        <v>274</v>
      </c>
    </row>
    <row r="341" spans="14:14" x14ac:dyDescent="0.2">
      <c r="N341" s="46" t="s">
        <v>275</v>
      </c>
    </row>
    <row r="342" spans="14:14" x14ac:dyDescent="0.2">
      <c r="N342" s="46" t="s">
        <v>276</v>
      </c>
    </row>
    <row r="343" spans="14:14" x14ac:dyDescent="0.2">
      <c r="N343" s="46" t="s">
        <v>277</v>
      </c>
    </row>
    <row r="344" spans="14:14" x14ac:dyDescent="0.2">
      <c r="N344" s="46" t="s">
        <v>278</v>
      </c>
    </row>
    <row r="345" spans="14:14" x14ac:dyDescent="0.2">
      <c r="N345" s="46" t="s">
        <v>279</v>
      </c>
    </row>
    <row r="346" spans="14:14" x14ac:dyDescent="0.2">
      <c r="N346" s="46" t="s">
        <v>280</v>
      </c>
    </row>
    <row r="347" spans="14:14" x14ac:dyDescent="0.2">
      <c r="N347" s="46" t="s">
        <v>281</v>
      </c>
    </row>
    <row r="348" spans="14:14" x14ac:dyDescent="0.2">
      <c r="N348" s="46" t="s">
        <v>282</v>
      </c>
    </row>
    <row r="349" spans="14:14" x14ac:dyDescent="0.2">
      <c r="N349" s="46" t="s">
        <v>283</v>
      </c>
    </row>
    <row r="350" spans="14:14" x14ac:dyDescent="0.2">
      <c r="N350" s="46" t="s">
        <v>284</v>
      </c>
    </row>
    <row r="351" spans="14:14" x14ac:dyDescent="0.2">
      <c r="N351" s="46" t="s">
        <v>285</v>
      </c>
    </row>
    <row r="352" spans="14:14" x14ac:dyDescent="0.2">
      <c r="N352" s="46" t="s">
        <v>286</v>
      </c>
    </row>
    <row r="353" spans="14:14" x14ac:dyDescent="0.2">
      <c r="N353" s="46" t="s">
        <v>287</v>
      </c>
    </row>
    <row r="354" spans="14:14" x14ac:dyDescent="0.2">
      <c r="N354" s="46" t="s">
        <v>288</v>
      </c>
    </row>
    <row r="355" spans="14:14" x14ac:dyDescent="0.2">
      <c r="N355" s="46" t="s">
        <v>289</v>
      </c>
    </row>
    <row r="356" spans="14:14" x14ac:dyDescent="0.2">
      <c r="N356" s="46" t="s">
        <v>290</v>
      </c>
    </row>
    <row r="357" spans="14:14" x14ac:dyDescent="0.2">
      <c r="N357" s="46" t="s">
        <v>291</v>
      </c>
    </row>
    <row r="358" spans="14:14" x14ac:dyDescent="0.2">
      <c r="N358" s="46" t="s">
        <v>292</v>
      </c>
    </row>
    <row r="359" spans="14:14" x14ac:dyDescent="0.2">
      <c r="N359" s="46" t="s">
        <v>293</v>
      </c>
    </row>
    <row r="360" spans="14:14" x14ac:dyDescent="0.2">
      <c r="N360" s="46" t="s">
        <v>294</v>
      </c>
    </row>
    <row r="361" spans="14:14" x14ac:dyDescent="0.2">
      <c r="N361" s="46" t="s">
        <v>295</v>
      </c>
    </row>
    <row r="362" spans="14:14" x14ac:dyDescent="0.2">
      <c r="N362" s="46" t="s">
        <v>296</v>
      </c>
    </row>
    <row r="363" spans="14:14" x14ac:dyDescent="0.2">
      <c r="N363" s="46" t="s">
        <v>297</v>
      </c>
    </row>
    <row r="364" spans="14:14" x14ac:dyDescent="0.2">
      <c r="N364" s="46" t="s">
        <v>298</v>
      </c>
    </row>
    <row r="365" spans="14:14" x14ac:dyDescent="0.2">
      <c r="N365" s="46" t="s">
        <v>299</v>
      </c>
    </row>
    <row r="366" spans="14:14" x14ac:dyDescent="0.2">
      <c r="N366" s="46" t="s">
        <v>300</v>
      </c>
    </row>
    <row r="367" spans="14:14" x14ac:dyDescent="0.2">
      <c r="N367" s="46" t="s">
        <v>301</v>
      </c>
    </row>
    <row r="368" spans="14:14" x14ac:dyDescent="0.2">
      <c r="N368" s="46" t="s">
        <v>302</v>
      </c>
    </row>
    <row r="369" spans="14:14" x14ac:dyDescent="0.2">
      <c r="N369" s="46" t="s">
        <v>303</v>
      </c>
    </row>
    <row r="370" spans="14:14" x14ac:dyDescent="0.2">
      <c r="N370" s="46" t="s">
        <v>304</v>
      </c>
    </row>
    <row r="371" spans="14:14" x14ac:dyDescent="0.2">
      <c r="N371" s="46" t="s">
        <v>305</v>
      </c>
    </row>
    <row r="372" spans="14:14" x14ac:dyDescent="0.2">
      <c r="N372" s="46" t="s">
        <v>306</v>
      </c>
    </row>
    <row r="373" spans="14:14" x14ac:dyDescent="0.2">
      <c r="N373" s="46" t="s">
        <v>307</v>
      </c>
    </row>
    <row r="374" spans="14:14" x14ac:dyDescent="0.2">
      <c r="N374" s="46" t="s">
        <v>308</v>
      </c>
    </row>
    <row r="375" spans="14:14" x14ac:dyDescent="0.2">
      <c r="N375" s="46" t="s">
        <v>309</v>
      </c>
    </row>
    <row r="376" spans="14:14" x14ac:dyDescent="0.2">
      <c r="N376" s="46" t="s">
        <v>310</v>
      </c>
    </row>
    <row r="377" spans="14:14" x14ac:dyDescent="0.2">
      <c r="N377" s="46" t="s">
        <v>311</v>
      </c>
    </row>
    <row r="378" spans="14:14" x14ac:dyDescent="0.2">
      <c r="N378" s="46" t="s">
        <v>312</v>
      </c>
    </row>
    <row r="379" spans="14:14" x14ac:dyDescent="0.2">
      <c r="N379" s="46" t="s">
        <v>313</v>
      </c>
    </row>
    <row r="380" spans="14:14" x14ac:dyDescent="0.2">
      <c r="N380" s="46" t="s">
        <v>314</v>
      </c>
    </row>
    <row r="381" spans="14:14" x14ac:dyDescent="0.2">
      <c r="N381" s="46" t="s">
        <v>315</v>
      </c>
    </row>
    <row r="382" spans="14:14" x14ac:dyDescent="0.2">
      <c r="N382" s="46" t="s">
        <v>316</v>
      </c>
    </row>
    <row r="383" spans="14:14" x14ac:dyDescent="0.2">
      <c r="N383" s="46" t="s">
        <v>317</v>
      </c>
    </row>
    <row r="384" spans="14:14" x14ac:dyDescent="0.2">
      <c r="N384" s="46" t="s">
        <v>318</v>
      </c>
    </row>
    <row r="385" spans="14:14" x14ac:dyDescent="0.2">
      <c r="N385" s="46" t="s">
        <v>319</v>
      </c>
    </row>
    <row r="386" spans="14:14" x14ac:dyDescent="0.2">
      <c r="N386" s="46" t="s">
        <v>320</v>
      </c>
    </row>
    <row r="387" spans="14:14" x14ac:dyDescent="0.2">
      <c r="N387" s="46" t="s">
        <v>321</v>
      </c>
    </row>
    <row r="388" spans="14:14" x14ac:dyDescent="0.2">
      <c r="N388" s="46" t="s">
        <v>322</v>
      </c>
    </row>
    <row r="389" spans="14:14" x14ac:dyDescent="0.2">
      <c r="N389" s="46" t="s">
        <v>323</v>
      </c>
    </row>
    <row r="390" spans="14:14" x14ac:dyDescent="0.2">
      <c r="N390" s="46" t="s">
        <v>324</v>
      </c>
    </row>
    <row r="391" spans="14:14" x14ac:dyDescent="0.2">
      <c r="N391" s="46" t="s">
        <v>325</v>
      </c>
    </row>
    <row r="392" spans="14:14" x14ac:dyDescent="0.2">
      <c r="N392" s="46" t="s">
        <v>326</v>
      </c>
    </row>
    <row r="393" spans="14:14" x14ac:dyDescent="0.2">
      <c r="N393" s="46" t="s">
        <v>327</v>
      </c>
    </row>
    <row r="394" spans="14:14" x14ac:dyDescent="0.2">
      <c r="N394" s="46" t="s">
        <v>328</v>
      </c>
    </row>
    <row r="395" spans="14:14" x14ac:dyDescent="0.2">
      <c r="N395" s="46" t="s">
        <v>329</v>
      </c>
    </row>
    <row r="396" spans="14:14" x14ac:dyDescent="0.2">
      <c r="N396" s="46" t="s">
        <v>330</v>
      </c>
    </row>
    <row r="397" spans="14:14" x14ac:dyDescent="0.2">
      <c r="N397" s="46" t="s">
        <v>331</v>
      </c>
    </row>
    <row r="398" spans="14:14" x14ac:dyDescent="0.2">
      <c r="N398" s="46" t="s">
        <v>332</v>
      </c>
    </row>
    <row r="399" spans="14:14" x14ac:dyDescent="0.2">
      <c r="N399" s="46" t="s">
        <v>333</v>
      </c>
    </row>
    <row r="400" spans="14:14" x14ac:dyDescent="0.2">
      <c r="N400" s="46" t="s">
        <v>334</v>
      </c>
    </row>
    <row r="401" spans="14:14" x14ac:dyDescent="0.2">
      <c r="N401" s="46" t="s">
        <v>335</v>
      </c>
    </row>
    <row r="402" spans="14:14" x14ac:dyDescent="0.2">
      <c r="N402" s="46" t="s">
        <v>336</v>
      </c>
    </row>
    <row r="403" spans="14:14" x14ac:dyDescent="0.2">
      <c r="N403" s="46" t="s">
        <v>337</v>
      </c>
    </row>
    <row r="404" spans="14:14" x14ac:dyDescent="0.2">
      <c r="N404" s="46" t="s">
        <v>338</v>
      </c>
    </row>
    <row r="405" spans="14:14" x14ac:dyDescent="0.2">
      <c r="N405" s="46" t="s">
        <v>339</v>
      </c>
    </row>
    <row r="406" spans="14:14" x14ac:dyDescent="0.2">
      <c r="N406" s="46" t="s">
        <v>340</v>
      </c>
    </row>
    <row r="407" spans="14:14" x14ac:dyDescent="0.2">
      <c r="N407" s="46" t="s">
        <v>341</v>
      </c>
    </row>
    <row r="408" spans="14:14" x14ac:dyDescent="0.2">
      <c r="N408" s="46" t="s">
        <v>342</v>
      </c>
    </row>
    <row r="409" spans="14:14" x14ac:dyDescent="0.2">
      <c r="N409" s="46" t="s">
        <v>343</v>
      </c>
    </row>
    <row r="410" spans="14:14" x14ac:dyDescent="0.2">
      <c r="N410" s="46" t="s">
        <v>344</v>
      </c>
    </row>
    <row r="411" spans="14:14" x14ac:dyDescent="0.2">
      <c r="N411" s="46" t="s">
        <v>345</v>
      </c>
    </row>
    <row r="412" spans="14:14" x14ac:dyDescent="0.2">
      <c r="N412" s="46" t="s">
        <v>346</v>
      </c>
    </row>
    <row r="413" spans="14:14" x14ac:dyDescent="0.2">
      <c r="N413" s="46" t="s">
        <v>347</v>
      </c>
    </row>
    <row r="414" spans="14:14" x14ac:dyDescent="0.2">
      <c r="N414" s="46" t="s">
        <v>348</v>
      </c>
    </row>
    <row r="415" spans="14:14" x14ac:dyDescent="0.2">
      <c r="N415" s="46" t="s">
        <v>349</v>
      </c>
    </row>
    <row r="416" spans="14:14" x14ac:dyDescent="0.2">
      <c r="N416" s="46" t="s">
        <v>350</v>
      </c>
    </row>
    <row r="417" spans="14:14" x14ac:dyDescent="0.2">
      <c r="N417" s="46" t="s">
        <v>351</v>
      </c>
    </row>
  </sheetData>
  <sheetProtection password="D332" sheet="1" objects="1" scenarios="1"/>
  <mergeCells count="49">
    <mergeCell ref="A3:G4"/>
    <mergeCell ref="A6:B6"/>
    <mergeCell ref="C6:F6"/>
    <mergeCell ref="A8:G8"/>
    <mergeCell ref="B10:C10"/>
    <mergeCell ref="B11:C11"/>
    <mergeCell ref="E11:F11"/>
    <mergeCell ref="E12:G12"/>
    <mergeCell ref="E13:G13"/>
    <mergeCell ref="B14:C14"/>
    <mergeCell ref="E14:G14"/>
    <mergeCell ref="B15:C15"/>
    <mergeCell ref="A17:G17"/>
    <mergeCell ref="A19:A20"/>
    <mergeCell ref="F19:G19"/>
    <mergeCell ref="F20:G20"/>
    <mergeCell ref="A23:A24"/>
    <mergeCell ref="E23:G23"/>
    <mergeCell ref="B25:C25"/>
    <mergeCell ref="D25:E25"/>
    <mergeCell ref="B26:C26"/>
    <mergeCell ref="A28:A29"/>
    <mergeCell ref="D28:G28"/>
    <mergeCell ref="A31:A32"/>
    <mergeCell ref="C31:E31"/>
    <mergeCell ref="A34:G34"/>
    <mergeCell ref="A39:A40"/>
    <mergeCell ref="D39:F39"/>
    <mergeCell ref="B41:G41"/>
    <mergeCell ref="B44:F44"/>
    <mergeCell ref="A46:A49"/>
    <mergeCell ref="B53:C53"/>
    <mergeCell ref="E53:F53"/>
    <mergeCell ref="B54:C55"/>
    <mergeCell ref="E54:F54"/>
    <mergeCell ref="B56:G59"/>
    <mergeCell ref="A61:G61"/>
    <mergeCell ref="B62:C62"/>
    <mergeCell ref="D62:E62"/>
    <mergeCell ref="F62:G62"/>
    <mergeCell ref="B63:C63"/>
    <mergeCell ref="D63:E63"/>
    <mergeCell ref="F63:G63"/>
    <mergeCell ref="D67:G68"/>
    <mergeCell ref="B69:C69"/>
    <mergeCell ref="A64:A65"/>
    <mergeCell ref="B64:C65"/>
    <mergeCell ref="D64:E65"/>
    <mergeCell ref="F64:G65"/>
  </mergeCells>
  <phoneticPr fontId="0" type="noConversion"/>
  <conditionalFormatting sqref="G46">
    <cfRule type="expression" dxfId="69" priority="14" stopIfTrue="1">
      <formula>ISERROR($G$46)</formula>
    </cfRule>
  </conditionalFormatting>
  <conditionalFormatting sqref="G47">
    <cfRule type="expression" dxfId="68" priority="13" stopIfTrue="1">
      <formula>ISERROR($G$47)</formula>
    </cfRule>
  </conditionalFormatting>
  <conditionalFormatting sqref="G48">
    <cfRule type="expression" dxfId="67" priority="12" stopIfTrue="1">
      <formula>ISERROR($G$48)</formula>
    </cfRule>
  </conditionalFormatting>
  <conditionalFormatting sqref="G49">
    <cfRule type="expression" dxfId="66" priority="11" stopIfTrue="1">
      <formula>ISERROR($G$49)</formula>
    </cfRule>
  </conditionalFormatting>
  <conditionalFormatting sqref="B46:B49">
    <cfRule type="expression" dxfId="65" priority="10" stopIfTrue="1">
      <formula>IF(SUM($B$46:$B$49)&lt;&gt;0,TRUE,FALSE)</formula>
    </cfRule>
  </conditionalFormatting>
  <conditionalFormatting sqref="C46:C49">
    <cfRule type="expression" dxfId="64" priority="9" stopIfTrue="1">
      <formula>IF(SUM($C$46:$C$49)&lt;&gt;0,TRUE,FALSE)</formula>
    </cfRule>
  </conditionalFormatting>
  <conditionalFormatting sqref="D46:D49">
    <cfRule type="expression" dxfId="63" priority="8" stopIfTrue="1">
      <formula>IF(SUM($D$46:$D$49)&lt;&gt;0,TRUE,FALSE)</formula>
    </cfRule>
  </conditionalFormatting>
  <conditionalFormatting sqref="E46:E49">
    <cfRule type="expression" dxfId="62" priority="7" stopIfTrue="1">
      <formula>IF(SUM($E$46:$E$49)&lt;&gt;0,TRUE,FALSE)</formula>
    </cfRule>
  </conditionalFormatting>
  <conditionalFormatting sqref="F46:F49">
    <cfRule type="expression" dxfId="61" priority="6" stopIfTrue="1">
      <formula>IF(SUM($F$46:$F$49)&lt;&gt;0,TRUE,FALSE)</formula>
    </cfRule>
  </conditionalFormatting>
  <conditionalFormatting sqref="B10:C11 B12:B13 B14:C15">
    <cfRule type="cellIs" dxfId="60" priority="5" stopIfTrue="1" operator="notEqual">
      <formula>$A$1</formula>
    </cfRule>
  </conditionalFormatting>
  <conditionalFormatting sqref="E11:F11 E12:G14">
    <cfRule type="cellIs" dxfId="59" priority="4" stopIfTrue="1" operator="notEqual">
      <formula>$A$1</formula>
    </cfRule>
  </conditionalFormatting>
  <conditionalFormatting sqref="E10">
    <cfRule type="cellIs" dxfId="58" priority="3" stopIfTrue="1" operator="notEqual">
      <formula>$A$1</formula>
    </cfRule>
  </conditionalFormatting>
  <conditionalFormatting sqref="B53:C53 E53:F54">
    <cfRule type="cellIs" dxfId="57" priority="2" stopIfTrue="1" operator="notEqual">
      <formula>$A$1</formula>
    </cfRule>
  </conditionalFormatting>
  <conditionalFormatting sqref="B63:G63">
    <cfRule type="cellIs" dxfId="56" priority="1" stopIfTrue="1" operator="notEqual">
      <formula>$A$1</formula>
    </cfRule>
  </conditionalFormatting>
  <dataValidations count="7">
    <dataValidation type="list" allowBlank="1" showInputMessage="1" showErrorMessage="1" sqref="D46:D49">
      <formula1>$L$163:$L$174</formula1>
    </dataValidation>
    <dataValidation type="list" allowBlank="1" showInputMessage="1" showErrorMessage="1" sqref="C31:E31">
      <formula1>$L$148:$L$160</formula1>
    </dataValidation>
    <dataValidation type="list" allowBlank="1" showInputMessage="1" showErrorMessage="1" sqref="E14">
      <formula1>$L$121:$L$129</formula1>
    </dataValidation>
    <dataValidation type="list" allowBlank="1" showInputMessage="1" showErrorMessage="1" sqref="E13">
      <formula1>$L$91:$L$109</formula1>
    </dataValidation>
    <dataValidation type="list" allowBlank="1" showInputMessage="1" showErrorMessage="1" sqref="E11:F11">
      <formula1>$L$114:$L$118</formula1>
    </dataValidation>
    <dataValidation type="list" allowBlank="1" showInputMessage="1" showErrorMessage="1" sqref="E12 E23">
      <formula1>$N$91:$N$417</formula1>
    </dataValidation>
    <dataValidation type="list" allowBlank="1" showInputMessage="1" showErrorMessage="1" sqref="C36 E36 C23 C19">
      <formula1>$L$133:$L$137</formula1>
    </dataValidation>
  </dataValidations>
  <hyperlinks>
    <hyperlink ref="A12" r:id="rId1"/>
    <hyperlink ref="B44:F44" r:id="rId2" display="POSITION FUNDING"/>
  </hyperlinks>
  <pageMargins left="0.5" right="0.5" top="0.5" bottom="0.5" header="0.3" footer="0.3"/>
  <pageSetup scale="94" orientation="portrait" r:id="rId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N417"/>
  <sheetViews>
    <sheetView zoomScaleNormal="100" workbookViewId="0">
      <selection activeCell="B10" sqref="B10:C10"/>
    </sheetView>
  </sheetViews>
  <sheetFormatPr defaultRowHeight="12.75" x14ac:dyDescent="0.2"/>
  <cols>
    <col min="1" max="1" width="14.42578125" style="2" customWidth="1"/>
    <col min="2" max="2" width="14.28515625" style="2" bestFit="1" customWidth="1"/>
    <col min="3" max="3" width="15.5703125" style="2" bestFit="1" customWidth="1"/>
    <col min="4" max="4" width="16" style="2" bestFit="1" customWidth="1"/>
    <col min="5" max="5" width="15.42578125" style="2" customWidth="1"/>
    <col min="6" max="6" width="14" style="2" customWidth="1"/>
    <col min="7" max="7" width="12.7109375" style="2" customWidth="1"/>
    <col min="8" max="9" width="8.140625" style="2" customWidth="1"/>
    <col min="10" max="11" width="9.140625" style="2"/>
    <col min="12" max="12" width="35.42578125" style="2" hidden="1" customWidth="1"/>
    <col min="13" max="13" width="17" style="2" hidden="1" customWidth="1"/>
    <col min="14" max="14" width="41.140625" style="2" hidden="1" customWidth="1"/>
    <col min="15" max="16384" width="9.140625" style="2"/>
  </cols>
  <sheetData>
    <row r="1" spans="1:8" x14ac:dyDescent="0.2">
      <c r="A1" s="5"/>
      <c r="B1" s="5"/>
      <c r="C1" s="5"/>
      <c r="D1" s="5"/>
      <c r="E1" s="5"/>
      <c r="F1" s="5"/>
      <c r="G1" s="5"/>
    </row>
    <row r="2" spans="1:8" ht="12.75" customHeight="1" x14ac:dyDescent="0.2">
      <c r="A2" s="5"/>
      <c r="B2" s="5"/>
      <c r="C2" s="5"/>
      <c r="D2" s="5"/>
      <c r="E2" s="5"/>
      <c r="F2" s="5"/>
      <c r="G2" s="5"/>
      <c r="H2" s="3"/>
    </row>
    <row r="3" spans="1:8" ht="7.5" customHeight="1" x14ac:dyDescent="0.2">
      <c r="A3" s="109" t="s">
        <v>380</v>
      </c>
      <c r="B3" s="109"/>
      <c r="C3" s="109"/>
      <c r="D3" s="109"/>
      <c r="E3" s="109"/>
      <c r="F3" s="109"/>
      <c r="G3" s="109"/>
      <c r="H3" s="3"/>
    </row>
    <row r="4" spans="1:8" x14ac:dyDescent="0.2">
      <c r="A4" s="109"/>
      <c r="B4" s="109"/>
      <c r="C4" s="109"/>
      <c r="D4" s="109"/>
      <c r="E4" s="109"/>
      <c r="F4" s="109"/>
      <c r="G4" s="109"/>
      <c r="H4" s="4"/>
    </row>
    <row r="5" spans="1:8" ht="6" customHeight="1" x14ac:dyDescent="0.2">
      <c r="A5" s="47"/>
      <c r="B5" s="47"/>
      <c r="C5" s="47"/>
      <c r="D5" s="47"/>
      <c r="E5" s="47"/>
      <c r="F5" s="47"/>
      <c r="G5" s="47"/>
      <c r="H5" s="4"/>
    </row>
    <row r="6" spans="1:8" x14ac:dyDescent="0.2">
      <c r="A6" s="76" t="s">
        <v>381</v>
      </c>
      <c r="B6" s="76"/>
      <c r="C6" s="76" t="s">
        <v>409</v>
      </c>
      <c r="D6" s="76"/>
      <c r="E6" s="76"/>
      <c r="F6" s="76"/>
      <c r="G6" s="5"/>
    </row>
    <row r="7" spans="1:8" ht="6" customHeight="1" x14ac:dyDescent="0.2">
      <c r="A7" s="48"/>
      <c r="B7" s="48"/>
      <c r="C7" s="48"/>
      <c r="D7" s="48"/>
      <c r="E7" s="48"/>
      <c r="F7" s="48"/>
      <c r="G7" s="5"/>
    </row>
    <row r="8" spans="1:8" x14ac:dyDescent="0.2">
      <c r="A8" s="77" t="s">
        <v>470</v>
      </c>
      <c r="B8" s="77"/>
      <c r="C8" s="77"/>
      <c r="D8" s="77"/>
      <c r="E8" s="77"/>
      <c r="F8" s="77"/>
      <c r="G8" s="77"/>
    </row>
    <row r="9" spans="1:8" ht="6" customHeight="1" x14ac:dyDescent="0.2">
      <c r="A9" s="35"/>
      <c r="B9" s="35"/>
      <c r="C9" s="35"/>
      <c r="D9" s="35"/>
      <c r="E9" s="35"/>
      <c r="F9" s="35"/>
      <c r="G9" s="35"/>
    </row>
    <row r="10" spans="1:8" x14ac:dyDescent="0.2">
      <c r="A10" s="6" t="s">
        <v>14</v>
      </c>
      <c r="B10" s="140" t="s">
        <v>486</v>
      </c>
      <c r="C10" s="141"/>
      <c r="D10" s="6" t="s">
        <v>18</v>
      </c>
      <c r="E10" s="16">
        <f ca="1">TODAY()</f>
        <v>41600</v>
      </c>
      <c r="F10" s="5"/>
      <c r="G10" s="5"/>
    </row>
    <row r="11" spans="1:8" x14ac:dyDescent="0.2">
      <c r="A11" s="6" t="s">
        <v>15</v>
      </c>
      <c r="B11" s="140" t="s">
        <v>487</v>
      </c>
      <c r="C11" s="141"/>
      <c r="D11" s="6" t="s">
        <v>384</v>
      </c>
      <c r="E11" s="122" t="s">
        <v>21</v>
      </c>
      <c r="F11" s="122"/>
      <c r="G11" s="7"/>
    </row>
    <row r="12" spans="1:8" x14ac:dyDescent="0.2">
      <c r="A12" s="6" t="s">
        <v>16</v>
      </c>
      <c r="B12" s="54">
        <v>960902192</v>
      </c>
      <c r="C12" s="22" t="s">
        <v>394</v>
      </c>
      <c r="D12" s="6" t="s">
        <v>17</v>
      </c>
      <c r="E12" s="122" t="s">
        <v>94</v>
      </c>
      <c r="F12" s="122"/>
      <c r="G12" s="122"/>
    </row>
    <row r="13" spans="1:8" x14ac:dyDescent="0.2">
      <c r="A13" s="6" t="s">
        <v>512</v>
      </c>
      <c r="B13" s="55">
        <v>5573</v>
      </c>
      <c r="C13" s="22" t="s">
        <v>596</v>
      </c>
      <c r="D13" s="6" t="s">
        <v>19</v>
      </c>
      <c r="E13" s="142" t="s">
        <v>5</v>
      </c>
      <c r="F13" s="143"/>
      <c r="G13" s="144"/>
    </row>
    <row r="14" spans="1:8" x14ac:dyDescent="0.2">
      <c r="A14" s="6" t="s">
        <v>576</v>
      </c>
      <c r="B14" s="140" t="s">
        <v>490</v>
      </c>
      <c r="C14" s="141"/>
      <c r="D14" s="6" t="s">
        <v>20</v>
      </c>
      <c r="E14" s="142" t="s">
        <v>427</v>
      </c>
      <c r="F14" s="143"/>
      <c r="G14" s="144"/>
    </row>
    <row r="15" spans="1:8" x14ac:dyDescent="0.2">
      <c r="A15" s="6" t="s">
        <v>577</v>
      </c>
      <c r="B15" s="121" t="s">
        <v>488</v>
      </c>
      <c r="C15" s="122"/>
      <c r="D15" s="6" t="s">
        <v>572</v>
      </c>
      <c r="E15" s="53">
        <v>20</v>
      </c>
      <c r="F15" s="6" t="s">
        <v>574</v>
      </c>
      <c r="G15" s="62">
        <v>0.53300000000000003</v>
      </c>
    </row>
    <row r="16" spans="1:8" ht="6" customHeight="1" x14ac:dyDescent="0.2">
      <c r="A16" s="5"/>
      <c r="B16" s="5"/>
      <c r="C16" s="5"/>
      <c r="D16" s="5"/>
      <c r="E16" s="5"/>
      <c r="F16" s="5"/>
      <c r="G16" s="5"/>
    </row>
    <row r="17" spans="1:7" x14ac:dyDescent="0.2">
      <c r="A17" s="85" t="s">
        <v>387</v>
      </c>
      <c r="B17" s="85"/>
      <c r="C17" s="85"/>
      <c r="D17" s="85"/>
      <c r="E17" s="85"/>
      <c r="F17" s="85"/>
      <c r="G17" s="85"/>
    </row>
    <row r="18" spans="1:7" ht="6" customHeight="1" x14ac:dyDescent="0.2">
      <c r="A18" s="20"/>
      <c r="B18" s="20"/>
      <c r="C18" s="20"/>
      <c r="D18" s="20"/>
      <c r="E18" s="20"/>
      <c r="F18" s="20"/>
      <c r="G18" s="20"/>
    </row>
    <row r="19" spans="1:7" x14ac:dyDescent="0.2">
      <c r="A19" s="78" t="s">
        <v>424</v>
      </c>
      <c r="B19" s="56"/>
      <c r="C19" s="53"/>
      <c r="D19" s="57"/>
      <c r="E19" s="57"/>
      <c r="F19" s="134"/>
      <c r="G19" s="136"/>
    </row>
    <row r="20" spans="1:7" x14ac:dyDescent="0.2">
      <c r="A20" s="78"/>
      <c r="B20" s="9" t="s">
        <v>362</v>
      </c>
      <c r="C20" s="9" t="s">
        <v>363</v>
      </c>
      <c r="D20" s="9" t="s">
        <v>364</v>
      </c>
      <c r="E20" s="9" t="s">
        <v>382</v>
      </c>
      <c r="F20" s="86" t="s">
        <v>395</v>
      </c>
      <c r="G20" s="86"/>
    </row>
    <row r="21" spans="1:7" ht="12" customHeight="1" x14ac:dyDescent="0.2">
      <c r="A21" s="36"/>
      <c r="B21" s="39" t="s">
        <v>517</v>
      </c>
      <c r="C21" s="9"/>
      <c r="D21" s="9"/>
      <c r="E21" s="9"/>
      <c r="F21" s="9"/>
      <c r="G21" s="5"/>
    </row>
    <row r="22" spans="1:7" ht="6" customHeight="1" x14ac:dyDescent="0.2">
      <c r="A22" s="36"/>
      <c r="B22" s="9"/>
      <c r="C22" s="9"/>
      <c r="D22" s="9"/>
      <c r="E22" s="9"/>
      <c r="F22" s="9"/>
      <c r="G22" s="5"/>
    </row>
    <row r="23" spans="1:7" ht="12.75" customHeight="1" x14ac:dyDescent="0.2">
      <c r="A23" s="78" t="s">
        <v>388</v>
      </c>
      <c r="B23" s="56"/>
      <c r="C23" s="53"/>
      <c r="D23" s="57"/>
      <c r="E23" s="112"/>
      <c r="F23" s="112"/>
      <c r="G23" s="112"/>
    </row>
    <row r="24" spans="1:7" x14ac:dyDescent="0.2">
      <c r="A24" s="78"/>
      <c r="B24" s="9" t="s">
        <v>362</v>
      </c>
      <c r="C24" s="9" t="s">
        <v>363</v>
      </c>
      <c r="D24" s="9" t="s">
        <v>364</v>
      </c>
      <c r="E24" s="9" t="s">
        <v>393</v>
      </c>
      <c r="F24" s="9"/>
      <c r="G24" s="5"/>
    </row>
    <row r="25" spans="1:7" x14ac:dyDescent="0.2">
      <c r="A25" s="36"/>
      <c r="B25" s="134"/>
      <c r="C25" s="136"/>
      <c r="D25" s="134"/>
      <c r="E25" s="136"/>
      <c r="F25" s="9"/>
      <c r="G25" s="5"/>
    </row>
    <row r="26" spans="1:7" x14ac:dyDescent="0.2">
      <c r="A26" s="36"/>
      <c r="B26" s="86" t="s">
        <v>395</v>
      </c>
      <c r="C26" s="86"/>
      <c r="D26" s="9" t="s">
        <v>521</v>
      </c>
      <c r="E26" s="9"/>
      <c r="F26" s="9"/>
      <c r="G26" s="5"/>
    </row>
    <row r="27" spans="1:7" ht="6" customHeight="1" x14ac:dyDescent="0.2">
      <c r="A27" s="36"/>
      <c r="B27" s="9"/>
      <c r="C27" s="9"/>
      <c r="D27" s="9"/>
      <c r="E27" s="9"/>
      <c r="F27" s="9"/>
      <c r="G27" s="5"/>
    </row>
    <row r="28" spans="1:7" x14ac:dyDescent="0.2">
      <c r="A28" s="78" t="s">
        <v>389</v>
      </c>
      <c r="B28" s="57"/>
      <c r="C28" s="58"/>
      <c r="D28" s="134"/>
      <c r="E28" s="135"/>
      <c r="F28" s="135"/>
      <c r="G28" s="136"/>
    </row>
    <row r="29" spans="1:7" x14ac:dyDescent="0.2">
      <c r="A29" s="78"/>
      <c r="B29" s="9" t="s">
        <v>364</v>
      </c>
      <c r="C29" s="9" t="s">
        <v>382</v>
      </c>
      <c r="D29" s="9" t="s">
        <v>3</v>
      </c>
      <c r="E29" s="9"/>
      <c r="F29" s="9"/>
      <c r="G29" s="5"/>
    </row>
    <row r="30" spans="1:7" ht="6" customHeight="1" x14ac:dyDescent="0.2">
      <c r="A30" s="5"/>
      <c r="B30" s="5"/>
      <c r="C30" s="5"/>
      <c r="D30" s="5"/>
      <c r="E30" s="20"/>
      <c r="F30" s="20"/>
      <c r="G30" s="5"/>
    </row>
    <row r="31" spans="1:7" x14ac:dyDescent="0.2">
      <c r="A31" s="78" t="s">
        <v>425</v>
      </c>
      <c r="B31" s="57">
        <f ca="1">TODAY()+15</f>
        <v>41615</v>
      </c>
      <c r="C31" s="137" t="s">
        <v>415</v>
      </c>
      <c r="D31" s="138"/>
      <c r="E31" s="139"/>
      <c r="F31" s="26"/>
      <c r="G31" s="5"/>
    </row>
    <row r="32" spans="1:7" x14ac:dyDescent="0.2">
      <c r="A32" s="78"/>
      <c r="B32" s="9" t="s">
        <v>382</v>
      </c>
      <c r="C32" s="9" t="s">
        <v>3</v>
      </c>
      <c r="D32" s="5"/>
      <c r="E32" s="5"/>
      <c r="F32" s="5"/>
      <c r="G32" s="5"/>
    </row>
    <row r="33" spans="1:7" ht="6" customHeight="1" x14ac:dyDescent="0.2">
      <c r="A33" s="5"/>
      <c r="B33" s="9"/>
      <c r="C33" s="9"/>
      <c r="D33" s="5"/>
      <c r="E33" s="5"/>
      <c r="F33" s="5"/>
      <c r="G33" s="5"/>
    </row>
    <row r="34" spans="1:7" x14ac:dyDescent="0.2">
      <c r="A34" s="85" t="s">
        <v>392</v>
      </c>
      <c r="B34" s="85"/>
      <c r="C34" s="85"/>
      <c r="D34" s="85"/>
      <c r="E34" s="85"/>
      <c r="F34" s="85"/>
      <c r="G34" s="85"/>
    </row>
    <row r="35" spans="1:7" ht="6" customHeight="1" x14ac:dyDescent="0.2">
      <c r="A35" s="20"/>
      <c r="B35" s="20"/>
      <c r="C35" s="20"/>
      <c r="D35" s="20"/>
      <c r="E35" s="20"/>
      <c r="F35" s="20"/>
      <c r="G35" s="20"/>
    </row>
    <row r="36" spans="1:7" x14ac:dyDescent="0.2">
      <c r="A36" s="6" t="s">
        <v>391</v>
      </c>
      <c r="B36" s="56"/>
      <c r="C36" s="53"/>
      <c r="D36" s="56"/>
      <c r="E36" s="53"/>
      <c r="F36" s="57"/>
      <c r="G36" s="5"/>
    </row>
    <row r="37" spans="1:7" x14ac:dyDescent="0.2">
      <c r="A37" s="10"/>
      <c r="B37" s="9" t="s">
        <v>396</v>
      </c>
      <c r="C37" s="9" t="s">
        <v>363</v>
      </c>
      <c r="D37" s="9" t="s">
        <v>397</v>
      </c>
      <c r="E37" s="9" t="s">
        <v>363</v>
      </c>
      <c r="F37" s="9" t="s">
        <v>364</v>
      </c>
      <c r="G37" s="5"/>
    </row>
    <row r="38" spans="1:7" ht="6" customHeight="1" x14ac:dyDescent="0.2">
      <c r="A38" s="10"/>
      <c r="B38" s="9"/>
      <c r="C38" s="9"/>
      <c r="D38" s="9"/>
      <c r="E38" s="9"/>
      <c r="F38" s="9"/>
      <c r="G38" s="5"/>
    </row>
    <row r="39" spans="1:7" x14ac:dyDescent="0.2">
      <c r="A39" s="78" t="s">
        <v>406</v>
      </c>
      <c r="B39" s="56"/>
      <c r="C39" s="57"/>
      <c r="D39" s="116" t="s">
        <v>515</v>
      </c>
      <c r="E39" s="117"/>
      <c r="F39" s="117"/>
      <c r="G39" s="5"/>
    </row>
    <row r="40" spans="1:7" x14ac:dyDescent="0.2">
      <c r="A40" s="78"/>
      <c r="B40" s="9" t="s">
        <v>365</v>
      </c>
      <c r="C40" s="9" t="s">
        <v>366</v>
      </c>
      <c r="D40" s="34" t="s">
        <v>472</v>
      </c>
      <c r="E40" s="5"/>
      <c r="F40" s="5"/>
      <c r="G40" s="5"/>
    </row>
    <row r="41" spans="1:7" x14ac:dyDescent="0.2">
      <c r="A41" s="36"/>
      <c r="B41" s="118" t="s">
        <v>513</v>
      </c>
      <c r="C41" s="118"/>
      <c r="D41" s="118"/>
      <c r="E41" s="118"/>
      <c r="F41" s="118"/>
      <c r="G41" s="118"/>
    </row>
    <row r="42" spans="1:7" ht="6" customHeight="1" x14ac:dyDescent="0.2">
      <c r="A42" s="11"/>
      <c r="B42" s="12"/>
      <c r="C42" s="12"/>
      <c r="D42" s="11"/>
      <c r="E42" s="11"/>
      <c r="F42" s="11"/>
      <c r="G42" s="11"/>
    </row>
    <row r="43" spans="1:7" ht="6" customHeight="1" x14ac:dyDescent="0.2">
      <c r="A43" s="20"/>
      <c r="B43" s="12"/>
      <c r="C43" s="12"/>
      <c r="D43" s="11"/>
      <c r="E43" s="11"/>
      <c r="F43" s="11"/>
      <c r="G43" s="20"/>
    </row>
    <row r="44" spans="1:7" x14ac:dyDescent="0.2">
      <c r="A44" s="5"/>
      <c r="B44" s="119" t="s">
        <v>376</v>
      </c>
      <c r="C44" s="119"/>
      <c r="D44" s="119"/>
      <c r="E44" s="119"/>
      <c r="F44" s="119"/>
      <c r="G44" s="5"/>
    </row>
    <row r="45" spans="1:7" x14ac:dyDescent="0.2">
      <c r="A45" s="5"/>
      <c r="B45" s="13" t="s">
        <v>367</v>
      </c>
      <c r="C45" s="13" t="s">
        <v>368</v>
      </c>
      <c r="D45" s="13" t="s">
        <v>369</v>
      </c>
      <c r="E45" s="13" t="s">
        <v>370</v>
      </c>
      <c r="F45" s="13" t="s">
        <v>371</v>
      </c>
      <c r="G45" s="5"/>
    </row>
    <row r="46" spans="1:7" x14ac:dyDescent="0.2">
      <c r="A46" s="120" t="s">
        <v>383</v>
      </c>
      <c r="B46" s="59">
        <v>110000</v>
      </c>
      <c r="C46" s="50">
        <v>24110</v>
      </c>
      <c r="D46" s="50">
        <v>611005</v>
      </c>
      <c r="E46" s="50">
        <v>41</v>
      </c>
      <c r="F46" s="60">
        <v>1</v>
      </c>
      <c r="G46" s="27" t="str">
        <f>VLOOKUP($D46,$L$163:$M$174,2,FALSE)</f>
        <v>Administrative</v>
      </c>
    </row>
    <row r="47" spans="1:7" x14ac:dyDescent="0.2">
      <c r="A47" s="120"/>
      <c r="B47" s="59"/>
      <c r="C47" s="50"/>
      <c r="D47" s="50"/>
      <c r="E47" s="50"/>
      <c r="F47" s="60"/>
      <c r="G47" s="27" t="e">
        <f>VLOOKUP($D47,$L$163:$M$174,2,FALSE)</f>
        <v>#N/A</v>
      </c>
    </row>
    <row r="48" spans="1:7" x14ac:dyDescent="0.2">
      <c r="A48" s="120"/>
      <c r="B48" s="59"/>
      <c r="C48" s="50"/>
      <c r="D48" s="50"/>
      <c r="E48" s="50"/>
      <c r="F48" s="60"/>
      <c r="G48" s="27" t="e">
        <f>VLOOKUP($D48,$L$163:$M$174,2,FALSE)</f>
        <v>#N/A</v>
      </c>
    </row>
    <row r="49" spans="1:7" x14ac:dyDescent="0.2">
      <c r="A49" s="120"/>
      <c r="B49" s="50"/>
      <c r="C49" s="50"/>
      <c r="D49" s="50"/>
      <c r="E49" s="50"/>
      <c r="F49" s="60"/>
      <c r="G49" s="27" t="e">
        <f>VLOOKUP($D49,$L$163:$M$174,2,FALSE)</f>
        <v>#N/A</v>
      </c>
    </row>
    <row r="50" spans="1:7" x14ac:dyDescent="0.2">
      <c r="A50" s="5"/>
      <c r="B50" s="14"/>
      <c r="C50" s="14"/>
      <c r="D50" s="14"/>
      <c r="E50" s="18" t="s">
        <v>372</v>
      </c>
      <c r="F50" s="19">
        <f>SUM(F46:F49)</f>
        <v>1</v>
      </c>
      <c r="G50" s="5"/>
    </row>
    <row r="51" spans="1:7" ht="6" customHeight="1" x14ac:dyDescent="0.2">
      <c r="A51" s="11"/>
      <c r="B51" s="11"/>
      <c r="C51" s="11"/>
      <c r="D51" s="11"/>
      <c r="E51" s="11"/>
      <c r="F51" s="11"/>
      <c r="G51" s="11"/>
    </row>
    <row r="52" spans="1:7" ht="6" customHeight="1" x14ac:dyDescent="0.2">
      <c r="A52" s="5"/>
      <c r="B52" s="5"/>
      <c r="C52" s="5"/>
      <c r="D52" s="5"/>
      <c r="E52" s="5"/>
      <c r="F52" s="5"/>
      <c r="G52" s="5"/>
    </row>
    <row r="53" spans="1:7" x14ac:dyDescent="0.2">
      <c r="A53" s="6" t="s">
        <v>373</v>
      </c>
      <c r="B53" s="121" t="s">
        <v>488</v>
      </c>
      <c r="C53" s="122"/>
      <c r="D53" s="6" t="s">
        <v>374</v>
      </c>
      <c r="E53" s="123">
        <v>3123410055</v>
      </c>
      <c r="F53" s="124"/>
      <c r="G53" s="5"/>
    </row>
    <row r="54" spans="1:7" ht="12.75" customHeight="1" x14ac:dyDescent="0.2">
      <c r="A54" s="5"/>
      <c r="B54" s="106" t="s">
        <v>473</v>
      </c>
      <c r="C54" s="106"/>
      <c r="D54" s="6" t="s">
        <v>375</v>
      </c>
      <c r="E54" s="122" t="s">
        <v>489</v>
      </c>
      <c r="F54" s="122"/>
      <c r="G54" s="5"/>
    </row>
    <row r="55" spans="1:7" x14ac:dyDescent="0.2">
      <c r="A55" s="5"/>
      <c r="B55" s="107"/>
      <c r="C55" s="107"/>
      <c r="D55" s="5"/>
      <c r="E55" s="5"/>
      <c r="F55" s="5"/>
      <c r="G55" s="5"/>
    </row>
    <row r="56" spans="1:7" x14ac:dyDescent="0.2">
      <c r="A56" s="6" t="s">
        <v>0</v>
      </c>
      <c r="B56" s="125"/>
      <c r="C56" s="126"/>
      <c r="D56" s="126"/>
      <c r="E56" s="126"/>
      <c r="F56" s="126"/>
      <c r="G56" s="127"/>
    </row>
    <row r="57" spans="1:7" x14ac:dyDescent="0.2">
      <c r="A57" s="5"/>
      <c r="B57" s="128"/>
      <c r="C57" s="129"/>
      <c r="D57" s="129"/>
      <c r="E57" s="129"/>
      <c r="F57" s="129"/>
      <c r="G57" s="130"/>
    </row>
    <row r="58" spans="1:7" x14ac:dyDescent="0.2">
      <c r="A58" s="5"/>
      <c r="B58" s="128"/>
      <c r="C58" s="129"/>
      <c r="D58" s="129"/>
      <c r="E58" s="129"/>
      <c r="F58" s="129"/>
      <c r="G58" s="130"/>
    </row>
    <row r="59" spans="1:7" x14ac:dyDescent="0.2">
      <c r="A59" s="5"/>
      <c r="B59" s="131"/>
      <c r="C59" s="132"/>
      <c r="D59" s="132"/>
      <c r="E59" s="132"/>
      <c r="F59" s="132"/>
      <c r="G59" s="133"/>
    </row>
    <row r="60" spans="1:7" ht="6" customHeight="1" x14ac:dyDescent="0.2">
      <c r="A60" s="5"/>
      <c r="B60" s="42"/>
      <c r="C60" s="42"/>
      <c r="D60" s="42"/>
      <c r="E60" s="42"/>
      <c r="F60" s="42"/>
      <c r="G60" s="42"/>
    </row>
    <row r="61" spans="1:7" x14ac:dyDescent="0.2">
      <c r="A61" s="85" t="s">
        <v>516</v>
      </c>
      <c r="B61" s="85"/>
      <c r="C61" s="85"/>
      <c r="D61" s="85"/>
      <c r="E61" s="85"/>
      <c r="F61" s="85"/>
      <c r="G61" s="85"/>
    </row>
    <row r="62" spans="1:7" ht="15.75" x14ac:dyDescent="0.25">
      <c r="A62" s="6"/>
      <c r="B62" s="99" t="s">
        <v>2</v>
      </c>
      <c r="C62" s="99"/>
      <c r="D62" s="100" t="s">
        <v>398</v>
      </c>
      <c r="E62" s="100"/>
      <c r="F62" s="101" t="s">
        <v>524</v>
      </c>
      <c r="G62" s="101"/>
    </row>
    <row r="63" spans="1:7" x14ac:dyDescent="0.2">
      <c r="A63" s="6" t="s">
        <v>514</v>
      </c>
      <c r="B63" s="121" t="s">
        <v>488</v>
      </c>
      <c r="C63" s="122"/>
      <c r="D63" s="121" t="s">
        <v>537</v>
      </c>
      <c r="E63" s="122"/>
      <c r="F63" s="121"/>
      <c r="G63" s="122"/>
    </row>
    <row r="64" spans="1:7" x14ac:dyDescent="0.2">
      <c r="A64" s="110" t="s">
        <v>1</v>
      </c>
      <c r="B64" s="112"/>
      <c r="C64" s="112"/>
      <c r="D64" s="112"/>
      <c r="E64" s="112"/>
      <c r="F64" s="112"/>
      <c r="G64" s="112"/>
    </row>
    <row r="65" spans="1:7" x14ac:dyDescent="0.2">
      <c r="A65" s="111"/>
      <c r="B65" s="112"/>
      <c r="C65" s="112"/>
      <c r="D65" s="112"/>
      <c r="E65" s="112"/>
      <c r="F65" s="112"/>
      <c r="G65" s="112"/>
    </row>
    <row r="66" spans="1:7" ht="6" customHeight="1" x14ac:dyDescent="0.2">
      <c r="A66" s="15"/>
      <c r="B66" s="37"/>
      <c r="C66" s="37"/>
      <c r="D66" s="37"/>
      <c r="E66" s="37"/>
      <c r="F66" s="37"/>
      <c r="G66" s="37"/>
    </row>
    <row r="67" spans="1:7" ht="13.15" customHeight="1" x14ac:dyDescent="0.2">
      <c r="A67" s="5"/>
      <c r="B67" s="5"/>
      <c r="C67" s="43"/>
      <c r="D67" s="102" t="s">
        <v>525</v>
      </c>
      <c r="E67" s="102"/>
      <c r="F67" s="102"/>
      <c r="G67" s="102"/>
    </row>
    <row r="68" spans="1:7" x14ac:dyDescent="0.2">
      <c r="A68" s="44"/>
      <c r="B68" s="45"/>
      <c r="C68" s="45"/>
      <c r="D68" s="103"/>
      <c r="E68" s="103"/>
      <c r="F68" s="103"/>
      <c r="G68" s="103"/>
    </row>
    <row r="69" spans="1:7" x14ac:dyDescent="0.2">
      <c r="A69" s="8"/>
      <c r="B69" s="98" t="s">
        <v>379</v>
      </c>
      <c r="C69" s="98"/>
      <c r="D69" s="8"/>
      <c r="E69" s="8"/>
      <c r="F69" s="8"/>
      <c r="G69" s="8"/>
    </row>
    <row r="70" spans="1:7" ht="6" customHeight="1" x14ac:dyDescent="0.2">
      <c r="A70" s="5"/>
      <c r="B70" s="5"/>
      <c r="C70" s="5"/>
      <c r="D70" s="5"/>
      <c r="E70" s="5"/>
      <c r="F70" s="5"/>
      <c r="G70" s="5"/>
    </row>
    <row r="71" spans="1:7" x14ac:dyDescent="0.2">
      <c r="A71" s="5"/>
      <c r="B71" s="9" t="s">
        <v>401</v>
      </c>
      <c r="C71" s="9" t="s">
        <v>403</v>
      </c>
      <c r="D71" s="5" t="s">
        <v>407</v>
      </c>
      <c r="E71" s="9" t="s">
        <v>402</v>
      </c>
      <c r="F71" s="9" t="s">
        <v>402</v>
      </c>
      <c r="G71" s="9"/>
    </row>
    <row r="72" spans="1:7" x14ac:dyDescent="0.2">
      <c r="A72" s="5"/>
      <c r="B72" s="24" t="s">
        <v>399</v>
      </c>
      <c r="C72" s="24" t="s">
        <v>404</v>
      </c>
      <c r="D72" s="24" t="s">
        <v>408</v>
      </c>
      <c r="E72" s="24" t="s">
        <v>400</v>
      </c>
      <c r="F72" s="24" t="s">
        <v>405</v>
      </c>
      <c r="G72" s="23" t="s">
        <v>578</v>
      </c>
    </row>
    <row r="73" spans="1:7" x14ac:dyDescent="0.2">
      <c r="A73" s="41"/>
      <c r="B73" s="41"/>
      <c r="C73" s="41"/>
      <c r="D73" s="41"/>
      <c r="E73" s="41"/>
      <c r="F73" s="41"/>
      <c r="G73" s="41"/>
    </row>
    <row r="91" spans="12:14" x14ac:dyDescent="0.2">
      <c r="L91" s="2" t="s">
        <v>4</v>
      </c>
      <c r="M91" s="1" t="s">
        <v>12</v>
      </c>
      <c r="N91" s="46" t="s">
        <v>25</v>
      </c>
    </row>
    <row r="92" spans="12:14" x14ac:dyDescent="0.2">
      <c r="L92" s="2" t="s">
        <v>6</v>
      </c>
      <c r="M92" s="1" t="s">
        <v>361</v>
      </c>
      <c r="N92" s="46" t="s">
        <v>26</v>
      </c>
    </row>
    <row r="93" spans="12:14" x14ac:dyDescent="0.2">
      <c r="L93" s="2" t="s">
        <v>5</v>
      </c>
      <c r="M93" s="1" t="s">
        <v>12</v>
      </c>
      <c r="N93" s="46" t="s">
        <v>27</v>
      </c>
    </row>
    <row r="94" spans="12:14" x14ac:dyDescent="0.2">
      <c r="L94" s="2" t="s">
        <v>7</v>
      </c>
      <c r="M94" s="1" t="s">
        <v>361</v>
      </c>
      <c r="N94" s="46" t="s">
        <v>28</v>
      </c>
    </row>
    <row r="95" spans="12:14" x14ac:dyDescent="0.2">
      <c r="L95" s="2" t="s">
        <v>8</v>
      </c>
      <c r="M95" s="1" t="s">
        <v>361</v>
      </c>
      <c r="N95" s="46" t="s">
        <v>29</v>
      </c>
    </row>
    <row r="96" spans="12:14" x14ac:dyDescent="0.2">
      <c r="L96" s="1" t="s">
        <v>377</v>
      </c>
      <c r="M96" s="1" t="s">
        <v>361</v>
      </c>
      <c r="N96" s="46" t="s">
        <v>30</v>
      </c>
    </row>
    <row r="97" spans="12:14" x14ac:dyDescent="0.2">
      <c r="L97" s="2" t="s">
        <v>9</v>
      </c>
      <c r="M97" s="1" t="s">
        <v>12</v>
      </c>
      <c r="N97" s="46" t="s">
        <v>31</v>
      </c>
    </row>
    <row r="98" spans="12:14" x14ac:dyDescent="0.2">
      <c r="L98" s="1" t="s">
        <v>378</v>
      </c>
      <c r="M98" s="1" t="s">
        <v>12</v>
      </c>
      <c r="N98" s="46" t="s">
        <v>32</v>
      </c>
    </row>
    <row r="99" spans="12:14" x14ac:dyDescent="0.2">
      <c r="L99" s="2" t="s">
        <v>353</v>
      </c>
      <c r="M99" s="1" t="s">
        <v>11</v>
      </c>
      <c r="N99" s="46" t="s">
        <v>33</v>
      </c>
    </row>
    <row r="100" spans="12:14" x14ac:dyDescent="0.2">
      <c r="L100" s="2" t="s">
        <v>354</v>
      </c>
      <c r="M100" s="1" t="s">
        <v>11</v>
      </c>
      <c r="N100" s="46" t="s">
        <v>34</v>
      </c>
    </row>
    <row r="101" spans="12:14" x14ac:dyDescent="0.2">
      <c r="L101" s="2" t="s">
        <v>355</v>
      </c>
      <c r="M101" s="1" t="s">
        <v>11</v>
      </c>
      <c r="N101" s="46" t="s">
        <v>35</v>
      </c>
    </row>
    <row r="102" spans="12:14" x14ac:dyDescent="0.2">
      <c r="L102" s="2" t="s">
        <v>356</v>
      </c>
      <c r="M102" s="1" t="s">
        <v>11</v>
      </c>
      <c r="N102" s="46" t="s">
        <v>36</v>
      </c>
    </row>
    <row r="103" spans="12:14" x14ac:dyDescent="0.2">
      <c r="L103" s="2" t="s">
        <v>357</v>
      </c>
      <c r="M103" s="1" t="s">
        <v>11</v>
      </c>
      <c r="N103" s="46" t="s">
        <v>37</v>
      </c>
    </row>
    <row r="104" spans="12:14" x14ac:dyDescent="0.2">
      <c r="L104" s="2" t="s">
        <v>358</v>
      </c>
      <c r="M104" s="1" t="s">
        <v>11</v>
      </c>
      <c r="N104" s="46" t="s">
        <v>38</v>
      </c>
    </row>
    <row r="105" spans="12:14" x14ac:dyDescent="0.2">
      <c r="L105" s="1" t="s">
        <v>411</v>
      </c>
      <c r="M105" s="1" t="s">
        <v>11</v>
      </c>
      <c r="N105" s="46" t="s">
        <v>39</v>
      </c>
    </row>
    <row r="106" spans="12:14" x14ac:dyDescent="0.2">
      <c r="L106" s="1" t="s">
        <v>433</v>
      </c>
      <c r="M106" s="1" t="s">
        <v>11</v>
      </c>
      <c r="N106" s="46" t="s">
        <v>40</v>
      </c>
    </row>
    <row r="107" spans="12:14" x14ac:dyDescent="0.2">
      <c r="L107" s="1" t="s">
        <v>410</v>
      </c>
      <c r="M107" s="1" t="s">
        <v>361</v>
      </c>
      <c r="N107" s="46" t="s">
        <v>41</v>
      </c>
    </row>
    <row r="108" spans="12:14" x14ac:dyDescent="0.2">
      <c r="L108" s="2" t="s">
        <v>352</v>
      </c>
      <c r="M108" s="1" t="s">
        <v>11</v>
      </c>
      <c r="N108" s="46" t="s">
        <v>42</v>
      </c>
    </row>
    <row r="109" spans="12:14" x14ac:dyDescent="0.2">
      <c r="L109" s="2" t="s">
        <v>359</v>
      </c>
      <c r="M109" s="1" t="s">
        <v>11</v>
      </c>
      <c r="N109" s="46" t="s">
        <v>43</v>
      </c>
    </row>
    <row r="110" spans="12:14" x14ac:dyDescent="0.2">
      <c r="N110" s="46" t="s">
        <v>44</v>
      </c>
    </row>
    <row r="111" spans="12:14" x14ac:dyDescent="0.2">
      <c r="N111" s="46" t="s">
        <v>45</v>
      </c>
    </row>
    <row r="112" spans="12:14" x14ac:dyDescent="0.2">
      <c r="N112" s="46" t="s">
        <v>46</v>
      </c>
    </row>
    <row r="113" spans="12:14" x14ac:dyDescent="0.2">
      <c r="N113" s="46" t="s">
        <v>47</v>
      </c>
    </row>
    <row r="114" spans="12:14" x14ac:dyDescent="0.2">
      <c r="L114" s="2" t="s">
        <v>22</v>
      </c>
      <c r="N114" s="46" t="s">
        <v>48</v>
      </c>
    </row>
    <row r="115" spans="12:14" x14ac:dyDescent="0.2">
      <c r="L115" s="2" t="s">
        <v>21</v>
      </c>
      <c r="N115" s="46" t="s">
        <v>49</v>
      </c>
    </row>
    <row r="116" spans="12:14" x14ac:dyDescent="0.2">
      <c r="L116" s="2" t="s">
        <v>23</v>
      </c>
      <c r="N116" s="46" t="s">
        <v>50</v>
      </c>
    </row>
    <row r="117" spans="12:14" x14ac:dyDescent="0.2">
      <c r="L117" s="2" t="s">
        <v>24</v>
      </c>
      <c r="N117" s="46" t="s">
        <v>51</v>
      </c>
    </row>
    <row r="118" spans="12:14" x14ac:dyDescent="0.2">
      <c r="L118" s="2" t="s">
        <v>385</v>
      </c>
      <c r="N118" s="46" t="s">
        <v>52</v>
      </c>
    </row>
    <row r="119" spans="12:14" x14ac:dyDescent="0.2">
      <c r="N119" s="46" t="s">
        <v>53</v>
      </c>
    </row>
    <row r="120" spans="12:14" x14ac:dyDescent="0.2">
      <c r="N120" s="46" t="s">
        <v>54</v>
      </c>
    </row>
    <row r="121" spans="12:14" x14ac:dyDescent="0.2">
      <c r="L121" s="1" t="s">
        <v>429</v>
      </c>
      <c r="N121" s="46" t="s">
        <v>55</v>
      </c>
    </row>
    <row r="122" spans="12:14" x14ac:dyDescent="0.2">
      <c r="L122" s="1" t="s">
        <v>430</v>
      </c>
      <c r="N122" s="46" t="s">
        <v>56</v>
      </c>
    </row>
    <row r="123" spans="12:14" x14ac:dyDescent="0.2">
      <c r="L123" s="2" t="s">
        <v>386</v>
      </c>
      <c r="N123" s="46" t="s">
        <v>57</v>
      </c>
    </row>
    <row r="124" spans="12:14" x14ac:dyDescent="0.2">
      <c r="L124" s="21" t="s">
        <v>390</v>
      </c>
      <c r="N124" s="46" t="s">
        <v>58</v>
      </c>
    </row>
    <row r="125" spans="12:14" x14ac:dyDescent="0.2">
      <c r="L125" s="1" t="s">
        <v>427</v>
      </c>
      <c r="N125" s="46" t="s">
        <v>59</v>
      </c>
    </row>
    <row r="126" spans="12:14" x14ac:dyDescent="0.2">
      <c r="L126" s="1" t="s">
        <v>426</v>
      </c>
      <c r="N126" s="46" t="s">
        <v>60</v>
      </c>
    </row>
    <row r="127" spans="12:14" x14ac:dyDescent="0.2">
      <c r="L127" s="1" t="s">
        <v>428</v>
      </c>
      <c r="N127" s="46" t="s">
        <v>61</v>
      </c>
    </row>
    <row r="128" spans="12:14" x14ac:dyDescent="0.2">
      <c r="L128" s="2" t="s">
        <v>360</v>
      </c>
      <c r="N128" s="46" t="s">
        <v>62</v>
      </c>
    </row>
    <row r="129" spans="12:14" x14ac:dyDescent="0.2">
      <c r="L129" s="1" t="s">
        <v>432</v>
      </c>
      <c r="N129" s="46" t="s">
        <v>63</v>
      </c>
    </row>
    <row r="130" spans="12:14" x14ac:dyDescent="0.2">
      <c r="N130" s="46" t="s">
        <v>64</v>
      </c>
    </row>
    <row r="131" spans="12:14" x14ac:dyDescent="0.2">
      <c r="N131" s="46" t="s">
        <v>65</v>
      </c>
    </row>
    <row r="132" spans="12:14" x14ac:dyDescent="0.2">
      <c r="N132" s="46" t="s">
        <v>66</v>
      </c>
    </row>
    <row r="133" spans="12:14" x14ac:dyDescent="0.2">
      <c r="L133" s="1" t="s">
        <v>10</v>
      </c>
      <c r="N133" s="46" t="s">
        <v>67</v>
      </c>
    </row>
    <row r="134" spans="12:14" x14ac:dyDescent="0.2">
      <c r="L134" s="1" t="s">
        <v>11</v>
      </c>
      <c r="N134" s="46" t="s">
        <v>68</v>
      </c>
    </row>
    <row r="135" spans="12:14" x14ac:dyDescent="0.2">
      <c r="L135" s="1" t="s">
        <v>361</v>
      </c>
      <c r="N135" s="46" t="s">
        <v>69</v>
      </c>
    </row>
    <row r="136" spans="12:14" x14ac:dyDescent="0.2">
      <c r="L136" s="1" t="s">
        <v>12</v>
      </c>
      <c r="N136" s="46" t="s">
        <v>70</v>
      </c>
    </row>
    <row r="137" spans="12:14" x14ac:dyDescent="0.2">
      <c r="L137" s="1" t="s">
        <v>13</v>
      </c>
      <c r="N137" s="46" t="s">
        <v>71</v>
      </c>
    </row>
    <row r="138" spans="12:14" x14ac:dyDescent="0.2">
      <c r="N138" s="46" t="s">
        <v>72</v>
      </c>
    </row>
    <row r="139" spans="12:14" x14ac:dyDescent="0.2">
      <c r="N139" s="46" t="s">
        <v>73</v>
      </c>
    </row>
    <row r="140" spans="12:14" x14ac:dyDescent="0.2">
      <c r="N140" s="46" t="s">
        <v>74</v>
      </c>
    </row>
    <row r="141" spans="12:14" x14ac:dyDescent="0.2">
      <c r="N141" s="46" t="s">
        <v>75</v>
      </c>
    </row>
    <row r="142" spans="12:14" x14ac:dyDescent="0.2">
      <c r="N142" s="46" t="s">
        <v>76</v>
      </c>
    </row>
    <row r="143" spans="12:14" x14ac:dyDescent="0.2">
      <c r="N143" s="46" t="s">
        <v>77</v>
      </c>
    </row>
    <row r="144" spans="12:14" x14ac:dyDescent="0.2">
      <c r="N144" s="46" t="s">
        <v>78</v>
      </c>
    </row>
    <row r="145" spans="12:14" x14ac:dyDescent="0.2">
      <c r="N145" s="46" t="s">
        <v>79</v>
      </c>
    </row>
    <row r="146" spans="12:14" x14ac:dyDescent="0.2">
      <c r="N146" s="46" t="s">
        <v>80</v>
      </c>
    </row>
    <row r="147" spans="12:14" x14ac:dyDescent="0.2">
      <c r="N147" s="46" t="s">
        <v>81</v>
      </c>
    </row>
    <row r="148" spans="12:14" x14ac:dyDescent="0.2">
      <c r="L148" s="1" t="s">
        <v>412</v>
      </c>
      <c r="N148" s="46" t="s">
        <v>82</v>
      </c>
    </row>
    <row r="149" spans="12:14" x14ac:dyDescent="0.2">
      <c r="L149" s="2" t="s">
        <v>413</v>
      </c>
      <c r="N149" s="46" t="s">
        <v>83</v>
      </c>
    </row>
    <row r="150" spans="12:14" x14ac:dyDescent="0.2">
      <c r="L150" s="2" t="s">
        <v>414</v>
      </c>
      <c r="N150" s="46" t="s">
        <v>84</v>
      </c>
    </row>
    <row r="151" spans="12:14" x14ac:dyDescent="0.2">
      <c r="L151" s="2" t="s">
        <v>415</v>
      </c>
      <c r="N151" s="46" t="s">
        <v>85</v>
      </c>
    </row>
    <row r="152" spans="12:14" x14ac:dyDescent="0.2">
      <c r="L152" s="2" t="s">
        <v>416</v>
      </c>
      <c r="N152" s="46" t="s">
        <v>86</v>
      </c>
    </row>
    <row r="153" spans="12:14" x14ac:dyDescent="0.2">
      <c r="L153" s="2" t="s">
        <v>417</v>
      </c>
      <c r="N153" s="46" t="s">
        <v>87</v>
      </c>
    </row>
    <row r="154" spans="12:14" x14ac:dyDescent="0.2">
      <c r="L154" s="2" t="s">
        <v>418</v>
      </c>
      <c r="N154" s="46" t="s">
        <v>88</v>
      </c>
    </row>
    <row r="155" spans="12:14" x14ac:dyDescent="0.2">
      <c r="L155" s="2" t="s">
        <v>419</v>
      </c>
      <c r="N155" s="46" t="s">
        <v>89</v>
      </c>
    </row>
    <row r="156" spans="12:14" x14ac:dyDescent="0.2">
      <c r="L156" s="2" t="s">
        <v>420</v>
      </c>
      <c r="N156" s="46" t="s">
        <v>90</v>
      </c>
    </row>
    <row r="157" spans="12:14" x14ac:dyDescent="0.2">
      <c r="L157" s="1" t="s">
        <v>421</v>
      </c>
      <c r="N157" s="46" t="s">
        <v>91</v>
      </c>
    </row>
    <row r="158" spans="12:14" x14ac:dyDescent="0.2">
      <c r="L158" s="1" t="s">
        <v>422</v>
      </c>
      <c r="N158" s="46" t="s">
        <v>92</v>
      </c>
    </row>
    <row r="159" spans="12:14" x14ac:dyDescent="0.2">
      <c r="L159" s="21" t="s">
        <v>423</v>
      </c>
      <c r="N159" s="46" t="s">
        <v>93</v>
      </c>
    </row>
    <row r="160" spans="12:14" x14ac:dyDescent="0.2">
      <c r="L160" s="21" t="s">
        <v>431</v>
      </c>
      <c r="N160" s="46" t="s">
        <v>94</v>
      </c>
    </row>
    <row r="161" spans="12:14" x14ac:dyDescent="0.2">
      <c r="N161" s="46" t="s">
        <v>95</v>
      </c>
    </row>
    <row r="162" spans="12:14" x14ac:dyDescent="0.2">
      <c r="N162" s="46" t="s">
        <v>96</v>
      </c>
    </row>
    <row r="163" spans="12:14" x14ac:dyDescent="0.2">
      <c r="L163" s="2">
        <v>610010</v>
      </c>
      <c r="M163" s="1" t="s">
        <v>436</v>
      </c>
      <c r="N163" s="46" t="s">
        <v>97</v>
      </c>
    </row>
    <row r="164" spans="12:14" x14ac:dyDescent="0.2">
      <c r="L164" s="2">
        <v>610011</v>
      </c>
      <c r="M164" s="1" t="s">
        <v>434</v>
      </c>
      <c r="N164" s="46" t="s">
        <v>98</v>
      </c>
    </row>
    <row r="165" spans="12:14" x14ac:dyDescent="0.2">
      <c r="L165" s="2">
        <v>610015</v>
      </c>
      <c r="M165" s="1" t="s">
        <v>445</v>
      </c>
      <c r="N165" s="46" t="s">
        <v>99</v>
      </c>
    </row>
    <row r="166" spans="12:14" x14ac:dyDescent="0.2">
      <c r="L166" s="2">
        <v>610020</v>
      </c>
      <c r="M166" s="1" t="s">
        <v>440</v>
      </c>
      <c r="N166" s="46" t="s">
        <v>100</v>
      </c>
    </row>
    <row r="167" spans="12:14" x14ac:dyDescent="0.2">
      <c r="L167" s="2">
        <v>610025</v>
      </c>
      <c r="M167" s="1" t="s">
        <v>435</v>
      </c>
      <c r="N167" s="46" t="s">
        <v>101</v>
      </c>
    </row>
    <row r="168" spans="12:14" x14ac:dyDescent="0.2">
      <c r="L168" s="2">
        <v>610030</v>
      </c>
      <c r="M168" s="1" t="s">
        <v>441</v>
      </c>
      <c r="N168" s="46" t="s">
        <v>102</v>
      </c>
    </row>
    <row r="169" spans="12:14" x14ac:dyDescent="0.2">
      <c r="L169" s="2">
        <v>611005</v>
      </c>
      <c r="M169" s="1" t="s">
        <v>442</v>
      </c>
      <c r="N169" s="46" t="s">
        <v>103</v>
      </c>
    </row>
    <row r="170" spans="12:14" x14ac:dyDescent="0.2">
      <c r="L170" s="2">
        <v>611010</v>
      </c>
      <c r="M170" s="1" t="s">
        <v>443</v>
      </c>
      <c r="N170" s="46" t="s">
        <v>104</v>
      </c>
    </row>
    <row r="171" spans="12:14" x14ac:dyDescent="0.2">
      <c r="L171" s="2">
        <v>611015</v>
      </c>
      <c r="M171" s="1" t="s">
        <v>444</v>
      </c>
      <c r="N171" s="46" t="s">
        <v>105</v>
      </c>
    </row>
    <row r="172" spans="12:14" x14ac:dyDescent="0.2">
      <c r="L172" s="2">
        <v>611030</v>
      </c>
      <c r="M172" s="1" t="s">
        <v>437</v>
      </c>
      <c r="N172" s="46" t="s">
        <v>106</v>
      </c>
    </row>
    <row r="173" spans="12:14" x14ac:dyDescent="0.2">
      <c r="L173" s="2">
        <v>611035</v>
      </c>
      <c r="M173" s="1" t="s">
        <v>438</v>
      </c>
      <c r="N173" s="46" t="s">
        <v>107</v>
      </c>
    </row>
    <row r="174" spans="12:14" x14ac:dyDescent="0.2">
      <c r="L174" s="2">
        <v>611040</v>
      </c>
      <c r="M174" s="1" t="s">
        <v>439</v>
      </c>
      <c r="N174" s="46" t="s">
        <v>108</v>
      </c>
    </row>
    <row r="175" spans="12:14" x14ac:dyDescent="0.2">
      <c r="N175" s="46" t="s">
        <v>109</v>
      </c>
    </row>
    <row r="176" spans="12:14" x14ac:dyDescent="0.2">
      <c r="N176" s="46" t="s">
        <v>110</v>
      </c>
    </row>
    <row r="177" spans="14:14" x14ac:dyDescent="0.2">
      <c r="N177" s="46" t="s">
        <v>111</v>
      </c>
    </row>
    <row r="178" spans="14:14" x14ac:dyDescent="0.2">
      <c r="N178" s="46" t="s">
        <v>112</v>
      </c>
    </row>
    <row r="179" spans="14:14" x14ac:dyDescent="0.2">
      <c r="N179" s="46" t="s">
        <v>113</v>
      </c>
    </row>
    <row r="180" spans="14:14" x14ac:dyDescent="0.2">
      <c r="N180" s="46" t="s">
        <v>114</v>
      </c>
    </row>
    <row r="181" spans="14:14" x14ac:dyDescent="0.2">
      <c r="N181" s="46" t="s">
        <v>115</v>
      </c>
    </row>
    <row r="182" spans="14:14" x14ac:dyDescent="0.2">
      <c r="N182" s="46" t="s">
        <v>116</v>
      </c>
    </row>
    <row r="183" spans="14:14" x14ac:dyDescent="0.2">
      <c r="N183" s="46" t="s">
        <v>117</v>
      </c>
    </row>
    <row r="184" spans="14:14" x14ac:dyDescent="0.2">
      <c r="N184" s="46" t="s">
        <v>118</v>
      </c>
    </row>
    <row r="185" spans="14:14" x14ac:dyDescent="0.2">
      <c r="N185" s="46" t="s">
        <v>119</v>
      </c>
    </row>
    <row r="186" spans="14:14" x14ac:dyDescent="0.2">
      <c r="N186" s="46" t="s">
        <v>120</v>
      </c>
    </row>
    <row r="187" spans="14:14" x14ac:dyDescent="0.2">
      <c r="N187" s="46" t="s">
        <v>121</v>
      </c>
    </row>
    <row r="188" spans="14:14" x14ac:dyDescent="0.2">
      <c r="N188" s="46" t="s">
        <v>122</v>
      </c>
    </row>
    <row r="189" spans="14:14" x14ac:dyDescent="0.2">
      <c r="N189" s="46" t="s">
        <v>123</v>
      </c>
    </row>
    <row r="190" spans="14:14" x14ac:dyDescent="0.2">
      <c r="N190" s="46" t="s">
        <v>124</v>
      </c>
    </row>
    <row r="191" spans="14:14" x14ac:dyDescent="0.2">
      <c r="N191" s="46" t="s">
        <v>125</v>
      </c>
    </row>
    <row r="192" spans="14:14" x14ac:dyDescent="0.2">
      <c r="N192" s="46" t="s">
        <v>126</v>
      </c>
    </row>
    <row r="193" spans="14:14" x14ac:dyDescent="0.2">
      <c r="N193" s="46" t="s">
        <v>127</v>
      </c>
    </row>
    <row r="194" spans="14:14" x14ac:dyDescent="0.2">
      <c r="N194" s="46" t="s">
        <v>128</v>
      </c>
    </row>
    <row r="195" spans="14:14" x14ac:dyDescent="0.2">
      <c r="N195" s="46" t="s">
        <v>129</v>
      </c>
    </row>
    <row r="196" spans="14:14" x14ac:dyDescent="0.2">
      <c r="N196" s="46" t="s">
        <v>130</v>
      </c>
    </row>
    <row r="197" spans="14:14" x14ac:dyDescent="0.2">
      <c r="N197" s="46" t="s">
        <v>131</v>
      </c>
    </row>
    <row r="198" spans="14:14" x14ac:dyDescent="0.2">
      <c r="N198" s="46" t="s">
        <v>132</v>
      </c>
    </row>
    <row r="199" spans="14:14" x14ac:dyDescent="0.2">
      <c r="N199" s="46" t="s">
        <v>133</v>
      </c>
    </row>
    <row r="200" spans="14:14" x14ac:dyDescent="0.2">
      <c r="N200" s="46" t="s">
        <v>134</v>
      </c>
    </row>
    <row r="201" spans="14:14" x14ac:dyDescent="0.2">
      <c r="N201" s="46" t="s">
        <v>135</v>
      </c>
    </row>
    <row r="202" spans="14:14" x14ac:dyDescent="0.2">
      <c r="N202" s="46" t="s">
        <v>136</v>
      </c>
    </row>
    <row r="203" spans="14:14" x14ac:dyDescent="0.2">
      <c r="N203" s="46" t="s">
        <v>137</v>
      </c>
    </row>
    <row r="204" spans="14:14" x14ac:dyDescent="0.2">
      <c r="N204" s="46" t="s">
        <v>138</v>
      </c>
    </row>
    <row r="205" spans="14:14" x14ac:dyDescent="0.2">
      <c r="N205" s="46" t="s">
        <v>139</v>
      </c>
    </row>
    <row r="206" spans="14:14" x14ac:dyDescent="0.2">
      <c r="N206" s="46" t="s">
        <v>140</v>
      </c>
    </row>
    <row r="207" spans="14:14" x14ac:dyDescent="0.2">
      <c r="N207" s="46" t="s">
        <v>141</v>
      </c>
    </row>
    <row r="208" spans="14:14" x14ac:dyDescent="0.2">
      <c r="N208" s="46" t="s">
        <v>142</v>
      </c>
    </row>
    <row r="209" spans="14:14" x14ac:dyDescent="0.2">
      <c r="N209" s="46" t="s">
        <v>143</v>
      </c>
    </row>
    <row r="210" spans="14:14" x14ac:dyDescent="0.2">
      <c r="N210" s="46" t="s">
        <v>144</v>
      </c>
    </row>
    <row r="211" spans="14:14" x14ac:dyDescent="0.2">
      <c r="N211" s="46" t="s">
        <v>145</v>
      </c>
    </row>
    <row r="212" spans="14:14" x14ac:dyDescent="0.2">
      <c r="N212" s="46" t="s">
        <v>146</v>
      </c>
    </row>
    <row r="213" spans="14:14" x14ac:dyDescent="0.2">
      <c r="N213" s="46" t="s">
        <v>147</v>
      </c>
    </row>
    <row r="214" spans="14:14" x14ac:dyDescent="0.2">
      <c r="N214" s="46" t="s">
        <v>148</v>
      </c>
    </row>
    <row r="215" spans="14:14" x14ac:dyDescent="0.2">
      <c r="N215" s="46" t="s">
        <v>149</v>
      </c>
    </row>
    <row r="216" spans="14:14" x14ac:dyDescent="0.2">
      <c r="N216" s="46" t="s">
        <v>150</v>
      </c>
    </row>
    <row r="217" spans="14:14" x14ac:dyDescent="0.2">
      <c r="N217" s="46" t="s">
        <v>151</v>
      </c>
    </row>
    <row r="218" spans="14:14" x14ac:dyDescent="0.2">
      <c r="N218" s="46" t="s">
        <v>152</v>
      </c>
    </row>
    <row r="219" spans="14:14" x14ac:dyDescent="0.2">
      <c r="N219" s="46" t="s">
        <v>153</v>
      </c>
    </row>
    <row r="220" spans="14:14" x14ac:dyDescent="0.2">
      <c r="N220" s="46" t="s">
        <v>154</v>
      </c>
    </row>
    <row r="221" spans="14:14" x14ac:dyDescent="0.2">
      <c r="N221" s="46" t="s">
        <v>155</v>
      </c>
    </row>
    <row r="222" spans="14:14" x14ac:dyDescent="0.2">
      <c r="N222" s="46" t="s">
        <v>156</v>
      </c>
    </row>
    <row r="223" spans="14:14" x14ac:dyDescent="0.2">
      <c r="N223" s="46" t="s">
        <v>157</v>
      </c>
    </row>
    <row r="224" spans="14:14" x14ac:dyDescent="0.2">
      <c r="N224" s="46" t="s">
        <v>158</v>
      </c>
    </row>
    <row r="225" spans="14:14" x14ac:dyDescent="0.2">
      <c r="N225" s="46" t="s">
        <v>159</v>
      </c>
    </row>
    <row r="226" spans="14:14" x14ac:dyDescent="0.2">
      <c r="N226" s="46" t="s">
        <v>160</v>
      </c>
    </row>
    <row r="227" spans="14:14" x14ac:dyDescent="0.2">
      <c r="N227" s="46" t="s">
        <v>161</v>
      </c>
    </row>
    <row r="228" spans="14:14" x14ac:dyDescent="0.2">
      <c r="N228" s="46" t="s">
        <v>162</v>
      </c>
    </row>
    <row r="229" spans="14:14" x14ac:dyDescent="0.2">
      <c r="N229" s="46" t="s">
        <v>163</v>
      </c>
    </row>
    <row r="230" spans="14:14" x14ac:dyDescent="0.2">
      <c r="N230" s="46" t="s">
        <v>164</v>
      </c>
    </row>
    <row r="231" spans="14:14" x14ac:dyDescent="0.2">
      <c r="N231" s="46" t="s">
        <v>165</v>
      </c>
    </row>
    <row r="232" spans="14:14" x14ac:dyDescent="0.2">
      <c r="N232" s="46" t="s">
        <v>166</v>
      </c>
    </row>
    <row r="233" spans="14:14" x14ac:dyDescent="0.2">
      <c r="N233" s="46" t="s">
        <v>167</v>
      </c>
    </row>
    <row r="234" spans="14:14" x14ac:dyDescent="0.2">
      <c r="N234" s="46" t="s">
        <v>168</v>
      </c>
    </row>
    <row r="235" spans="14:14" x14ac:dyDescent="0.2">
      <c r="N235" s="46" t="s">
        <v>169</v>
      </c>
    </row>
    <row r="236" spans="14:14" x14ac:dyDescent="0.2">
      <c r="N236" s="46" t="s">
        <v>170</v>
      </c>
    </row>
    <row r="237" spans="14:14" x14ac:dyDescent="0.2">
      <c r="N237" s="46" t="s">
        <v>171</v>
      </c>
    </row>
    <row r="238" spans="14:14" x14ac:dyDescent="0.2">
      <c r="N238" s="46" t="s">
        <v>172</v>
      </c>
    </row>
    <row r="239" spans="14:14" x14ac:dyDescent="0.2">
      <c r="N239" s="46" t="s">
        <v>173</v>
      </c>
    </row>
    <row r="240" spans="14:14" x14ac:dyDescent="0.2">
      <c r="N240" s="46" t="s">
        <v>174</v>
      </c>
    </row>
    <row r="241" spans="14:14" x14ac:dyDescent="0.2">
      <c r="N241" s="46" t="s">
        <v>175</v>
      </c>
    </row>
    <row r="242" spans="14:14" x14ac:dyDescent="0.2">
      <c r="N242" s="46" t="s">
        <v>176</v>
      </c>
    </row>
    <row r="243" spans="14:14" x14ac:dyDescent="0.2">
      <c r="N243" s="46" t="s">
        <v>177</v>
      </c>
    </row>
    <row r="244" spans="14:14" x14ac:dyDescent="0.2">
      <c r="N244" s="46" t="s">
        <v>178</v>
      </c>
    </row>
    <row r="245" spans="14:14" x14ac:dyDescent="0.2">
      <c r="N245" s="46" t="s">
        <v>179</v>
      </c>
    </row>
    <row r="246" spans="14:14" x14ac:dyDescent="0.2">
      <c r="N246" s="46" t="s">
        <v>180</v>
      </c>
    </row>
    <row r="247" spans="14:14" x14ac:dyDescent="0.2">
      <c r="N247" s="46" t="s">
        <v>181</v>
      </c>
    </row>
    <row r="248" spans="14:14" x14ac:dyDescent="0.2">
      <c r="N248" s="46" t="s">
        <v>182</v>
      </c>
    </row>
    <row r="249" spans="14:14" x14ac:dyDescent="0.2">
      <c r="N249" s="46" t="s">
        <v>183</v>
      </c>
    </row>
    <row r="250" spans="14:14" x14ac:dyDescent="0.2">
      <c r="N250" s="46" t="s">
        <v>184</v>
      </c>
    </row>
    <row r="251" spans="14:14" x14ac:dyDescent="0.2">
      <c r="N251" s="46" t="s">
        <v>185</v>
      </c>
    </row>
    <row r="252" spans="14:14" x14ac:dyDescent="0.2">
      <c r="N252" s="46" t="s">
        <v>186</v>
      </c>
    </row>
    <row r="253" spans="14:14" x14ac:dyDescent="0.2">
      <c r="N253" s="46" t="s">
        <v>187</v>
      </c>
    </row>
    <row r="254" spans="14:14" x14ac:dyDescent="0.2">
      <c r="N254" s="46" t="s">
        <v>188</v>
      </c>
    </row>
    <row r="255" spans="14:14" x14ac:dyDescent="0.2">
      <c r="N255" s="46" t="s">
        <v>189</v>
      </c>
    </row>
    <row r="256" spans="14:14" x14ac:dyDescent="0.2">
      <c r="N256" s="46" t="s">
        <v>190</v>
      </c>
    </row>
    <row r="257" spans="14:14" x14ac:dyDescent="0.2">
      <c r="N257" s="46" t="s">
        <v>191</v>
      </c>
    </row>
    <row r="258" spans="14:14" x14ac:dyDescent="0.2">
      <c r="N258" s="46" t="s">
        <v>192</v>
      </c>
    </row>
    <row r="259" spans="14:14" x14ac:dyDescent="0.2">
      <c r="N259" s="46" t="s">
        <v>193</v>
      </c>
    </row>
    <row r="260" spans="14:14" x14ac:dyDescent="0.2">
      <c r="N260" s="46" t="s">
        <v>194</v>
      </c>
    </row>
    <row r="261" spans="14:14" x14ac:dyDescent="0.2">
      <c r="N261" s="46" t="s">
        <v>195</v>
      </c>
    </row>
    <row r="262" spans="14:14" x14ac:dyDescent="0.2">
      <c r="N262" s="46" t="s">
        <v>196</v>
      </c>
    </row>
    <row r="263" spans="14:14" x14ac:dyDescent="0.2">
      <c r="N263" s="46" t="s">
        <v>197</v>
      </c>
    </row>
    <row r="264" spans="14:14" x14ac:dyDescent="0.2">
      <c r="N264" s="46" t="s">
        <v>198</v>
      </c>
    </row>
    <row r="265" spans="14:14" x14ac:dyDescent="0.2">
      <c r="N265" s="46" t="s">
        <v>199</v>
      </c>
    </row>
    <row r="266" spans="14:14" x14ac:dyDescent="0.2">
      <c r="N266" s="46" t="s">
        <v>200</v>
      </c>
    </row>
    <row r="267" spans="14:14" x14ac:dyDescent="0.2">
      <c r="N267" s="46" t="s">
        <v>201</v>
      </c>
    </row>
    <row r="268" spans="14:14" x14ac:dyDescent="0.2">
      <c r="N268" s="46" t="s">
        <v>202</v>
      </c>
    </row>
    <row r="269" spans="14:14" x14ac:dyDescent="0.2">
      <c r="N269" s="46" t="s">
        <v>203</v>
      </c>
    </row>
    <row r="270" spans="14:14" x14ac:dyDescent="0.2">
      <c r="N270" s="46" t="s">
        <v>204</v>
      </c>
    </row>
    <row r="271" spans="14:14" x14ac:dyDescent="0.2">
      <c r="N271" s="46" t="s">
        <v>205</v>
      </c>
    </row>
    <row r="272" spans="14:14" x14ac:dyDescent="0.2">
      <c r="N272" s="46" t="s">
        <v>206</v>
      </c>
    </row>
    <row r="273" spans="14:14" x14ac:dyDescent="0.2">
      <c r="N273" s="46" t="s">
        <v>207</v>
      </c>
    </row>
    <row r="274" spans="14:14" x14ac:dyDescent="0.2">
      <c r="N274" s="46" t="s">
        <v>208</v>
      </c>
    </row>
    <row r="275" spans="14:14" x14ac:dyDescent="0.2">
      <c r="N275" s="46" t="s">
        <v>209</v>
      </c>
    </row>
    <row r="276" spans="14:14" x14ac:dyDescent="0.2">
      <c r="N276" s="46" t="s">
        <v>210</v>
      </c>
    </row>
    <row r="277" spans="14:14" x14ac:dyDescent="0.2">
      <c r="N277" s="46" t="s">
        <v>211</v>
      </c>
    </row>
    <row r="278" spans="14:14" x14ac:dyDescent="0.2">
      <c r="N278" s="46" t="s">
        <v>212</v>
      </c>
    </row>
    <row r="279" spans="14:14" x14ac:dyDescent="0.2">
      <c r="N279" s="46" t="s">
        <v>213</v>
      </c>
    </row>
    <row r="280" spans="14:14" x14ac:dyDescent="0.2">
      <c r="N280" s="46" t="s">
        <v>214</v>
      </c>
    </row>
    <row r="281" spans="14:14" x14ac:dyDescent="0.2">
      <c r="N281" s="46" t="s">
        <v>215</v>
      </c>
    </row>
    <row r="282" spans="14:14" x14ac:dyDescent="0.2">
      <c r="N282" s="46" t="s">
        <v>216</v>
      </c>
    </row>
    <row r="283" spans="14:14" x14ac:dyDescent="0.2">
      <c r="N283" s="46" t="s">
        <v>217</v>
      </c>
    </row>
    <row r="284" spans="14:14" x14ac:dyDescent="0.2">
      <c r="N284" s="46" t="s">
        <v>218</v>
      </c>
    </row>
    <row r="285" spans="14:14" x14ac:dyDescent="0.2">
      <c r="N285" s="46" t="s">
        <v>219</v>
      </c>
    </row>
    <row r="286" spans="14:14" x14ac:dyDescent="0.2">
      <c r="N286" s="46" t="s">
        <v>220</v>
      </c>
    </row>
    <row r="287" spans="14:14" x14ac:dyDescent="0.2">
      <c r="N287" s="46" t="s">
        <v>221</v>
      </c>
    </row>
    <row r="288" spans="14:14" x14ac:dyDescent="0.2">
      <c r="N288" s="46" t="s">
        <v>222</v>
      </c>
    </row>
    <row r="289" spans="14:14" x14ac:dyDescent="0.2">
      <c r="N289" s="46" t="s">
        <v>223</v>
      </c>
    </row>
    <row r="290" spans="14:14" x14ac:dyDescent="0.2">
      <c r="N290" s="46" t="s">
        <v>224</v>
      </c>
    </row>
    <row r="291" spans="14:14" x14ac:dyDescent="0.2">
      <c r="N291" s="46" t="s">
        <v>225</v>
      </c>
    </row>
    <row r="292" spans="14:14" x14ac:dyDescent="0.2">
      <c r="N292" s="46" t="s">
        <v>226</v>
      </c>
    </row>
    <row r="293" spans="14:14" x14ac:dyDescent="0.2">
      <c r="N293" s="46" t="s">
        <v>227</v>
      </c>
    </row>
    <row r="294" spans="14:14" x14ac:dyDescent="0.2">
      <c r="N294" s="46" t="s">
        <v>228</v>
      </c>
    </row>
    <row r="295" spans="14:14" x14ac:dyDescent="0.2">
      <c r="N295" s="46" t="s">
        <v>229</v>
      </c>
    </row>
    <row r="296" spans="14:14" x14ac:dyDescent="0.2">
      <c r="N296" s="46" t="s">
        <v>230</v>
      </c>
    </row>
    <row r="297" spans="14:14" x14ac:dyDescent="0.2">
      <c r="N297" s="46" t="s">
        <v>231</v>
      </c>
    </row>
    <row r="298" spans="14:14" x14ac:dyDescent="0.2">
      <c r="N298" s="46" t="s">
        <v>232</v>
      </c>
    </row>
    <row r="299" spans="14:14" x14ac:dyDescent="0.2">
      <c r="N299" s="46" t="s">
        <v>233</v>
      </c>
    </row>
    <row r="300" spans="14:14" x14ac:dyDescent="0.2">
      <c r="N300" s="46" t="s">
        <v>234</v>
      </c>
    </row>
    <row r="301" spans="14:14" x14ac:dyDescent="0.2">
      <c r="N301" s="46" t="s">
        <v>235</v>
      </c>
    </row>
    <row r="302" spans="14:14" x14ac:dyDescent="0.2">
      <c r="N302" s="46" t="s">
        <v>236</v>
      </c>
    </row>
    <row r="303" spans="14:14" x14ac:dyDescent="0.2">
      <c r="N303" s="46" t="s">
        <v>237</v>
      </c>
    </row>
    <row r="304" spans="14:14" x14ac:dyDescent="0.2">
      <c r="N304" s="46" t="s">
        <v>238</v>
      </c>
    </row>
    <row r="305" spans="14:14" x14ac:dyDescent="0.2">
      <c r="N305" s="46" t="s">
        <v>239</v>
      </c>
    </row>
    <row r="306" spans="14:14" x14ac:dyDescent="0.2">
      <c r="N306" s="46" t="s">
        <v>240</v>
      </c>
    </row>
    <row r="307" spans="14:14" x14ac:dyDescent="0.2">
      <c r="N307" s="46" t="s">
        <v>241</v>
      </c>
    </row>
    <row r="308" spans="14:14" x14ac:dyDescent="0.2">
      <c r="N308" s="46" t="s">
        <v>242</v>
      </c>
    </row>
    <row r="309" spans="14:14" x14ac:dyDescent="0.2">
      <c r="N309" s="46" t="s">
        <v>243</v>
      </c>
    </row>
    <row r="310" spans="14:14" x14ac:dyDescent="0.2">
      <c r="N310" s="46" t="s">
        <v>244</v>
      </c>
    </row>
    <row r="311" spans="14:14" x14ac:dyDescent="0.2">
      <c r="N311" s="46" t="s">
        <v>245</v>
      </c>
    </row>
    <row r="312" spans="14:14" x14ac:dyDescent="0.2">
      <c r="N312" s="46" t="s">
        <v>246</v>
      </c>
    </row>
    <row r="313" spans="14:14" x14ac:dyDescent="0.2">
      <c r="N313" s="46" t="s">
        <v>247</v>
      </c>
    </row>
    <row r="314" spans="14:14" x14ac:dyDescent="0.2">
      <c r="N314" s="46" t="s">
        <v>248</v>
      </c>
    </row>
    <row r="315" spans="14:14" x14ac:dyDescent="0.2">
      <c r="N315" s="46" t="s">
        <v>249</v>
      </c>
    </row>
    <row r="316" spans="14:14" x14ac:dyDescent="0.2">
      <c r="N316" s="46" t="s">
        <v>250</v>
      </c>
    </row>
    <row r="317" spans="14:14" x14ac:dyDescent="0.2">
      <c r="N317" s="46" t="s">
        <v>251</v>
      </c>
    </row>
    <row r="318" spans="14:14" x14ac:dyDescent="0.2">
      <c r="N318" s="46" t="s">
        <v>252</v>
      </c>
    </row>
    <row r="319" spans="14:14" x14ac:dyDescent="0.2">
      <c r="N319" s="46" t="s">
        <v>253</v>
      </c>
    </row>
    <row r="320" spans="14:14" x14ac:dyDescent="0.2">
      <c r="N320" s="46" t="s">
        <v>254</v>
      </c>
    </row>
    <row r="321" spans="14:14" x14ac:dyDescent="0.2">
      <c r="N321" s="46" t="s">
        <v>255</v>
      </c>
    </row>
    <row r="322" spans="14:14" x14ac:dyDescent="0.2">
      <c r="N322" s="46" t="s">
        <v>256</v>
      </c>
    </row>
    <row r="323" spans="14:14" x14ac:dyDescent="0.2">
      <c r="N323" s="46" t="s">
        <v>257</v>
      </c>
    </row>
    <row r="324" spans="14:14" x14ac:dyDescent="0.2">
      <c r="N324" s="46" t="s">
        <v>258</v>
      </c>
    </row>
    <row r="325" spans="14:14" x14ac:dyDescent="0.2">
      <c r="N325" s="46" t="s">
        <v>259</v>
      </c>
    </row>
    <row r="326" spans="14:14" x14ac:dyDescent="0.2">
      <c r="N326" s="46" t="s">
        <v>260</v>
      </c>
    </row>
    <row r="327" spans="14:14" x14ac:dyDescent="0.2">
      <c r="N327" s="46" t="s">
        <v>261</v>
      </c>
    </row>
    <row r="328" spans="14:14" x14ac:dyDescent="0.2">
      <c r="N328" s="46" t="s">
        <v>262</v>
      </c>
    </row>
    <row r="329" spans="14:14" x14ac:dyDescent="0.2">
      <c r="N329" s="46" t="s">
        <v>263</v>
      </c>
    </row>
    <row r="330" spans="14:14" x14ac:dyDescent="0.2">
      <c r="N330" s="46" t="s">
        <v>264</v>
      </c>
    </row>
    <row r="331" spans="14:14" x14ac:dyDescent="0.2">
      <c r="N331" s="46" t="s">
        <v>265</v>
      </c>
    </row>
    <row r="332" spans="14:14" x14ac:dyDescent="0.2">
      <c r="N332" s="46" t="s">
        <v>266</v>
      </c>
    </row>
    <row r="333" spans="14:14" x14ac:dyDescent="0.2">
      <c r="N333" s="46" t="s">
        <v>267</v>
      </c>
    </row>
    <row r="334" spans="14:14" x14ac:dyDescent="0.2">
      <c r="N334" s="46" t="s">
        <v>268</v>
      </c>
    </row>
    <row r="335" spans="14:14" x14ac:dyDescent="0.2">
      <c r="N335" s="46" t="s">
        <v>269</v>
      </c>
    </row>
    <row r="336" spans="14:14" x14ac:dyDescent="0.2">
      <c r="N336" s="46" t="s">
        <v>270</v>
      </c>
    </row>
    <row r="337" spans="14:14" x14ac:dyDescent="0.2">
      <c r="N337" s="46" t="s">
        <v>271</v>
      </c>
    </row>
    <row r="338" spans="14:14" x14ac:dyDescent="0.2">
      <c r="N338" s="46" t="s">
        <v>272</v>
      </c>
    </row>
    <row r="339" spans="14:14" x14ac:dyDescent="0.2">
      <c r="N339" s="46" t="s">
        <v>273</v>
      </c>
    </row>
    <row r="340" spans="14:14" x14ac:dyDescent="0.2">
      <c r="N340" s="46" t="s">
        <v>274</v>
      </c>
    </row>
    <row r="341" spans="14:14" x14ac:dyDescent="0.2">
      <c r="N341" s="46" t="s">
        <v>275</v>
      </c>
    </row>
    <row r="342" spans="14:14" x14ac:dyDescent="0.2">
      <c r="N342" s="46" t="s">
        <v>276</v>
      </c>
    </row>
    <row r="343" spans="14:14" x14ac:dyDescent="0.2">
      <c r="N343" s="46" t="s">
        <v>277</v>
      </c>
    </row>
    <row r="344" spans="14:14" x14ac:dyDescent="0.2">
      <c r="N344" s="46" t="s">
        <v>278</v>
      </c>
    </row>
    <row r="345" spans="14:14" x14ac:dyDescent="0.2">
      <c r="N345" s="46" t="s">
        <v>279</v>
      </c>
    </row>
    <row r="346" spans="14:14" x14ac:dyDescent="0.2">
      <c r="N346" s="46" t="s">
        <v>280</v>
      </c>
    </row>
    <row r="347" spans="14:14" x14ac:dyDescent="0.2">
      <c r="N347" s="46" t="s">
        <v>281</v>
      </c>
    </row>
    <row r="348" spans="14:14" x14ac:dyDescent="0.2">
      <c r="N348" s="46" t="s">
        <v>282</v>
      </c>
    </row>
    <row r="349" spans="14:14" x14ac:dyDescent="0.2">
      <c r="N349" s="46" t="s">
        <v>283</v>
      </c>
    </row>
    <row r="350" spans="14:14" x14ac:dyDescent="0.2">
      <c r="N350" s="46" t="s">
        <v>284</v>
      </c>
    </row>
    <row r="351" spans="14:14" x14ac:dyDescent="0.2">
      <c r="N351" s="46" t="s">
        <v>285</v>
      </c>
    </row>
    <row r="352" spans="14:14" x14ac:dyDescent="0.2">
      <c r="N352" s="46" t="s">
        <v>286</v>
      </c>
    </row>
    <row r="353" spans="14:14" x14ac:dyDescent="0.2">
      <c r="N353" s="46" t="s">
        <v>287</v>
      </c>
    </row>
    <row r="354" spans="14:14" x14ac:dyDescent="0.2">
      <c r="N354" s="46" t="s">
        <v>288</v>
      </c>
    </row>
    <row r="355" spans="14:14" x14ac:dyDescent="0.2">
      <c r="N355" s="46" t="s">
        <v>289</v>
      </c>
    </row>
    <row r="356" spans="14:14" x14ac:dyDescent="0.2">
      <c r="N356" s="46" t="s">
        <v>290</v>
      </c>
    </row>
    <row r="357" spans="14:14" x14ac:dyDescent="0.2">
      <c r="N357" s="46" t="s">
        <v>291</v>
      </c>
    </row>
    <row r="358" spans="14:14" x14ac:dyDescent="0.2">
      <c r="N358" s="46" t="s">
        <v>292</v>
      </c>
    </row>
    <row r="359" spans="14:14" x14ac:dyDescent="0.2">
      <c r="N359" s="46" t="s">
        <v>293</v>
      </c>
    </row>
    <row r="360" spans="14:14" x14ac:dyDescent="0.2">
      <c r="N360" s="46" t="s">
        <v>294</v>
      </c>
    </row>
    <row r="361" spans="14:14" x14ac:dyDescent="0.2">
      <c r="N361" s="46" t="s">
        <v>295</v>
      </c>
    </row>
    <row r="362" spans="14:14" x14ac:dyDescent="0.2">
      <c r="N362" s="46" t="s">
        <v>296</v>
      </c>
    </row>
    <row r="363" spans="14:14" x14ac:dyDescent="0.2">
      <c r="N363" s="46" t="s">
        <v>297</v>
      </c>
    </row>
    <row r="364" spans="14:14" x14ac:dyDescent="0.2">
      <c r="N364" s="46" t="s">
        <v>298</v>
      </c>
    </row>
    <row r="365" spans="14:14" x14ac:dyDescent="0.2">
      <c r="N365" s="46" t="s">
        <v>299</v>
      </c>
    </row>
    <row r="366" spans="14:14" x14ac:dyDescent="0.2">
      <c r="N366" s="46" t="s">
        <v>300</v>
      </c>
    </row>
    <row r="367" spans="14:14" x14ac:dyDescent="0.2">
      <c r="N367" s="46" t="s">
        <v>301</v>
      </c>
    </row>
    <row r="368" spans="14:14" x14ac:dyDescent="0.2">
      <c r="N368" s="46" t="s">
        <v>302</v>
      </c>
    </row>
    <row r="369" spans="14:14" x14ac:dyDescent="0.2">
      <c r="N369" s="46" t="s">
        <v>303</v>
      </c>
    </row>
    <row r="370" spans="14:14" x14ac:dyDescent="0.2">
      <c r="N370" s="46" t="s">
        <v>304</v>
      </c>
    </row>
    <row r="371" spans="14:14" x14ac:dyDescent="0.2">
      <c r="N371" s="46" t="s">
        <v>305</v>
      </c>
    </row>
    <row r="372" spans="14:14" x14ac:dyDescent="0.2">
      <c r="N372" s="46" t="s">
        <v>306</v>
      </c>
    </row>
    <row r="373" spans="14:14" x14ac:dyDescent="0.2">
      <c r="N373" s="46" t="s">
        <v>307</v>
      </c>
    </row>
    <row r="374" spans="14:14" x14ac:dyDescent="0.2">
      <c r="N374" s="46" t="s">
        <v>308</v>
      </c>
    </row>
    <row r="375" spans="14:14" x14ac:dyDescent="0.2">
      <c r="N375" s="46" t="s">
        <v>309</v>
      </c>
    </row>
    <row r="376" spans="14:14" x14ac:dyDescent="0.2">
      <c r="N376" s="46" t="s">
        <v>310</v>
      </c>
    </row>
    <row r="377" spans="14:14" x14ac:dyDescent="0.2">
      <c r="N377" s="46" t="s">
        <v>311</v>
      </c>
    </row>
    <row r="378" spans="14:14" x14ac:dyDescent="0.2">
      <c r="N378" s="46" t="s">
        <v>312</v>
      </c>
    </row>
    <row r="379" spans="14:14" x14ac:dyDescent="0.2">
      <c r="N379" s="46" t="s">
        <v>313</v>
      </c>
    </row>
    <row r="380" spans="14:14" x14ac:dyDescent="0.2">
      <c r="N380" s="46" t="s">
        <v>314</v>
      </c>
    </row>
    <row r="381" spans="14:14" x14ac:dyDescent="0.2">
      <c r="N381" s="46" t="s">
        <v>315</v>
      </c>
    </row>
    <row r="382" spans="14:14" x14ac:dyDescent="0.2">
      <c r="N382" s="46" t="s">
        <v>316</v>
      </c>
    </row>
    <row r="383" spans="14:14" x14ac:dyDescent="0.2">
      <c r="N383" s="46" t="s">
        <v>317</v>
      </c>
    </row>
    <row r="384" spans="14:14" x14ac:dyDescent="0.2">
      <c r="N384" s="46" t="s">
        <v>318</v>
      </c>
    </row>
    <row r="385" spans="14:14" x14ac:dyDescent="0.2">
      <c r="N385" s="46" t="s">
        <v>319</v>
      </c>
    </row>
    <row r="386" spans="14:14" x14ac:dyDescent="0.2">
      <c r="N386" s="46" t="s">
        <v>320</v>
      </c>
    </row>
    <row r="387" spans="14:14" x14ac:dyDescent="0.2">
      <c r="N387" s="46" t="s">
        <v>321</v>
      </c>
    </row>
    <row r="388" spans="14:14" x14ac:dyDescent="0.2">
      <c r="N388" s="46" t="s">
        <v>322</v>
      </c>
    </row>
    <row r="389" spans="14:14" x14ac:dyDescent="0.2">
      <c r="N389" s="46" t="s">
        <v>323</v>
      </c>
    </row>
    <row r="390" spans="14:14" x14ac:dyDescent="0.2">
      <c r="N390" s="46" t="s">
        <v>324</v>
      </c>
    </row>
    <row r="391" spans="14:14" x14ac:dyDescent="0.2">
      <c r="N391" s="46" t="s">
        <v>325</v>
      </c>
    </row>
    <row r="392" spans="14:14" x14ac:dyDescent="0.2">
      <c r="N392" s="46" t="s">
        <v>326</v>
      </c>
    </row>
    <row r="393" spans="14:14" x14ac:dyDescent="0.2">
      <c r="N393" s="46" t="s">
        <v>327</v>
      </c>
    </row>
    <row r="394" spans="14:14" x14ac:dyDescent="0.2">
      <c r="N394" s="46" t="s">
        <v>328</v>
      </c>
    </row>
    <row r="395" spans="14:14" x14ac:dyDescent="0.2">
      <c r="N395" s="46" t="s">
        <v>329</v>
      </c>
    </row>
    <row r="396" spans="14:14" x14ac:dyDescent="0.2">
      <c r="N396" s="46" t="s">
        <v>330</v>
      </c>
    </row>
    <row r="397" spans="14:14" x14ac:dyDescent="0.2">
      <c r="N397" s="46" t="s">
        <v>331</v>
      </c>
    </row>
    <row r="398" spans="14:14" x14ac:dyDescent="0.2">
      <c r="N398" s="46" t="s">
        <v>332</v>
      </c>
    </row>
    <row r="399" spans="14:14" x14ac:dyDescent="0.2">
      <c r="N399" s="46" t="s">
        <v>333</v>
      </c>
    </row>
    <row r="400" spans="14:14" x14ac:dyDescent="0.2">
      <c r="N400" s="46" t="s">
        <v>334</v>
      </c>
    </row>
    <row r="401" spans="14:14" x14ac:dyDescent="0.2">
      <c r="N401" s="46" t="s">
        <v>335</v>
      </c>
    </row>
    <row r="402" spans="14:14" x14ac:dyDescent="0.2">
      <c r="N402" s="46" t="s">
        <v>336</v>
      </c>
    </row>
    <row r="403" spans="14:14" x14ac:dyDescent="0.2">
      <c r="N403" s="46" t="s">
        <v>337</v>
      </c>
    </row>
    <row r="404" spans="14:14" x14ac:dyDescent="0.2">
      <c r="N404" s="46" t="s">
        <v>338</v>
      </c>
    </row>
    <row r="405" spans="14:14" x14ac:dyDescent="0.2">
      <c r="N405" s="46" t="s">
        <v>339</v>
      </c>
    </row>
    <row r="406" spans="14:14" x14ac:dyDescent="0.2">
      <c r="N406" s="46" t="s">
        <v>340</v>
      </c>
    </row>
    <row r="407" spans="14:14" x14ac:dyDescent="0.2">
      <c r="N407" s="46" t="s">
        <v>341</v>
      </c>
    </row>
    <row r="408" spans="14:14" x14ac:dyDescent="0.2">
      <c r="N408" s="46" t="s">
        <v>342</v>
      </c>
    </row>
    <row r="409" spans="14:14" x14ac:dyDescent="0.2">
      <c r="N409" s="46" t="s">
        <v>343</v>
      </c>
    </row>
    <row r="410" spans="14:14" x14ac:dyDescent="0.2">
      <c r="N410" s="46" t="s">
        <v>344</v>
      </c>
    </row>
    <row r="411" spans="14:14" x14ac:dyDescent="0.2">
      <c r="N411" s="46" t="s">
        <v>345</v>
      </c>
    </row>
    <row r="412" spans="14:14" x14ac:dyDescent="0.2">
      <c r="N412" s="46" t="s">
        <v>346</v>
      </c>
    </row>
    <row r="413" spans="14:14" x14ac:dyDescent="0.2">
      <c r="N413" s="46" t="s">
        <v>347</v>
      </c>
    </row>
    <row r="414" spans="14:14" x14ac:dyDescent="0.2">
      <c r="N414" s="46" t="s">
        <v>348</v>
      </c>
    </row>
    <row r="415" spans="14:14" x14ac:dyDescent="0.2">
      <c r="N415" s="46" t="s">
        <v>349</v>
      </c>
    </row>
    <row r="416" spans="14:14" x14ac:dyDescent="0.2">
      <c r="N416" s="46" t="s">
        <v>350</v>
      </c>
    </row>
    <row r="417" spans="14:14" x14ac:dyDescent="0.2">
      <c r="N417" s="46" t="s">
        <v>351</v>
      </c>
    </row>
  </sheetData>
  <sheetProtection password="D332" sheet="1" objects="1" scenarios="1"/>
  <mergeCells count="49">
    <mergeCell ref="A3:G4"/>
    <mergeCell ref="A6:B6"/>
    <mergeCell ref="C6:F6"/>
    <mergeCell ref="A8:G8"/>
    <mergeCell ref="B10:C10"/>
    <mergeCell ref="B11:C11"/>
    <mergeCell ref="E11:F11"/>
    <mergeCell ref="E12:G12"/>
    <mergeCell ref="E13:G13"/>
    <mergeCell ref="B14:C14"/>
    <mergeCell ref="E14:G14"/>
    <mergeCell ref="B15:C15"/>
    <mergeCell ref="A17:G17"/>
    <mergeCell ref="A19:A20"/>
    <mergeCell ref="F19:G19"/>
    <mergeCell ref="F20:G20"/>
    <mergeCell ref="A23:A24"/>
    <mergeCell ref="E23:G23"/>
    <mergeCell ref="B25:C25"/>
    <mergeCell ref="D25:E25"/>
    <mergeCell ref="B26:C26"/>
    <mergeCell ref="A28:A29"/>
    <mergeCell ref="D28:G28"/>
    <mergeCell ref="A31:A32"/>
    <mergeCell ref="C31:E31"/>
    <mergeCell ref="A34:G34"/>
    <mergeCell ref="A39:A40"/>
    <mergeCell ref="D39:F39"/>
    <mergeCell ref="B41:G41"/>
    <mergeCell ref="B44:F44"/>
    <mergeCell ref="A46:A49"/>
    <mergeCell ref="B53:C53"/>
    <mergeCell ref="E53:F53"/>
    <mergeCell ref="B54:C55"/>
    <mergeCell ref="E54:F54"/>
    <mergeCell ref="B56:G59"/>
    <mergeCell ref="A61:G61"/>
    <mergeCell ref="B62:C62"/>
    <mergeCell ref="D62:E62"/>
    <mergeCell ref="F62:G62"/>
    <mergeCell ref="B63:C63"/>
    <mergeCell ref="D63:E63"/>
    <mergeCell ref="F63:G63"/>
    <mergeCell ref="D67:G68"/>
    <mergeCell ref="B69:C69"/>
    <mergeCell ref="A64:A65"/>
    <mergeCell ref="B64:C65"/>
    <mergeCell ref="D64:E65"/>
    <mergeCell ref="F64:G65"/>
  </mergeCells>
  <phoneticPr fontId="0" type="noConversion"/>
  <conditionalFormatting sqref="G46">
    <cfRule type="expression" dxfId="55" priority="14" stopIfTrue="1">
      <formula>ISERROR($G$46)</formula>
    </cfRule>
  </conditionalFormatting>
  <conditionalFormatting sqref="G47">
    <cfRule type="expression" dxfId="54" priority="13" stopIfTrue="1">
      <formula>ISERROR($G$47)</formula>
    </cfRule>
  </conditionalFormatting>
  <conditionalFormatting sqref="G48">
    <cfRule type="expression" dxfId="53" priority="12" stopIfTrue="1">
      <formula>ISERROR($G$48)</formula>
    </cfRule>
  </conditionalFormatting>
  <conditionalFormatting sqref="G49">
    <cfRule type="expression" dxfId="52" priority="11" stopIfTrue="1">
      <formula>ISERROR($G$49)</formula>
    </cfRule>
  </conditionalFormatting>
  <conditionalFormatting sqref="B46:B49">
    <cfRule type="expression" dxfId="51" priority="10" stopIfTrue="1">
      <formula>IF(SUM($B$46:$B$49)&lt;&gt;0,TRUE,FALSE)</formula>
    </cfRule>
  </conditionalFormatting>
  <conditionalFormatting sqref="C46:C49">
    <cfRule type="expression" dxfId="50" priority="9" stopIfTrue="1">
      <formula>IF(SUM($C$46:$C$49)&lt;&gt;0,TRUE,FALSE)</formula>
    </cfRule>
  </conditionalFormatting>
  <conditionalFormatting sqref="D46:D49">
    <cfRule type="expression" dxfId="49" priority="8" stopIfTrue="1">
      <formula>IF(SUM($D$46:$D$49)&lt;&gt;0,TRUE,FALSE)</formula>
    </cfRule>
  </conditionalFormatting>
  <conditionalFormatting sqref="E46:E49">
    <cfRule type="expression" dxfId="48" priority="7" stopIfTrue="1">
      <formula>IF(SUM($E$46:$E$49)&lt;&gt;0,TRUE,FALSE)</formula>
    </cfRule>
  </conditionalFormatting>
  <conditionalFormatting sqref="F46:F49">
    <cfRule type="expression" dxfId="47" priority="6" stopIfTrue="1">
      <formula>IF(SUM($F$46:$F$49)&lt;&gt;0,TRUE,FALSE)</formula>
    </cfRule>
  </conditionalFormatting>
  <conditionalFormatting sqref="B10:C11 B12:B13 B14:C15">
    <cfRule type="cellIs" dxfId="46" priority="5" stopIfTrue="1" operator="notEqual">
      <formula>$A$1</formula>
    </cfRule>
  </conditionalFormatting>
  <conditionalFormatting sqref="E11:F11 E12:G14">
    <cfRule type="cellIs" dxfId="45" priority="4" stopIfTrue="1" operator="notEqual">
      <formula>$A$1</formula>
    </cfRule>
  </conditionalFormatting>
  <conditionalFormatting sqref="E10">
    <cfRule type="cellIs" dxfId="44" priority="3" stopIfTrue="1" operator="notEqual">
      <formula>$A$1</formula>
    </cfRule>
  </conditionalFormatting>
  <conditionalFormatting sqref="B53:C53 E53:F54">
    <cfRule type="cellIs" dxfId="43" priority="2" stopIfTrue="1" operator="notEqual">
      <formula>$A$1</formula>
    </cfRule>
  </conditionalFormatting>
  <conditionalFormatting sqref="B63:G63">
    <cfRule type="cellIs" dxfId="42" priority="1" stopIfTrue="1" operator="notEqual">
      <formula>$A$1</formula>
    </cfRule>
  </conditionalFormatting>
  <dataValidations count="7">
    <dataValidation type="list" allowBlank="1" showInputMessage="1" showErrorMessage="1" sqref="D46:D49">
      <formula1>$L$163:$L$174</formula1>
    </dataValidation>
    <dataValidation type="list" allowBlank="1" showInputMessage="1" showErrorMessage="1" sqref="C31:E31">
      <formula1>$L$148:$L$160</formula1>
    </dataValidation>
    <dataValidation type="list" allowBlank="1" showInputMessage="1" showErrorMessage="1" sqref="E14">
      <formula1>$L$121:$L$129</formula1>
    </dataValidation>
    <dataValidation type="list" allowBlank="1" showInputMessage="1" showErrorMessage="1" sqref="E13">
      <formula1>$L$91:$L$109</formula1>
    </dataValidation>
    <dataValidation type="list" allowBlank="1" showInputMessage="1" showErrorMessage="1" sqref="E11:F11">
      <formula1>$L$114:$L$118</formula1>
    </dataValidation>
    <dataValidation type="list" allowBlank="1" showInputMessage="1" showErrorMessage="1" sqref="E12 E23">
      <formula1>$N$91:$N$417</formula1>
    </dataValidation>
    <dataValidation type="list" allowBlank="1" showInputMessage="1" showErrorMessage="1" sqref="C36 E36 C23 C19">
      <formula1>$L$133:$L$137</formula1>
    </dataValidation>
  </dataValidations>
  <hyperlinks>
    <hyperlink ref="A12" r:id="rId1"/>
    <hyperlink ref="B44:F44" r:id="rId2" display="POSITION FUNDING"/>
  </hyperlinks>
  <pageMargins left="0.5" right="0.5" top="0.5" bottom="0.5" header="0.3" footer="0.3"/>
  <pageSetup scale="94"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N417"/>
  <sheetViews>
    <sheetView zoomScaleNormal="100" workbookViewId="0">
      <selection activeCell="B10" sqref="B10:C10"/>
    </sheetView>
  </sheetViews>
  <sheetFormatPr defaultRowHeight="12.75" x14ac:dyDescent="0.2"/>
  <cols>
    <col min="1" max="1" width="14.42578125" style="2" customWidth="1"/>
    <col min="2" max="2" width="14.28515625" style="2" bestFit="1" customWidth="1"/>
    <col min="3" max="3" width="15.5703125" style="2" bestFit="1" customWidth="1"/>
    <col min="4" max="4" width="16" style="2" bestFit="1" customWidth="1"/>
    <col min="5" max="5" width="15.42578125" style="2" customWidth="1"/>
    <col min="6" max="6" width="14" style="2" customWidth="1"/>
    <col min="7" max="7" width="12.7109375" style="2" customWidth="1"/>
    <col min="8" max="9" width="8.140625" style="2" customWidth="1"/>
    <col min="10" max="11" width="9.140625" style="2"/>
    <col min="12" max="12" width="35.42578125" style="2" hidden="1" customWidth="1"/>
    <col min="13" max="13" width="17" style="2" hidden="1" customWidth="1"/>
    <col min="14" max="14" width="41.140625" style="2" hidden="1" customWidth="1"/>
    <col min="15" max="16384" width="9.140625" style="2"/>
  </cols>
  <sheetData>
    <row r="1" spans="1:8" x14ac:dyDescent="0.2">
      <c r="A1" s="5"/>
      <c r="B1" s="5"/>
      <c r="C1" s="5"/>
      <c r="D1" s="5"/>
      <c r="E1" s="5"/>
      <c r="F1" s="5"/>
      <c r="G1" s="5"/>
    </row>
    <row r="2" spans="1:8" ht="12.75" customHeight="1" x14ac:dyDescent="0.2">
      <c r="A2" s="5"/>
      <c r="B2" s="5"/>
      <c r="C2" s="5"/>
      <c r="D2" s="5"/>
      <c r="E2" s="5"/>
      <c r="F2" s="5"/>
      <c r="G2" s="5"/>
      <c r="H2" s="3"/>
    </row>
    <row r="3" spans="1:8" ht="7.5" customHeight="1" x14ac:dyDescent="0.2">
      <c r="A3" s="109" t="s">
        <v>380</v>
      </c>
      <c r="B3" s="109"/>
      <c r="C3" s="109"/>
      <c r="D3" s="109"/>
      <c r="E3" s="109"/>
      <c r="F3" s="109"/>
      <c r="G3" s="109"/>
      <c r="H3" s="3"/>
    </row>
    <row r="4" spans="1:8" x14ac:dyDescent="0.2">
      <c r="A4" s="109"/>
      <c r="B4" s="109"/>
      <c r="C4" s="109"/>
      <c r="D4" s="109"/>
      <c r="E4" s="109"/>
      <c r="F4" s="109"/>
      <c r="G4" s="109"/>
      <c r="H4" s="4"/>
    </row>
    <row r="5" spans="1:8" ht="6" customHeight="1" x14ac:dyDescent="0.2">
      <c r="A5" s="47"/>
      <c r="B5" s="47"/>
      <c r="C5" s="47"/>
      <c r="D5" s="47"/>
      <c r="E5" s="47"/>
      <c r="F5" s="47"/>
      <c r="G5" s="47"/>
      <c r="H5" s="4"/>
    </row>
    <row r="6" spans="1:8" x14ac:dyDescent="0.2">
      <c r="A6" s="76" t="s">
        <v>381</v>
      </c>
      <c r="B6" s="76"/>
      <c r="C6" s="76" t="s">
        <v>409</v>
      </c>
      <c r="D6" s="76"/>
      <c r="E6" s="76"/>
      <c r="F6" s="76"/>
      <c r="G6" s="5"/>
    </row>
    <row r="7" spans="1:8" ht="6" customHeight="1" x14ac:dyDescent="0.2">
      <c r="A7" s="48"/>
      <c r="B7" s="48"/>
      <c r="C7" s="48"/>
      <c r="D7" s="48"/>
      <c r="E7" s="48"/>
      <c r="F7" s="48"/>
      <c r="G7" s="5"/>
    </row>
    <row r="8" spans="1:8" x14ac:dyDescent="0.2">
      <c r="A8" s="77" t="s">
        <v>470</v>
      </c>
      <c r="B8" s="77"/>
      <c r="C8" s="77"/>
      <c r="D8" s="77"/>
      <c r="E8" s="77"/>
      <c r="F8" s="77"/>
      <c r="G8" s="77"/>
    </row>
    <row r="9" spans="1:8" ht="6" customHeight="1" x14ac:dyDescent="0.2">
      <c r="A9" s="35"/>
      <c r="B9" s="35"/>
      <c r="C9" s="35"/>
      <c r="D9" s="35"/>
      <c r="E9" s="35"/>
      <c r="F9" s="35"/>
      <c r="G9" s="35"/>
    </row>
    <row r="10" spans="1:8" x14ac:dyDescent="0.2">
      <c r="A10" s="6" t="s">
        <v>14</v>
      </c>
      <c r="B10" s="140" t="s">
        <v>491</v>
      </c>
      <c r="C10" s="141"/>
      <c r="D10" s="6" t="s">
        <v>18</v>
      </c>
      <c r="E10" s="16">
        <f ca="1">TODAY()</f>
        <v>41600</v>
      </c>
      <c r="F10" s="5"/>
      <c r="G10" s="5"/>
    </row>
    <row r="11" spans="1:8" x14ac:dyDescent="0.2">
      <c r="A11" s="6" t="s">
        <v>15</v>
      </c>
      <c r="B11" s="140" t="s">
        <v>492</v>
      </c>
      <c r="C11" s="141"/>
      <c r="D11" s="6" t="s">
        <v>384</v>
      </c>
      <c r="E11" s="122" t="s">
        <v>22</v>
      </c>
      <c r="F11" s="122"/>
      <c r="G11" s="7"/>
    </row>
    <row r="12" spans="1:8" x14ac:dyDescent="0.2">
      <c r="A12" s="6" t="s">
        <v>16</v>
      </c>
      <c r="B12" s="54">
        <v>960965524</v>
      </c>
      <c r="C12" s="22" t="s">
        <v>394</v>
      </c>
      <c r="D12" s="6" t="s">
        <v>17</v>
      </c>
      <c r="E12" s="122" t="s">
        <v>163</v>
      </c>
      <c r="F12" s="122"/>
      <c r="G12" s="122"/>
    </row>
    <row r="13" spans="1:8" x14ac:dyDescent="0.2">
      <c r="A13" s="6" t="s">
        <v>512</v>
      </c>
      <c r="B13" s="55">
        <v>6098</v>
      </c>
      <c r="C13" s="22" t="s">
        <v>596</v>
      </c>
      <c r="D13" s="6" t="s">
        <v>19</v>
      </c>
      <c r="E13" s="142" t="s">
        <v>411</v>
      </c>
      <c r="F13" s="143"/>
      <c r="G13" s="144"/>
    </row>
    <row r="14" spans="1:8" x14ac:dyDescent="0.2">
      <c r="A14" s="6" t="s">
        <v>576</v>
      </c>
      <c r="B14" s="140" t="s">
        <v>494</v>
      </c>
      <c r="C14" s="141"/>
      <c r="D14" s="6" t="s">
        <v>20</v>
      </c>
      <c r="E14" s="142" t="s">
        <v>428</v>
      </c>
      <c r="F14" s="143"/>
      <c r="G14" s="144"/>
    </row>
    <row r="15" spans="1:8" x14ac:dyDescent="0.2">
      <c r="A15" s="6" t="s">
        <v>577</v>
      </c>
      <c r="B15" s="121" t="s">
        <v>493</v>
      </c>
      <c r="C15" s="122"/>
      <c r="D15" s="6" t="s">
        <v>572</v>
      </c>
      <c r="E15" s="53">
        <v>17</v>
      </c>
      <c r="F15" s="6" t="s">
        <v>574</v>
      </c>
      <c r="G15" s="62">
        <v>0.45300000000000001</v>
      </c>
    </row>
    <row r="16" spans="1:8" ht="6" customHeight="1" x14ac:dyDescent="0.2">
      <c r="A16" s="5"/>
      <c r="B16" s="5"/>
      <c r="C16" s="5"/>
      <c r="D16" s="5"/>
      <c r="E16" s="5"/>
      <c r="F16" s="5"/>
      <c r="G16" s="5"/>
    </row>
    <row r="17" spans="1:7" x14ac:dyDescent="0.2">
      <c r="A17" s="85" t="s">
        <v>387</v>
      </c>
      <c r="B17" s="85"/>
      <c r="C17" s="85"/>
      <c r="D17" s="85"/>
      <c r="E17" s="85"/>
      <c r="F17" s="85"/>
      <c r="G17" s="85"/>
    </row>
    <row r="18" spans="1:7" ht="6" customHeight="1" x14ac:dyDescent="0.2">
      <c r="A18" s="20"/>
      <c r="B18" s="20"/>
      <c r="C18" s="20"/>
      <c r="D18" s="20"/>
      <c r="E18" s="20"/>
      <c r="F18" s="20"/>
      <c r="G18" s="20"/>
    </row>
    <row r="19" spans="1:7" x14ac:dyDescent="0.2">
      <c r="A19" s="78" t="s">
        <v>424</v>
      </c>
      <c r="B19" s="56"/>
      <c r="C19" s="53"/>
      <c r="D19" s="57"/>
      <c r="E19" s="57"/>
      <c r="F19" s="134"/>
      <c r="G19" s="136"/>
    </row>
    <row r="20" spans="1:7" x14ac:dyDescent="0.2">
      <c r="A20" s="78"/>
      <c r="B20" s="9" t="s">
        <v>362</v>
      </c>
      <c r="C20" s="9" t="s">
        <v>363</v>
      </c>
      <c r="D20" s="9" t="s">
        <v>364</v>
      </c>
      <c r="E20" s="9" t="s">
        <v>382</v>
      </c>
      <c r="F20" s="86" t="s">
        <v>395</v>
      </c>
      <c r="G20" s="86"/>
    </row>
    <row r="21" spans="1:7" ht="12" customHeight="1" x14ac:dyDescent="0.2">
      <c r="A21" s="36"/>
      <c r="B21" s="39" t="s">
        <v>517</v>
      </c>
      <c r="C21" s="9"/>
      <c r="D21" s="9"/>
      <c r="E21" s="9"/>
      <c r="F21" s="9"/>
      <c r="G21" s="5"/>
    </row>
    <row r="22" spans="1:7" ht="6" customHeight="1" x14ac:dyDescent="0.2">
      <c r="A22" s="36"/>
      <c r="B22" s="9"/>
      <c r="C22" s="9"/>
      <c r="D22" s="9"/>
      <c r="E22" s="9"/>
      <c r="F22" s="9"/>
      <c r="G22" s="5"/>
    </row>
    <row r="23" spans="1:7" ht="12.75" customHeight="1" x14ac:dyDescent="0.2">
      <c r="A23" s="78" t="s">
        <v>388</v>
      </c>
      <c r="B23" s="56"/>
      <c r="C23" s="53"/>
      <c r="D23" s="57"/>
      <c r="E23" s="112"/>
      <c r="F23" s="112"/>
      <c r="G23" s="112"/>
    </row>
    <row r="24" spans="1:7" x14ac:dyDescent="0.2">
      <c r="A24" s="78"/>
      <c r="B24" s="9" t="s">
        <v>362</v>
      </c>
      <c r="C24" s="9" t="s">
        <v>363</v>
      </c>
      <c r="D24" s="9" t="s">
        <v>364</v>
      </c>
      <c r="E24" s="9" t="s">
        <v>393</v>
      </c>
      <c r="F24" s="9"/>
      <c r="G24" s="5"/>
    </row>
    <row r="25" spans="1:7" x14ac:dyDescent="0.2">
      <c r="A25" s="36"/>
      <c r="B25" s="134"/>
      <c r="C25" s="136"/>
      <c r="D25" s="134"/>
      <c r="E25" s="136"/>
      <c r="F25" s="9"/>
      <c r="G25" s="5"/>
    </row>
    <row r="26" spans="1:7" x14ac:dyDescent="0.2">
      <c r="A26" s="36"/>
      <c r="B26" s="86" t="s">
        <v>395</v>
      </c>
      <c r="C26" s="86"/>
      <c r="D26" s="9" t="s">
        <v>521</v>
      </c>
      <c r="E26" s="9"/>
      <c r="F26" s="9"/>
      <c r="G26" s="5"/>
    </row>
    <row r="27" spans="1:7" ht="6" customHeight="1" x14ac:dyDescent="0.2">
      <c r="A27" s="36"/>
      <c r="B27" s="9"/>
      <c r="C27" s="9"/>
      <c r="D27" s="9"/>
      <c r="E27" s="9"/>
      <c r="F27" s="9"/>
      <c r="G27" s="5"/>
    </row>
    <row r="28" spans="1:7" x14ac:dyDescent="0.2">
      <c r="A28" s="78" t="s">
        <v>389</v>
      </c>
      <c r="B28" s="57"/>
      <c r="C28" s="58"/>
      <c r="D28" s="134"/>
      <c r="E28" s="135"/>
      <c r="F28" s="135"/>
      <c r="G28" s="136"/>
    </row>
    <row r="29" spans="1:7" x14ac:dyDescent="0.2">
      <c r="A29" s="78"/>
      <c r="B29" s="9" t="s">
        <v>364</v>
      </c>
      <c r="C29" s="9" t="s">
        <v>382</v>
      </c>
      <c r="D29" s="9" t="s">
        <v>3</v>
      </c>
      <c r="E29" s="9"/>
      <c r="F29" s="9"/>
      <c r="G29" s="5"/>
    </row>
    <row r="30" spans="1:7" ht="6" customHeight="1" x14ac:dyDescent="0.2">
      <c r="A30" s="5"/>
      <c r="B30" s="5"/>
      <c r="C30" s="5"/>
      <c r="D30" s="5"/>
      <c r="E30" s="20"/>
      <c r="F30" s="20"/>
      <c r="G30" s="5"/>
    </row>
    <row r="31" spans="1:7" x14ac:dyDescent="0.2">
      <c r="A31" s="78" t="s">
        <v>425</v>
      </c>
      <c r="B31" s="57"/>
      <c r="C31" s="137"/>
      <c r="D31" s="138"/>
      <c r="E31" s="139"/>
      <c r="F31" s="26"/>
      <c r="G31" s="5"/>
    </row>
    <row r="32" spans="1:7" x14ac:dyDescent="0.2">
      <c r="A32" s="78"/>
      <c r="B32" s="9" t="s">
        <v>382</v>
      </c>
      <c r="C32" s="9" t="s">
        <v>3</v>
      </c>
      <c r="D32" s="5"/>
      <c r="E32" s="5"/>
      <c r="F32" s="5"/>
      <c r="G32" s="5"/>
    </row>
    <row r="33" spans="1:7" ht="6" customHeight="1" x14ac:dyDescent="0.2">
      <c r="A33" s="5"/>
      <c r="B33" s="9"/>
      <c r="C33" s="9"/>
      <c r="D33" s="5"/>
      <c r="E33" s="5"/>
      <c r="F33" s="5"/>
      <c r="G33" s="5"/>
    </row>
    <row r="34" spans="1:7" x14ac:dyDescent="0.2">
      <c r="A34" s="85" t="s">
        <v>392</v>
      </c>
      <c r="B34" s="85"/>
      <c r="C34" s="85"/>
      <c r="D34" s="85"/>
      <c r="E34" s="85"/>
      <c r="F34" s="85"/>
      <c r="G34" s="85"/>
    </row>
    <row r="35" spans="1:7" ht="6" customHeight="1" x14ac:dyDescent="0.2">
      <c r="A35" s="20"/>
      <c r="B35" s="20"/>
      <c r="C35" s="20"/>
      <c r="D35" s="20"/>
      <c r="E35" s="20"/>
      <c r="F35" s="20"/>
      <c r="G35" s="20"/>
    </row>
    <row r="36" spans="1:7" x14ac:dyDescent="0.2">
      <c r="A36" s="6" t="s">
        <v>391</v>
      </c>
      <c r="B36" s="56">
        <v>11</v>
      </c>
      <c r="C36" s="61" t="s">
        <v>11</v>
      </c>
      <c r="D36" s="56">
        <v>12</v>
      </c>
      <c r="E36" s="61" t="s">
        <v>11</v>
      </c>
      <c r="F36" s="57">
        <f ca="1">TODAY()+15</f>
        <v>41615</v>
      </c>
      <c r="G36" s="5"/>
    </row>
    <row r="37" spans="1:7" x14ac:dyDescent="0.2">
      <c r="A37" s="10"/>
      <c r="B37" s="9" t="s">
        <v>396</v>
      </c>
      <c r="C37" s="9" t="s">
        <v>363</v>
      </c>
      <c r="D37" s="9" t="s">
        <v>397</v>
      </c>
      <c r="E37" s="9" t="s">
        <v>363</v>
      </c>
      <c r="F37" s="9" t="s">
        <v>364</v>
      </c>
      <c r="G37" s="5"/>
    </row>
    <row r="38" spans="1:7" ht="6" customHeight="1" x14ac:dyDescent="0.2">
      <c r="A38" s="10"/>
      <c r="B38" s="9"/>
      <c r="C38" s="9"/>
      <c r="D38" s="9"/>
      <c r="E38" s="9"/>
      <c r="F38" s="9"/>
      <c r="G38" s="5"/>
    </row>
    <row r="39" spans="1:7" x14ac:dyDescent="0.2">
      <c r="A39" s="78" t="s">
        <v>406</v>
      </c>
      <c r="B39" s="56"/>
      <c r="C39" s="57"/>
      <c r="D39" s="116" t="s">
        <v>515</v>
      </c>
      <c r="E39" s="117"/>
      <c r="F39" s="117"/>
      <c r="G39" s="5"/>
    </row>
    <row r="40" spans="1:7" x14ac:dyDescent="0.2">
      <c r="A40" s="78"/>
      <c r="B40" s="9" t="s">
        <v>365</v>
      </c>
      <c r="C40" s="9" t="s">
        <v>366</v>
      </c>
      <c r="D40" s="34" t="s">
        <v>472</v>
      </c>
      <c r="E40" s="5"/>
      <c r="F40" s="5"/>
      <c r="G40" s="5"/>
    </row>
    <row r="41" spans="1:7" x14ac:dyDescent="0.2">
      <c r="A41" s="36"/>
      <c r="B41" s="118" t="s">
        <v>513</v>
      </c>
      <c r="C41" s="118"/>
      <c r="D41" s="118"/>
      <c r="E41" s="118"/>
      <c r="F41" s="118"/>
      <c r="G41" s="118"/>
    </row>
    <row r="42" spans="1:7" ht="6" customHeight="1" x14ac:dyDescent="0.2">
      <c r="A42" s="11"/>
      <c r="B42" s="12"/>
      <c r="C42" s="12"/>
      <c r="D42" s="11"/>
      <c r="E42" s="11"/>
      <c r="F42" s="11"/>
      <c r="G42" s="11"/>
    </row>
    <row r="43" spans="1:7" ht="6" customHeight="1" x14ac:dyDescent="0.2">
      <c r="A43" s="20"/>
      <c r="B43" s="12"/>
      <c r="C43" s="12"/>
      <c r="D43" s="11"/>
      <c r="E43" s="11"/>
      <c r="F43" s="11"/>
      <c r="G43" s="20"/>
    </row>
    <row r="44" spans="1:7" x14ac:dyDescent="0.2">
      <c r="A44" s="5"/>
      <c r="B44" s="119" t="s">
        <v>376</v>
      </c>
      <c r="C44" s="119"/>
      <c r="D44" s="119"/>
      <c r="E44" s="119"/>
      <c r="F44" s="119"/>
      <c r="G44" s="5"/>
    </row>
    <row r="45" spans="1:7" x14ac:dyDescent="0.2">
      <c r="A45" s="5"/>
      <c r="B45" s="13" t="s">
        <v>367</v>
      </c>
      <c r="C45" s="13" t="s">
        <v>368</v>
      </c>
      <c r="D45" s="13" t="s">
        <v>369</v>
      </c>
      <c r="E45" s="13" t="s">
        <v>370</v>
      </c>
      <c r="F45" s="13" t="s">
        <v>371</v>
      </c>
      <c r="G45" s="5"/>
    </row>
    <row r="46" spans="1:7" x14ac:dyDescent="0.2">
      <c r="A46" s="120" t="s">
        <v>383</v>
      </c>
      <c r="B46" s="59">
        <v>110000</v>
      </c>
      <c r="C46" s="50">
        <v>34320</v>
      </c>
      <c r="D46" s="50">
        <v>611035</v>
      </c>
      <c r="E46" s="50">
        <v>61</v>
      </c>
      <c r="F46" s="60">
        <v>1</v>
      </c>
      <c r="G46" s="27" t="str">
        <f>VLOOKUP($D46,$L$163:$M$174,2,FALSE)</f>
        <v>Student</v>
      </c>
    </row>
    <row r="47" spans="1:7" x14ac:dyDescent="0.2">
      <c r="A47" s="120"/>
      <c r="B47" s="59"/>
      <c r="C47" s="50"/>
      <c r="D47" s="50"/>
      <c r="E47" s="50"/>
      <c r="F47" s="60"/>
      <c r="G47" s="27" t="e">
        <f>VLOOKUP($D47,$L$163:$M$174,2,FALSE)</f>
        <v>#N/A</v>
      </c>
    </row>
    <row r="48" spans="1:7" x14ac:dyDescent="0.2">
      <c r="A48" s="120"/>
      <c r="B48" s="59"/>
      <c r="C48" s="50"/>
      <c r="D48" s="50"/>
      <c r="E48" s="50"/>
      <c r="F48" s="60"/>
      <c r="G48" s="27" t="e">
        <f>VLOOKUP($D48,$L$163:$M$174,2,FALSE)</f>
        <v>#N/A</v>
      </c>
    </row>
    <row r="49" spans="1:7" x14ac:dyDescent="0.2">
      <c r="A49" s="120"/>
      <c r="B49" s="50"/>
      <c r="C49" s="50"/>
      <c r="D49" s="50"/>
      <c r="E49" s="50"/>
      <c r="F49" s="60"/>
      <c r="G49" s="27" t="e">
        <f>VLOOKUP($D49,$L$163:$M$174,2,FALSE)</f>
        <v>#N/A</v>
      </c>
    </row>
    <row r="50" spans="1:7" x14ac:dyDescent="0.2">
      <c r="A50" s="5"/>
      <c r="B50" s="14"/>
      <c r="C50" s="14"/>
      <c r="D50" s="14"/>
      <c r="E50" s="18" t="s">
        <v>372</v>
      </c>
      <c r="F50" s="19">
        <f>SUM(F46:F49)</f>
        <v>1</v>
      </c>
      <c r="G50" s="5"/>
    </row>
    <row r="51" spans="1:7" ht="6" customHeight="1" x14ac:dyDescent="0.2">
      <c r="A51" s="11"/>
      <c r="B51" s="11"/>
      <c r="C51" s="11"/>
      <c r="D51" s="11"/>
      <c r="E51" s="11"/>
      <c r="F51" s="11"/>
      <c r="G51" s="11"/>
    </row>
    <row r="52" spans="1:7" ht="6" customHeight="1" x14ac:dyDescent="0.2">
      <c r="A52" s="5"/>
      <c r="B52" s="5"/>
      <c r="C52" s="5"/>
      <c r="D52" s="5"/>
      <c r="E52" s="5"/>
      <c r="F52" s="5"/>
      <c r="G52" s="5"/>
    </row>
    <row r="53" spans="1:7" x14ac:dyDescent="0.2">
      <c r="A53" s="6" t="s">
        <v>373</v>
      </c>
      <c r="B53" s="121" t="s">
        <v>538</v>
      </c>
      <c r="C53" s="122"/>
      <c r="D53" s="6" t="s">
        <v>374</v>
      </c>
      <c r="E53" s="123">
        <v>3123410300</v>
      </c>
      <c r="F53" s="124"/>
      <c r="G53" s="5"/>
    </row>
    <row r="54" spans="1:7" ht="12.75" customHeight="1" x14ac:dyDescent="0.2">
      <c r="A54" s="5"/>
      <c r="B54" s="106" t="s">
        <v>473</v>
      </c>
      <c r="C54" s="106"/>
      <c r="D54" s="6" t="s">
        <v>375</v>
      </c>
      <c r="E54" s="122" t="s">
        <v>539</v>
      </c>
      <c r="F54" s="122"/>
      <c r="G54" s="5"/>
    </row>
    <row r="55" spans="1:7" x14ac:dyDescent="0.2">
      <c r="A55" s="5"/>
      <c r="B55" s="107"/>
      <c r="C55" s="107"/>
      <c r="D55" s="5"/>
      <c r="E55" s="5"/>
      <c r="F55" s="5"/>
      <c r="G55" s="5"/>
    </row>
    <row r="56" spans="1:7" x14ac:dyDescent="0.2">
      <c r="A56" s="6" t="s">
        <v>0</v>
      </c>
      <c r="B56" s="125"/>
      <c r="C56" s="126"/>
      <c r="D56" s="126"/>
      <c r="E56" s="126"/>
      <c r="F56" s="126"/>
      <c r="G56" s="127"/>
    </row>
    <row r="57" spans="1:7" x14ac:dyDescent="0.2">
      <c r="A57" s="5"/>
      <c r="B57" s="128"/>
      <c r="C57" s="129"/>
      <c r="D57" s="129"/>
      <c r="E57" s="129"/>
      <c r="F57" s="129"/>
      <c r="G57" s="130"/>
    </row>
    <row r="58" spans="1:7" x14ac:dyDescent="0.2">
      <c r="A58" s="5"/>
      <c r="B58" s="128"/>
      <c r="C58" s="129"/>
      <c r="D58" s="129"/>
      <c r="E58" s="129"/>
      <c r="F58" s="129"/>
      <c r="G58" s="130"/>
    </row>
    <row r="59" spans="1:7" x14ac:dyDescent="0.2">
      <c r="A59" s="5"/>
      <c r="B59" s="131"/>
      <c r="C59" s="132"/>
      <c r="D59" s="132"/>
      <c r="E59" s="132"/>
      <c r="F59" s="132"/>
      <c r="G59" s="133"/>
    </row>
    <row r="60" spans="1:7" ht="6" customHeight="1" x14ac:dyDescent="0.2">
      <c r="A60" s="5"/>
      <c r="B60" s="42"/>
      <c r="C60" s="42"/>
      <c r="D60" s="42"/>
      <c r="E60" s="42"/>
      <c r="F60" s="42"/>
      <c r="G60" s="42"/>
    </row>
    <row r="61" spans="1:7" x14ac:dyDescent="0.2">
      <c r="A61" s="85" t="s">
        <v>516</v>
      </c>
      <c r="B61" s="85"/>
      <c r="C61" s="85"/>
      <c r="D61" s="85"/>
      <c r="E61" s="85"/>
      <c r="F61" s="85"/>
      <c r="G61" s="85"/>
    </row>
    <row r="62" spans="1:7" ht="15.75" x14ac:dyDescent="0.25">
      <c r="A62" s="6"/>
      <c r="B62" s="99" t="s">
        <v>2</v>
      </c>
      <c r="C62" s="99"/>
      <c r="D62" s="100" t="s">
        <v>398</v>
      </c>
      <c r="E62" s="100"/>
      <c r="F62" s="101" t="s">
        <v>524</v>
      </c>
      <c r="G62" s="101"/>
    </row>
    <row r="63" spans="1:7" x14ac:dyDescent="0.2">
      <c r="A63" s="6" t="s">
        <v>514</v>
      </c>
      <c r="B63" s="121" t="s">
        <v>493</v>
      </c>
      <c r="C63" s="122"/>
      <c r="D63" s="121" t="s">
        <v>538</v>
      </c>
      <c r="E63" s="122"/>
      <c r="F63" s="121"/>
      <c r="G63" s="122"/>
    </row>
    <row r="64" spans="1:7" x14ac:dyDescent="0.2">
      <c r="A64" s="110" t="s">
        <v>1</v>
      </c>
      <c r="B64" s="112"/>
      <c r="C64" s="112"/>
      <c r="D64" s="112"/>
      <c r="E64" s="112"/>
      <c r="F64" s="112"/>
      <c r="G64" s="112"/>
    </row>
    <row r="65" spans="1:7" x14ac:dyDescent="0.2">
      <c r="A65" s="111"/>
      <c r="B65" s="112"/>
      <c r="C65" s="112"/>
      <c r="D65" s="112"/>
      <c r="E65" s="112"/>
      <c r="F65" s="112"/>
      <c r="G65" s="112"/>
    </row>
    <row r="66" spans="1:7" ht="6" customHeight="1" x14ac:dyDescent="0.2">
      <c r="A66" s="15"/>
      <c r="B66" s="37"/>
      <c r="C66" s="37"/>
      <c r="D66" s="37"/>
      <c r="E66" s="37"/>
      <c r="F66" s="37"/>
      <c r="G66" s="37"/>
    </row>
    <row r="67" spans="1:7" ht="13.15" customHeight="1" x14ac:dyDescent="0.2">
      <c r="A67" s="5"/>
      <c r="B67" s="5"/>
      <c r="C67" s="43"/>
      <c r="D67" s="102" t="s">
        <v>525</v>
      </c>
      <c r="E67" s="102"/>
      <c r="F67" s="102"/>
      <c r="G67" s="102"/>
    </row>
    <row r="68" spans="1:7" x14ac:dyDescent="0.2">
      <c r="A68" s="44"/>
      <c r="B68" s="45"/>
      <c r="C68" s="45"/>
      <c r="D68" s="103"/>
      <c r="E68" s="103"/>
      <c r="F68" s="103"/>
      <c r="G68" s="103"/>
    </row>
    <row r="69" spans="1:7" x14ac:dyDescent="0.2">
      <c r="A69" s="8"/>
      <c r="B69" s="98" t="s">
        <v>379</v>
      </c>
      <c r="C69" s="98"/>
      <c r="D69" s="8"/>
      <c r="E69" s="8"/>
      <c r="F69" s="8"/>
      <c r="G69" s="8"/>
    </row>
    <row r="70" spans="1:7" ht="6" customHeight="1" x14ac:dyDescent="0.2">
      <c r="A70" s="5"/>
      <c r="B70" s="5"/>
      <c r="C70" s="5"/>
      <c r="D70" s="5"/>
      <c r="E70" s="5"/>
      <c r="F70" s="5"/>
      <c r="G70" s="5"/>
    </row>
    <row r="71" spans="1:7" x14ac:dyDescent="0.2">
      <c r="A71" s="5"/>
      <c r="B71" s="9" t="s">
        <v>401</v>
      </c>
      <c r="C71" s="9" t="s">
        <v>403</v>
      </c>
      <c r="D71" s="5" t="s">
        <v>407</v>
      </c>
      <c r="E71" s="9" t="s">
        <v>402</v>
      </c>
      <c r="F71" s="9" t="s">
        <v>402</v>
      </c>
      <c r="G71" s="9"/>
    </row>
    <row r="72" spans="1:7" x14ac:dyDescent="0.2">
      <c r="A72" s="5"/>
      <c r="B72" s="24" t="s">
        <v>399</v>
      </c>
      <c r="C72" s="24" t="s">
        <v>404</v>
      </c>
      <c r="D72" s="24" t="s">
        <v>408</v>
      </c>
      <c r="E72" s="24" t="s">
        <v>400</v>
      </c>
      <c r="F72" s="24" t="s">
        <v>405</v>
      </c>
      <c r="G72" s="23" t="s">
        <v>578</v>
      </c>
    </row>
    <row r="73" spans="1:7" x14ac:dyDescent="0.2">
      <c r="A73" s="41"/>
      <c r="B73" s="41"/>
      <c r="C73" s="41"/>
      <c r="D73" s="41"/>
      <c r="E73" s="41"/>
      <c r="F73" s="41"/>
      <c r="G73" s="41"/>
    </row>
    <row r="91" spans="12:14" x14ac:dyDescent="0.2">
      <c r="L91" s="2" t="s">
        <v>4</v>
      </c>
      <c r="M91" s="1" t="s">
        <v>12</v>
      </c>
      <c r="N91" s="46" t="s">
        <v>25</v>
      </c>
    </row>
    <row r="92" spans="12:14" x14ac:dyDescent="0.2">
      <c r="L92" s="2" t="s">
        <v>6</v>
      </c>
      <c r="M92" s="1" t="s">
        <v>361</v>
      </c>
      <c r="N92" s="46" t="s">
        <v>26</v>
      </c>
    </row>
    <row r="93" spans="12:14" x14ac:dyDescent="0.2">
      <c r="L93" s="2" t="s">
        <v>5</v>
      </c>
      <c r="M93" s="1" t="s">
        <v>12</v>
      </c>
      <c r="N93" s="46" t="s">
        <v>27</v>
      </c>
    </row>
    <row r="94" spans="12:14" x14ac:dyDescent="0.2">
      <c r="L94" s="2" t="s">
        <v>7</v>
      </c>
      <c r="M94" s="1" t="s">
        <v>361</v>
      </c>
      <c r="N94" s="46" t="s">
        <v>28</v>
      </c>
    </row>
    <row r="95" spans="12:14" x14ac:dyDescent="0.2">
      <c r="L95" s="2" t="s">
        <v>8</v>
      </c>
      <c r="M95" s="1" t="s">
        <v>361</v>
      </c>
      <c r="N95" s="46" t="s">
        <v>29</v>
      </c>
    </row>
    <row r="96" spans="12:14" x14ac:dyDescent="0.2">
      <c r="L96" s="1" t="s">
        <v>377</v>
      </c>
      <c r="M96" s="1" t="s">
        <v>361</v>
      </c>
      <c r="N96" s="46" t="s">
        <v>30</v>
      </c>
    </row>
    <row r="97" spans="12:14" x14ac:dyDescent="0.2">
      <c r="L97" s="2" t="s">
        <v>9</v>
      </c>
      <c r="M97" s="1" t="s">
        <v>12</v>
      </c>
      <c r="N97" s="46" t="s">
        <v>31</v>
      </c>
    </row>
    <row r="98" spans="12:14" x14ac:dyDescent="0.2">
      <c r="L98" s="1" t="s">
        <v>378</v>
      </c>
      <c r="M98" s="1" t="s">
        <v>12</v>
      </c>
      <c r="N98" s="46" t="s">
        <v>32</v>
      </c>
    </row>
    <row r="99" spans="12:14" x14ac:dyDescent="0.2">
      <c r="L99" s="2" t="s">
        <v>353</v>
      </c>
      <c r="M99" s="1" t="s">
        <v>11</v>
      </c>
      <c r="N99" s="46" t="s">
        <v>33</v>
      </c>
    </row>
    <row r="100" spans="12:14" x14ac:dyDescent="0.2">
      <c r="L100" s="2" t="s">
        <v>354</v>
      </c>
      <c r="M100" s="1" t="s">
        <v>11</v>
      </c>
      <c r="N100" s="46" t="s">
        <v>34</v>
      </c>
    </row>
    <row r="101" spans="12:14" x14ac:dyDescent="0.2">
      <c r="L101" s="2" t="s">
        <v>355</v>
      </c>
      <c r="M101" s="1" t="s">
        <v>11</v>
      </c>
      <c r="N101" s="46" t="s">
        <v>35</v>
      </c>
    </row>
    <row r="102" spans="12:14" x14ac:dyDescent="0.2">
      <c r="L102" s="2" t="s">
        <v>356</v>
      </c>
      <c r="M102" s="1" t="s">
        <v>11</v>
      </c>
      <c r="N102" s="46" t="s">
        <v>36</v>
      </c>
    </row>
    <row r="103" spans="12:14" x14ac:dyDescent="0.2">
      <c r="L103" s="2" t="s">
        <v>357</v>
      </c>
      <c r="M103" s="1" t="s">
        <v>11</v>
      </c>
      <c r="N103" s="46" t="s">
        <v>37</v>
      </c>
    </row>
    <row r="104" spans="12:14" x14ac:dyDescent="0.2">
      <c r="L104" s="2" t="s">
        <v>358</v>
      </c>
      <c r="M104" s="1" t="s">
        <v>11</v>
      </c>
      <c r="N104" s="46" t="s">
        <v>38</v>
      </c>
    </row>
    <row r="105" spans="12:14" x14ac:dyDescent="0.2">
      <c r="L105" s="1" t="s">
        <v>411</v>
      </c>
      <c r="M105" s="1" t="s">
        <v>11</v>
      </c>
      <c r="N105" s="46" t="s">
        <v>39</v>
      </c>
    </row>
    <row r="106" spans="12:14" x14ac:dyDescent="0.2">
      <c r="L106" s="1" t="s">
        <v>433</v>
      </c>
      <c r="M106" s="1" t="s">
        <v>11</v>
      </c>
      <c r="N106" s="46" t="s">
        <v>40</v>
      </c>
    </row>
    <row r="107" spans="12:14" x14ac:dyDescent="0.2">
      <c r="L107" s="1" t="s">
        <v>410</v>
      </c>
      <c r="M107" s="1" t="s">
        <v>361</v>
      </c>
      <c r="N107" s="46" t="s">
        <v>41</v>
      </c>
    </row>
    <row r="108" spans="12:14" x14ac:dyDescent="0.2">
      <c r="L108" s="2" t="s">
        <v>352</v>
      </c>
      <c r="M108" s="1" t="s">
        <v>11</v>
      </c>
      <c r="N108" s="46" t="s">
        <v>42</v>
      </c>
    </row>
    <row r="109" spans="12:14" x14ac:dyDescent="0.2">
      <c r="L109" s="2" t="s">
        <v>359</v>
      </c>
      <c r="M109" s="1" t="s">
        <v>11</v>
      </c>
      <c r="N109" s="46" t="s">
        <v>43</v>
      </c>
    </row>
    <row r="110" spans="12:14" x14ac:dyDescent="0.2">
      <c r="N110" s="46" t="s">
        <v>44</v>
      </c>
    </row>
    <row r="111" spans="12:14" x14ac:dyDescent="0.2">
      <c r="N111" s="46" t="s">
        <v>45</v>
      </c>
    </row>
    <row r="112" spans="12:14" x14ac:dyDescent="0.2">
      <c r="N112" s="46" t="s">
        <v>46</v>
      </c>
    </row>
    <row r="113" spans="12:14" x14ac:dyDescent="0.2">
      <c r="N113" s="46" t="s">
        <v>47</v>
      </c>
    </row>
    <row r="114" spans="12:14" x14ac:dyDescent="0.2">
      <c r="L114" s="2" t="s">
        <v>22</v>
      </c>
      <c r="N114" s="46" t="s">
        <v>48</v>
      </c>
    </row>
    <row r="115" spans="12:14" x14ac:dyDescent="0.2">
      <c r="L115" s="2" t="s">
        <v>21</v>
      </c>
      <c r="N115" s="46" t="s">
        <v>49</v>
      </c>
    </row>
    <row r="116" spans="12:14" x14ac:dyDescent="0.2">
      <c r="L116" s="2" t="s">
        <v>23</v>
      </c>
      <c r="N116" s="46" t="s">
        <v>50</v>
      </c>
    </row>
    <row r="117" spans="12:14" x14ac:dyDescent="0.2">
      <c r="L117" s="2" t="s">
        <v>24</v>
      </c>
      <c r="N117" s="46" t="s">
        <v>51</v>
      </c>
    </row>
    <row r="118" spans="12:14" x14ac:dyDescent="0.2">
      <c r="L118" s="2" t="s">
        <v>385</v>
      </c>
      <c r="N118" s="46" t="s">
        <v>52</v>
      </c>
    </row>
    <row r="119" spans="12:14" x14ac:dyDescent="0.2">
      <c r="N119" s="46" t="s">
        <v>53</v>
      </c>
    </row>
    <row r="120" spans="12:14" x14ac:dyDescent="0.2">
      <c r="N120" s="46" t="s">
        <v>54</v>
      </c>
    </row>
    <row r="121" spans="12:14" x14ac:dyDescent="0.2">
      <c r="L121" s="1" t="s">
        <v>429</v>
      </c>
      <c r="N121" s="46" t="s">
        <v>55</v>
      </c>
    </row>
    <row r="122" spans="12:14" x14ac:dyDescent="0.2">
      <c r="L122" s="1" t="s">
        <v>430</v>
      </c>
      <c r="N122" s="46" t="s">
        <v>56</v>
      </c>
    </row>
    <row r="123" spans="12:14" x14ac:dyDescent="0.2">
      <c r="L123" s="2" t="s">
        <v>386</v>
      </c>
      <c r="N123" s="46" t="s">
        <v>57</v>
      </c>
    </row>
    <row r="124" spans="12:14" x14ac:dyDescent="0.2">
      <c r="L124" s="21" t="s">
        <v>390</v>
      </c>
      <c r="N124" s="46" t="s">
        <v>58</v>
      </c>
    </row>
    <row r="125" spans="12:14" x14ac:dyDescent="0.2">
      <c r="L125" s="1" t="s">
        <v>427</v>
      </c>
      <c r="N125" s="46" t="s">
        <v>59</v>
      </c>
    </row>
    <row r="126" spans="12:14" x14ac:dyDescent="0.2">
      <c r="L126" s="1" t="s">
        <v>426</v>
      </c>
      <c r="N126" s="46" t="s">
        <v>60</v>
      </c>
    </row>
    <row r="127" spans="12:14" x14ac:dyDescent="0.2">
      <c r="L127" s="1" t="s">
        <v>428</v>
      </c>
      <c r="N127" s="46" t="s">
        <v>61</v>
      </c>
    </row>
    <row r="128" spans="12:14" x14ac:dyDescent="0.2">
      <c r="L128" s="2" t="s">
        <v>360</v>
      </c>
      <c r="N128" s="46" t="s">
        <v>62</v>
      </c>
    </row>
    <row r="129" spans="12:14" x14ac:dyDescent="0.2">
      <c r="L129" s="1" t="s">
        <v>432</v>
      </c>
      <c r="N129" s="46" t="s">
        <v>63</v>
      </c>
    </row>
    <row r="130" spans="12:14" x14ac:dyDescent="0.2">
      <c r="N130" s="46" t="s">
        <v>64</v>
      </c>
    </row>
    <row r="131" spans="12:14" x14ac:dyDescent="0.2">
      <c r="N131" s="46" t="s">
        <v>65</v>
      </c>
    </row>
    <row r="132" spans="12:14" x14ac:dyDescent="0.2">
      <c r="N132" s="46" t="s">
        <v>66</v>
      </c>
    </row>
    <row r="133" spans="12:14" x14ac:dyDescent="0.2">
      <c r="L133" s="1" t="s">
        <v>10</v>
      </c>
      <c r="N133" s="46" t="s">
        <v>67</v>
      </c>
    </row>
    <row r="134" spans="12:14" x14ac:dyDescent="0.2">
      <c r="L134" s="1" t="s">
        <v>11</v>
      </c>
      <c r="N134" s="46" t="s">
        <v>68</v>
      </c>
    </row>
    <row r="135" spans="12:14" x14ac:dyDescent="0.2">
      <c r="L135" s="1" t="s">
        <v>361</v>
      </c>
      <c r="N135" s="46" t="s">
        <v>69</v>
      </c>
    </row>
    <row r="136" spans="12:14" x14ac:dyDescent="0.2">
      <c r="L136" s="1" t="s">
        <v>12</v>
      </c>
      <c r="N136" s="46" t="s">
        <v>70</v>
      </c>
    </row>
    <row r="137" spans="12:14" x14ac:dyDescent="0.2">
      <c r="L137" s="1" t="s">
        <v>13</v>
      </c>
      <c r="N137" s="46" t="s">
        <v>71</v>
      </c>
    </row>
    <row r="138" spans="12:14" x14ac:dyDescent="0.2">
      <c r="N138" s="46" t="s">
        <v>72</v>
      </c>
    </row>
    <row r="139" spans="12:14" x14ac:dyDescent="0.2">
      <c r="N139" s="46" t="s">
        <v>73</v>
      </c>
    </row>
    <row r="140" spans="12:14" x14ac:dyDescent="0.2">
      <c r="N140" s="46" t="s">
        <v>74</v>
      </c>
    </row>
    <row r="141" spans="12:14" x14ac:dyDescent="0.2">
      <c r="N141" s="46" t="s">
        <v>75</v>
      </c>
    </row>
    <row r="142" spans="12:14" x14ac:dyDescent="0.2">
      <c r="N142" s="46" t="s">
        <v>76</v>
      </c>
    </row>
    <row r="143" spans="12:14" x14ac:dyDescent="0.2">
      <c r="N143" s="46" t="s">
        <v>77</v>
      </c>
    </row>
    <row r="144" spans="12:14" x14ac:dyDescent="0.2">
      <c r="N144" s="46" t="s">
        <v>78</v>
      </c>
    </row>
    <row r="145" spans="12:14" x14ac:dyDescent="0.2">
      <c r="N145" s="46" t="s">
        <v>79</v>
      </c>
    </row>
    <row r="146" spans="12:14" x14ac:dyDescent="0.2">
      <c r="N146" s="46" t="s">
        <v>80</v>
      </c>
    </row>
    <row r="147" spans="12:14" x14ac:dyDescent="0.2">
      <c r="N147" s="46" t="s">
        <v>81</v>
      </c>
    </row>
    <row r="148" spans="12:14" x14ac:dyDescent="0.2">
      <c r="L148" s="1" t="s">
        <v>412</v>
      </c>
      <c r="N148" s="46" t="s">
        <v>82</v>
      </c>
    </row>
    <row r="149" spans="12:14" x14ac:dyDescent="0.2">
      <c r="L149" s="2" t="s">
        <v>413</v>
      </c>
      <c r="N149" s="46" t="s">
        <v>83</v>
      </c>
    </row>
    <row r="150" spans="12:14" x14ac:dyDescent="0.2">
      <c r="L150" s="2" t="s">
        <v>414</v>
      </c>
      <c r="N150" s="46" t="s">
        <v>84</v>
      </c>
    </row>
    <row r="151" spans="12:14" x14ac:dyDescent="0.2">
      <c r="L151" s="2" t="s">
        <v>415</v>
      </c>
      <c r="N151" s="46" t="s">
        <v>85</v>
      </c>
    </row>
    <row r="152" spans="12:14" x14ac:dyDescent="0.2">
      <c r="L152" s="2" t="s">
        <v>416</v>
      </c>
      <c r="N152" s="46" t="s">
        <v>86</v>
      </c>
    </row>
    <row r="153" spans="12:14" x14ac:dyDescent="0.2">
      <c r="L153" s="2" t="s">
        <v>417</v>
      </c>
      <c r="N153" s="46" t="s">
        <v>87</v>
      </c>
    </row>
    <row r="154" spans="12:14" x14ac:dyDescent="0.2">
      <c r="L154" s="2" t="s">
        <v>418</v>
      </c>
      <c r="N154" s="46" t="s">
        <v>88</v>
      </c>
    </row>
    <row r="155" spans="12:14" x14ac:dyDescent="0.2">
      <c r="L155" s="2" t="s">
        <v>419</v>
      </c>
      <c r="N155" s="46" t="s">
        <v>89</v>
      </c>
    </row>
    <row r="156" spans="12:14" x14ac:dyDescent="0.2">
      <c r="L156" s="2" t="s">
        <v>420</v>
      </c>
      <c r="N156" s="46" t="s">
        <v>90</v>
      </c>
    </row>
    <row r="157" spans="12:14" x14ac:dyDescent="0.2">
      <c r="L157" s="1" t="s">
        <v>421</v>
      </c>
      <c r="N157" s="46" t="s">
        <v>91</v>
      </c>
    </row>
    <row r="158" spans="12:14" x14ac:dyDescent="0.2">
      <c r="L158" s="1" t="s">
        <v>422</v>
      </c>
      <c r="N158" s="46" t="s">
        <v>92</v>
      </c>
    </row>
    <row r="159" spans="12:14" x14ac:dyDescent="0.2">
      <c r="L159" s="21" t="s">
        <v>423</v>
      </c>
      <c r="N159" s="46" t="s">
        <v>93</v>
      </c>
    </row>
    <row r="160" spans="12:14" x14ac:dyDescent="0.2">
      <c r="L160" s="21" t="s">
        <v>431</v>
      </c>
      <c r="N160" s="46" t="s">
        <v>94</v>
      </c>
    </row>
    <row r="161" spans="12:14" x14ac:dyDescent="0.2">
      <c r="N161" s="46" t="s">
        <v>95</v>
      </c>
    </row>
    <row r="162" spans="12:14" x14ac:dyDescent="0.2">
      <c r="N162" s="46" t="s">
        <v>96</v>
      </c>
    </row>
    <row r="163" spans="12:14" x14ac:dyDescent="0.2">
      <c r="L163" s="2">
        <v>610010</v>
      </c>
      <c r="M163" s="1" t="s">
        <v>436</v>
      </c>
      <c r="N163" s="46" t="s">
        <v>97</v>
      </c>
    </row>
    <row r="164" spans="12:14" x14ac:dyDescent="0.2">
      <c r="L164" s="2">
        <v>610011</v>
      </c>
      <c r="M164" s="1" t="s">
        <v>434</v>
      </c>
      <c r="N164" s="46" t="s">
        <v>98</v>
      </c>
    </row>
    <row r="165" spans="12:14" x14ac:dyDescent="0.2">
      <c r="L165" s="2">
        <v>610015</v>
      </c>
      <c r="M165" s="1" t="s">
        <v>445</v>
      </c>
      <c r="N165" s="46" t="s">
        <v>99</v>
      </c>
    </row>
    <row r="166" spans="12:14" x14ac:dyDescent="0.2">
      <c r="L166" s="2">
        <v>610020</v>
      </c>
      <c r="M166" s="1" t="s">
        <v>440</v>
      </c>
      <c r="N166" s="46" t="s">
        <v>100</v>
      </c>
    </row>
    <row r="167" spans="12:14" x14ac:dyDescent="0.2">
      <c r="L167" s="2">
        <v>610025</v>
      </c>
      <c r="M167" s="1" t="s">
        <v>435</v>
      </c>
      <c r="N167" s="46" t="s">
        <v>101</v>
      </c>
    </row>
    <row r="168" spans="12:14" x14ac:dyDescent="0.2">
      <c r="L168" s="2">
        <v>610030</v>
      </c>
      <c r="M168" s="1" t="s">
        <v>441</v>
      </c>
      <c r="N168" s="46" t="s">
        <v>102</v>
      </c>
    </row>
    <row r="169" spans="12:14" x14ac:dyDescent="0.2">
      <c r="L169" s="2">
        <v>611005</v>
      </c>
      <c r="M169" s="1" t="s">
        <v>442</v>
      </c>
      <c r="N169" s="46" t="s">
        <v>103</v>
      </c>
    </row>
    <row r="170" spans="12:14" x14ac:dyDescent="0.2">
      <c r="L170" s="2">
        <v>611010</v>
      </c>
      <c r="M170" s="1" t="s">
        <v>443</v>
      </c>
      <c r="N170" s="46" t="s">
        <v>104</v>
      </c>
    </row>
    <row r="171" spans="12:14" x14ac:dyDescent="0.2">
      <c r="L171" s="2">
        <v>611015</v>
      </c>
      <c r="M171" s="1" t="s">
        <v>444</v>
      </c>
      <c r="N171" s="46" t="s">
        <v>105</v>
      </c>
    </row>
    <row r="172" spans="12:14" x14ac:dyDescent="0.2">
      <c r="L172" s="2">
        <v>611030</v>
      </c>
      <c r="M172" s="1" t="s">
        <v>437</v>
      </c>
      <c r="N172" s="46" t="s">
        <v>106</v>
      </c>
    </row>
    <row r="173" spans="12:14" x14ac:dyDescent="0.2">
      <c r="L173" s="2">
        <v>611035</v>
      </c>
      <c r="M173" s="1" t="s">
        <v>438</v>
      </c>
      <c r="N173" s="46" t="s">
        <v>107</v>
      </c>
    </row>
    <row r="174" spans="12:14" x14ac:dyDescent="0.2">
      <c r="L174" s="2">
        <v>611040</v>
      </c>
      <c r="M174" s="1" t="s">
        <v>439</v>
      </c>
      <c r="N174" s="46" t="s">
        <v>108</v>
      </c>
    </row>
    <row r="175" spans="12:14" x14ac:dyDescent="0.2">
      <c r="N175" s="46" t="s">
        <v>109</v>
      </c>
    </row>
    <row r="176" spans="12:14" x14ac:dyDescent="0.2">
      <c r="N176" s="46" t="s">
        <v>110</v>
      </c>
    </row>
    <row r="177" spans="14:14" x14ac:dyDescent="0.2">
      <c r="N177" s="46" t="s">
        <v>111</v>
      </c>
    </row>
    <row r="178" spans="14:14" x14ac:dyDescent="0.2">
      <c r="N178" s="46" t="s">
        <v>112</v>
      </c>
    </row>
    <row r="179" spans="14:14" x14ac:dyDescent="0.2">
      <c r="N179" s="46" t="s">
        <v>113</v>
      </c>
    </row>
    <row r="180" spans="14:14" x14ac:dyDescent="0.2">
      <c r="N180" s="46" t="s">
        <v>114</v>
      </c>
    </row>
    <row r="181" spans="14:14" x14ac:dyDescent="0.2">
      <c r="N181" s="46" t="s">
        <v>115</v>
      </c>
    </row>
    <row r="182" spans="14:14" x14ac:dyDescent="0.2">
      <c r="N182" s="46" t="s">
        <v>116</v>
      </c>
    </row>
    <row r="183" spans="14:14" x14ac:dyDescent="0.2">
      <c r="N183" s="46" t="s">
        <v>117</v>
      </c>
    </row>
    <row r="184" spans="14:14" x14ac:dyDescent="0.2">
      <c r="N184" s="46" t="s">
        <v>118</v>
      </c>
    </row>
    <row r="185" spans="14:14" x14ac:dyDescent="0.2">
      <c r="N185" s="46" t="s">
        <v>119</v>
      </c>
    </row>
    <row r="186" spans="14:14" x14ac:dyDescent="0.2">
      <c r="N186" s="46" t="s">
        <v>120</v>
      </c>
    </row>
    <row r="187" spans="14:14" x14ac:dyDescent="0.2">
      <c r="N187" s="46" t="s">
        <v>121</v>
      </c>
    </row>
    <row r="188" spans="14:14" x14ac:dyDescent="0.2">
      <c r="N188" s="46" t="s">
        <v>122</v>
      </c>
    </row>
    <row r="189" spans="14:14" x14ac:dyDescent="0.2">
      <c r="N189" s="46" t="s">
        <v>123</v>
      </c>
    </row>
    <row r="190" spans="14:14" x14ac:dyDescent="0.2">
      <c r="N190" s="46" t="s">
        <v>124</v>
      </c>
    </row>
    <row r="191" spans="14:14" x14ac:dyDescent="0.2">
      <c r="N191" s="46" t="s">
        <v>125</v>
      </c>
    </row>
    <row r="192" spans="14:14" x14ac:dyDescent="0.2">
      <c r="N192" s="46" t="s">
        <v>126</v>
      </c>
    </row>
    <row r="193" spans="14:14" x14ac:dyDescent="0.2">
      <c r="N193" s="46" t="s">
        <v>127</v>
      </c>
    </row>
    <row r="194" spans="14:14" x14ac:dyDescent="0.2">
      <c r="N194" s="46" t="s">
        <v>128</v>
      </c>
    </row>
    <row r="195" spans="14:14" x14ac:dyDescent="0.2">
      <c r="N195" s="46" t="s">
        <v>129</v>
      </c>
    </row>
    <row r="196" spans="14:14" x14ac:dyDescent="0.2">
      <c r="N196" s="46" t="s">
        <v>130</v>
      </c>
    </row>
    <row r="197" spans="14:14" x14ac:dyDescent="0.2">
      <c r="N197" s="46" t="s">
        <v>131</v>
      </c>
    </row>
    <row r="198" spans="14:14" x14ac:dyDescent="0.2">
      <c r="N198" s="46" t="s">
        <v>132</v>
      </c>
    </row>
    <row r="199" spans="14:14" x14ac:dyDescent="0.2">
      <c r="N199" s="46" t="s">
        <v>133</v>
      </c>
    </row>
    <row r="200" spans="14:14" x14ac:dyDescent="0.2">
      <c r="N200" s="46" t="s">
        <v>134</v>
      </c>
    </row>
    <row r="201" spans="14:14" x14ac:dyDescent="0.2">
      <c r="N201" s="46" t="s">
        <v>135</v>
      </c>
    </row>
    <row r="202" spans="14:14" x14ac:dyDescent="0.2">
      <c r="N202" s="46" t="s">
        <v>136</v>
      </c>
    </row>
    <row r="203" spans="14:14" x14ac:dyDescent="0.2">
      <c r="N203" s="46" t="s">
        <v>137</v>
      </c>
    </row>
    <row r="204" spans="14:14" x14ac:dyDescent="0.2">
      <c r="N204" s="46" t="s">
        <v>138</v>
      </c>
    </row>
    <row r="205" spans="14:14" x14ac:dyDescent="0.2">
      <c r="N205" s="46" t="s">
        <v>139</v>
      </c>
    </row>
    <row r="206" spans="14:14" x14ac:dyDescent="0.2">
      <c r="N206" s="46" t="s">
        <v>140</v>
      </c>
    </row>
    <row r="207" spans="14:14" x14ac:dyDescent="0.2">
      <c r="N207" s="46" t="s">
        <v>141</v>
      </c>
    </row>
    <row r="208" spans="14:14" x14ac:dyDescent="0.2">
      <c r="N208" s="46" t="s">
        <v>142</v>
      </c>
    </row>
    <row r="209" spans="14:14" x14ac:dyDescent="0.2">
      <c r="N209" s="46" t="s">
        <v>143</v>
      </c>
    </row>
    <row r="210" spans="14:14" x14ac:dyDescent="0.2">
      <c r="N210" s="46" t="s">
        <v>144</v>
      </c>
    </row>
    <row r="211" spans="14:14" x14ac:dyDescent="0.2">
      <c r="N211" s="46" t="s">
        <v>145</v>
      </c>
    </row>
    <row r="212" spans="14:14" x14ac:dyDescent="0.2">
      <c r="N212" s="46" t="s">
        <v>146</v>
      </c>
    </row>
    <row r="213" spans="14:14" x14ac:dyDescent="0.2">
      <c r="N213" s="46" t="s">
        <v>147</v>
      </c>
    </row>
    <row r="214" spans="14:14" x14ac:dyDescent="0.2">
      <c r="N214" s="46" t="s">
        <v>148</v>
      </c>
    </row>
    <row r="215" spans="14:14" x14ac:dyDescent="0.2">
      <c r="N215" s="46" t="s">
        <v>149</v>
      </c>
    </row>
    <row r="216" spans="14:14" x14ac:dyDescent="0.2">
      <c r="N216" s="46" t="s">
        <v>150</v>
      </c>
    </row>
    <row r="217" spans="14:14" x14ac:dyDescent="0.2">
      <c r="N217" s="46" t="s">
        <v>151</v>
      </c>
    </row>
    <row r="218" spans="14:14" x14ac:dyDescent="0.2">
      <c r="N218" s="46" t="s">
        <v>152</v>
      </c>
    </row>
    <row r="219" spans="14:14" x14ac:dyDescent="0.2">
      <c r="N219" s="46" t="s">
        <v>153</v>
      </c>
    </row>
    <row r="220" spans="14:14" x14ac:dyDescent="0.2">
      <c r="N220" s="46" t="s">
        <v>154</v>
      </c>
    </row>
    <row r="221" spans="14:14" x14ac:dyDescent="0.2">
      <c r="N221" s="46" t="s">
        <v>155</v>
      </c>
    </row>
    <row r="222" spans="14:14" x14ac:dyDescent="0.2">
      <c r="N222" s="46" t="s">
        <v>156</v>
      </c>
    </row>
    <row r="223" spans="14:14" x14ac:dyDescent="0.2">
      <c r="N223" s="46" t="s">
        <v>157</v>
      </c>
    </row>
    <row r="224" spans="14:14" x14ac:dyDescent="0.2">
      <c r="N224" s="46" t="s">
        <v>158</v>
      </c>
    </row>
    <row r="225" spans="14:14" x14ac:dyDescent="0.2">
      <c r="N225" s="46" t="s">
        <v>159</v>
      </c>
    </row>
    <row r="226" spans="14:14" x14ac:dyDescent="0.2">
      <c r="N226" s="46" t="s">
        <v>160</v>
      </c>
    </row>
    <row r="227" spans="14:14" x14ac:dyDescent="0.2">
      <c r="N227" s="46" t="s">
        <v>161</v>
      </c>
    </row>
    <row r="228" spans="14:14" x14ac:dyDescent="0.2">
      <c r="N228" s="46" t="s">
        <v>162</v>
      </c>
    </row>
    <row r="229" spans="14:14" x14ac:dyDescent="0.2">
      <c r="N229" s="46" t="s">
        <v>163</v>
      </c>
    </row>
    <row r="230" spans="14:14" x14ac:dyDescent="0.2">
      <c r="N230" s="46" t="s">
        <v>164</v>
      </c>
    </row>
    <row r="231" spans="14:14" x14ac:dyDescent="0.2">
      <c r="N231" s="46" t="s">
        <v>165</v>
      </c>
    </row>
    <row r="232" spans="14:14" x14ac:dyDescent="0.2">
      <c r="N232" s="46" t="s">
        <v>166</v>
      </c>
    </row>
    <row r="233" spans="14:14" x14ac:dyDescent="0.2">
      <c r="N233" s="46" t="s">
        <v>167</v>
      </c>
    </row>
    <row r="234" spans="14:14" x14ac:dyDescent="0.2">
      <c r="N234" s="46" t="s">
        <v>168</v>
      </c>
    </row>
    <row r="235" spans="14:14" x14ac:dyDescent="0.2">
      <c r="N235" s="46" t="s">
        <v>169</v>
      </c>
    </row>
    <row r="236" spans="14:14" x14ac:dyDescent="0.2">
      <c r="N236" s="46" t="s">
        <v>170</v>
      </c>
    </row>
    <row r="237" spans="14:14" x14ac:dyDescent="0.2">
      <c r="N237" s="46" t="s">
        <v>171</v>
      </c>
    </row>
    <row r="238" spans="14:14" x14ac:dyDescent="0.2">
      <c r="N238" s="46" t="s">
        <v>172</v>
      </c>
    </row>
    <row r="239" spans="14:14" x14ac:dyDescent="0.2">
      <c r="N239" s="46" t="s">
        <v>173</v>
      </c>
    </row>
    <row r="240" spans="14:14" x14ac:dyDescent="0.2">
      <c r="N240" s="46" t="s">
        <v>174</v>
      </c>
    </row>
    <row r="241" spans="14:14" x14ac:dyDescent="0.2">
      <c r="N241" s="46" t="s">
        <v>175</v>
      </c>
    </row>
    <row r="242" spans="14:14" x14ac:dyDescent="0.2">
      <c r="N242" s="46" t="s">
        <v>176</v>
      </c>
    </row>
    <row r="243" spans="14:14" x14ac:dyDescent="0.2">
      <c r="N243" s="46" t="s">
        <v>177</v>
      </c>
    </row>
    <row r="244" spans="14:14" x14ac:dyDescent="0.2">
      <c r="N244" s="46" t="s">
        <v>178</v>
      </c>
    </row>
    <row r="245" spans="14:14" x14ac:dyDescent="0.2">
      <c r="N245" s="46" t="s">
        <v>179</v>
      </c>
    </row>
    <row r="246" spans="14:14" x14ac:dyDescent="0.2">
      <c r="N246" s="46" t="s">
        <v>180</v>
      </c>
    </row>
    <row r="247" spans="14:14" x14ac:dyDescent="0.2">
      <c r="N247" s="46" t="s">
        <v>181</v>
      </c>
    </row>
    <row r="248" spans="14:14" x14ac:dyDescent="0.2">
      <c r="N248" s="46" t="s">
        <v>182</v>
      </c>
    </row>
    <row r="249" spans="14:14" x14ac:dyDescent="0.2">
      <c r="N249" s="46" t="s">
        <v>183</v>
      </c>
    </row>
    <row r="250" spans="14:14" x14ac:dyDescent="0.2">
      <c r="N250" s="46" t="s">
        <v>184</v>
      </c>
    </row>
    <row r="251" spans="14:14" x14ac:dyDescent="0.2">
      <c r="N251" s="46" t="s">
        <v>185</v>
      </c>
    </row>
    <row r="252" spans="14:14" x14ac:dyDescent="0.2">
      <c r="N252" s="46" t="s">
        <v>186</v>
      </c>
    </row>
    <row r="253" spans="14:14" x14ac:dyDescent="0.2">
      <c r="N253" s="46" t="s">
        <v>187</v>
      </c>
    </row>
    <row r="254" spans="14:14" x14ac:dyDescent="0.2">
      <c r="N254" s="46" t="s">
        <v>188</v>
      </c>
    </row>
    <row r="255" spans="14:14" x14ac:dyDescent="0.2">
      <c r="N255" s="46" t="s">
        <v>189</v>
      </c>
    </row>
    <row r="256" spans="14:14" x14ac:dyDescent="0.2">
      <c r="N256" s="46" t="s">
        <v>190</v>
      </c>
    </row>
    <row r="257" spans="14:14" x14ac:dyDescent="0.2">
      <c r="N257" s="46" t="s">
        <v>191</v>
      </c>
    </row>
    <row r="258" spans="14:14" x14ac:dyDescent="0.2">
      <c r="N258" s="46" t="s">
        <v>192</v>
      </c>
    </row>
    <row r="259" spans="14:14" x14ac:dyDescent="0.2">
      <c r="N259" s="46" t="s">
        <v>193</v>
      </c>
    </row>
    <row r="260" spans="14:14" x14ac:dyDescent="0.2">
      <c r="N260" s="46" t="s">
        <v>194</v>
      </c>
    </row>
    <row r="261" spans="14:14" x14ac:dyDescent="0.2">
      <c r="N261" s="46" t="s">
        <v>195</v>
      </c>
    </row>
    <row r="262" spans="14:14" x14ac:dyDescent="0.2">
      <c r="N262" s="46" t="s">
        <v>196</v>
      </c>
    </row>
    <row r="263" spans="14:14" x14ac:dyDescent="0.2">
      <c r="N263" s="46" t="s">
        <v>197</v>
      </c>
    </row>
    <row r="264" spans="14:14" x14ac:dyDescent="0.2">
      <c r="N264" s="46" t="s">
        <v>198</v>
      </c>
    </row>
    <row r="265" spans="14:14" x14ac:dyDescent="0.2">
      <c r="N265" s="46" t="s">
        <v>199</v>
      </c>
    </row>
    <row r="266" spans="14:14" x14ac:dyDescent="0.2">
      <c r="N266" s="46" t="s">
        <v>200</v>
      </c>
    </row>
    <row r="267" spans="14:14" x14ac:dyDescent="0.2">
      <c r="N267" s="46" t="s">
        <v>201</v>
      </c>
    </row>
    <row r="268" spans="14:14" x14ac:dyDescent="0.2">
      <c r="N268" s="46" t="s">
        <v>202</v>
      </c>
    </row>
    <row r="269" spans="14:14" x14ac:dyDescent="0.2">
      <c r="N269" s="46" t="s">
        <v>203</v>
      </c>
    </row>
    <row r="270" spans="14:14" x14ac:dyDescent="0.2">
      <c r="N270" s="46" t="s">
        <v>204</v>
      </c>
    </row>
    <row r="271" spans="14:14" x14ac:dyDescent="0.2">
      <c r="N271" s="46" t="s">
        <v>205</v>
      </c>
    </row>
    <row r="272" spans="14:14" x14ac:dyDescent="0.2">
      <c r="N272" s="46" t="s">
        <v>206</v>
      </c>
    </row>
    <row r="273" spans="14:14" x14ac:dyDescent="0.2">
      <c r="N273" s="46" t="s">
        <v>207</v>
      </c>
    </row>
    <row r="274" spans="14:14" x14ac:dyDescent="0.2">
      <c r="N274" s="46" t="s">
        <v>208</v>
      </c>
    </row>
    <row r="275" spans="14:14" x14ac:dyDescent="0.2">
      <c r="N275" s="46" t="s">
        <v>209</v>
      </c>
    </row>
    <row r="276" spans="14:14" x14ac:dyDescent="0.2">
      <c r="N276" s="46" t="s">
        <v>210</v>
      </c>
    </row>
    <row r="277" spans="14:14" x14ac:dyDescent="0.2">
      <c r="N277" s="46" t="s">
        <v>211</v>
      </c>
    </row>
    <row r="278" spans="14:14" x14ac:dyDescent="0.2">
      <c r="N278" s="46" t="s">
        <v>212</v>
      </c>
    </row>
    <row r="279" spans="14:14" x14ac:dyDescent="0.2">
      <c r="N279" s="46" t="s">
        <v>213</v>
      </c>
    </row>
    <row r="280" spans="14:14" x14ac:dyDescent="0.2">
      <c r="N280" s="46" t="s">
        <v>214</v>
      </c>
    </row>
    <row r="281" spans="14:14" x14ac:dyDescent="0.2">
      <c r="N281" s="46" t="s">
        <v>215</v>
      </c>
    </row>
    <row r="282" spans="14:14" x14ac:dyDescent="0.2">
      <c r="N282" s="46" t="s">
        <v>216</v>
      </c>
    </row>
    <row r="283" spans="14:14" x14ac:dyDescent="0.2">
      <c r="N283" s="46" t="s">
        <v>217</v>
      </c>
    </row>
    <row r="284" spans="14:14" x14ac:dyDescent="0.2">
      <c r="N284" s="46" t="s">
        <v>218</v>
      </c>
    </row>
    <row r="285" spans="14:14" x14ac:dyDescent="0.2">
      <c r="N285" s="46" t="s">
        <v>219</v>
      </c>
    </row>
    <row r="286" spans="14:14" x14ac:dyDescent="0.2">
      <c r="N286" s="46" t="s">
        <v>220</v>
      </c>
    </row>
    <row r="287" spans="14:14" x14ac:dyDescent="0.2">
      <c r="N287" s="46" t="s">
        <v>221</v>
      </c>
    </row>
    <row r="288" spans="14:14" x14ac:dyDescent="0.2">
      <c r="N288" s="46" t="s">
        <v>222</v>
      </c>
    </row>
    <row r="289" spans="14:14" x14ac:dyDescent="0.2">
      <c r="N289" s="46" t="s">
        <v>223</v>
      </c>
    </row>
    <row r="290" spans="14:14" x14ac:dyDescent="0.2">
      <c r="N290" s="46" t="s">
        <v>224</v>
      </c>
    </row>
    <row r="291" spans="14:14" x14ac:dyDescent="0.2">
      <c r="N291" s="46" t="s">
        <v>225</v>
      </c>
    </row>
    <row r="292" spans="14:14" x14ac:dyDescent="0.2">
      <c r="N292" s="46" t="s">
        <v>226</v>
      </c>
    </row>
    <row r="293" spans="14:14" x14ac:dyDescent="0.2">
      <c r="N293" s="46" t="s">
        <v>227</v>
      </c>
    </row>
    <row r="294" spans="14:14" x14ac:dyDescent="0.2">
      <c r="N294" s="46" t="s">
        <v>228</v>
      </c>
    </row>
    <row r="295" spans="14:14" x14ac:dyDescent="0.2">
      <c r="N295" s="46" t="s">
        <v>229</v>
      </c>
    </row>
    <row r="296" spans="14:14" x14ac:dyDescent="0.2">
      <c r="N296" s="46" t="s">
        <v>230</v>
      </c>
    </row>
    <row r="297" spans="14:14" x14ac:dyDescent="0.2">
      <c r="N297" s="46" t="s">
        <v>231</v>
      </c>
    </row>
    <row r="298" spans="14:14" x14ac:dyDescent="0.2">
      <c r="N298" s="46" t="s">
        <v>232</v>
      </c>
    </row>
    <row r="299" spans="14:14" x14ac:dyDescent="0.2">
      <c r="N299" s="46" t="s">
        <v>233</v>
      </c>
    </row>
    <row r="300" spans="14:14" x14ac:dyDescent="0.2">
      <c r="N300" s="46" t="s">
        <v>234</v>
      </c>
    </row>
    <row r="301" spans="14:14" x14ac:dyDescent="0.2">
      <c r="N301" s="46" t="s">
        <v>235</v>
      </c>
    </row>
    <row r="302" spans="14:14" x14ac:dyDescent="0.2">
      <c r="N302" s="46" t="s">
        <v>236</v>
      </c>
    </row>
    <row r="303" spans="14:14" x14ac:dyDescent="0.2">
      <c r="N303" s="46" t="s">
        <v>237</v>
      </c>
    </row>
    <row r="304" spans="14:14" x14ac:dyDescent="0.2">
      <c r="N304" s="46" t="s">
        <v>238</v>
      </c>
    </row>
    <row r="305" spans="14:14" x14ac:dyDescent="0.2">
      <c r="N305" s="46" t="s">
        <v>239</v>
      </c>
    </row>
    <row r="306" spans="14:14" x14ac:dyDescent="0.2">
      <c r="N306" s="46" t="s">
        <v>240</v>
      </c>
    </row>
    <row r="307" spans="14:14" x14ac:dyDescent="0.2">
      <c r="N307" s="46" t="s">
        <v>241</v>
      </c>
    </row>
    <row r="308" spans="14:14" x14ac:dyDescent="0.2">
      <c r="N308" s="46" t="s">
        <v>242</v>
      </c>
    </row>
    <row r="309" spans="14:14" x14ac:dyDescent="0.2">
      <c r="N309" s="46" t="s">
        <v>243</v>
      </c>
    </row>
    <row r="310" spans="14:14" x14ac:dyDescent="0.2">
      <c r="N310" s="46" t="s">
        <v>244</v>
      </c>
    </row>
    <row r="311" spans="14:14" x14ac:dyDescent="0.2">
      <c r="N311" s="46" t="s">
        <v>245</v>
      </c>
    </row>
    <row r="312" spans="14:14" x14ac:dyDescent="0.2">
      <c r="N312" s="46" t="s">
        <v>246</v>
      </c>
    </row>
    <row r="313" spans="14:14" x14ac:dyDescent="0.2">
      <c r="N313" s="46" t="s">
        <v>247</v>
      </c>
    </row>
    <row r="314" spans="14:14" x14ac:dyDescent="0.2">
      <c r="N314" s="46" t="s">
        <v>248</v>
      </c>
    </row>
    <row r="315" spans="14:14" x14ac:dyDescent="0.2">
      <c r="N315" s="46" t="s">
        <v>249</v>
      </c>
    </row>
    <row r="316" spans="14:14" x14ac:dyDescent="0.2">
      <c r="N316" s="46" t="s">
        <v>250</v>
      </c>
    </row>
    <row r="317" spans="14:14" x14ac:dyDescent="0.2">
      <c r="N317" s="46" t="s">
        <v>251</v>
      </c>
    </row>
    <row r="318" spans="14:14" x14ac:dyDescent="0.2">
      <c r="N318" s="46" t="s">
        <v>252</v>
      </c>
    </row>
    <row r="319" spans="14:14" x14ac:dyDescent="0.2">
      <c r="N319" s="46" t="s">
        <v>253</v>
      </c>
    </row>
    <row r="320" spans="14:14" x14ac:dyDescent="0.2">
      <c r="N320" s="46" t="s">
        <v>254</v>
      </c>
    </row>
    <row r="321" spans="14:14" x14ac:dyDescent="0.2">
      <c r="N321" s="46" t="s">
        <v>255</v>
      </c>
    </row>
    <row r="322" spans="14:14" x14ac:dyDescent="0.2">
      <c r="N322" s="46" t="s">
        <v>256</v>
      </c>
    </row>
    <row r="323" spans="14:14" x14ac:dyDescent="0.2">
      <c r="N323" s="46" t="s">
        <v>257</v>
      </c>
    </row>
    <row r="324" spans="14:14" x14ac:dyDescent="0.2">
      <c r="N324" s="46" t="s">
        <v>258</v>
      </c>
    </row>
    <row r="325" spans="14:14" x14ac:dyDescent="0.2">
      <c r="N325" s="46" t="s">
        <v>259</v>
      </c>
    </row>
    <row r="326" spans="14:14" x14ac:dyDescent="0.2">
      <c r="N326" s="46" t="s">
        <v>260</v>
      </c>
    </row>
    <row r="327" spans="14:14" x14ac:dyDescent="0.2">
      <c r="N327" s="46" t="s">
        <v>261</v>
      </c>
    </row>
    <row r="328" spans="14:14" x14ac:dyDescent="0.2">
      <c r="N328" s="46" t="s">
        <v>262</v>
      </c>
    </row>
    <row r="329" spans="14:14" x14ac:dyDescent="0.2">
      <c r="N329" s="46" t="s">
        <v>263</v>
      </c>
    </row>
    <row r="330" spans="14:14" x14ac:dyDescent="0.2">
      <c r="N330" s="46" t="s">
        <v>264</v>
      </c>
    </row>
    <row r="331" spans="14:14" x14ac:dyDescent="0.2">
      <c r="N331" s="46" t="s">
        <v>265</v>
      </c>
    </row>
    <row r="332" spans="14:14" x14ac:dyDescent="0.2">
      <c r="N332" s="46" t="s">
        <v>266</v>
      </c>
    </row>
    <row r="333" spans="14:14" x14ac:dyDescent="0.2">
      <c r="N333" s="46" t="s">
        <v>267</v>
      </c>
    </row>
    <row r="334" spans="14:14" x14ac:dyDescent="0.2">
      <c r="N334" s="46" t="s">
        <v>268</v>
      </c>
    </row>
    <row r="335" spans="14:14" x14ac:dyDescent="0.2">
      <c r="N335" s="46" t="s">
        <v>269</v>
      </c>
    </row>
    <row r="336" spans="14:14" x14ac:dyDescent="0.2">
      <c r="N336" s="46" t="s">
        <v>270</v>
      </c>
    </row>
    <row r="337" spans="14:14" x14ac:dyDescent="0.2">
      <c r="N337" s="46" t="s">
        <v>271</v>
      </c>
    </row>
    <row r="338" spans="14:14" x14ac:dyDescent="0.2">
      <c r="N338" s="46" t="s">
        <v>272</v>
      </c>
    </row>
    <row r="339" spans="14:14" x14ac:dyDescent="0.2">
      <c r="N339" s="46" t="s">
        <v>273</v>
      </c>
    </row>
    <row r="340" spans="14:14" x14ac:dyDescent="0.2">
      <c r="N340" s="46" t="s">
        <v>274</v>
      </c>
    </row>
    <row r="341" spans="14:14" x14ac:dyDescent="0.2">
      <c r="N341" s="46" t="s">
        <v>275</v>
      </c>
    </row>
    <row r="342" spans="14:14" x14ac:dyDescent="0.2">
      <c r="N342" s="46" t="s">
        <v>276</v>
      </c>
    </row>
    <row r="343" spans="14:14" x14ac:dyDescent="0.2">
      <c r="N343" s="46" t="s">
        <v>277</v>
      </c>
    </row>
    <row r="344" spans="14:14" x14ac:dyDescent="0.2">
      <c r="N344" s="46" t="s">
        <v>278</v>
      </c>
    </row>
    <row r="345" spans="14:14" x14ac:dyDescent="0.2">
      <c r="N345" s="46" t="s">
        <v>279</v>
      </c>
    </row>
    <row r="346" spans="14:14" x14ac:dyDescent="0.2">
      <c r="N346" s="46" t="s">
        <v>280</v>
      </c>
    </row>
    <row r="347" spans="14:14" x14ac:dyDescent="0.2">
      <c r="N347" s="46" t="s">
        <v>281</v>
      </c>
    </row>
    <row r="348" spans="14:14" x14ac:dyDescent="0.2">
      <c r="N348" s="46" t="s">
        <v>282</v>
      </c>
    </row>
    <row r="349" spans="14:14" x14ac:dyDescent="0.2">
      <c r="N349" s="46" t="s">
        <v>283</v>
      </c>
    </row>
    <row r="350" spans="14:14" x14ac:dyDescent="0.2">
      <c r="N350" s="46" t="s">
        <v>284</v>
      </c>
    </row>
    <row r="351" spans="14:14" x14ac:dyDescent="0.2">
      <c r="N351" s="46" t="s">
        <v>285</v>
      </c>
    </row>
    <row r="352" spans="14:14" x14ac:dyDescent="0.2">
      <c r="N352" s="46" t="s">
        <v>286</v>
      </c>
    </row>
    <row r="353" spans="14:14" x14ac:dyDescent="0.2">
      <c r="N353" s="46" t="s">
        <v>287</v>
      </c>
    </row>
    <row r="354" spans="14:14" x14ac:dyDescent="0.2">
      <c r="N354" s="46" t="s">
        <v>288</v>
      </c>
    </row>
    <row r="355" spans="14:14" x14ac:dyDescent="0.2">
      <c r="N355" s="46" t="s">
        <v>289</v>
      </c>
    </row>
    <row r="356" spans="14:14" x14ac:dyDescent="0.2">
      <c r="N356" s="46" t="s">
        <v>290</v>
      </c>
    </row>
    <row r="357" spans="14:14" x14ac:dyDescent="0.2">
      <c r="N357" s="46" t="s">
        <v>291</v>
      </c>
    </row>
    <row r="358" spans="14:14" x14ac:dyDescent="0.2">
      <c r="N358" s="46" t="s">
        <v>292</v>
      </c>
    </row>
    <row r="359" spans="14:14" x14ac:dyDescent="0.2">
      <c r="N359" s="46" t="s">
        <v>293</v>
      </c>
    </row>
    <row r="360" spans="14:14" x14ac:dyDescent="0.2">
      <c r="N360" s="46" t="s">
        <v>294</v>
      </c>
    </row>
    <row r="361" spans="14:14" x14ac:dyDescent="0.2">
      <c r="N361" s="46" t="s">
        <v>295</v>
      </c>
    </row>
    <row r="362" spans="14:14" x14ac:dyDescent="0.2">
      <c r="N362" s="46" t="s">
        <v>296</v>
      </c>
    </row>
    <row r="363" spans="14:14" x14ac:dyDescent="0.2">
      <c r="N363" s="46" t="s">
        <v>297</v>
      </c>
    </row>
    <row r="364" spans="14:14" x14ac:dyDescent="0.2">
      <c r="N364" s="46" t="s">
        <v>298</v>
      </c>
    </row>
    <row r="365" spans="14:14" x14ac:dyDescent="0.2">
      <c r="N365" s="46" t="s">
        <v>299</v>
      </c>
    </row>
    <row r="366" spans="14:14" x14ac:dyDescent="0.2">
      <c r="N366" s="46" t="s">
        <v>300</v>
      </c>
    </row>
    <row r="367" spans="14:14" x14ac:dyDescent="0.2">
      <c r="N367" s="46" t="s">
        <v>301</v>
      </c>
    </row>
    <row r="368" spans="14:14" x14ac:dyDescent="0.2">
      <c r="N368" s="46" t="s">
        <v>302</v>
      </c>
    </row>
    <row r="369" spans="14:14" x14ac:dyDescent="0.2">
      <c r="N369" s="46" t="s">
        <v>303</v>
      </c>
    </row>
    <row r="370" spans="14:14" x14ac:dyDescent="0.2">
      <c r="N370" s="46" t="s">
        <v>304</v>
      </c>
    </row>
    <row r="371" spans="14:14" x14ac:dyDescent="0.2">
      <c r="N371" s="46" t="s">
        <v>305</v>
      </c>
    </row>
    <row r="372" spans="14:14" x14ac:dyDescent="0.2">
      <c r="N372" s="46" t="s">
        <v>306</v>
      </c>
    </row>
    <row r="373" spans="14:14" x14ac:dyDescent="0.2">
      <c r="N373" s="46" t="s">
        <v>307</v>
      </c>
    </row>
    <row r="374" spans="14:14" x14ac:dyDescent="0.2">
      <c r="N374" s="46" t="s">
        <v>308</v>
      </c>
    </row>
    <row r="375" spans="14:14" x14ac:dyDescent="0.2">
      <c r="N375" s="46" t="s">
        <v>309</v>
      </c>
    </row>
    <row r="376" spans="14:14" x14ac:dyDescent="0.2">
      <c r="N376" s="46" t="s">
        <v>310</v>
      </c>
    </row>
    <row r="377" spans="14:14" x14ac:dyDescent="0.2">
      <c r="N377" s="46" t="s">
        <v>311</v>
      </c>
    </row>
    <row r="378" spans="14:14" x14ac:dyDescent="0.2">
      <c r="N378" s="46" t="s">
        <v>312</v>
      </c>
    </row>
    <row r="379" spans="14:14" x14ac:dyDescent="0.2">
      <c r="N379" s="46" t="s">
        <v>313</v>
      </c>
    </row>
    <row r="380" spans="14:14" x14ac:dyDescent="0.2">
      <c r="N380" s="46" t="s">
        <v>314</v>
      </c>
    </row>
    <row r="381" spans="14:14" x14ac:dyDescent="0.2">
      <c r="N381" s="46" t="s">
        <v>315</v>
      </c>
    </row>
    <row r="382" spans="14:14" x14ac:dyDescent="0.2">
      <c r="N382" s="46" t="s">
        <v>316</v>
      </c>
    </row>
    <row r="383" spans="14:14" x14ac:dyDescent="0.2">
      <c r="N383" s="46" t="s">
        <v>317</v>
      </c>
    </row>
    <row r="384" spans="14:14" x14ac:dyDescent="0.2">
      <c r="N384" s="46" t="s">
        <v>318</v>
      </c>
    </row>
    <row r="385" spans="14:14" x14ac:dyDescent="0.2">
      <c r="N385" s="46" t="s">
        <v>319</v>
      </c>
    </row>
    <row r="386" spans="14:14" x14ac:dyDescent="0.2">
      <c r="N386" s="46" t="s">
        <v>320</v>
      </c>
    </row>
    <row r="387" spans="14:14" x14ac:dyDescent="0.2">
      <c r="N387" s="46" t="s">
        <v>321</v>
      </c>
    </row>
    <row r="388" spans="14:14" x14ac:dyDescent="0.2">
      <c r="N388" s="46" t="s">
        <v>322</v>
      </c>
    </row>
    <row r="389" spans="14:14" x14ac:dyDescent="0.2">
      <c r="N389" s="46" t="s">
        <v>323</v>
      </c>
    </row>
    <row r="390" spans="14:14" x14ac:dyDescent="0.2">
      <c r="N390" s="46" t="s">
        <v>324</v>
      </c>
    </row>
    <row r="391" spans="14:14" x14ac:dyDescent="0.2">
      <c r="N391" s="46" t="s">
        <v>325</v>
      </c>
    </row>
    <row r="392" spans="14:14" x14ac:dyDescent="0.2">
      <c r="N392" s="46" t="s">
        <v>326</v>
      </c>
    </row>
    <row r="393" spans="14:14" x14ac:dyDescent="0.2">
      <c r="N393" s="46" t="s">
        <v>327</v>
      </c>
    </row>
    <row r="394" spans="14:14" x14ac:dyDescent="0.2">
      <c r="N394" s="46" t="s">
        <v>328</v>
      </c>
    </row>
    <row r="395" spans="14:14" x14ac:dyDescent="0.2">
      <c r="N395" s="46" t="s">
        <v>329</v>
      </c>
    </row>
    <row r="396" spans="14:14" x14ac:dyDescent="0.2">
      <c r="N396" s="46" t="s">
        <v>330</v>
      </c>
    </row>
    <row r="397" spans="14:14" x14ac:dyDescent="0.2">
      <c r="N397" s="46" t="s">
        <v>331</v>
      </c>
    </row>
    <row r="398" spans="14:14" x14ac:dyDescent="0.2">
      <c r="N398" s="46" t="s">
        <v>332</v>
      </c>
    </row>
    <row r="399" spans="14:14" x14ac:dyDescent="0.2">
      <c r="N399" s="46" t="s">
        <v>333</v>
      </c>
    </row>
    <row r="400" spans="14:14" x14ac:dyDescent="0.2">
      <c r="N400" s="46" t="s">
        <v>334</v>
      </c>
    </row>
    <row r="401" spans="14:14" x14ac:dyDescent="0.2">
      <c r="N401" s="46" t="s">
        <v>335</v>
      </c>
    </row>
    <row r="402" spans="14:14" x14ac:dyDescent="0.2">
      <c r="N402" s="46" t="s">
        <v>336</v>
      </c>
    </row>
    <row r="403" spans="14:14" x14ac:dyDescent="0.2">
      <c r="N403" s="46" t="s">
        <v>337</v>
      </c>
    </row>
    <row r="404" spans="14:14" x14ac:dyDescent="0.2">
      <c r="N404" s="46" t="s">
        <v>338</v>
      </c>
    </row>
    <row r="405" spans="14:14" x14ac:dyDescent="0.2">
      <c r="N405" s="46" t="s">
        <v>339</v>
      </c>
    </row>
    <row r="406" spans="14:14" x14ac:dyDescent="0.2">
      <c r="N406" s="46" t="s">
        <v>340</v>
      </c>
    </row>
    <row r="407" spans="14:14" x14ac:dyDescent="0.2">
      <c r="N407" s="46" t="s">
        <v>341</v>
      </c>
    </row>
    <row r="408" spans="14:14" x14ac:dyDescent="0.2">
      <c r="N408" s="46" t="s">
        <v>342</v>
      </c>
    </row>
    <row r="409" spans="14:14" x14ac:dyDescent="0.2">
      <c r="N409" s="46" t="s">
        <v>343</v>
      </c>
    </row>
    <row r="410" spans="14:14" x14ac:dyDescent="0.2">
      <c r="N410" s="46" t="s">
        <v>344</v>
      </c>
    </row>
    <row r="411" spans="14:14" x14ac:dyDescent="0.2">
      <c r="N411" s="46" t="s">
        <v>345</v>
      </c>
    </row>
    <row r="412" spans="14:14" x14ac:dyDescent="0.2">
      <c r="N412" s="46" t="s">
        <v>346</v>
      </c>
    </row>
    <row r="413" spans="14:14" x14ac:dyDescent="0.2">
      <c r="N413" s="46" t="s">
        <v>347</v>
      </c>
    </row>
    <row r="414" spans="14:14" x14ac:dyDescent="0.2">
      <c r="N414" s="46" t="s">
        <v>348</v>
      </c>
    </row>
    <row r="415" spans="14:14" x14ac:dyDescent="0.2">
      <c r="N415" s="46" t="s">
        <v>349</v>
      </c>
    </row>
    <row r="416" spans="14:14" x14ac:dyDescent="0.2">
      <c r="N416" s="46" t="s">
        <v>350</v>
      </c>
    </row>
    <row r="417" spans="14:14" x14ac:dyDescent="0.2">
      <c r="N417" s="46" t="s">
        <v>351</v>
      </c>
    </row>
  </sheetData>
  <sheetProtection password="D332" sheet="1" objects="1" scenarios="1"/>
  <mergeCells count="49">
    <mergeCell ref="A3:G4"/>
    <mergeCell ref="A6:B6"/>
    <mergeCell ref="C6:F6"/>
    <mergeCell ref="A8:G8"/>
    <mergeCell ref="B10:C10"/>
    <mergeCell ref="B11:C11"/>
    <mergeCell ref="E11:F11"/>
    <mergeCell ref="E12:G12"/>
    <mergeCell ref="E13:G13"/>
    <mergeCell ref="B14:C14"/>
    <mergeCell ref="E14:G14"/>
    <mergeCell ref="B15:C15"/>
    <mergeCell ref="A17:G17"/>
    <mergeCell ref="A19:A20"/>
    <mergeCell ref="F19:G19"/>
    <mergeCell ref="F20:G20"/>
    <mergeCell ref="A23:A24"/>
    <mergeCell ref="E23:G23"/>
    <mergeCell ref="B25:C25"/>
    <mergeCell ref="D25:E25"/>
    <mergeCell ref="B26:C26"/>
    <mergeCell ref="A28:A29"/>
    <mergeCell ref="D28:G28"/>
    <mergeCell ref="A31:A32"/>
    <mergeCell ref="C31:E31"/>
    <mergeCell ref="A34:G34"/>
    <mergeCell ref="A39:A40"/>
    <mergeCell ref="D39:F39"/>
    <mergeCell ref="B41:G41"/>
    <mergeCell ref="B44:F44"/>
    <mergeCell ref="A46:A49"/>
    <mergeCell ref="B53:C53"/>
    <mergeCell ref="E53:F53"/>
    <mergeCell ref="B54:C55"/>
    <mergeCell ref="E54:F54"/>
    <mergeCell ref="B56:G59"/>
    <mergeCell ref="A61:G61"/>
    <mergeCell ref="B62:C62"/>
    <mergeCell ref="D62:E62"/>
    <mergeCell ref="F62:G62"/>
    <mergeCell ref="B63:C63"/>
    <mergeCell ref="D63:E63"/>
    <mergeCell ref="F63:G63"/>
    <mergeCell ref="D67:G68"/>
    <mergeCell ref="B69:C69"/>
    <mergeCell ref="A64:A65"/>
    <mergeCell ref="B64:C65"/>
    <mergeCell ref="D64:E65"/>
    <mergeCell ref="F64:G65"/>
  </mergeCells>
  <phoneticPr fontId="0" type="noConversion"/>
  <conditionalFormatting sqref="G46">
    <cfRule type="expression" dxfId="41" priority="14" stopIfTrue="1">
      <formula>ISERROR($G$46)</formula>
    </cfRule>
  </conditionalFormatting>
  <conditionalFormatting sqref="G47">
    <cfRule type="expression" dxfId="40" priority="13" stopIfTrue="1">
      <formula>ISERROR($G$47)</formula>
    </cfRule>
  </conditionalFormatting>
  <conditionalFormatting sqref="G48">
    <cfRule type="expression" dxfId="39" priority="12" stopIfTrue="1">
      <formula>ISERROR($G$48)</formula>
    </cfRule>
  </conditionalFormatting>
  <conditionalFormatting sqref="G49">
    <cfRule type="expression" dxfId="38" priority="11" stopIfTrue="1">
      <formula>ISERROR($G$49)</formula>
    </cfRule>
  </conditionalFormatting>
  <conditionalFormatting sqref="B46:B49">
    <cfRule type="expression" dxfId="37" priority="10" stopIfTrue="1">
      <formula>IF(SUM($B$46:$B$49)&lt;&gt;0,TRUE,FALSE)</formula>
    </cfRule>
  </conditionalFormatting>
  <conditionalFormatting sqref="C46:C49">
    <cfRule type="expression" dxfId="36" priority="9" stopIfTrue="1">
      <formula>IF(SUM($C$46:$C$49)&lt;&gt;0,TRUE,FALSE)</formula>
    </cfRule>
  </conditionalFormatting>
  <conditionalFormatting sqref="D46:D49">
    <cfRule type="expression" dxfId="35" priority="8" stopIfTrue="1">
      <formula>IF(SUM($D$46:$D$49)&lt;&gt;0,TRUE,FALSE)</formula>
    </cfRule>
  </conditionalFormatting>
  <conditionalFormatting sqref="E46:E49">
    <cfRule type="expression" dxfId="34" priority="7" stopIfTrue="1">
      <formula>IF(SUM($E$46:$E$49)&lt;&gt;0,TRUE,FALSE)</formula>
    </cfRule>
  </conditionalFormatting>
  <conditionalFormatting sqref="F46:F49">
    <cfRule type="expression" dxfId="33" priority="6" stopIfTrue="1">
      <formula>IF(SUM($F$46:$F$49)&lt;&gt;0,TRUE,FALSE)</formula>
    </cfRule>
  </conditionalFormatting>
  <conditionalFormatting sqref="B10:C11 B12:B13 B14:C15">
    <cfRule type="cellIs" dxfId="32" priority="5" stopIfTrue="1" operator="notEqual">
      <formula>$A$1</formula>
    </cfRule>
  </conditionalFormatting>
  <conditionalFormatting sqref="E11:F11 E12:G14">
    <cfRule type="cellIs" dxfId="31" priority="4" stopIfTrue="1" operator="notEqual">
      <formula>$A$1</formula>
    </cfRule>
  </conditionalFormatting>
  <conditionalFormatting sqref="E10">
    <cfRule type="cellIs" dxfId="30" priority="3" stopIfTrue="1" operator="notEqual">
      <formula>$A$1</formula>
    </cfRule>
  </conditionalFormatting>
  <conditionalFormatting sqref="B53:C53 E53:F54">
    <cfRule type="cellIs" dxfId="29" priority="2" stopIfTrue="1" operator="notEqual">
      <formula>$A$1</formula>
    </cfRule>
  </conditionalFormatting>
  <conditionalFormatting sqref="B63:G63">
    <cfRule type="cellIs" dxfId="28" priority="1" stopIfTrue="1" operator="notEqual">
      <formula>$A$1</formula>
    </cfRule>
  </conditionalFormatting>
  <dataValidations count="7">
    <dataValidation type="list" allowBlank="1" showInputMessage="1" showErrorMessage="1" sqref="D46:D49">
      <formula1>$L$163:$L$174</formula1>
    </dataValidation>
    <dataValidation type="list" allowBlank="1" showInputMessage="1" showErrorMessage="1" sqref="C31:E31">
      <formula1>$L$148:$L$160</formula1>
    </dataValidation>
    <dataValidation type="list" allowBlank="1" showInputMessage="1" showErrorMessage="1" sqref="E14">
      <formula1>$L$121:$L$129</formula1>
    </dataValidation>
    <dataValidation type="list" allowBlank="1" showInputMessage="1" showErrorMessage="1" sqref="E13">
      <formula1>$L$91:$L$109</formula1>
    </dataValidation>
    <dataValidation type="list" allowBlank="1" showInputMessage="1" showErrorMessage="1" sqref="E11:F11">
      <formula1>$L$114:$L$118</formula1>
    </dataValidation>
    <dataValidation type="list" allowBlank="1" showInputMessage="1" showErrorMessage="1" sqref="E12 E23">
      <formula1>$N$91:$N$417</formula1>
    </dataValidation>
    <dataValidation type="list" allowBlank="1" showInputMessage="1" showErrorMessage="1" sqref="C36 E36 C23 C19">
      <formula1>$L$133:$L$137</formula1>
    </dataValidation>
  </dataValidations>
  <hyperlinks>
    <hyperlink ref="A12" r:id="rId1"/>
    <hyperlink ref="B44:F44" r:id="rId2" display="POSITION FUNDING"/>
  </hyperlinks>
  <pageMargins left="0.5" right="0.5" top="0.5" bottom="0.5" header="0.3" footer="0.3"/>
  <pageSetup scale="94" orientation="portrait" r:id="rId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N417"/>
  <sheetViews>
    <sheetView zoomScaleNormal="100" workbookViewId="0">
      <selection activeCell="B10" sqref="B10:C10"/>
    </sheetView>
  </sheetViews>
  <sheetFormatPr defaultRowHeight="12.75" x14ac:dyDescent="0.2"/>
  <cols>
    <col min="1" max="1" width="14.42578125" style="2" customWidth="1"/>
    <col min="2" max="2" width="14.28515625" style="2" bestFit="1" customWidth="1"/>
    <col min="3" max="3" width="15.5703125" style="2" bestFit="1" customWidth="1"/>
    <col min="4" max="4" width="16" style="2" bestFit="1" customWidth="1"/>
    <col min="5" max="5" width="15.42578125" style="2" customWidth="1"/>
    <col min="6" max="6" width="14" style="2" customWidth="1"/>
    <col min="7" max="7" width="12.7109375" style="2" customWidth="1"/>
    <col min="8" max="9" width="8.140625" style="2" customWidth="1"/>
    <col min="10" max="11" width="9.140625" style="2"/>
    <col min="12" max="12" width="35.42578125" style="2" hidden="1" customWidth="1"/>
    <col min="13" max="13" width="17" style="2" hidden="1" customWidth="1"/>
    <col min="14" max="14" width="41.140625" style="2" hidden="1" customWidth="1"/>
    <col min="15" max="16384" width="9.140625" style="2"/>
  </cols>
  <sheetData>
    <row r="1" spans="1:8" x14ac:dyDescent="0.2">
      <c r="A1" s="5"/>
      <c r="B1" s="5"/>
      <c r="C1" s="5"/>
      <c r="D1" s="5"/>
      <c r="E1" s="5"/>
      <c r="F1" s="5"/>
      <c r="G1" s="5"/>
    </row>
    <row r="2" spans="1:8" ht="12.75" customHeight="1" x14ac:dyDescent="0.2">
      <c r="A2" s="5"/>
      <c r="B2" s="5"/>
      <c r="C2" s="5"/>
      <c r="D2" s="5"/>
      <c r="E2" s="5"/>
      <c r="F2" s="5"/>
      <c r="G2" s="5"/>
      <c r="H2" s="3"/>
    </row>
    <row r="3" spans="1:8" ht="7.5" customHeight="1" x14ac:dyDescent="0.2">
      <c r="A3" s="109" t="s">
        <v>380</v>
      </c>
      <c r="B3" s="109"/>
      <c r="C3" s="109"/>
      <c r="D3" s="109"/>
      <c r="E3" s="109"/>
      <c r="F3" s="109"/>
      <c r="G3" s="109"/>
      <c r="H3" s="3"/>
    </row>
    <row r="4" spans="1:8" x14ac:dyDescent="0.2">
      <c r="A4" s="109"/>
      <c r="B4" s="109"/>
      <c r="C4" s="109"/>
      <c r="D4" s="109"/>
      <c r="E4" s="109"/>
      <c r="F4" s="109"/>
      <c r="G4" s="109"/>
      <c r="H4" s="4"/>
    </row>
    <row r="5" spans="1:8" ht="6" customHeight="1" x14ac:dyDescent="0.2">
      <c r="A5" s="47"/>
      <c r="B5" s="47"/>
      <c r="C5" s="47"/>
      <c r="D5" s="47"/>
      <c r="E5" s="47"/>
      <c r="F5" s="47"/>
      <c r="G5" s="47"/>
      <c r="H5" s="4"/>
    </row>
    <row r="6" spans="1:8" x14ac:dyDescent="0.2">
      <c r="A6" s="76" t="s">
        <v>381</v>
      </c>
      <c r="B6" s="76"/>
      <c r="C6" s="76" t="s">
        <v>409</v>
      </c>
      <c r="D6" s="76"/>
      <c r="E6" s="76"/>
      <c r="F6" s="76"/>
      <c r="G6" s="5"/>
    </row>
    <row r="7" spans="1:8" ht="6" customHeight="1" x14ac:dyDescent="0.2">
      <c r="A7" s="48"/>
      <c r="B7" s="48"/>
      <c r="C7" s="48"/>
      <c r="D7" s="48"/>
      <c r="E7" s="48"/>
      <c r="F7" s="48"/>
      <c r="G7" s="5"/>
    </row>
    <row r="8" spans="1:8" x14ac:dyDescent="0.2">
      <c r="A8" s="77" t="s">
        <v>470</v>
      </c>
      <c r="B8" s="77"/>
      <c r="C8" s="77"/>
      <c r="D8" s="77"/>
      <c r="E8" s="77"/>
      <c r="F8" s="77"/>
      <c r="G8" s="77"/>
    </row>
    <row r="9" spans="1:8" ht="6" customHeight="1" x14ac:dyDescent="0.2">
      <c r="A9" s="35"/>
      <c r="B9" s="35"/>
      <c r="C9" s="35"/>
      <c r="D9" s="35"/>
      <c r="E9" s="35"/>
      <c r="F9" s="35"/>
      <c r="G9" s="35"/>
    </row>
    <row r="10" spans="1:8" x14ac:dyDescent="0.2">
      <c r="A10" s="6" t="s">
        <v>14</v>
      </c>
      <c r="B10" s="140" t="s">
        <v>499</v>
      </c>
      <c r="C10" s="141"/>
      <c r="D10" s="6" t="s">
        <v>18</v>
      </c>
      <c r="E10" s="16">
        <f ca="1">TODAY()</f>
        <v>41600</v>
      </c>
      <c r="F10" s="5"/>
      <c r="G10" s="5"/>
    </row>
    <row r="11" spans="1:8" x14ac:dyDescent="0.2">
      <c r="A11" s="6" t="s">
        <v>15</v>
      </c>
      <c r="B11" s="140" t="s">
        <v>500</v>
      </c>
      <c r="C11" s="141"/>
      <c r="D11" s="6" t="s">
        <v>384</v>
      </c>
      <c r="E11" s="122" t="s">
        <v>22</v>
      </c>
      <c r="F11" s="122"/>
      <c r="G11" s="7"/>
    </row>
    <row r="12" spans="1:8" x14ac:dyDescent="0.2">
      <c r="A12" s="6" t="s">
        <v>16</v>
      </c>
      <c r="B12" s="54">
        <v>900110555</v>
      </c>
      <c r="C12" s="22" t="s">
        <v>394</v>
      </c>
      <c r="D12" s="6" t="s">
        <v>17</v>
      </c>
      <c r="E12" s="122" t="s">
        <v>60</v>
      </c>
      <c r="F12" s="122"/>
      <c r="G12" s="122"/>
    </row>
    <row r="13" spans="1:8" x14ac:dyDescent="0.2">
      <c r="A13" s="6" t="s">
        <v>512</v>
      </c>
      <c r="B13" s="55">
        <v>1955</v>
      </c>
      <c r="C13" s="22" t="s">
        <v>596</v>
      </c>
      <c r="D13" s="6" t="s">
        <v>19</v>
      </c>
      <c r="E13" s="142" t="s">
        <v>378</v>
      </c>
      <c r="F13" s="143"/>
      <c r="G13" s="144"/>
    </row>
    <row r="14" spans="1:8" x14ac:dyDescent="0.2">
      <c r="A14" s="6" t="s">
        <v>576</v>
      </c>
      <c r="B14" s="140" t="s">
        <v>501</v>
      </c>
      <c r="C14" s="141"/>
      <c r="D14" s="6" t="s">
        <v>20</v>
      </c>
      <c r="E14" s="142" t="s">
        <v>360</v>
      </c>
      <c r="F14" s="143"/>
      <c r="G14" s="144"/>
    </row>
    <row r="15" spans="1:8" x14ac:dyDescent="0.2">
      <c r="A15" s="6" t="s">
        <v>577</v>
      </c>
      <c r="B15" s="121" t="s">
        <v>502</v>
      </c>
      <c r="C15" s="122"/>
      <c r="D15" s="6" t="s">
        <v>572</v>
      </c>
      <c r="E15" s="53">
        <v>37.5</v>
      </c>
      <c r="F15" s="6" t="s">
        <v>574</v>
      </c>
      <c r="G15" s="62">
        <v>1</v>
      </c>
    </row>
    <row r="16" spans="1:8" ht="6" customHeight="1" x14ac:dyDescent="0.2">
      <c r="A16" s="5"/>
      <c r="B16" s="5"/>
      <c r="C16" s="5"/>
      <c r="D16" s="5"/>
      <c r="E16" s="5"/>
      <c r="F16" s="5"/>
      <c r="G16" s="5"/>
    </row>
    <row r="17" spans="1:7" x14ac:dyDescent="0.2">
      <c r="A17" s="85" t="s">
        <v>387</v>
      </c>
      <c r="B17" s="85"/>
      <c r="C17" s="85"/>
      <c r="D17" s="85"/>
      <c r="E17" s="85"/>
      <c r="F17" s="85"/>
      <c r="G17" s="85"/>
    </row>
    <row r="18" spans="1:7" ht="6" customHeight="1" x14ac:dyDescent="0.2">
      <c r="A18" s="20"/>
      <c r="B18" s="20"/>
      <c r="C18" s="20"/>
      <c r="D18" s="20"/>
      <c r="E18" s="20"/>
      <c r="F18" s="20"/>
      <c r="G18" s="20"/>
    </row>
    <row r="19" spans="1:7" x14ac:dyDescent="0.2">
      <c r="A19" s="78" t="s">
        <v>424</v>
      </c>
      <c r="B19" s="56"/>
      <c r="C19" s="53"/>
      <c r="D19" s="57"/>
      <c r="E19" s="57"/>
      <c r="F19" s="134"/>
      <c r="G19" s="136"/>
    </row>
    <row r="20" spans="1:7" x14ac:dyDescent="0.2">
      <c r="A20" s="78"/>
      <c r="B20" s="9" t="s">
        <v>362</v>
      </c>
      <c r="C20" s="9" t="s">
        <v>363</v>
      </c>
      <c r="D20" s="9" t="s">
        <v>364</v>
      </c>
      <c r="E20" s="9" t="s">
        <v>382</v>
      </c>
      <c r="F20" s="86" t="s">
        <v>395</v>
      </c>
      <c r="G20" s="86"/>
    </row>
    <row r="21" spans="1:7" ht="12" customHeight="1" x14ac:dyDescent="0.2">
      <c r="A21" s="36"/>
      <c r="B21" s="39" t="s">
        <v>517</v>
      </c>
      <c r="C21" s="9"/>
      <c r="D21" s="9"/>
      <c r="E21" s="9"/>
      <c r="F21" s="9"/>
      <c r="G21" s="5"/>
    </row>
    <row r="22" spans="1:7" ht="6" customHeight="1" x14ac:dyDescent="0.2">
      <c r="A22" s="36"/>
      <c r="B22" s="9"/>
      <c r="C22" s="9"/>
      <c r="D22" s="9"/>
      <c r="E22" s="9"/>
      <c r="F22" s="9"/>
      <c r="G22" s="5"/>
    </row>
    <row r="23" spans="1:7" ht="12.75" customHeight="1" x14ac:dyDescent="0.2">
      <c r="A23" s="78" t="s">
        <v>388</v>
      </c>
      <c r="B23" s="56"/>
      <c r="C23" s="53"/>
      <c r="D23" s="57"/>
      <c r="E23" s="112"/>
      <c r="F23" s="112"/>
      <c r="G23" s="112"/>
    </row>
    <row r="24" spans="1:7" x14ac:dyDescent="0.2">
      <c r="A24" s="78"/>
      <c r="B24" s="9" t="s">
        <v>362</v>
      </c>
      <c r="C24" s="9" t="s">
        <v>363</v>
      </c>
      <c r="D24" s="9" t="s">
        <v>364</v>
      </c>
      <c r="E24" s="9" t="s">
        <v>393</v>
      </c>
      <c r="F24" s="9"/>
      <c r="G24" s="5"/>
    </row>
    <row r="25" spans="1:7" x14ac:dyDescent="0.2">
      <c r="A25" s="36"/>
      <c r="B25" s="134"/>
      <c r="C25" s="136"/>
      <c r="D25" s="134"/>
      <c r="E25" s="136"/>
      <c r="F25" s="9"/>
      <c r="G25" s="5"/>
    </row>
    <row r="26" spans="1:7" x14ac:dyDescent="0.2">
      <c r="A26" s="36"/>
      <c r="B26" s="86" t="s">
        <v>395</v>
      </c>
      <c r="C26" s="86"/>
      <c r="D26" s="9" t="s">
        <v>521</v>
      </c>
      <c r="E26" s="9"/>
      <c r="F26" s="9"/>
      <c r="G26" s="5"/>
    </row>
    <row r="27" spans="1:7" ht="6" customHeight="1" x14ac:dyDescent="0.2">
      <c r="A27" s="36"/>
      <c r="B27" s="9"/>
      <c r="C27" s="9"/>
      <c r="D27" s="9"/>
      <c r="E27" s="9"/>
      <c r="F27" s="9"/>
      <c r="G27" s="5"/>
    </row>
    <row r="28" spans="1:7" x14ac:dyDescent="0.2">
      <c r="A28" s="78" t="s">
        <v>389</v>
      </c>
      <c r="B28" s="57"/>
      <c r="C28" s="58"/>
      <c r="D28" s="134"/>
      <c r="E28" s="135"/>
      <c r="F28" s="135"/>
      <c r="G28" s="136"/>
    </row>
    <row r="29" spans="1:7" x14ac:dyDescent="0.2">
      <c r="A29" s="78"/>
      <c r="B29" s="9" t="s">
        <v>364</v>
      </c>
      <c r="C29" s="9" t="s">
        <v>382</v>
      </c>
      <c r="D29" s="9" t="s">
        <v>3</v>
      </c>
      <c r="E29" s="9"/>
      <c r="F29" s="9"/>
      <c r="G29" s="5"/>
    </row>
    <row r="30" spans="1:7" ht="6" customHeight="1" x14ac:dyDescent="0.2">
      <c r="A30" s="5"/>
      <c r="B30" s="5"/>
      <c r="C30" s="5"/>
      <c r="D30" s="5"/>
      <c r="E30" s="20"/>
      <c r="F30" s="20"/>
      <c r="G30" s="5"/>
    </row>
    <row r="31" spans="1:7" x14ac:dyDescent="0.2">
      <c r="A31" s="78" t="s">
        <v>425</v>
      </c>
      <c r="B31" s="57"/>
      <c r="C31" s="137"/>
      <c r="D31" s="138"/>
      <c r="E31" s="139"/>
      <c r="F31" s="26"/>
      <c r="G31" s="5"/>
    </row>
    <row r="32" spans="1:7" x14ac:dyDescent="0.2">
      <c r="A32" s="78"/>
      <c r="B32" s="9" t="s">
        <v>382</v>
      </c>
      <c r="C32" s="9" t="s">
        <v>3</v>
      </c>
      <c r="D32" s="5"/>
      <c r="E32" s="5"/>
      <c r="F32" s="5"/>
      <c r="G32" s="5"/>
    </row>
    <row r="33" spans="1:7" ht="6" customHeight="1" x14ac:dyDescent="0.2">
      <c r="A33" s="5"/>
      <c r="B33" s="9"/>
      <c r="C33" s="9"/>
      <c r="D33" s="5"/>
      <c r="E33" s="5"/>
      <c r="F33" s="5"/>
      <c r="G33" s="5"/>
    </row>
    <row r="34" spans="1:7" x14ac:dyDescent="0.2">
      <c r="A34" s="85" t="s">
        <v>392</v>
      </c>
      <c r="B34" s="85"/>
      <c r="C34" s="85"/>
      <c r="D34" s="85"/>
      <c r="E34" s="85"/>
      <c r="F34" s="85"/>
      <c r="G34" s="85"/>
    </row>
    <row r="35" spans="1:7" ht="6" customHeight="1" x14ac:dyDescent="0.2">
      <c r="A35" s="20"/>
      <c r="B35" s="20"/>
      <c r="C35" s="20"/>
      <c r="D35" s="20"/>
      <c r="E35" s="20"/>
      <c r="F35" s="20"/>
      <c r="G35" s="20"/>
    </row>
    <row r="36" spans="1:7" x14ac:dyDescent="0.2">
      <c r="A36" s="6" t="s">
        <v>391</v>
      </c>
      <c r="B36" s="56"/>
      <c r="C36" s="53"/>
      <c r="D36" s="56"/>
      <c r="E36" s="53"/>
      <c r="F36" s="57"/>
      <c r="G36" s="5"/>
    </row>
    <row r="37" spans="1:7" x14ac:dyDescent="0.2">
      <c r="A37" s="10"/>
      <c r="B37" s="9" t="s">
        <v>396</v>
      </c>
      <c r="C37" s="9" t="s">
        <v>363</v>
      </c>
      <c r="D37" s="9" t="s">
        <v>397</v>
      </c>
      <c r="E37" s="9" t="s">
        <v>363</v>
      </c>
      <c r="F37" s="9" t="s">
        <v>364</v>
      </c>
      <c r="G37" s="5"/>
    </row>
    <row r="38" spans="1:7" ht="6" customHeight="1" x14ac:dyDescent="0.2">
      <c r="A38" s="10"/>
      <c r="B38" s="9"/>
      <c r="C38" s="9"/>
      <c r="D38" s="9"/>
      <c r="E38" s="9"/>
      <c r="F38" s="9"/>
      <c r="G38" s="5"/>
    </row>
    <row r="39" spans="1:7" x14ac:dyDescent="0.2">
      <c r="A39" s="78" t="s">
        <v>406</v>
      </c>
      <c r="B39" s="56">
        <v>300</v>
      </c>
      <c r="C39" s="57">
        <f ca="1">TODAY()+15</f>
        <v>41615</v>
      </c>
      <c r="D39" s="116" t="s">
        <v>515</v>
      </c>
      <c r="E39" s="117"/>
      <c r="F39" s="117"/>
      <c r="G39" s="5"/>
    </row>
    <row r="40" spans="1:7" x14ac:dyDescent="0.2">
      <c r="A40" s="78"/>
      <c r="B40" s="9" t="s">
        <v>365</v>
      </c>
      <c r="C40" s="9" t="s">
        <v>366</v>
      </c>
      <c r="D40" s="34" t="s">
        <v>472</v>
      </c>
      <c r="E40" s="5"/>
      <c r="F40" s="5"/>
      <c r="G40" s="5"/>
    </row>
    <row r="41" spans="1:7" x14ac:dyDescent="0.2">
      <c r="A41" s="36"/>
      <c r="B41" s="118" t="s">
        <v>513</v>
      </c>
      <c r="C41" s="118"/>
      <c r="D41" s="118"/>
      <c r="E41" s="118"/>
      <c r="F41" s="118"/>
      <c r="G41" s="118"/>
    </row>
    <row r="42" spans="1:7" ht="6" customHeight="1" x14ac:dyDescent="0.2">
      <c r="A42" s="11"/>
      <c r="B42" s="12"/>
      <c r="C42" s="12"/>
      <c r="D42" s="11"/>
      <c r="E42" s="11"/>
      <c r="F42" s="11"/>
      <c r="G42" s="11"/>
    </row>
    <row r="43" spans="1:7" ht="6" customHeight="1" x14ac:dyDescent="0.2">
      <c r="A43" s="20"/>
      <c r="B43" s="12"/>
      <c r="C43" s="12"/>
      <c r="D43" s="11"/>
      <c r="E43" s="11"/>
      <c r="F43" s="11"/>
      <c r="G43" s="20"/>
    </row>
    <row r="44" spans="1:7" x14ac:dyDescent="0.2">
      <c r="A44" s="5"/>
      <c r="B44" s="119" t="s">
        <v>376</v>
      </c>
      <c r="C44" s="119"/>
      <c r="D44" s="119"/>
      <c r="E44" s="119"/>
      <c r="F44" s="119"/>
      <c r="G44" s="5"/>
    </row>
    <row r="45" spans="1:7" x14ac:dyDescent="0.2">
      <c r="A45" s="5"/>
      <c r="B45" s="13" t="s">
        <v>367</v>
      </c>
      <c r="C45" s="13" t="s">
        <v>368</v>
      </c>
      <c r="D45" s="13" t="s">
        <v>369</v>
      </c>
      <c r="E45" s="13" t="s">
        <v>370</v>
      </c>
      <c r="F45" s="13" t="s">
        <v>371</v>
      </c>
      <c r="G45" s="5"/>
    </row>
    <row r="46" spans="1:7" x14ac:dyDescent="0.2">
      <c r="A46" s="120" t="s">
        <v>383</v>
      </c>
      <c r="B46" s="59">
        <v>110000</v>
      </c>
      <c r="C46" s="50">
        <v>22240</v>
      </c>
      <c r="D46" s="50">
        <v>610025</v>
      </c>
      <c r="E46" s="50">
        <v>11</v>
      </c>
      <c r="F46" s="60">
        <v>1</v>
      </c>
      <c r="G46" s="27" t="str">
        <f>VLOOKUP($D46,$L$163:$M$174,2,FALSE)</f>
        <v>Fac Stipend</v>
      </c>
    </row>
    <row r="47" spans="1:7" x14ac:dyDescent="0.2">
      <c r="A47" s="120"/>
      <c r="B47" s="59"/>
      <c r="C47" s="50"/>
      <c r="D47" s="50"/>
      <c r="E47" s="50"/>
      <c r="F47" s="60"/>
      <c r="G47" s="27" t="e">
        <f>VLOOKUP($D47,$L$163:$M$174,2,FALSE)</f>
        <v>#N/A</v>
      </c>
    </row>
    <row r="48" spans="1:7" x14ac:dyDescent="0.2">
      <c r="A48" s="120"/>
      <c r="B48" s="59"/>
      <c r="C48" s="50"/>
      <c r="D48" s="50"/>
      <c r="E48" s="50"/>
      <c r="F48" s="60"/>
      <c r="G48" s="27" t="e">
        <f>VLOOKUP($D48,$L$163:$M$174,2,FALSE)</f>
        <v>#N/A</v>
      </c>
    </row>
    <row r="49" spans="1:7" x14ac:dyDescent="0.2">
      <c r="A49" s="120"/>
      <c r="B49" s="50"/>
      <c r="C49" s="50"/>
      <c r="D49" s="50"/>
      <c r="E49" s="50"/>
      <c r="F49" s="60"/>
      <c r="G49" s="27" t="e">
        <f>VLOOKUP($D49,$L$163:$M$174,2,FALSE)</f>
        <v>#N/A</v>
      </c>
    </row>
    <row r="50" spans="1:7" x14ac:dyDescent="0.2">
      <c r="A50" s="5"/>
      <c r="B50" s="14"/>
      <c r="C50" s="14"/>
      <c r="D50" s="14"/>
      <c r="E50" s="18" t="s">
        <v>372</v>
      </c>
      <c r="F50" s="19">
        <f>SUM(F46:F49)</f>
        <v>1</v>
      </c>
      <c r="G50" s="5"/>
    </row>
    <row r="51" spans="1:7" ht="6" customHeight="1" x14ac:dyDescent="0.2">
      <c r="A51" s="11"/>
      <c r="B51" s="11"/>
      <c r="C51" s="11"/>
      <c r="D51" s="11"/>
      <c r="E51" s="11"/>
      <c r="F51" s="11"/>
      <c r="G51" s="11"/>
    </row>
    <row r="52" spans="1:7" ht="6" customHeight="1" x14ac:dyDescent="0.2">
      <c r="A52" s="5"/>
      <c r="B52" s="5"/>
      <c r="C52" s="5"/>
      <c r="D52" s="5"/>
      <c r="E52" s="5"/>
      <c r="F52" s="5"/>
      <c r="G52" s="5"/>
    </row>
    <row r="53" spans="1:7" x14ac:dyDescent="0.2">
      <c r="A53" s="6" t="s">
        <v>373</v>
      </c>
      <c r="B53" s="121" t="s">
        <v>502</v>
      </c>
      <c r="C53" s="122"/>
      <c r="D53" s="6" t="s">
        <v>374</v>
      </c>
      <c r="E53" s="123">
        <v>3123415505</v>
      </c>
      <c r="F53" s="124"/>
      <c r="G53" s="5"/>
    </row>
    <row r="54" spans="1:7" ht="12.75" customHeight="1" x14ac:dyDescent="0.2">
      <c r="A54" s="5"/>
      <c r="B54" s="106" t="s">
        <v>473</v>
      </c>
      <c r="C54" s="106"/>
      <c r="D54" s="6" t="s">
        <v>375</v>
      </c>
      <c r="E54" s="122" t="s">
        <v>540</v>
      </c>
      <c r="F54" s="122"/>
      <c r="G54" s="5"/>
    </row>
    <row r="55" spans="1:7" x14ac:dyDescent="0.2">
      <c r="A55" s="5"/>
      <c r="B55" s="107"/>
      <c r="C55" s="107"/>
      <c r="D55" s="5"/>
      <c r="E55" s="5"/>
      <c r="F55" s="5"/>
      <c r="G55" s="5"/>
    </row>
    <row r="56" spans="1:7" x14ac:dyDescent="0.2">
      <c r="A56" s="6" t="s">
        <v>0</v>
      </c>
      <c r="B56" s="125"/>
      <c r="C56" s="126"/>
      <c r="D56" s="126"/>
      <c r="E56" s="126"/>
      <c r="F56" s="126"/>
      <c r="G56" s="127"/>
    </row>
    <row r="57" spans="1:7" x14ac:dyDescent="0.2">
      <c r="A57" s="5"/>
      <c r="B57" s="128"/>
      <c r="C57" s="129"/>
      <c r="D57" s="129"/>
      <c r="E57" s="129"/>
      <c r="F57" s="129"/>
      <c r="G57" s="130"/>
    </row>
    <row r="58" spans="1:7" x14ac:dyDescent="0.2">
      <c r="A58" s="5"/>
      <c r="B58" s="128"/>
      <c r="C58" s="129"/>
      <c r="D58" s="129"/>
      <c r="E58" s="129"/>
      <c r="F58" s="129"/>
      <c r="G58" s="130"/>
    </row>
    <row r="59" spans="1:7" x14ac:dyDescent="0.2">
      <c r="A59" s="5"/>
      <c r="B59" s="131"/>
      <c r="C59" s="132"/>
      <c r="D59" s="132"/>
      <c r="E59" s="132"/>
      <c r="F59" s="132"/>
      <c r="G59" s="133"/>
    </row>
    <row r="60" spans="1:7" ht="6" customHeight="1" x14ac:dyDescent="0.2">
      <c r="A60" s="5"/>
      <c r="B60" s="42"/>
      <c r="C60" s="42"/>
      <c r="D60" s="42"/>
      <c r="E60" s="42"/>
      <c r="F60" s="42"/>
      <c r="G60" s="42"/>
    </row>
    <row r="61" spans="1:7" x14ac:dyDescent="0.2">
      <c r="A61" s="85" t="s">
        <v>516</v>
      </c>
      <c r="B61" s="85"/>
      <c r="C61" s="85"/>
      <c r="D61" s="85"/>
      <c r="E61" s="85"/>
      <c r="F61" s="85"/>
      <c r="G61" s="85"/>
    </row>
    <row r="62" spans="1:7" ht="15.75" x14ac:dyDescent="0.25">
      <c r="A62" s="6"/>
      <c r="B62" s="99" t="s">
        <v>2</v>
      </c>
      <c r="C62" s="99"/>
      <c r="D62" s="100" t="s">
        <v>398</v>
      </c>
      <c r="E62" s="100"/>
      <c r="F62" s="101" t="s">
        <v>524</v>
      </c>
      <c r="G62" s="101"/>
    </row>
    <row r="63" spans="1:7" x14ac:dyDescent="0.2">
      <c r="A63" s="6" t="s">
        <v>514</v>
      </c>
      <c r="B63" s="121" t="s">
        <v>502</v>
      </c>
      <c r="C63" s="122"/>
      <c r="D63" s="121" t="s">
        <v>541</v>
      </c>
      <c r="E63" s="122"/>
      <c r="F63" s="121"/>
      <c r="G63" s="122"/>
    </row>
    <row r="64" spans="1:7" x14ac:dyDescent="0.2">
      <c r="A64" s="110" t="s">
        <v>1</v>
      </c>
      <c r="B64" s="112"/>
      <c r="C64" s="112"/>
      <c r="D64" s="112"/>
      <c r="E64" s="112"/>
      <c r="F64" s="112"/>
      <c r="G64" s="112"/>
    </row>
    <row r="65" spans="1:7" x14ac:dyDescent="0.2">
      <c r="A65" s="111"/>
      <c r="B65" s="112"/>
      <c r="C65" s="112"/>
      <c r="D65" s="112"/>
      <c r="E65" s="112"/>
      <c r="F65" s="112"/>
      <c r="G65" s="112"/>
    </row>
    <row r="66" spans="1:7" ht="6" customHeight="1" x14ac:dyDescent="0.2">
      <c r="A66" s="15"/>
      <c r="B66" s="37"/>
      <c r="C66" s="37"/>
      <c r="D66" s="37"/>
      <c r="E66" s="37"/>
      <c r="F66" s="37"/>
      <c r="G66" s="37"/>
    </row>
    <row r="67" spans="1:7" ht="13.15" customHeight="1" x14ac:dyDescent="0.2">
      <c r="A67" s="5"/>
      <c r="B67" s="5"/>
      <c r="C67" s="43"/>
      <c r="D67" s="102" t="s">
        <v>525</v>
      </c>
      <c r="E67" s="102"/>
      <c r="F67" s="102"/>
      <c r="G67" s="102"/>
    </row>
    <row r="68" spans="1:7" x14ac:dyDescent="0.2">
      <c r="A68" s="44"/>
      <c r="B68" s="45"/>
      <c r="C68" s="45"/>
      <c r="D68" s="103"/>
      <c r="E68" s="103"/>
      <c r="F68" s="103"/>
      <c r="G68" s="103"/>
    </row>
    <row r="69" spans="1:7" x14ac:dyDescent="0.2">
      <c r="A69" s="8"/>
      <c r="B69" s="98" t="s">
        <v>379</v>
      </c>
      <c r="C69" s="98"/>
      <c r="D69" s="8"/>
      <c r="E69" s="8"/>
      <c r="F69" s="8"/>
      <c r="G69" s="8"/>
    </row>
    <row r="70" spans="1:7" ht="6" customHeight="1" x14ac:dyDescent="0.2">
      <c r="A70" s="5"/>
      <c r="B70" s="5"/>
      <c r="C70" s="5"/>
      <c r="D70" s="5"/>
      <c r="E70" s="5"/>
      <c r="F70" s="5"/>
      <c r="G70" s="5"/>
    </row>
    <row r="71" spans="1:7" x14ac:dyDescent="0.2">
      <c r="A71" s="5"/>
      <c r="B71" s="9" t="s">
        <v>401</v>
      </c>
      <c r="C71" s="9" t="s">
        <v>403</v>
      </c>
      <c r="D71" s="5" t="s">
        <v>407</v>
      </c>
      <c r="E71" s="9" t="s">
        <v>402</v>
      </c>
      <c r="F71" s="9" t="s">
        <v>402</v>
      </c>
      <c r="G71" s="9"/>
    </row>
    <row r="72" spans="1:7" x14ac:dyDescent="0.2">
      <c r="A72" s="5"/>
      <c r="B72" s="24" t="s">
        <v>399</v>
      </c>
      <c r="C72" s="24" t="s">
        <v>404</v>
      </c>
      <c r="D72" s="24" t="s">
        <v>408</v>
      </c>
      <c r="E72" s="24" t="s">
        <v>400</v>
      </c>
      <c r="F72" s="24" t="s">
        <v>405</v>
      </c>
      <c r="G72" s="23" t="s">
        <v>578</v>
      </c>
    </row>
    <row r="73" spans="1:7" x14ac:dyDescent="0.2">
      <c r="A73" s="41"/>
      <c r="B73" s="41"/>
      <c r="C73" s="41"/>
      <c r="D73" s="41"/>
      <c r="E73" s="41"/>
      <c r="F73" s="41"/>
      <c r="G73" s="41"/>
    </row>
    <row r="91" spans="12:14" x14ac:dyDescent="0.2">
      <c r="L91" s="2" t="s">
        <v>4</v>
      </c>
      <c r="M91" s="1" t="s">
        <v>12</v>
      </c>
      <c r="N91" s="46" t="s">
        <v>25</v>
      </c>
    </row>
    <row r="92" spans="12:14" x14ac:dyDescent="0.2">
      <c r="L92" s="2" t="s">
        <v>6</v>
      </c>
      <c r="M92" s="1" t="s">
        <v>361</v>
      </c>
      <c r="N92" s="46" t="s">
        <v>26</v>
      </c>
    </row>
    <row r="93" spans="12:14" x14ac:dyDescent="0.2">
      <c r="L93" s="2" t="s">
        <v>5</v>
      </c>
      <c r="M93" s="1" t="s">
        <v>12</v>
      </c>
      <c r="N93" s="46" t="s">
        <v>27</v>
      </c>
    </row>
    <row r="94" spans="12:14" x14ac:dyDescent="0.2">
      <c r="L94" s="2" t="s">
        <v>7</v>
      </c>
      <c r="M94" s="1" t="s">
        <v>361</v>
      </c>
      <c r="N94" s="46" t="s">
        <v>28</v>
      </c>
    </row>
    <row r="95" spans="12:14" x14ac:dyDescent="0.2">
      <c r="L95" s="2" t="s">
        <v>8</v>
      </c>
      <c r="M95" s="1" t="s">
        <v>361</v>
      </c>
      <c r="N95" s="46" t="s">
        <v>29</v>
      </c>
    </row>
    <row r="96" spans="12:14" x14ac:dyDescent="0.2">
      <c r="L96" s="1" t="s">
        <v>377</v>
      </c>
      <c r="M96" s="1" t="s">
        <v>361</v>
      </c>
      <c r="N96" s="46" t="s">
        <v>30</v>
      </c>
    </row>
    <row r="97" spans="12:14" x14ac:dyDescent="0.2">
      <c r="L97" s="2" t="s">
        <v>9</v>
      </c>
      <c r="M97" s="1" t="s">
        <v>12</v>
      </c>
      <c r="N97" s="46" t="s">
        <v>31</v>
      </c>
    </row>
    <row r="98" spans="12:14" x14ac:dyDescent="0.2">
      <c r="L98" s="1" t="s">
        <v>378</v>
      </c>
      <c r="M98" s="1" t="s">
        <v>12</v>
      </c>
      <c r="N98" s="46" t="s">
        <v>32</v>
      </c>
    </row>
    <row r="99" spans="12:14" x14ac:dyDescent="0.2">
      <c r="L99" s="2" t="s">
        <v>353</v>
      </c>
      <c r="M99" s="1" t="s">
        <v>11</v>
      </c>
      <c r="N99" s="46" t="s">
        <v>33</v>
      </c>
    </row>
    <row r="100" spans="12:14" x14ac:dyDescent="0.2">
      <c r="L100" s="2" t="s">
        <v>354</v>
      </c>
      <c r="M100" s="1" t="s">
        <v>11</v>
      </c>
      <c r="N100" s="46" t="s">
        <v>34</v>
      </c>
    </row>
    <row r="101" spans="12:14" x14ac:dyDescent="0.2">
      <c r="L101" s="2" t="s">
        <v>355</v>
      </c>
      <c r="M101" s="1" t="s">
        <v>11</v>
      </c>
      <c r="N101" s="46" t="s">
        <v>35</v>
      </c>
    </row>
    <row r="102" spans="12:14" x14ac:dyDescent="0.2">
      <c r="L102" s="2" t="s">
        <v>356</v>
      </c>
      <c r="M102" s="1" t="s">
        <v>11</v>
      </c>
      <c r="N102" s="46" t="s">
        <v>36</v>
      </c>
    </row>
    <row r="103" spans="12:14" x14ac:dyDescent="0.2">
      <c r="L103" s="2" t="s">
        <v>357</v>
      </c>
      <c r="M103" s="1" t="s">
        <v>11</v>
      </c>
      <c r="N103" s="46" t="s">
        <v>37</v>
      </c>
    </row>
    <row r="104" spans="12:14" x14ac:dyDescent="0.2">
      <c r="L104" s="2" t="s">
        <v>358</v>
      </c>
      <c r="M104" s="1" t="s">
        <v>11</v>
      </c>
      <c r="N104" s="46" t="s">
        <v>38</v>
      </c>
    </row>
    <row r="105" spans="12:14" x14ac:dyDescent="0.2">
      <c r="L105" s="1" t="s">
        <v>411</v>
      </c>
      <c r="M105" s="1" t="s">
        <v>11</v>
      </c>
      <c r="N105" s="46" t="s">
        <v>39</v>
      </c>
    </row>
    <row r="106" spans="12:14" x14ac:dyDescent="0.2">
      <c r="L106" s="1" t="s">
        <v>433</v>
      </c>
      <c r="M106" s="1" t="s">
        <v>11</v>
      </c>
      <c r="N106" s="46" t="s">
        <v>40</v>
      </c>
    </row>
    <row r="107" spans="12:14" x14ac:dyDescent="0.2">
      <c r="L107" s="1" t="s">
        <v>410</v>
      </c>
      <c r="M107" s="1" t="s">
        <v>361</v>
      </c>
      <c r="N107" s="46" t="s">
        <v>41</v>
      </c>
    </row>
    <row r="108" spans="12:14" x14ac:dyDescent="0.2">
      <c r="L108" s="2" t="s">
        <v>352</v>
      </c>
      <c r="M108" s="1" t="s">
        <v>11</v>
      </c>
      <c r="N108" s="46" t="s">
        <v>42</v>
      </c>
    </row>
    <row r="109" spans="12:14" x14ac:dyDescent="0.2">
      <c r="L109" s="2" t="s">
        <v>359</v>
      </c>
      <c r="M109" s="1" t="s">
        <v>11</v>
      </c>
      <c r="N109" s="46" t="s">
        <v>43</v>
      </c>
    </row>
    <row r="110" spans="12:14" x14ac:dyDescent="0.2">
      <c r="N110" s="46" t="s">
        <v>44</v>
      </c>
    </row>
    <row r="111" spans="12:14" x14ac:dyDescent="0.2">
      <c r="N111" s="46" t="s">
        <v>45</v>
      </c>
    </row>
    <row r="112" spans="12:14" x14ac:dyDescent="0.2">
      <c r="N112" s="46" t="s">
        <v>46</v>
      </c>
    </row>
    <row r="113" spans="12:14" x14ac:dyDescent="0.2">
      <c r="N113" s="46" t="s">
        <v>47</v>
      </c>
    </row>
    <row r="114" spans="12:14" x14ac:dyDescent="0.2">
      <c r="L114" s="2" t="s">
        <v>22</v>
      </c>
      <c r="N114" s="46" t="s">
        <v>48</v>
      </c>
    </row>
    <row r="115" spans="12:14" x14ac:dyDescent="0.2">
      <c r="L115" s="2" t="s">
        <v>21</v>
      </c>
      <c r="N115" s="46" t="s">
        <v>49</v>
      </c>
    </row>
    <row r="116" spans="12:14" x14ac:dyDescent="0.2">
      <c r="L116" s="2" t="s">
        <v>23</v>
      </c>
      <c r="N116" s="46" t="s">
        <v>50</v>
      </c>
    </row>
    <row r="117" spans="12:14" x14ac:dyDescent="0.2">
      <c r="L117" s="2" t="s">
        <v>24</v>
      </c>
      <c r="N117" s="46" t="s">
        <v>51</v>
      </c>
    </row>
    <row r="118" spans="12:14" x14ac:dyDescent="0.2">
      <c r="L118" s="2" t="s">
        <v>385</v>
      </c>
      <c r="N118" s="46" t="s">
        <v>52</v>
      </c>
    </row>
    <row r="119" spans="12:14" x14ac:dyDescent="0.2">
      <c r="N119" s="46" t="s">
        <v>53</v>
      </c>
    </row>
    <row r="120" spans="12:14" x14ac:dyDescent="0.2">
      <c r="N120" s="46" t="s">
        <v>54</v>
      </c>
    </row>
    <row r="121" spans="12:14" x14ac:dyDescent="0.2">
      <c r="L121" s="1" t="s">
        <v>429</v>
      </c>
      <c r="N121" s="46" t="s">
        <v>55</v>
      </c>
    </row>
    <row r="122" spans="12:14" x14ac:dyDescent="0.2">
      <c r="L122" s="1" t="s">
        <v>430</v>
      </c>
      <c r="N122" s="46" t="s">
        <v>56</v>
      </c>
    </row>
    <row r="123" spans="12:14" x14ac:dyDescent="0.2">
      <c r="L123" s="2" t="s">
        <v>386</v>
      </c>
      <c r="N123" s="46" t="s">
        <v>57</v>
      </c>
    </row>
    <row r="124" spans="12:14" x14ac:dyDescent="0.2">
      <c r="L124" s="21" t="s">
        <v>390</v>
      </c>
      <c r="N124" s="46" t="s">
        <v>58</v>
      </c>
    </row>
    <row r="125" spans="12:14" x14ac:dyDescent="0.2">
      <c r="L125" s="1" t="s">
        <v>427</v>
      </c>
      <c r="N125" s="46" t="s">
        <v>59</v>
      </c>
    </row>
    <row r="126" spans="12:14" x14ac:dyDescent="0.2">
      <c r="L126" s="1" t="s">
        <v>426</v>
      </c>
      <c r="N126" s="46" t="s">
        <v>60</v>
      </c>
    </row>
    <row r="127" spans="12:14" x14ac:dyDescent="0.2">
      <c r="L127" s="1" t="s">
        <v>428</v>
      </c>
      <c r="N127" s="46" t="s">
        <v>61</v>
      </c>
    </row>
    <row r="128" spans="12:14" x14ac:dyDescent="0.2">
      <c r="L128" s="2" t="s">
        <v>360</v>
      </c>
      <c r="N128" s="46" t="s">
        <v>62</v>
      </c>
    </row>
    <row r="129" spans="12:14" x14ac:dyDescent="0.2">
      <c r="L129" s="1" t="s">
        <v>432</v>
      </c>
      <c r="N129" s="46" t="s">
        <v>63</v>
      </c>
    </row>
    <row r="130" spans="12:14" x14ac:dyDescent="0.2">
      <c r="N130" s="46" t="s">
        <v>64</v>
      </c>
    </row>
    <row r="131" spans="12:14" x14ac:dyDescent="0.2">
      <c r="N131" s="46" t="s">
        <v>65</v>
      </c>
    </row>
    <row r="132" spans="12:14" x14ac:dyDescent="0.2">
      <c r="N132" s="46" t="s">
        <v>66</v>
      </c>
    </row>
    <row r="133" spans="12:14" x14ac:dyDescent="0.2">
      <c r="L133" s="1" t="s">
        <v>10</v>
      </c>
      <c r="N133" s="46" t="s">
        <v>67</v>
      </c>
    </row>
    <row r="134" spans="12:14" x14ac:dyDescent="0.2">
      <c r="L134" s="1" t="s">
        <v>11</v>
      </c>
      <c r="N134" s="46" t="s">
        <v>68</v>
      </c>
    </row>
    <row r="135" spans="12:14" x14ac:dyDescent="0.2">
      <c r="L135" s="1" t="s">
        <v>361</v>
      </c>
      <c r="N135" s="46" t="s">
        <v>69</v>
      </c>
    </row>
    <row r="136" spans="12:14" x14ac:dyDescent="0.2">
      <c r="L136" s="1" t="s">
        <v>12</v>
      </c>
      <c r="N136" s="46" t="s">
        <v>70</v>
      </c>
    </row>
    <row r="137" spans="12:14" x14ac:dyDescent="0.2">
      <c r="L137" s="1" t="s">
        <v>13</v>
      </c>
      <c r="N137" s="46" t="s">
        <v>71</v>
      </c>
    </row>
    <row r="138" spans="12:14" x14ac:dyDescent="0.2">
      <c r="N138" s="46" t="s">
        <v>72</v>
      </c>
    </row>
    <row r="139" spans="12:14" x14ac:dyDescent="0.2">
      <c r="N139" s="46" t="s">
        <v>73</v>
      </c>
    </row>
    <row r="140" spans="12:14" x14ac:dyDescent="0.2">
      <c r="N140" s="46" t="s">
        <v>74</v>
      </c>
    </row>
    <row r="141" spans="12:14" x14ac:dyDescent="0.2">
      <c r="N141" s="46" t="s">
        <v>75</v>
      </c>
    </row>
    <row r="142" spans="12:14" x14ac:dyDescent="0.2">
      <c r="N142" s="46" t="s">
        <v>76</v>
      </c>
    </row>
    <row r="143" spans="12:14" x14ac:dyDescent="0.2">
      <c r="N143" s="46" t="s">
        <v>77</v>
      </c>
    </row>
    <row r="144" spans="12:14" x14ac:dyDescent="0.2">
      <c r="N144" s="46" t="s">
        <v>78</v>
      </c>
    </row>
    <row r="145" spans="12:14" x14ac:dyDescent="0.2">
      <c r="N145" s="46" t="s">
        <v>79</v>
      </c>
    </row>
    <row r="146" spans="12:14" x14ac:dyDescent="0.2">
      <c r="N146" s="46" t="s">
        <v>80</v>
      </c>
    </row>
    <row r="147" spans="12:14" x14ac:dyDescent="0.2">
      <c r="N147" s="46" t="s">
        <v>81</v>
      </c>
    </row>
    <row r="148" spans="12:14" x14ac:dyDescent="0.2">
      <c r="L148" s="1" t="s">
        <v>412</v>
      </c>
      <c r="N148" s="46" t="s">
        <v>82</v>
      </c>
    </row>
    <row r="149" spans="12:14" x14ac:dyDescent="0.2">
      <c r="L149" s="2" t="s">
        <v>413</v>
      </c>
      <c r="N149" s="46" t="s">
        <v>83</v>
      </c>
    </row>
    <row r="150" spans="12:14" x14ac:dyDescent="0.2">
      <c r="L150" s="2" t="s">
        <v>414</v>
      </c>
      <c r="N150" s="46" t="s">
        <v>84</v>
      </c>
    </row>
    <row r="151" spans="12:14" x14ac:dyDescent="0.2">
      <c r="L151" s="2" t="s">
        <v>415</v>
      </c>
      <c r="N151" s="46" t="s">
        <v>85</v>
      </c>
    </row>
    <row r="152" spans="12:14" x14ac:dyDescent="0.2">
      <c r="L152" s="2" t="s">
        <v>416</v>
      </c>
      <c r="N152" s="46" t="s">
        <v>86</v>
      </c>
    </row>
    <row r="153" spans="12:14" x14ac:dyDescent="0.2">
      <c r="L153" s="2" t="s">
        <v>417</v>
      </c>
      <c r="N153" s="46" t="s">
        <v>87</v>
      </c>
    </row>
    <row r="154" spans="12:14" x14ac:dyDescent="0.2">
      <c r="L154" s="2" t="s">
        <v>418</v>
      </c>
      <c r="N154" s="46" t="s">
        <v>88</v>
      </c>
    </row>
    <row r="155" spans="12:14" x14ac:dyDescent="0.2">
      <c r="L155" s="2" t="s">
        <v>419</v>
      </c>
      <c r="N155" s="46" t="s">
        <v>89</v>
      </c>
    </row>
    <row r="156" spans="12:14" x14ac:dyDescent="0.2">
      <c r="L156" s="2" t="s">
        <v>420</v>
      </c>
      <c r="N156" s="46" t="s">
        <v>90</v>
      </c>
    </row>
    <row r="157" spans="12:14" x14ac:dyDescent="0.2">
      <c r="L157" s="1" t="s">
        <v>421</v>
      </c>
      <c r="N157" s="46" t="s">
        <v>91</v>
      </c>
    </row>
    <row r="158" spans="12:14" x14ac:dyDescent="0.2">
      <c r="L158" s="1" t="s">
        <v>422</v>
      </c>
      <c r="N158" s="46" t="s">
        <v>92</v>
      </c>
    </row>
    <row r="159" spans="12:14" x14ac:dyDescent="0.2">
      <c r="L159" s="21" t="s">
        <v>423</v>
      </c>
      <c r="N159" s="46" t="s">
        <v>93</v>
      </c>
    </row>
    <row r="160" spans="12:14" x14ac:dyDescent="0.2">
      <c r="L160" s="21" t="s">
        <v>431</v>
      </c>
      <c r="N160" s="46" t="s">
        <v>94</v>
      </c>
    </row>
    <row r="161" spans="12:14" x14ac:dyDescent="0.2">
      <c r="N161" s="46" t="s">
        <v>95</v>
      </c>
    </row>
    <row r="162" spans="12:14" x14ac:dyDescent="0.2">
      <c r="N162" s="46" t="s">
        <v>96</v>
      </c>
    </row>
    <row r="163" spans="12:14" x14ac:dyDescent="0.2">
      <c r="L163" s="2">
        <v>610010</v>
      </c>
      <c r="M163" s="1" t="s">
        <v>436</v>
      </c>
      <c r="N163" s="46" t="s">
        <v>97</v>
      </c>
    </row>
    <row r="164" spans="12:14" x14ac:dyDescent="0.2">
      <c r="L164" s="2">
        <v>610011</v>
      </c>
      <c r="M164" s="1" t="s">
        <v>434</v>
      </c>
      <c r="N164" s="46" t="s">
        <v>98</v>
      </c>
    </row>
    <row r="165" spans="12:14" x14ac:dyDescent="0.2">
      <c r="L165" s="2">
        <v>610015</v>
      </c>
      <c r="M165" s="1" t="s">
        <v>445</v>
      </c>
      <c r="N165" s="46" t="s">
        <v>99</v>
      </c>
    </row>
    <row r="166" spans="12:14" x14ac:dyDescent="0.2">
      <c r="L166" s="2">
        <v>610020</v>
      </c>
      <c r="M166" s="1" t="s">
        <v>440</v>
      </c>
      <c r="N166" s="46" t="s">
        <v>100</v>
      </c>
    </row>
    <row r="167" spans="12:14" x14ac:dyDescent="0.2">
      <c r="L167" s="2">
        <v>610025</v>
      </c>
      <c r="M167" s="1" t="s">
        <v>435</v>
      </c>
      <c r="N167" s="46" t="s">
        <v>101</v>
      </c>
    </row>
    <row r="168" spans="12:14" x14ac:dyDescent="0.2">
      <c r="L168" s="2">
        <v>610030</v>
      </c>
      <c r="M168" s="1" t="s">
        <v>441</v>
      </c>
      <c r="N168" s="46" t="s">
        <v>102</v>
      </c>
    </row>
    <row r="169" spans="12:14" x14ac:dyDescent="0.2">
      <c r="L169" s="2">
        <v>611005</v>
      </c>
      <c r="M169" s="1" t="s">
        <v>442</v>
      </c>
      <c r="N169" s="46" t="s">
        <v>103</v>
      </c>
    </row>
    <row r="170" spans="12:14" x14ac:dyDescent="0.2">
      <c r="L170" s="2">
        <v>611010</v>
      </c>
      <c r="M170" s="1" t="s">
        <v>443</v>
      </c>
      <c r="N170" s="46" t="s">
        <v>104</v>
      </c>
    </row>
    <row r="171" spans="12:14" x14ac:dyDescent="0.2">
      <c r="L171" s="2">
        <v>611015</v>
      </c>
      <c r="M171" s="1" t="s">
        <v>444</v>
      </c>
      <c r="N171" s="46" t="s">
        <v>105</v>
      </c>
    </row>
    <row r="172" spans="12:14" x14ac:dyDescent="0.2">
      <c r="L172" s="2">
        <v>611030</v>
      </c>
      <c r="M172" s="1" t="s">
        <v>437</v>
      </c>
      <c r="N172" s="46" t="s">
        <v>106</v>
      </c>
    </row>
    <row r="173" spans="12:14" x14ac:dyDescent="0.2">
      <c r="L173" s="2">
        <v>611035</v>
      </c>
      <c r="M173" s="1" t="s">
        <v>438</v>
      </c>
      <c r="N173" s="46" t="s">
        <v>107</v>
      </c>
    </row>
    <row r="174" spans="12:14" x14ac:dyDescent="0.2">
      <c r="L174" s="2">
        <v>611040</v>
      </c>
      <c r="M174" s="1" t="s">
        <v>439</v>
      </c>
      <c r="N174" s="46" t="s">
        <v>108</v>
      </c>
    </row>
    <row r="175" spans="12:14" x14ac:dyDescent="0.2">
      <c r="N175" s="46" t="s">
        <v>109</v>
      </c>
    </row>
    <row r="176" spans="12:14" x14ac:dyDescent="0.2">
      <c r="N176" s="46" t="s">
        <v>110</v>
      </c>
    </row>
    <row r="177" spans="14:14" x14ac:dyDescent="0.2">
      <c r="N177" s="46" t="s">
        <v>111</v>
      </c>
    </row>
    <row r="178" spans="14:14" x14ac:dyDescent="0.2">
      <c r="N178" s="46" t="s">
        <v>112</v>
      </c>
    </row>
    <row r="179" spans="14:14" x14ac:dyDescent="0.2">
      <c r="N179" s="46" t="s">
        <v>113</v>
      </c>
    </row>
    <row r="180" spans="14:14" x14ac:dyDescent="0.2">
      <c r="N180" s="46" t="s">
        <v>114</v>
      </c>
    </row>
    <row r="181" spans="14:14" x14ac:dyDescent="0.2">
      <c r="N181" s="46" t="s">
        <v>115</v>
      </c>
    </row>
    <row r="182" spans="14:14" x14ac:dyDescent="0.2">
      <c r="N182" s="46" t="s">
        <v>116</v>
      </c>
    </row>
    <row r="183" spans="14:14" x14ac:dyDescent="0.2">
      <c r="N183" s="46" t="s">
        <v>117</v>
      </c>
    </row>
    <row r="184" spans="14:14" x14ac:dyDescent="0.2">
      <c r="N184" s="46" t="s">
        <v>118</v>
      </c>
    </row>
    <row r="185" spans="14:14" x14ac:dyDescent="0.2">
      <c r="N185" s="46" t="s">
        <v>119</v>
      </c>
    </row>
    <row r="186" spans="14:14" x14ac:dyDescent="0.2">
      <c r="N186" s="46" t="s">
        <v>120</v>
      </c>
    </row>
    <row r="187" spans="14:14" x14ac:dyDescent="0.2">
      <c r="N187" s="46" t="s">
        <v>121</v>
      </c>
    </row>
    <row r="188" spans="14:14" x14ac:dyDescent="0.2">
      <c r="N188" s="46" t="s">
        <v>122</v>
      </c>
    </row>
    <row r="189" spans="14:14" x14ac:dyDescent="0.2">
      <c r="N189" s="46" t="s">
        <v>123</v>
      </c>
    </row>
    <row r="190" spans="14:14" x14ac:dyDescent="0.2">
      <c r="N190" s="46" t="s">
        <v>124</v>
      </c>
    </row>
    <row r="191" spans="14:14" x14ac:dyDescent="0.2">
      <c r="N191" s="46" t="s">
        <v>125</v>
      </c>
    </row>
    <row r="192" spans="14:14" x14ac:dyDescent="0.2">
      <c r="N192" s="46" t="s">
        <v>126</v>
      </c>
    </row>
    <row r="193" spans="14:14" x14ac:dyDescent="0.2">
      <c r="N193" s="46" t="s">
        <v>127</v>
      </c>
    </row>
    <row r="194" spans="14:14" x14ac:dyDescent="0.2">
      <c r="N194" s="46" t="s">
        <v>128</v>
      </c>
    </row>
    <row r="195" spans="14:14" x14ac:dyDescent="0.2">
      <c r="N195" s="46" t="s">
        <v>129</v>
      </c>
    </row>
    <row r="196" spans="14:14" x14ac:dyDescent="0.2">
      <c r="N196" s="46" t="s">
        <v>130</v>
      </c>
    </row>
    <row r="197" spans="14:14" x14ac:dyDescent="0.2">
      <c r="N197" s="46" t="s">
        <v>131</v>
      </c>
    </row>
    <row r="198" spans="14:14" x14ac:dyDescent="0.2">
      <c r="N198" s="46" t="s">
        <v>132</v>
      </c>
    </row>
    <row r="199" spans="14:14" x14ac:dyDescent="0.2">
      <c r="N199" s="46" t="s">
        <v>133</v>
      </c>
    </row>
    <row r="200" spans="14:14" x14ac:dyDescent="0.2">
      <c r="N200" s="46" t="s">
        <v>134</v>
      </c>
    </row>
    <row r="201" spans="14:14" x14ac:dyDescent="0.2">
      <c r="N201" s="46" t="s">
        <v>135</v>
      </c>
    </row>
    <row r="202" spans="14:14" x14ac:dyDescent="0.2">
      <c r="N202" s="46" t="s">
        <v>136</v>
      </c>
    </row>
    <row r="203" spans="14:14" x14ac:dyDescent="0.2">
      <c r="N203" s="46" t="s">
        <v>137</v>
      </c>
    </row>
    <row r="204" spans="14:14" x14ac:dyDescent="0.2">
      <c r="N204" s="46" t="s">
        <v>138</v>
      </c>
    </row>
    <row r="205" spans="14:14" x14ac:dyDescent="0.2">
      <c r="N205" s="46" t="s">
        <v>139</v>
      </c>
    </row>
    <row r="206" spans="14:14" x14ac:dyDescent="0.2">
      <c r="N206" s="46" t="s">
        <v>140</v>
      </c>
    </row>
    <row r="207" spans="14:14" x14ac:dyDescent="0.2">
      <c r="N207" s="46" t="s">
        <v>141</v>
      </c>
    </row>
    <row r="208" spans="14:14" x14ac:dyDescent="0.2">
      <c r="N208" s="46" t="s">
        <v>142</v>
      </c>
    </row>
    <row r="209" spans="14:14" x14ac:dyDescent="0.2">
      <c r="N209" s="46" t="s">
        <v>143</v>
      </c>
    </row>
    <row r="210" spans="14:14" x14ac:dyDescent="0.2">
      <c r="N210" s="46" t="s">
        <v>144</v>
      </c>
    </row>
    <row r="211" spans="14:14" x14ac:dyDescent="0.2">
      <c r="N211" s="46" t="s">
        <v>145</v>
      </c>
    </row>
    <row r="212" spans="14:14" x14ac:dyDescent="0.2">
      <c r="N212" s="46" t="s">
        <v>146</v>
      </c>
    </row>
    <row r="213" spans="14:14" x14ac:dyDescent="0.2">
      <c r="N213" s="46" t="s">
        <v>147</v>
      </c>
    </row>
    <row r="214" spans="14:14" x14ac:dyDescent="0.2">
      <c r="N214" s="46" t="s">
        <v>148</v>
      </c>
    </row>
    <row r="215" spans="14:14" x14ac:dyDescent="0.2">
      <c r="N215" s="46" t="s">
        <v>149</v>
      </c>
    </row>
    <row r="216" spans="14:14" x14ac:dyDescent="0.2">
      <c r="N216" s="46" t="s">
        <v>150</v>
      </c>
    </row>
    <row r="217" spans="14:14" x14ac:dyDescent="0.2">
      <c r="N217" s="46" t="s">
        <v>151</v>
      </c>
    </row>
    <row r="218" spans="14:14" x14ac:dyDescent="0.2">
      <c r="N218" s="46" t="s">
        <v>152</v>
      </c>
    </row>
    <row r="219" spans="14:14" x14ac:dyDescent="0.2">
      <c r="N219" s="46" t="s">
        <v>153</v>
      </c>
    </row>
    <row r="220" spans="14:14" x14ac:dyDescent="0.2">
      <c r="N220" s="46" t="s">
        <v>154</v>
      </c>
    </row>
    <row r="221" spans="14:14" x14ac:dyDescent="0.2">
      <c r="N221" s="46" t="s">
        <v>155</v>
      </c>
    </row>
    <row r="222" spans="14:14" x14ac:dyDescent="0.2">
      <c r="N222" s="46" t="s">
        <v>156</v>
      </c>
    </row>
    <row r="223" spans="14:14" x14ac:dyDescent="0.2">
      <c r="N223" s="46" t="s">
        <v>157</v>
      </c>
    </row>
    <row r="224" spans="14:14" x14ac:dyDescent="0.2">
      <c r="N224" s="46" t="s">
        <v>158</v>
      </c>
    </row>
    <row r="225" spans="14:14" x14ac:dyDescent="0.2">
      <c r="N225" s="46" t="s">
        <v>159</v>
      </c>
    </row>
    <row r="226" spans="14:14" x14ac:dyDescent="0.2">
      <c r="N226" s="46" t="s">
        <v>160</v>
      </c>
    </row>
    <row r="227" spans="14:14" x14ac:dyDescent="0.2">
      <c r="N227" s="46" t="s">
        <v>161</v>
      </c>
    </row>
    <row r="228" spans="14:14" x14ac:dyDescent="0.2">
      <c r="N228" s="46" t="s">
        <v>162</v>
      </c>
    </row>
    <row r="229" spans="14:14" x14ac:dyDescent="0.2">
      <c r="N229" s="46" t="s">
        <v>163</v>
      </c>
    </row>
    <row r="230" spans="14:14" x14ac:dyDescent="0.2">
      <c r="N230" s="46" t="s">
        <v>164</v>
      </c>
    </row>
    <row r="231" spans="14:14" x14ac:dyDescent="0.2">
      <c r="N231" s="46" t="s">
        <v>165</v>
      </c>
    </row>
    <row r="232" spans="14:14" x14ac:dyDescent="0.2">
      <c r="N232" s="46" t="s">
        <v>166</v>
      </c>
    </row>
    <row r="233" spans="14:14" x14ac:dyDescent="0.2">
      <c r="N233" s="46" t="s">
        <v>167</v>
      </c>
    </row>
    <row r="234" spans="14:14" x14ac:dyDescent="0.2">
      <c r="N234" s="46" t="s">
        <v>168</v>
      </c>
    </row>
    <row r="235" spans="14:14" x14ac:dyDescent="0.2">
      <c r="N235" s="46" t="s">
        <v>169</v>
      </c>
    </row>
    <row r="236" spans="14:14" x14ac:dyDescent="0.2">
      <c r="N236" s="46" t="s">
        <v>170</v>
      </c>
    </row>
    <row r="237" spans="14:14" x14ac:dyDescent="0.2">
      <c r="N237" s="46" t="s">
        <v>171</v>
      </c>
    </row>
    <row r="238" spans="14:14" x14ac:dyDescent="0.2">
      <c r="N238" s="46" t="s">
        <v>172</v>
      </c>
    </row>
    <row r="239" spans="14:14" x14ac:dyDescent="0.2">
      <c r="N239" s="46" t="s">
        <v>173</v>
      </c>
    </row>
    <row r="240" spans="14:14" x14ac:dyDescent="0.2">
      <c r="N240" s="46" t="s">
        <v>174</v>
      </c>
    </row>
    <row r="241" spans="14:14" x14ac:dyDescent="0.2">
      <c r="N241" s="46" t="s">
        <v>175</v>
      </c>
    </row>
    <row r="242" spans="14:14" x14ac:dyDescent="0.2">
      <c r="N242" s="46" t="s">
        <v>176</v>
      </c>
    </row>
    <row r="243" spans="14:14" x14ac:dyDescent="0.2">
      <c r="N243" s="46" t="s">
        <v>177</v>
      </c>
    </row>
    <row r="244" spans="14:14" x14ac:dyDescent="0.2">
      <c r="N244" s="46" t="s">
        <v>178</v>
      </c>
    </row>
    <row r="245" spans="14:14" x14ac:dyDescent="0.2">
      <c r="N245" s="46" t="s">
        <v>179</v>
      </c>
    </row>
    <row r="246" spans="14:14" x14ac:dyDescent="0.2">
      <c r="N246" s="46" t="s">
        <v>180</v>
      </c>
    </row>
    <row r="247" spans="14:14" x14ac:dyDescent="0.2">
      <c r="N247" s="46" t="s">
        <v>181</v>
      </c>
    </row>
    <row r="248" spans="14:14" x14ac:dyDescent="0.2">
      <c r="N248" s="46" t="s">
        <v>182</v>
      </c>
    </row>
    <row r="249" spans="14:14" x14ac:dyDescent="0.2">
      <c r="N249" s="46" t="s">
        <v>183</v>
      </c>
    </row>
    <row r="250" spans="14:14" x14ac:dyDescent="0.2">
      <c r="N250" s="46" t="s">
        <v>184</v>
      </c>
    </row>
    <row r="251" spans="14:14" x14ac:dyDescent="0.2">
      <c r="N251" s="46" t="s">
        <v>185</v>
      </c>
    </row>
    <row r="252" spans="14:14" x14ac:dyDescent="0.2">
      <c r="N252" s="46" t="s">
        <v>186</v>
      </c>
    </row>
    <row r="253" spans="14:14" x14ac:dyDescent="0.2">
      <c r="N253" s="46" t="s">
        <v>187</v>
      </c>
    </row>
    <row r="254" spans="14:14" x14ac:dyDescent="0.2">
      <c r="N254" s="46" t="s">
        <v>188</v>
      </c>
    </row>
    <row r="255" spans="14:14" x14ac:dyDescent="0.2">
      <c r="N255" s="46" t="s">
        <v>189</v>
      </c>
    </row>
    <row r="256" spans="14:14" x14ac:dyDescent="0.2">
      <c r="N256" s="46" t="s">
        <v>190</v>
      </c>
    </row>
    <row r="257" spans="14:14" x14ac:dyDescent="0.2">
      <c r="N257" s="46" t="s">
        <v>191</v>
      </c>
    </row>
    <row r="258" spans="14:14" x14ac:dyDescent="0.2">
      <c r="N258" s="46" t="s">
        <v>192</v>
      </c>
    </row>
    <row r="259" spans="14:14" x14ac:dyDescent="0.2">
      <c r="N259" s="46" t="s">
        <v>193</v>
      </c>
    </row>
    <row r="260" spans="14:14" x14ac:dyDescent="0.2">
      <c r="N260" s="46" t="s">
        <v>194</v>
      </c>
    </row>
    <row r="261" spans="14:14" x14ac:dyDescent="0.2">
      <c r="N261" s="46" t="s">
        <v>195</v>
      </c>
    </row>
    <row r="262" spans="14:14" x14ac:dyDescent="0.2">
      <c r="N262" s="46" t="s">
        <v>196</v>
      </c>
    </row>
    <row r="263" spans="14:14" x14ac:dyDescent="0.2">
      <c r="N263" s="46" t="s">
        <v>197</v>
      </c>
    </row>
    <row r="264" spans="14:14" x14ac:dyDescent="0.2">
      <c r="N264" s="46" t="s">
        <v>198</v>
      </c>
    </row>
    <row r="265" spans="14:14" x14ac:dyDescent="0.2">
      <c r="N265" s="46" t="s">
        <v>199</v>
      </c>
    </row>
    <row r="266" spans="14:14" x14ac:dyDescent="0.2">
      <c r="N266" s="46" t="s">
        <v>200</v>
      </c>
    </row>
    <row r="267" spans="14:14" x14ac:dyDescent="0.2">
      <c r="N267" s="46" t="s">
        <v>201</v>
      </c>
    </row>
    <row r="268" spans="14:14" x14ac:dyDescent="0.2">
      <c r="N268" s="46" t="s">
        <v>202</v>
      </c>
    </row>
    <row r="269" spans="14:14" x14ac:dyDescent="0.2">
      <c r="N269" s="46" t="s">
        <v>203</v>
      </c>
    </row>
    <row r="270" spans="14:14" x14ac:dyDescent="0.2">
      <c r="N270" s="46" t="s">
        <v>204</v>
      </c>
    </row>
    <row r="271" spans="14:14" x14ac:dyDescent="0.2">
      <c r="N271" s="46" t="s">
        <v>205</v>
      </c>
    </row>
    <row r="272" spans="14:14" x14ac:dyDescent="0.2">
      <c r="N272" s="46" t="s">
        <v>206</v>
      </c>
    </row>
    <row r="273" spans="14:14" x14ac:dyDescent="0.2">
      <c r="N273" s="46" t="s">
        <v>207</v>
      </c>
    </row>
    <row r="274" spans="14:14" x14ac:dyDescent="0.2">
      <c r="N274" s="46" t="s">
        <v>208</v>
      </c>
    </row>
    <row r="275" spans="14:14" x14ac:dyDescent="0.2">
      <c r="N275" s="46" t="s">
        <v>209</v>
      </c>
    </row>
    <row r="276" spans="14:14" x14ac:dyDescent="0.2">
      <c r="N276" s="46" t="s">
        <v>210</v>
      </c>
    </row>
    <row r="277" spans="14:14" x14ac:dyDescent="0.2">
      <c r="N277" s="46" t="s">
        <v>211</v>
      </c>
    </row>
    <row r="278" spans="14:14" x14ac:dyDescent="0.2">
      <c r="N278" s="46" t="s">
        <v>212</v>
      </c>
    </row>
    <row r="279" spans="14:14" x14ac:dyDescent="0.2">
      <c r="N279" s="46" t="s">
        <v>213</v>
      </c>
    </row>
    <row r="280" spans="14:14" x14ac:dyDescent="0.2">
      <c r="N280" s="46" t="s">
        <v>214</v>
      </c>
    </row>
    <row r="281" spans="14:14" x14ac:dyDescent="0.2">
      <c r="N281" s="46" t="s">
        <v>215</v>
      </c>
    </row>
    <row r="282" spans="14:14" x14ac:dyDescent="0.2">
      <c r="N282" s="46" t="s">
        <v>216</v>
      </c>
    </row>
    <row r="283" spans="14:14" x14ac:dyDescent="0.2">
      <c r="N283" s="46" t="s">
        <v>217</v>
      </c>
    </row>
    <row r="284" spans="14:14" x14ac:dyDescent="0.2">
      <c r="N284" s="46" t="s">
        <v>218</v>
      </c>
    </row>
    <row r="285" spans="14:14" x14ac:dyDescent="0.2">
      <c r="N285" s="46" t="s">
        <v>219</v>
      </c>
    </row>
    <row r="286" spans="14:14" x14ac:dyDescent="0.2">
      <c r="N286" s="46" t="s">
        <v>220</v>
      </c>
    </row>
    <row r="287" spans="14:14" x14ac:dyDescent="0.2">
      <c r="N287" s="46" t="s">
        <v>221</v>
      </c>
    </row>
    <row r="288" spans="14:14" x14ac:dyDescent="0.2">
      <c r="N288" s="46" t="s">
        <v>222</v>
      </c>
    </row>
    <row r="289" spans="14:14" x14ac:dyDescent="0.2">
      <c r="N289" s="46" t="s">
        <v>223</v>
      </c>
    </row>
    <row r="290" spans="14:14" x14ac:dyDescent="0.2">
      <c r="N290" s="46" t="s">
        <v>224</v>
      </c>
    </row>
    <row r="291" spans="14:14" x14ac:dyDescent="0.2">
      <c r="N291" s="46" t="s">
        <v>225</v>
      </c>
    </row>
    <row r="292" spans="14:14" x14ac:dyDescent="0.2">
      <c r="N292" s="46" t="s">
        <v>226</v>
      </c>
    </row>
    <row r="293" spans="14:14" x14ac:dyDescent="0.2">
      <c r="N293" s="46" t="s">
        <v>227</v>
      </c>
    </row>
    <row r="294" spans="14:14" x14ac:dyDescent="0.2">
      <c r="N294" s="46" t="s">
        <v>228</v>
      </c>
    </row>
    <row r="295" spans="14:14" x14ac:dyDescent="0.2">
      <c r="N295" s="46" t="s">
        <v>229</v>
      </c>
    </row>
    <row r="296" spans="14:14" x14ac:dyDescent="0.2">
      <c r="N296" s="46" t="s">
        <v>230</v>
      </c>
    </row>
    <row r="297" spans="14:14" x14ac:dyDescent="0.2">
      <c r="N297" s="46" t="s">
        <v>231</v>
      </c>
    </row>
    <row r="298" spans="14:14" x14ac:dyDescent="0.2">
      <c r="N298" s="46" t="s">
        <v>232</v>
      </c>
    </row>
    <row r="299" spans="14:14" x14ac:dyDescent="0.2">
      <c r="N299" s="46" t="s">
        <v>233</v>
      </c>
    </row>
    <row r="300" spans="14:14" x14ac:dyDescent="0.2">
      <c r="N300" s="46" t="s">
        <v>234</v>
      </c>
    </row>
    <row r="301" spans="14:14" x14ac:dyDescent="0.2">
      <c r="N301" s="46" t="s">
        <v>235</v>
      </c>
    </row>
    <row r="302" spans="14:14" x14ac:dyDescent="0.2">
      <c r="N302" s="46" t="s">
        <v>236</v>
      </c>
    </row>
    <row r="303" spans="14:14" x14ac:dyDescent="0.2">
      <c r="N303" s="46" t="s">
        <v>237</v>
      </c>
    </row>
    <row r="304" spans="14:14" x14ac:dyDescent="0.2">
      <c r="N304" s="46" t="s">
        <v>238</v>
      </c>
    </row>
    <row r="305" spans="14:14" x14ac:dyDescent="0.2">
      <c r="N305" s="46" t="s">
        <v>239</v>
      </c>
    </row>
    <row r="306" spans="14:14" x14ac:dyDescent="0.2">
      <c r="N306" s="46" t="s">
        <v>240</v>
      </c>
    </row>
    <row r="307" spans="14:14" x14ac:dyDescent="0.2">
      <c r="N307" s="46" t="s">
        <v>241</v>
      </c>
    </row>
    <row r="308" spans="14:14" x14ac:dyDescent="0.2">
      <c r="N308" s="46" t="s">
        <v>242</v>
      </c>
    </row>
    <row r="309" spans="14:14" x14ac:dyDescent="0.2">
      <c r="N309" s="46" t="s">
        <v>243</v>
      </c>
    </row>
    <row r="310" spans="14:14" x14ac:dyDescent="0.2">
      <c r="N310" s="46" t="s">
        <v>244</v>
      </c>
    </row>
    <row r="311" spans="14:14" x14ac:dyDescent="0.2">
      <c r="N311" s="46" t="s">
        <v>245</v>
      </c>
    </row>
    <row r="312" spans="14:14" x14ac:dyDescent="0.2">
      <c r="N312" s="46" t="s">
        <v>246</v>
      </c>
    </row>
    <row r="313" spans="14:14" x14ac:dyDescent="0.2">
      <c r="N313" s="46" t="s">
        <v>247</v>
      </c>
    </row>
    <row r="314" spans="14:14" x14ac:dyDescent="0.2">
      <c r="N314" s="46" t="s">
        <v>248</v>
      </c>
    </row>
    <row r="315" spans="14:14" x14ac:dyDescent="0.2">
      <c r="N315" s="46" t="s">
        <v>249</v>
      </c>
    </row>
    <row r="316" spans="14:14" x14ac:dyDescent="0.2">
      <c r="N316" s="46" t="s">
        <v>250</v>
      </c>
    </row>
    <row r="317" spans="14:14" x14ac:dyDescent="0.2">
      <c r="N317" s="46" t="s">
        <v>251</v>
      </c>
    </row>
    <row r="318" spans="14:14" x14ac:dyDescent="0.2">
      <c r="N318" s="46" t="s">
        <v>252</v>
      </c>
    </row>
    <row r="319" spans="14:14" x14ac:dyDescent="0.2">
      <c r="N319" s="46" t="s">
        <v>253</v>
      </c>
    </row>
    <row r="320" spans="14:14" x14ac:dyDescent="0.2">
      <c r="N320" s="46" t="s">
        <v>254</v>
      </c>
    </row>
    <row r="321" spans="14:14" x14ac:dyDescent="0.2">
      <c r="N321" s="46" t="s">
        <v>255</v>
      </c>
    </row>
    <row r="322" spans="14:14" x14ac:dyDescent="0.2">
      <c r="N322" s="46" t="s">
        <v>256</v>
      </c>
    </row>
    <row r="323" spans="14:14" x14ac:dyDescent="0.2">
      <c r="N323" s="46" t="s">
        <v>257</v>
      </c>
    </row>
    <row r="324" spans="14:14" x14ac:dyDescent="0.2">
      <c r="N324" s="46" t="s">
        <v>258</v>
      </c>
    </row>
    <row r="325" spans="14:14" x14ac:dyDescent="0.2">
      <c r="N325" s="46" t="s">
        <v>259</v>
      </c>
    </row>
    <row r="326" spans="14:14" x14ac:dyDescent="0.2">
      <c r="N326" s="46" t="s">
        <v>260</v>
      </c>
    </row>
    <row r="327" spans="14:14" x14ac:dyDescent="0.2">
      <c r="N327" s="46" t="s">
        <v>261</v>
      </c>
    </row>
    <row r="328" spans="14:14" x14ac:dyDescent="0.2">
      <c r="N328" s="46" t="s">
        <v>262</v>
      </c>
    </row>
    <row r="329" spans="14:14" x14ac:dyDescent="0.2">
      <c r="N329" s="46" t="s">
        <v>263</v>
      </c>
    </row>
    <row r="330" spans="14:14" x14ac:dyDescent="0.2">
      <c r="N330" s="46" t="s">
        <v>264</v>
      </c>
    </row>
    <row r="331" spans="14:14" x14ac:dyDescent="0.2">
      <c r="N331" s="46" t="s">
        <v>265</v>
      </c>
    </row>
    <row r="332" spans="14:14" x14ac:dyDescent="0.2">
      <c r="N332" s="46" t="s">
        <v>266</v>
      </c>
    </row>
    <row r="333" spans="14:14" x14ac:dyDescent="0.2">
      <c r="N333" s="46" t="s">
        <v>267</v>
      </c>
    </row>
    <row r="334" spans="14:14" x14ac:dyDescent="0.2">
      <c r="N334" s="46" t="s">
        <v>268</v>
      </c>
    </row>
    <row r="335" spans="14:14" x14ac:dyDescent="0.2">
      <c r="N335" s="46" t="s">
        <v>269</v>
      </c>
    </row>
    <row r="336" spans="14:14" x14ac:dyDescent="0.2">
      <c r="N336" s="46" t="s">
        <v>270</v>
      </c>
    </row>
    <row r="337" spans="14:14" x14ac:dyDescent="0.2">
      <c r="N337" s="46" t="s">
        <v>271</v>
      </c>
    </row>
    <row r="338" spans="14:14" x14ac:dyDescent="0.2">
      <c r="N338" s="46" t="s">
        <v>272</v>
      </c>
    </row>
    <row r="339" spans="14:14" x14ac:dyDescent="0.2">
      <c r="N339" s="46" t="s">
        <v>273</v>
      </c>
    </row>
    <row r="340" spans="14:14" x14ac:dyDescent="0.2">
      <c r="N340" s="46" t="s">
        <v>274</v>
      </c>
    </row>
    <row r="341" spans="14:14" x14ac:dyDescent="0.2">
      <c r="N341" s="46" t="s">
        <v>275</v>
      </c>
    </row>
    <row r="342" spans="14:14" x14ac:dyDescent="0.2">
      <c r="N342" s="46" t="s">
        <v>276</v>
      </c>
    </row>
    <row r="343" spans="14:14" x14ac:dyDescent="0.2">
      <c r="N343" s="46" t="s">
        <v>277</v>
      </c>
    </row>
    <row r="344" spans="14:14" x14ac:dyDescent="0.2">
      <c r="N344" s="46" t="s">
        <v>278</v>
      </c>
    </row>
    <row r="345" spans="14:14" x14ac:dyDescent="0.2">
      <c r="N345" s="46" t="s">
        <v>279</v>
      </c>
    </row>
    <row r="346" spans="14:14" x14ac:dyDescent="0.2">
      <c r="N346" s="46" t="s">
        <v>280</v>
      </c>
    </row>
    <row r="347" spans="14:14" x14ac:dyDescent="0.2">
      <c r="N347" s="46" t="s">
        <v>281</v>
      </c>
    </row>
    <row r="348" spans="14:14" x14ac:dyDescent="0.2">
      <c r="N348" s="46" t="s">
        <v>282</v>
      </c>
    </row>
    <row r="349" spans="14:14" x14ac:dyDescent="0.2">
      <c r="N349" s="46" t="s">
        <v>283</v>
      </c>
    </row>
    <row r="350" spans="14:14" x14ac:dyDescent="0.2">
      <c r="N350" s="46" t="s">
        <v>284</v>
      </c>
    </row>
    <row r="351" spans="14:14" x14ac:dyDescent="0.2">
      <c r="N351" s="46" t="s">
        <v>285</v>
      </c>
    </row>
    <row r="352" spans="14:14" x14ac:dyDescent="0.2">
      <c r="N352" s="46" t="s">
        <v>286</v>
      </c>
    </row>
    <row r="353" spans="14:14" x14ac:dyDescent="0.2">
      <c r="N353" s="46" t="s">
        <v>287</v>
      </c>
    </row>
    <row r="354" spans="14:14" x14ac:dyDescent="0.2">
      <c r="N354" s="46" t="s">
        <v>288</v>
      </c>
    </row>
    <row r="355" spans="14:14" x14ac:dyDescent="0.2">
      <c r="N355" s="46" t="s">
        <v>289</v>
      </c>
    </row>
    <row r="356" spans="14:14" x14ac:dyDescent="0.2">
      <c r="N356" s="46" t="s">
        <v>290</v>
      </c>
    </row>
    <row r="357" spans="14:14" x14ac:dyDescent="0.2">
      <c r="N357" s="46" t="s">
        <v>291</v>
      </c>
    </row>
    <row r="358" spans="14:14" x14ac:dyDescent="0.2">
      <c r="N358" s="46" t="s">
        <v>292</v>
      </c>
    </row>
    <row r="359" spans="14:14" x14ac:dyDescent="0.2">
      <c r="N359" s="46" t="s">
        <v>293</v>
      </c>
    </row>
    <row r="360" spans="14:14" x14ac:dyDescent="0.2">
      <c r="N360" s="46" t="s">
        <v>294</v>
      </c>
    </row>
    <row r="361" spans="14:14" x14ac:dyDescent="0.2">
      <c r="N361" s="46" t="s">
        <v>295</v>
      </c>
    </row>
    <row r="362" spans="14:14" x14ac:dyDescent="0.2">
      <c r="N362" s="46" t="s">
        <v>296</v>
      </c>
    </row>
    <row r="363" spans="14:14" x14ac:dyDescent="0.2">
      <c r="N363" s="46" t="s">
        <v>297</v>
      </c>
    </row>
    <row r="364" spans="14:14" x14ac:dyDescent="0.2">
      <c r="N364" s="46" t="s">
        <v>298</v>
      </c>
    </row>
    <row r="365" spans="14:14" x14ac:dyDescent="0.2">
      <c r="N365" s="46" t="s">
        <v>299</v>
      </c>
    </row>
    <row r="366" spans="14:14" x14ac:dyDescent="0.2">
      <c r="N366" s="46" t="s">
        <v>300</v>
      </c>
    </row>
    <row r="367" spans="14:14" x14ac:dyDescent="0.2">
      <c r="N367" s="46" t="s">
        <v>301</v>
      </c>
    </row>
    <row r="368" spans="14:14" x14ac:dyDescent="0.2">
      <c r="N368" s="46" t="s">
        <v>302</v>
      </c>
    </row>
    <row r="369" spans="14:14" x14ac:dyDescent="0.2">
      <c r="N369" s="46" t="s">
        <v>303</v>
      </c>
    </row>
    <row r="370" spans="14:14" x14ac:dyDescent="0.2">
      <c r="N370" s="46" t="s">
        <v>304</v>
      </c>
    </row>
    <row r="371" spans="14:14" x14ac:dyDescent="0.2">
      <c r="N371" s="46" t="s">
        <v>305</v>
      </c>
    </row>
    <row r="372" spans="14:14" x14ac:dyDescent="0.2">
      <c r="N372" s="46" t="s">
        <v>306</v>
      </c>
    </row>
    <row r="373" spans="14:14" x14ac:dyDescent="0.2">
      <c r="N373" s="46" t="s">
        <v>307</v>
      </c>
    </row>
    <row r="374" spans="14:14" x14ac:dyDescent="0.2">
      <c r="N374" s="46" t="s">
        <v>308</v>
      </c>
    </row>
    <row r="375" spans="14:14" x14ac:dyDescent="0.2">
      <c r="N375" s="46" t="s">
        <v>309</v>
      </c>
    </row>
    <row r="376" spans="14:14" x14ac:dyDescent="0.2">
      <c r="N376" s="46" t="s">
        <v>310</v>
      </c>
    </row>
    <row r="377" spans="14:14" x14ac:dyDescent="0.2">
      <c r="N377" s="46" t="s">
        <v>311</v>
      </c>
    </row>
    <row r="378" spans="14:14" x14ac:dyDescent="0.2">
      <c r="N378" s="46" t="s">
        <v>312</v>
      </c>
    </row>
    <row r="379" spans="14:14" x14ac:dyDescent="0.2">
      <c r="N379" s="46" t="s">
        <v>313</v>
      </c>
    </row>
    <row r="380" spans="14:14" x14ac:dyDescent="0.2">
      <c r="N380" s="46" t="s">
        <v>314</v>
      </c>
    </row>
    <row r="381" spans="14:14" x14ac:dyDescent="0.2">
      <c r="N381" s="46" t="s">
        <v>315</v>
      </c>
    </row>
    <row r="382" spans="14:14" x14ac:dyDescent="0.2">
      <c r="N382" s="46" t="s">
        <v>316</v>
      </c>
    </row>
    <row r="383" spans="14:14" x14ac:dyDescent="0.2">
      <c r="N383" s="46" t="s">
        <v>317</v>
      </c>
    </row>
    <row r="384" spans="14:14" x14ac:dyDescent="0.2">
      <c r="N384" s="46" t="s">
        <v>318</v>
      </c>
    </row>
    <row r="385" spans="14:14" x14ac:dyDescent="0.2">
      <c r="N385" s="46" t="s">
        <v>319</v>
      </c>
    </row>
    <row r="386" spans="14:14" x14ac:dyDescent="0.2">
      <c r="N386" s="46" t="s">
        <v>320</v>
      </c>
    </row>
    <row r="387" spans="14:14" x14ac:dyDescent="0.2">
      <c r="N387" s="46" t="s">
        <v>321</v>
      </c>
    </row>
    <row r="388" spans="14:14" x14ac:dyDescent="0.2">
      <c r="N388" s="46" t="s">
        <v>322</v>
      </c>
    </row>
    <row r="389" spans="14:14" x14ac:dyDescent="0.2">
      <c r="N389" s="46" t="s">
        <v>323</v>
      </c>
    </row>
    <row r="390" spans="14:14" x14ac:dyDescent="0.2">
      <c r="N390" s="46" t="s">
        <v>324</v>
      </c>
    </row>
    <row r="391" spans="14:14" x14ac:dyDescent="0.2">
      <c r="N391" s="46" t="s">
        <v>325</v>
      </c>
    </row>
    <row r="392" spans="14:14" x14ac:dyDescent="0.2">
      <c r="N392" s="46" t="s">
        <v>326</v>
      </c>
    </row>
    <row r="393" spans="14:14" x14ac:dyDescent="0.2">
      <c r="N393" s="46" t="s">
        <v>327</v>
      </c>
    </row>
    <row r="394" spans="14:14" x14ac:dyDescent="0.2">
      <c r="N394" s="46" t="s">
        <v>328</v>
      </c>
    </row>
    <row r="395" spans="14:14" x14ac:dyDescent="0.2">
      <c r="N395" s="46" t="s">
        <v>329</v>
      </c>
    </row>
    <row r="396" spans="14:14" x14ac:dyDescent="0.2">
      <c r="N396" s="46" t="s">
        <v>330</v>
      </c>
    </row>
    <row r="397" spans="14:14" x14ac:dyDescent="0.2">
      <c r="N397" s="46" t="s">
        <v>331</v>
      </c>
    </row>
    <row r="398" spans="14:14" x14ac:dyDescent="0.2">
      <c r="N398" s="46" t="s">
        <v>332</v>
      </c>
    </row>
    <row r="399" spans="14:14" x14ac:dyDescent="0.2">
      <c r="N399" s="46" t="s">
        <v>333</v>
      </c>
    </row>
    <row r="400" spans="14:14" x14ac:dyDescent="0.2">
      <c r="N400" s="46" t="s">
        <v>334</v>
      </c>
    </row>
    <row r="401" spans="14:14" x14ac:dyDescent="0.2">
      <c r="N401" s="46" t="s">
        <v>335</v>
      </c>
    </row>
    <row r="402" spans="14:14" x14ac:dyDescent="0.2">
      <c r="N402" s="46" t="s">
        <v>336</v>
      </c>
    </row>
    <row r="403" spans="14:14" x14ac:dyDescent="0.2">
      <c r="N403" s="46" t="s">
        <v>337</v>
      </c>
    </row>
    <row r="404" spans="14:14" x14ac:dyDescent="0.2">
      <c r="N404" s="46" t="s">
        <v>338</v>
      </c>
    </row>
    <row r="405" spans="14:14" x14ac:dyDescent="0.2">
      <c r="N405" s="46" t="s">
        <v>339</v>
      </c>
    </row>
    <row r="406" spans="14:14" x14ac:dyDescent="0.2">
      <c r="N406" s="46" t="s">
        <v>340</v>
      </c>
    </row>
    <row r="407" spans="14:14" x14ac:dyDescent="0.2">
      <c r="N407" s="46" t="s">
        <v>341</v>
      </c>
    </row>
    <row r="408" spans="14:14" x14ac:dyDescent="0.2">
      <c r="N408" s="46" t="s">
        <v>342</v>
      </c>
    </row>
    <row r="409" spans="14:14" x14ac:dyDescent="0.2">
      <c r="N409" s="46" t="s">
        <v>343</v>
      </c>
    </row>
    <row r="410" spans="14:14" x14ac:dyDescent="0.2">
      <c r="N410" s="46" t="s">
        <v>344</v>
      </c>
    </row>
    <row r="411" spans="14:14" x14ac:dyDescent="0.2">
      <c r="N411" s="46" t="s">
        <v>345</v>
      </c>
    </row>
    <row r="412" spans="14:14" x14ac:dyDescent="0.2">
      <c r="N412" s="46" t="s">
        <v>346</v>
      </c>
    </row>
    <row r="413" spans="14:14" x14ac:dyDescent="0.2">
      <c r="N413" s="46" t="s">
        <v>347</v>
      </c>
    </row>
    <row r="414" spans="14:14" x14ac:dyDescent="0.2">
      <c r="N414" s="46" t="s">
        <v>348</v>
      </c>
    </row>
    <row r="415" spans="14:14" x14ac:dyDescent="0.2">
      <c r="N415" s="46" t="s">
        <v>349</v>
      </c>
    </row>
    <row r="416" spans="14:14" x14ac:dyDescent="0.2">
      <c r="N416" s="46" t="s">
        <v>350</v>
      </c>
    </row>
    <row r="417" spans="14:14" x14ac:dyDescent="0.2">
      <c r="N417" s="46" t="s">
        <v>351</v>
      </c>
    </row>
  </sheetData>
  <sheetProtection password="D332" sheet="1" objects="1" scenarios="1"/>
  <mergeCells count="49">
    <mergeCell ref="A3:G4"/>
    <mergeCell ref="A6:B6"/>
    <mergeCell ref="C6:F6"/>
    <mergeCell ref="A8:G8"/>
    <mergeCell ref="B10:C10"/>
    <mergeCell ref="B11:C11"/>
    <mergeCell ref="E11:F11"/>
    <mergeCell ref="E12:G12"/>
    <mergeCell ref="E13:G13"/>
    <mergeCell ref="B14:C14"/>
    <mergeCell ref="E14:G14"/>
    <mergeCell ref="B15:C15"/>
    <mergeCell ref="A17:G17"/>
    <mergeCell ref="A19:A20"/>
    <mergeCell ref="F19:G19"/>
    <mergeCell ref="F20:G20"/>
    <mergeCell ref="A23:A24"/>
    <mergeCell ref="E23:G23"/>
    <mergeCell ref="B25:C25"/>
    <mergeCell ref="D25:E25"/>
    <mergeCell ref="B26:C26"/>
    <mergeCell ref="A28:A29"/>
    <mergeCell ref="D28:G28"/>
    <mergeCell ref="A31:A32"/>
    <mergeCell ref="C31:E31"/>
    <mergeCell ref="A34:G34"/>
    <mergeCell ref="A39:A40"/>
    <mergeCell ref="D39:F39"/>
    <mergeCell ref="B41:G41"/>
    <mergeCell ref="B44:F44"/>
    <mergeCell ref="A46:A49"/>
    <mergeCell ref="B53:C53"/>
    <mergeCell ref="E53:F53"/>
    <mergeCell ref="B54:C55"/>
    <mergeCell ref="E54:F54"/>
    <mergeCell ref="B56:G59"/>
    <mergeCell ref="A61:G61"/>
    <mergeCell ref="B62:C62"/>
    <mergeCell ref="D62:E62"/>
    <mergeCell ref="F62:G62"/>
    <mergeCell ref="B63:C63"/>
    <mergeCell ref="D63:E63"/>
    <mergeCell ref="F63:G63"/>
    <mergeCell ref="D67:G68"/>
    <mergeCell ref="B69:C69"/>
    <mergeCell ref="A64:A65"/>
    <mergeCell ref="B64:C65"/>
    <mergeCell ref="D64:E65"/>
    <mergeCell ref="F64:G65"/>
  </mergeCells>
  <phoneticPr fontId="0" type="noConversion"/>
  <conditionalFormatting sqref="G46">
    <cfRule type="expression" dxfId="27" priority="14" stopIfTrue="1">
      <formula>ISERROR($G$46)</formula>
    </cfRule>
  </conditionalFormatting>
  <conditionalFormatting sqref="G47">
    <cfRule type="expression" dxfId="26" priority="13" stopIfTrue="1">
      <formula>ISERROR($G$47)</formula>
    </cfRule>
  </conditionalFormatting>
  <conditionalFormatting sqref="G48">
    <cfRule type="expression" dxfId="25" priority="12" stopIfTrue="1">
      <formula>ISERROR($G$48)</formula>
    </cfRule>
  </conditionalFormatting>
  <conditionalFormatting sqref="G49">
    <cfRule type="expression" dxfId="24" priority="11" stopIfTrue="1">
      <formula>ISERROR($G$49)</formula>
    </cfRule>
  </conditionalFormatting>
  <conditionalFormatting sqref="B46:B49">
    <cfRule type="expression" dxfId="23" priority="10" stopIfTrue="1">
      <formula>IF(SUM($B$46:$B$49)&lt;&gt;0,TRUE,FALSE)</formula>
    </cfRule>
  </conditionalFormatting>
  <conditionalFormatting sqref="C46:C49">
    <cfRule type="expression" dxfId="22" priority="9" stopIfTrue="1">
      <formula>IF(SUM($C$46:$C$49)&lt;&gt;0,TRUE,FALSE)</formula>
    </cfRule>
  </conditionalFormatting>
  <conditionalFormatting sqref="D46:D49">
    <cfRule type="expression" dxfId="21" priority="8" stopIfTrue="1">
      <formula>IF(SUM($D$46:$D$49)&lt;&gt;0,TRUE,FALSE)</formula>
    </cfRule>
  </conditionalFormatting>
  <conditionalFormatting sqref="E46:E49">
    <cfRule type="expression" dxfId="20" priority="7" stopIfTrue="1">
      <formula>IF(SUM($E$46:$E$49)&lt;&gt;0,TRUE,FALSE)</formula>
    </cfRule>
  </conditionalFormatting>
  <conditionalFormatting sqref="F46:F49">
    <cfRule type="expression" dxfId="19" priority="6" stopIfTrue="1">
      <formula>IF(SUM($F$46:$F$49)&lt;&gt;0,TRUE,FALSE)</formula>
    </cfRule>
  </conditionalFormatting>
  <conditionalFormatting sqref="B10:C11 B12:B13 B14:C15">
    <cfRule type="cellIs" dxfId="18" priority="5" stopIfTrue="1" operator="notEqual">
      <formula>$A$1</formula>
    </cfRule>
  </conditionalFormatting>
  <conditionalFormatting sqref="E11:F11 E12:G14">
    <cfRule type="cellIs" dxfId="17" priority="4" stopIfTrue="1" operator="notEqual">
      <formula>$A$1</formula>
    </cfRule>
  </conditionalFormatting>
  <conditionalFormatting sqref="E10">
    <cfRule type="cellIs" dxfId="16" priority="3" stopIfTrue="1" operator="notEqual">
      <formula>$A$1</formula>
    </cfRule>
  </conditionalFormatting>
  <conditionalFormatting sqref="B53:C53 E53:F54">
    <cfRule type="cellIs" dxfId="15" priority="2" stopIfTrue="1" operator="notEqual">
      <formula>$A$1</formula>
    </cfRule>
  </conditionalFormatting>
  <conditionalFormatting sqref="B63:G63">
    <cfRule type="cellIs" dxfId="14" priority="1" stopIfTrue="1" operator="notEqual">
      <formula>$A$1</formula>
    </cfRule>
  </conditionalFormatting>
  <dataValidations count="7">
    <dataValidation type="list" allowBlank="1" showInputMessage="1" showErrorMessage="1" sqref="D46:D49">
      <formula1>$L$163:$L$174</formula1>
    </dataValidation>
    <dataValidation type="list" allowBlank="1" showInputMessage="1" showErrorMessage="1" sqref="C31:E31">
      <formula1>$L$148:$L$160</formula1>
    </dataValidation>
    <dataValidation type="list" allowBlank="1" showInputMessage="1" showErrorMessage="1" sqref="E14">
      <formula1>$L$121:$L$129</formula1>
    </dataValidation>
    <dataValidation type="list" allowBlank="1" showInputMessage="1" showErrorMessage="1" sqref="E13">
      <formula1>$L$91:$L$109</formula1>
    </dataValidation>
    <dataValidation type="list" allowBlank="1" showInputMessage="1" showErrorMessage="1" sqref="E11:F11">
      <formula1>$L$114:$L$118</formula1>
    </dataValidation>
    <dataValidation type="list" allowBlank="1" showInputMessage="1" showErrorMessage="1" sqref="E12 E23">
      <formula1>$N$91:$N$417</formula1>
    </dataValidation>
    <dataValidation type="list" allowBlank="1" showInputMessage="1" showErrorMessage="1" sqref="C36 E36 C23 C19">
      <formula1>$L$133:$L$137</formula1>
    </dataValidation>
  </dataValidations>
  <hyperlinks>
    <hyperlink ref="A12" r:id="rId1"/>
    <hyperlink ref="B44:F44" r:id="rId2" display="POSITION FUNDING"/>
  </hyperlinks>
  <pageMargins left="0.5" right="0.5" top="0.5" bottom="0.5" header="0.3" footer="0.3"/>
  <pageSetup scale="94" orientation="portrait" r:id="rId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N417"/>
  <sheetViews>
    <sheetView zoomScaleNormal="100" workbookViewId="0">
      <selection activeCell="B10" sqref="B10:C10"/>
    </sheetView>
  </sheetViews>
  <sheetFormatPr defaultRowHeight="12.75" x14ac:dyDescent="0.2"/>
  <cols>
    <col min="1" max="1" width="14.42578125" style="2" customWidth="1"/>
    <col min="2" max="2" width="14.28515625" style="2" bestFit="1" customWidth="1"/>
    <col min="3" max="3" width="15.5703125" style="2" bestFit="1" customWidth="1"/>
    <col min="4" max="4" width="16" style="2" bestFit="1" customWidth="1"/>
    <col min="5" max="5" width="15.42578125" style="2" customWidth="1"/>
    <col min="6" max="6" width="14" style="2" customWidth="1"/>
    <col min="7" max="7" width="12.7109375" style="2" customWidth="1"/>
    <col min="8" max="9" width="8.140625" style="2" customWidth="1"/>
    <col min="10" max="11" width="9.140625" style="2"/>
    <col min="12" max="12" width="35.42578125" style="2" hidden="1" customWidth="1"/>
    <col min="13" max="13" width="17" style="2" hidden="1" customWidth="1"/>
    <col min="14" max="14" width="41.140625" style="2" hidden="1" customWidth="1"/>
    <col min="15" max="16384" width="9.140625" style="2"/>
  </cols>
  <sheetData>
    <row r="1" spans="1:8" x14ac:dyDescent="0.2">
      <c r="A1" s="5"/>
      <c r="B1" s="5"/>
      <c r="C1" s="5"/>
      <c r="D1" s="5"/>
      <c r="E1" s="5"/>
      <c r="F1" s="5"/>
      <c r="G1" s="5"/>
    </row>
    <row r="2" spans="1:8" ht="12.75" customHeight="1" x14ac:dyDescent="0.2">
      <c r="A2" s="5"/>
      <c r="B2" s="5"/>
      <c r="C2" s="5"/>
      <c r="D2" s="5"/>
      <c r="E2" s="5"/>
      <c r="F2" s="5"/>
      <c r="G2" s="5"/>
      <c r="H2" s="3"/>
    </row>
    <row r="3" spans="1:8" ht="7.5" customHeight="1" x14ac:dyDescent="0.2">
      <c r="A3" s="109" t="s">
        <v>380</v>
      </c>
      <c r="B3" s="109"/>
      <c r="C3" s="109"/>
      <c r="D3" s="109"/>
      <c r="E3" s="109"/>
      <c r="F3" s="109"/>
      <c r="G3" s="109"/>
      <c r="H3" s="3"/>
    </row>
    <row r="4" spans="1:8" x14ac:dyDescent="0.2">
      <c r="A4" s="109"/>
      <c r="B4" s="109"/>
      <c r="C4" s="109"/>
      <c r="D4" s="109"/>
      <c r="E4" s="109"/>
      <c r="F4" s="109"/>
      <c r="G4" s="109"/>
      <c r="H4" s="4"/>
    </row>
    <row r="5" spans="1:8" ht="6" customHeight="1" x14ac:dyDescent="0.2">
      <c r="A5" s="47"/>
      <c r="B5" s="47"/>
      <c r="C5" s="47"/>
      <c r="D5" s="47"/>
      <c r="E5" s="47"/>
      <c r="F5" s="47"/>
      <c r="G5" s="47"/>
      <c r="H5" s="4"/>
    </row>
    <row r="6" spans="1:8" x14ac:dyDescent="0.2">
      <c r="A6" s="76" t="s">
        <v>381</v>
      </c>
      <c r="B6" s="76"/>
      <c r="C6" s="76" t="s">
        <v>409</v>
      </c>
      <c r="D6" s="76"/>
      <c r="E6" s="76"/>
      <c r="F6" s="76"/>
      <c r="G6" s="5"/>
    </row>
    <row r="7" spans="1:8" ht="6" customHeight="1" x14ac:dyDescent="0.2">
      <c r="A7" s="48"/>
      <c r="B7" s="48"/>
      <c r="C7" s="48"/>
      <c r="D7" s="48"/>
      <c r="E7" s="48"/>
      <c r="F7" s="48"/>
      <c r="G7" s="5"/>
    </row>
    <row r="8" spans="1:8" x14ac:dyDescent="0.2">
      <c r="A8" s="77" t="s">
        <v>470</v>
      </c>
      <c r="B8" s="77"/>
      <c r="C8" s="77"/>
      <c r="D8" s="77"/>
      <c r="E8" s="77"/>
      <c r="F8" s="77"/>
      <c r="G8" s="77"/>
    </row>
    <row r="9" spans="1:8" ht="6" customHeight="1" x14ac:dyDescent="0.2">
      <c r="A9" s="35"/>
      <c r="B9" s="35"/>
      <c r="C9" s="35"/>
      <c r="D9" s="35"/>
      <c r="E9" s="35"/>
      <c r="F9" s="35"/>
      <c r="G9" s="35"/>
    </row>
    <row r="10" spans="1:8" x14ac:dyDescent="0.2">
      <c r="A10" s="6" t="s">
        <v>14</v>
      </c>
      <c r="B10" s="140" t="s">
        <v>495</v>
      </c>
      <c r="C10" s="141"/>
      <c r="D10" s="6" t="s">
        <v>18</v>
      </c>
      <c r="E10" s="16">
        <f ca="1">TODAY()</f>
        <v>41600</v>
      </c>
      <c r="F10" s="5"/>
      <c r="G10" s="5"/>
    </row>
    <row r="11" spans="1:8" x14ac:dyDescent="0.2">
      <c r="A11" s="6" t="s">
        <v>15</v>
      </c>
      <c r="B11" s="140" t="s">
        <v>496</v>
      </c>
      <c r="C11" s="141"/>
      <c r="D11" s="6" t="s">
        <v>384</v>
      </c>
      <c r="E11" s="122" t="s">
        <v>23</v>
      </c>
      <c r="F11" s="122"/>
      <c r="G11" s="7"/>
    </row>
    <row r="12" spans="1:8" x14ac:dyDescent="0.2">
      <c r="A12" s="6" t="s">
        <v>16</v>
      </c>
      <c r="B12" s="54">
        <v>960687123</v>
      </c>
      <c r="C12" s="22" t="s">
        <v>394</v>
      </c>
      <c r="D12" s="6" t="s">
        <v>17</v>
      </c>
      <c r="E12" s="122" t="s">
        <v>149</v>
      </c>
      <c r="F12" s="122"/>
      <c r="G12" s="122"/>
    </row>
    <row r="13" spans="1:8" x14ac:dyDescent="0.2">
      <c r="A13" s="6" t="s">
        <v>512</v>
      </c>
      <c r="B13" s="55">
        <v>9053</v>
      </c>
      <c r="C13" s="22" t="s">
        <v>596</v>
      </c>
      <c r="D13" s="6" t="s">
        <v>19</v>
      </c>
      <c r="E13" s="142" t="s">
        <v>411</v>
      </c>
      <c r="F13" s="143"/>
      <c r="G13" s="144"/>
    </row>
    <row r="14" spans="1:8" x14ac:dyDescent="0.2">
      <c r="A14" s="6" t="s">
        <v>576</v>
      </c>
      <c r="B14" s="140" t="s">
        <v>497</v>
      </c>
      <c r="C14" s="141"/>
      <c r="D14" s="6" t="s">
        <v>20</v>
      </c>
      <c r="E14" s="142" t="s">
        <v>430</v>
      </c>
      <c r="F14" s="143"/>
      <c r="G14" s="144"/>
    </row>
    <row r="15" spans="1:8" x14ac:dyDescent="0.2">
      <c r="A15" s="6" t="s">
        <v>577</v>
      </c>
      <c r="B15" s="121" t="s">
        <v>503</v>
      </c>
      <c r="C15" s="122"/>
      <c r="D15" s="6" t="s">
        <v>572</v>
      </c>
      <c r="E15" s="53">
        <v>10</v>
      </c>
      <c r="F15" s="6" t="s">
        <v>574</v>
      </c>
      <c r="G15" s="62">
        <v>0.26700000000000002</v>
      </c>
    </row>
    <row r="16" spans="1:8" ht="6" customHeight="1" x14ac:dyDescent="0.2">
      <c r="A16" s="5"/>
      <c r="B16" s="5"/>
      <c r="C16" s="5"/>
      <c r="D16" s="5"/>
      <c r="E16" s="5"/>
      <c r="F16" s="5"/>
      <c r="G16" s="5"/>
    </row>
    <row r="17" spans="1:7" x14ac:dyDescent="0.2">
      <c r="A17" s="85" t="s">
        <v>387</v>
      </c>
      <c r="B17" s="85"/>
      <c r="C17" s="85"/>
      <c r="D17" s="85"/>
      <c r="E17" s="85"/>
      <c r="F17" s="85"/>
      <c r="G17" s="85"/>
    </row>
    <row r="18" spans="1:7" ht="6" customHeight="1" x14ac:dyDescent="0.2">
      <c r="A18" s="20"/>
      <c r="B18" s="20"/>
      <c r="C18" s="20"/>
      <c r="D18" s="20"/>
      <c r="E18" s="20"/>
      <c r="F18" s="20"/>
      <c r="G18" s="20"/>
    </row>
    <row r="19" spans="1:7" x14ac:dyDescent="0.2">
      <c r="A19" s="78" t="s">
        <v>424</v>
      </c>
      <c r="B19" s="56">
        <v>8.25</v>
      </c>
      <c r="C19" s="61" t="s">
        <v>11</v>
      </c>
      <c r="D19" s="57">
        <f ca="1">TODAY()+15</f>
        <v>41615</v>
      </c>
      <c r="E19" s="57"/>
      <c r="F19" s="134"/>
      <c r="G19" s="136"/>
    </row>
    <row r="20" spans="1:7" x14ac:dyDescent="0.2">
      <c r="A20" s="78"/>
      <c r="B20" s="9" t="s">
        <v>362</v>
      </c>
      <c r="C20" s="9" t="s">
        <v>363</v>
      </c>
      <c r="D20" s="9" t="s">
        <v>364</v>
      </c>
      <c r="E20" s="9" t="s">
        <v>382</v>
      </c>
      <c r="F20" s="86" t="s">
        <v>395</v>
      </c>
      <c r="G20" s="86"/>
    </row>
    <row r="21" spans="1:7" ht="12" customHeight="1" x14ac:dyDescent="0.2">
      <c r="A21" s="36"/>
      <c r="B21" s="39" t="s">
        <v>517</v>
      </c>
      <c r="C21" s="9"/>
      <c r="D21" s="9"/>
      <c r="E21" s="9"/>
      <c r="F21" s="9"/>
      <c r="G21" s="5"/>
    </row>
    <row r="22" spans="1:7" ht="6" customHeight="1" x14ac:dyDescent="0.2">
      <c r="A22" s="36"/>
      <c r="B22" s="9"/>
      <c r="C22" s="9"/>
      <c r="D22" s="9"/>
      <c r="E22" s="9"/>
      <c r="F22" s="9"/>
      <c r="G22" s="5"/>
    </row>
    <row r="23" spans="1:7" ht="12.75" customHeight="1" x14ac:dyDescent="0.2">
      <c r="A23" s="78" t="s">
        <v>388</v>
      </c>
      <c r="B23" s="56"/>
      <c r="C23" s="53"/>
      <c r="D23" s="57"/>
      <c r="E23" s="112"/>
      <c r="F23" s="112"/>
      <c r="G23" s="112"/>
    </row>
    <row r="24" spans="1:7" x14ac:dyDescent="0.2">
      <c r="A24" s="78"/>
      <c r="B24" s="9" t="s">
        <v>362</v>
      </c>
      <c r="C24" s="9" t="s">
        <v>363</v>
      </c>
      <c r="D24" s="9" t="s">
        <v>364</v>
      </c>
      <c r="E24" s="9" t="s">
        <v>393</v>
      </c>
      <c r="F24" s="9"/>
      <c r="G24" s="5"/>
    </row>
    <row r="25" spans="1:7" x14ac:dyDescent="0.2">
      <c r="A25" s="36"/>
      <c r="B25" s="134"/>
      <c r="C25" s="136"/>
      <c r="D25" s="134"/>
      <c r="E25" s="136"/>
      <c r="F25" s="9"/>
      <c r="G25" s="5"/>
    </row>
    <row r="26" spans="1:7" x14ac:dyDescent="0.2">
      <c r="A26" s="36"/>
      <c r="B26" s="86" t="s">
        <v>395</v>
      </c>
      <c r="C26" s="86"/>
      <c r="D26" s="9" t="s">
        <v>521</v>
      </c>
      <c r="E26" s="9"/>
      <c r="F26" s="9"/>
      <c r="G26" s="5"/>
    </row>
    <row r="27" spans="1:7" ht="6" customHeight="1" x14ac:dyDescent="0.2">
      <c r="A27" s="36"/>
      <c r="B27" s="9"/>
      <c r="C27" s="9"/>
      <c r="D27" s="9"/>
      <c r="E27" s="9"/>
      <c r="F27" s="9"/>
      <c r="G27" s="5"/>
    </row>
    <row r="28" spans="1:7" x14ac:dyDescent="0.2">
      <c r="A28" s="78" t="s">
        <v>389</v>
      </c>
      <c r="B28" s="57"/>
      <c r="C28" s="58"/>
      <c r="D28" s="134"/>
      <c r="E28" s="135"/>
      <c r="F28" s="135"/>
      <c r="G28" s="136"/>
    </row>
    <row r="29" spans="1:7" x14ac:dyDescent="0.2">
      <c r="A29" s="78"/>
      <c r="B29" s="9" t="s">
        <v>364</v>
      </c>
      <c r="C29" s="9" t="s">
        <v>382</v>
      </c>
      <c r="D29" s="9" t="s">
        <v>3</v>
      </c>
      <c r="E29" s="9"/>
      <c r="F29" s="9"/>
      <c r="G29" s="5"/>
    </row>
    <row r="30" spans="1:7" ht="6" customHeight="1" x14ac:dyDescent="0.2">
      <c r="A30" s="5"/>
      <c r="B30" s="5"/>
      <c r="C30" s="5"/>
      <c r="D30" s="5"/>
      <c r="E30" s="20"/>
      <c r="F30" s="20"/>
      <c r="G30" s="5"/>
    </row>
    <row r="31" spans="1:7" x14ac:dyDescent="0.2">
      <c r="A31" s="78" t="s">
        <v>425</v>
      </c>
      <c r="B31" s="57"/>
      <c r="C31" s="137"/>
      <c r="D31" s="138"/>
      <c r="E31" s="139"/>
      <c r="F31" s="26"/>
      <c r="G31" s="5"/>
    </row>
    <row r="32" spans="1:7" x14ac:dyDescent="0.2">
      <c r="A32" s="78"/>
      <c r="B32" s="9" t="s">
        <v>382</v>
      </c>
      <c r="C32" s="9" t="s">
        <v>3</v>
      </c>
      <c r="D32" s="5"/>
      <c r="E32" s="5"/>
      <c r="F32" s="5"/>
      <c r="G32" s="5"/>
    </row>
    <row r="33" spans="1:7" ht="6" customHeight="1" x14ac:dyDescent="0.2">
      <c r="A33" s="5"/>
      <c r="B33" s="9"/>
      <c r="C33" s="9"/>
      <c r="D33" s="5"/>
      <c r="E33" s="5"/>
      <c r="F33" s="5"/>
      <c r="G33" s="5"/>
    </row>
    <row r="34" spans="1:7" x14ac:dyDescent="0.2">
      <c r="A34" s="85" t="s">
        <v>392</v>
      </c>
      <c r="B34" s="85"/>
      <c r="C34" s="85"/>
      <c r="D34" s="85"/>
      <c r="E34" s="85"/>
      <c r="F34" s="85"/>
      <c r="G34" s="85"/>
    </row>
    <row r="35" spans="1:7" ht="6" customHeight="1" x14ac:dyDescent="0.2">
      <c r="A35" s="20"/>
      <c r="B35" s="20"/>
      <c r="C35" s="20"/>
      <c r="D35" s="20"/>
      <c r="E35" s="20"/>
      <c r="F35" s="20"/>
      <c r="G35" s="20"/>
    </row>
    <row r="36" spans="1:7" x14ac:dyDescent="0.2">
      <c r="A36" s="6" t="s">
        <v>391</v>
      </c>
      <c r="B36" s="56"/>
      <c r="C36" s="53"/>
      <c r="D36" s="56"/>
      <c r="E36" s="53"/>
      <c r="F36" s="57"/>
      <c r="G36" s="5"/>
    </row>
    <row r="37" spans="1:7" x14ac:dyDescent="0.2">
      <c r="A37" s="10"/>
      <c r="B37" s="9" t="s">
        <v>396</v>
      </c>
      <c r="C37" s="9" t="s">
        <v>363</v>
      </c>
      <c r="D37" s="9" t="s">
        <v>397</v>
      </c>
      <c r="E37" s="9" t="s">
        <v>363</v>
      </c>
      <c r="F37" s="9" t="s">
        <v>364</v>
      </c>
      <c r="G37" s="5"/>
    </row>
    <row r="38" spans="1:7" ht="6" customHeight="1" x14ac:dyDescent="0.2">
      <c r="A38" s="10"/>
      <c r="B38" s="9"/>
      <c r="C38" s="9"/>
      <c r="D38" s="9"/>
      <c r="E38" s="9"/>
      <c r="F38" s="9"/>
      <c r="G38" s="5"/>
    </row>
    <row r="39" spans="1:7" x14ac:dyDescent="0.2">
      <c r="A39" s="78" t="s">
        <v>406</v>
      </c>
      <c r="B39" s="56"/>
      <c r="C39" s="57"/>
      <c r="D39" s="116" t="s">
        <v>515</v>
      </c>
      <c r="E39" s="117"/>
      <c r="F39" s="117"/>
      <c r="G39" s="5"/>
    </row>
    <row r="40" spans="1:7" x14ac:dyDescent="0.2">
      <c r="A40" s="78"/>
      <c r="B40" s="9" t="s">
        <v>365</v>
      </c>
      <c r="C40" s="9" t="s">
        <v>366</v>
      </c>
      <c r="D40" s="34" t="s">
        <v>472</v>
      </c>
      <c r="E40" s="5"/>
      <c r="F40" s="5"/>
      <c r="G40" s="5"/>
    </row>
    <row r="41" spans="1:7" x14ac:dyDescent="0.2">
      <c r="A41" s="36"/>
      <c r="B41" s="118" t="s">
        <v>513</v>
      </c>
      <c r="C41" s="118"/>
      <c r="D41" s="118"/>
      <c r="E41" s="118"/>
      <c r="F41" s="118"/>
      <c r="G41" s="118"/>
    </row>
    <row r="42" spans="1:7" ht="6" customHeight="1" x14ac:dyDescent="0.2">
      <c r="A42" s="11"/>
      <c r="B42" s="12"/>
      <c r="C42" s="12"/>
      <c r="D42" s="11"/>
      <c r="E42" s="11"/>
      <c r="F42" s="11"/>
      <c r="G42" s="11"/>
    </row>
    <row r="43" spans="1:7" ht="6" customHeight="1" x14ac:dyDescent="0.2">
      <c r="A43" s="20"/>
      <c r="B43" s="12"/>
      <c r="C43" s="12"/>
      <c r="D43" s="11"/>
      <c r="E43" s="11"/>
      <c r="F43" s="11"/>
      <c r="G43" s="20"/>
    </row>
    <row r="44" spans="1:7" x14ac:dyDescent="0.2">
      <c r="A44" s="5"/>
      <c r="B44" s="119" t="s">
        <v>376</v>
      </c>
      <c r="C44" s="119"/>
      <c r="D44" s="119"/>
      <c r="E44" s="119"/>
      <c r="F44" s="119"/>
      <c r="G44" s="5"/>
    </row>
    <row r="45" spans="1:7" x14ac:dyDescent="0.2">
      <c r="A45" s="5"/>
      <c r="B45" s="13" t="s">
        <v>367</v>
      </c>
      <c r="C45" s="13" t="s">
        <v>368</v>
      </c>
      <c r="D45" s="13" t="s">
        <v>369</v>
      </c>
      <c r="E45" s="13" t="s">
        <v>370</v>
      </c>
      <c r="F45" s="13" t="s">
        <v>371</v>
      </c>
      <c r="G45" s="5"/>
    </row>
    <row r="46" spans="1:7" x14ac:dyDescent="0.2">
      <c r="A46" s="120" t="s">
        <v>383</v>
      </c>
      <c r="B46" s="59">
        <v>110000</v>
      </c>
      <c r="C46" s="50">
        <v>28510</v>
      </c>
      <c r="D46" s="50">
        <v>611035</v>
      </c>
      <c r="E46" s="50">
        <v>41</v>
      </c>
      <c r="F46" s="60">
        <v>1</v>
      </c>
      <c r="G46" s="27" t="str">
        <f>VLOOKUP($D46,$L$163:$M$174,2,FALSE)</f>
        <v>Student</v>
      </c>
    </row>
    <row r="47" spans="1:7" x14ac:dyDescent="0.2">
      <c r="A47" s="120"/>
      <c r="B47" s="59"/>
      <c r="C47" s="50"/>
      <c r="D47" s="50"/>
      <c r="E47" s="50"/>
      <c r="F47" s="60"/>
      <c r="G47" s="27" t="e">
        <f>VLOOKUP($D47,$L$163:$M$174,2,FALSE)</f>
        <v>#N/A</v>
      </c>
    </row>
    <row r="48" spans="1:7" x14ac:dyDescent="0.2">
      <c r="A48" s="120"/>
      <c r="B48" s="59"/>
      <c r="C48" s="50"/>
      <c r="D48" s="50"/>
      <c r="E48" s="50"/>
      <c r="F48" s="60"/>
      <c r="G48" s="27" t="e">
        <f>VLOOKUP($D48,$L$163:$M$174,2,FALSE)</f>
        <v>#N/A</v>
      </c>
    </row>
    <row r="49" spans="1:7" x14ac:dyDescent="0.2">
      <c r="A49" s="120"/>
      <c r="B49" s="50"/>
      <c r="C49" s="50"/>
      <c r="D49" s="50"/>
      <c r="E49" s="50"/>
      <c r="F49" s="60"/>
      <c r="G49" s="27" t="e">
        <f>VLOOKUP($D49,$L$163:$M$174,2,FALSE)</f>
        <v>#N/A</v>
      </c>
    </row>
    <row r="50" spans="1:7" x14ac:dyDescent="0.2">
      <c r="A50" s="5"/>
      <c r="B50" s="14"/>
      <c r="C50" s="14"/>
      <c r="D50" s="14"/>
      <c r="E50" s="18" t="s">
        <v>372</v>
      </c>
      <c r="F50" s="19">
        <f>SUM(F46:F49)</f>
        <v>1</v>
      </c>
      <c r="G50" s="5"/>
    </row>
    <row r="51" spans="1:7" ht="6" customHeight="1" x14ac:dyDescent="0.2">
      <c r="A51" s="11"/>
      <c r="B51" s="11"/>
      <c r="C51" s="11"/>
      <c r="D51" s="11"/>
      <c r="E51" s="11"/>
      <c r="F51" s="11"/>
      <c r="G51" s="11"/>
    </row>
    <row r="52" spans="1:7" ht="6" customHeight="1" x14ac:dyDescent="0.2">
      <c r="A52" s="5"/>
      <c r="B52" s="5"/>
      <c r="C52" s="5"/>
      <c r="D52" s="5"/>
      <c r="E52" s="5"/>
      <c r="F52" s="5"/>
      <c r="G52" s="5"/>
    </row>
    <row r="53" spans="1:7" x14ac:dyDescent="0.2">
      <c r="A53" s="6" t="s">
        <v>373</v>
      </c>
      <c r="B53" s="121" t="s">
        <v>503</v>
      </c>
      <c r="C53" s="122"/>
      <c r="D53" s="6" t="s">
        <v>374</v>
      </c>
      <c r="E53" s="123">
        <v>3123410345</v>
      </c>
      <c r="F53" s="124"/>
      <c r="G53" s="5"/>
    </row>
    <row r="54" spans="1:7" ht="12.75" customHeight="1" x14ac:dyDescent="0.2">
      <c r="A54" s="5"/>
      <c r="B54" s="106" t="s">
        <v>473</v>
      </c>
      <c r="C54" s="106"/>
      <c r="D54" s="6" t="s">
        <v>375</v>
      </c>
      <c r="E54" s="122" t="s">
        <v>504</v>
      </c>
      <c r="F54" s="122"/>
      <c r="G54" s="5"/>
    </row>
    <row r="55" spans="1:7" x14ac:dyDescent="0.2">
      <c r="A55" s="5"/>
      <c r="B55" s="107"/>
      <c r="C55" s="107"/>
      <c r="D55" s="5"/>
      <c r="E55" s="5"/>
      <c r="F55" s="5"/>
      <c r="G55" s="5"/>
    </row>
    <row r="56" spans="1:7" x14ac:dyDescent="0.2">
      <c r="A56" s="6" t="s">
        <v>0</v>
      </c>
      <c r="B56" s="125" t="s">
        <v>498</v>
      </c>
      <c r="C56" s="126"/>
      <c r="D56" s="126"/>
      <c r="E56" s="126"/>
      <c r="F56" s="126"/>
      <c r="G56" s="127"/>
    </row>
    <row r="57" spans="1:7" x14ac:dyDescent="0.2">
      <c r="A57" s="5"/>
      <c r="B57" s="128"/>
      <c r="C57" s="129"/>
      <c r="D57" s="129"/>
      <c r="E57" s="129"/>
      <c r="F57" s="129"/>
      <c r="G57" s="130"/>
    </row>
    <row r="58" spans="1:7" x14ac:dyDescent="0.2">
      <c r="A58" s="5"/>
      <c r="B58" s="128"/>
      <c r="C58" s="129"/>
      <c r="D58" s="129"/>
      <c r="E58" s="129"/>
      <c r="F58" s="129"/>
      <c r="G58" s="130"/>
    </row>
    <row r="59" spans="1:7" x14ac:dyDescent="0.2">
      <c r="A59" s="5"/>
      <c r="B59" s="131"/>
      <c r="C59" s="132"/>
      <c r="D59" s="132"/>
      <c r="E59" s="132"/>
      <c r="F59" s="132"/>
      <c r="G59" s="133"/>
    </row>
    <row r="60" spans="1:7" ht="6" customHeight="1" x14ac:dyDescent="0.2">
      <c r="A60" s="5"/>
      <c r="B60" s="42"/>
      <c r="C60" s="42"/>
      <c r="D60" s="42"/>
      <c r="E60" s="42"/>
      <c r="F60" s="42"/>
      <c r="G60" s="42"/>
    </row>
    <row r="61" spans="1:7" x14ac:dyDescent="0.2">
      <c r="A61" s="85" t="s">
        <v>516</v>
      </c>
      <c r="B61" s="85"/>
      <c r="C61" s="85"/>
      <c r="D61" s="85"/>
      <c r="E61" s="85"/>
      <c r="F61" s="85"/>
      <c r="G61" s="85"/>
    </row>
    <row r="62" spans="1:7" ht="15.75" x14ac:dyDescent="0.25">
      <c r="A62" s="6"/>
      <c r="B62" s="99" t="s">
        <v>2</v>
      </c>
      <c r="C62" s="99"/>
      <c r="D62" s="100" t="s">
        <v>398</v>
      </c>
      <c r="E62" s="100"/>
      <c r="F62" s="101" t="s">
        <v>524</v>
      </c>
      <c r="G62" s="101"/>
    </row>
    <row r="63" spans="1:7" x14ac:dyDescent="0.2">
      <c r="A63" s="6" t="s">
        <v>514</v>
      </c>
      <c r="B63" s="121" t="s">
        <v>503</v>
      </c>
      <c r="C63" s="122"/>
      <c r="D63" s="121" t="s">
        <v>542</v>
      </c>
      <c r="E63" s="122"/>
      <c r="F63" s="121"/>
      <c r="G63" s="122"/>
    </row>
    <row r="64" spans="1:7" x14ac:dyDescent="0.2">
      <c r="A64" s="110" t="s">
        <v>1</v>
      </c>
      <c r="B64" s="112"/>
      <c r="C64" s="112"/>
      <c r="D64" s="112"/>
      <c r="E64" s="112"/>
      <c r="F64" s="112"/>
      <c r="G64" s="112"/>
    </row>
    <row r="65" spans="1:7" x14ac:dyDescent="0.2">
      <c r="A65" s="111"/>
      <c r="B65" s="112"/>
      <c r="C65" s="112"/>
      <c r="D65" s="112"/>
      <c r="E65" s="112"/>
      <c r="F65" s="112"/>
      <c r="G65" s="112"/>
    </row>
    <row r="66" spans="1:7" ht="6" customHeight="1" x14ac:dyDescent="0.2">
      <c r="A66" s="15"/>
      <c r="B66" s="37"/>
      <c r="C66" s="37"/>
      <c r="D66" s="37"/>
      <c r="E66" s="37"/>
      <c r="F66" s="37"/>
      <c r="G66" s="37"/>
    </row>
    <row r="67" spans="1:7" ht="13.15" customHeight="1" x14ac:dyDescent="0.2">
      <c r="A67" s="5"/>
      <c r="B67" s="5"/>
      <c r="C67" s="43"/>
      <c r="D67" s="102" t="s">
        <v>525</v>
      </c>
      <c r="E67" s="102"/>
      <c r="F67" s="102"/>
      <c r="G67" s="102"/>
    </row>
    <row r="68" spans="1:7" x14ac:dyDescent="0.2">
      <c r="A68" s="44"/>
      <c r="B68" s="45"/>
      <c r="C68" s="45"/>
      <c r="D68" s="103"/>
      <c r="E68" s="103"/>
      <c r="F68" s="103"/>
      <c r="G68" s="103"/>
    </row>
    <row r="69" spans="1:7" x14ac:dyDescent="0.2">
      <c r="A69" s="8"/>
      <c r="B69" s="98" t="s">
        <v>379</v>
      </c>
      <c r="C69" s="98"/>
      <c r="D69" s="8"/>
      <c r="E69" s="8"/>
      <c r="F69" s="8"/>
      <c r="G69" s="8"/>
    </row>
    <row r="70" spans="1:7" ht="6" customHeight="1" x14ac:dyDescent="0.2">
      <c r="A70" s="5"/>
      <c r="B70" s="5"/>
      <c r="C70" s="5"/>
      <c r="D70" s="5"/>
      <c r="E70" s="5"/>
      <c r="F70" s="5"/>
      <c r="G70" s="5"/>
    </row>
    <row r="71" spans="1:7" x14ac:dyDescent="0.2">
      <c r="A71" s="5"/>
      <c r="B71" s="9" t="s">
        <v>401</v>
      </c>
      <c r="C71" s="9" t="s">
        <v>403</v>
      </c>
      <c r="D71" s="5" t="s">
        <v>407</v>
      </c>
      <c r="E71" s="9" t="s">
        <v>402</v>
      </c>
      <c r="F71" s="9" t="s">
        <v>402</v>
      </c>
      <c r="G71" s="9"/>
    </row>
    <row r="72" spans="1:7" x14ac:dyDescent="0.2">
      <c r="A72" s="5"/>
      <c r="B72" s="24" t="s">
        <v>399</v>
      </c>
      <c r="C72" s="24" t="s">
        <v>404</v>
      </c>
      <c r="D72" s="24" t="s">
        <v>408</v>
      </c>
      <c r="E72" s="24" t="s">
        <v>400</v>
      </c>
      <c r="F72" s="24" t="s">
        <v>405</v>
      </c>
      <c r="G72" s="23" t="s">
        <v>578</v>
      </c>
    </row>
    <row r="73" spans="1:7" x14ac:dyDescent="0.2">
      <c r="A73" s="41"/>
      <c r="B73" s="41"/>
      <c r="C73" s="41"/>
      <c r="D73" s="41"/>
      <c r="E73" s="41"/>
      <c r="F73" s="41"/>
      <c r="G73" s="41"/>
    </row>
    <row r="91" spans="12:14" x14ac:dyDescent="0.2">
      <c r="L91" s="2" t="s">
        <v>4</v>
      </c>
      <c r="M91" s="1" t="s">
        <v>12</v>
      </c>
      <c r="N91" s="46" t="s">
        <v>25</v>
      </c>
    </row>
    <row r="92" spans="12:14" x14ac:dyDescent="0.2">
      <c r="L92" s="2" t="s">
        <v>6</v>
      </c>
      <c r="M92" s="1" t="s">
        <v>361</v>
      </c>
      <c r="N92" s="46" t="s">
        <v>26</v>
      </c>
    </row>
    <row r="93" spans="12:14" x14ac:dyDescent="0.2">
      <c r="L93" s="2" t="s">
        <v>5</v>
      </c>
      <c r="M93" s="1" t="s">
        <v>12</v>
      </c>
      <c r="N93" s="46" t="s">
        <v>27</v>
      </c>
    </row>
    <row r="94" spans="12:14" x14ac:dyDescent="0.2">
      <c r="L94" s="2" t="s">
        <v>7</v>
      </c>
      <c r="M94" s="1" t="s">
        <v>361</v>
      </c>
      <c r="N94" s="46" t="s">
        <v>28</v>
      </c>
    </row>
    <row r="95" spans="12:14" x14ac:dyDescent="0.2">
      <c r="L95" s="2" t="s">
        <v>8</v>
      </c>
      <c r="M95" s="1" t="s">
        <v>361</v>
      </c>
      <c r="N95" s="46" t="s">
        <v>29</v>
      </c>
    </row>
    <row r="96" spans="12:14" x14ac:dyDescent="0.2">
      <c r="L96" s="1" t="s">
        <v>377</v>
      </c>
      <c r="M96" s="1" t="s">
        <v>361</v>
      </c>
      <c r="N96" s="46" t="s">
        <v>30</v>
      </c>
    </row>
    <row r="97" spans="12:14" x14ac:dyDescent="0.2">
      <c r="L97" s="2" t="s">
        <v>9</v>
      </c>
      <c r="M97" s="1" t="s">
        <v>12</v>
      </c>
      <c r="N97" s="46" t="s">
        <v>31</v>
      </c>
    </row>
    <row r="98" spans="12:14" x14ac:dyDescent="0.2">
      <c r="L98" s="1" t="s">
        <v>378</v>
      </c>
      <c r="M98" s="1" t="s">
        <v>12</v>
      </c>
      <c r="N98" s="46" t="s">
        <v>32</v>
      </c>
    </row>
    <row r="99" spans="12:14" x14ac:dyDescent="0.2">
      <c r="L99" s="2" t="s">
        <v>353</v>
      </c>
      <c r="M99" s="1" t="s">
        <v>11</v>
      </c>
      <c r="N99" s="46" t="s">
        <v>33</v>
      </c>
    </row>
    <row r="100" spans="12:14" x14ac:dyDescent="0.2">
      <c r="L100" s="2" t="s">
        <v>354</v>
      </c>
      <c r="M100" s="1" t="s">
        <v>11</v>
      </c>
      <c r="N100" s="46" t="s">
        <v>34</v>
      </c>
    </row>
    <row r="101" spans="12:14" x14ac:dyDescent="0.2">
      <c r="L101" s="2" t="s">
        <v>355</v>
      </c>
      <c r="M101" s="1" t="s">
        <v>11</v>
      </c>
      <c r="N101" s="46" t="s">
        <v>35</v>
      </c>
    </row>
    <row r="102" spans="12:14" x14ac:dyDescent="0.2">
      <c r="L102" s="2" t="s">
        <v>356</v>
      </c>
      <c r="M102" s="1" t="s">
        <v>11</v>
      </c>
      <c r="N102" s="46" t="s">
        <v>36</v>
      </c>
    </row>
    <row r="103" spans="12:14" x14ac:dyDescent="0.2">
      <c r="L103" s="2" t="s">
        <v>357</v>
      </c>
      <c r="M103" s="1" t="s">
        <v>11</v>
      </c>
      <c r="N103" s="46" t="s">
        <v>37</v>
      </c>
    </row>
    <row r="104" spans="12:14" x14ac:dyDescent="0.2">
      <c r="L104" s="2" t="s">
        <v>358</v>
      </c>
      <c r="M104" s="1" t="s">
        <v>11</v>
      </c>
      <c r="N104" s="46" t="s">
        <v>38</v>
      </c>
    </row>
    <row r="105" spans="12:14" x14ac:dyDescent="0.2">
      <c r="L105" s="1" t="s">
        <v>411</v>
      </c>
      <c r="M105" s="1" t="s">
        <v>11</v>
      </c>
      <c r="N105" s="46" t="s">
        <v>39</v>
      </c>
    </row>
    <row r="106" spans="12:14" x14ac:dyDescent="0.2">
      <c r="L106" s="1" t="s">
        <v>433</v>
      </c>
      <c r="M106" s="1" t="s">
        <v>11</v>
      </c>
      <c r="N106" s="46" t="s">
        <v>40</v>
      </c>
    </row>
    <row r="107" spans="12:14" x14ac:dyDescent="0.2">
      <c r="L107" s="1" t="s">
        <v>410</v>
      </c>
      <c r="M107" s="1" t="s">
        <v>361</v>
      </c>
      <c r="N107" s="46" t="s">
        <v>41</v>
      </c>
    </row>
    <row r="108" spans="12:14" x14ac:dyDescent="0.2">
      <c r="L108" s="2" t="s">
        <v>352</v>
      </c>
      <c r="M108" s="1" t="s">
        <v>11</v>
      </c>
      <c r="N108" s="46" t="s">
        <v>42</v>
      </c>
    </row>
    <row r="109" spans="12:14" x14ac:dyDescent="0.2">
      <c r="L109" s="2" t="s">
        <v>359</v>
      </c>
      <c r="M109" s="1" t="s">
        <v>11</v>
      </c>
      <c r="N109" s="46" t="s">
        <v>43</v>
      </c>
    </row>
    <row r="110" spans="12:14" x14ac:dyDescent="0.2">
      <c r="N110" s="46" t="s">
        <v>44</v>
      </c>
    </row>
    <row r="111" spans="12:14" x14ac:dyDescent="0.2">
      <c r="N111" s="46" t="s">
        <v>45</v>
      </c>
    </row>
    <row r="112" spans="12:14" x14ac:dyDescent="0.2">
      <c r="N112" s="46" t="s">
        <v>46</v>
      </c>
    </row>
    <row r="113" spans="12:14" x14ac:dyDescent="0.2">
      <c r="N113" s="46" t="s">
        <v>47</v>
      </c>
    </row>
    <row r="114" spans="12:14" x14ac:dyDescent="0.2">
      <c r="L114" s="2" t="s">
        <v>22</v>
      </c>
      <c r="N114" s="46" t="s">
        <v>48</v>
      </c>
    </row>
    <row r="115" spans="12:14" x14ac:dyDescent="0.2">
      <c r="L115" s="2" t="s">
        <v>21</v>
      </c>
      <c r="N115" s="46" t="s">
        <v>49</v>
      </c>
    </row>
    <row r="116" spans="12:14" x14ac:dyDescent="0.2">
      <c r="L116" s="2" t="s">
        <v>23</v>
      </c>
      <c r="N116" s="46" t="s">
        <v>50</v>
      </c>
    </row>
    <row r="117" spans="12:14" x14ac:dyDescent="0.2">
      <c r="L117" s="2" t="s">
        <v>24</v>
      </c>
      <c r="N117" s="46" t="s">
        <v>51</v>
      </c>
    </row>
    <row r="118" spans="12:14" x14ac:dyDescent="0.2">
      <c r="L118" s="2" t="s">
        <v>385</v>
      </c>
      <c r="N118" s="46" t="s">
        <v>52</v>
      </c>
    </row>
    <row r="119" spans="12:14" x14ac:dyDescent="0.2">
      <c r="N119" s="46" t="s">
        <v>53</v>
      </c>
    </row>
    <row r="120" spans="12:14" x14ac:dyDescent="0.2">
      <c r="N120" s="46" t="s">
        <v>54</v>
      </c>
    </row>
    <row r="121" spans="12:14" x14ac:dyDescent="0.2">
      <c r="L121" s="1" t="s">
        <v>429</v>
      </c>
      <c r="N121" s="46" t="s">
        <v>55</v>
      </c>
    </row>
    <row r="122" spans="12:14" x14ac:dyDescent="0.2">
      <c r="L122" s="1" t="s">
        <v>430</v>
      </c>
      <c r="N122" s="46" t="s">
        <v>56</v>
      </c>
    </row>
    <row r="123" spans="12:14" x14ac:dyDescent="0.2">
      <c r="L123" s="2" t="s">
        <v>386</v>
      </c>
      <c r="N123" s="46" t="s">
        <v>57</v>
      </c>
    </row>
    <row r="124" spans="12:14" x14ac:dyDescent="0.2">
      <c r="L124" s="21" t="s">
        <v>390</v>
      </c>
      <c r="N124" s="46" t="s">
        <v>58</v>
      </c>
    </row>
    <row r="125" spans="12:14" x14ac:dyDescent="0.2">
      <c r="L125" s="1" t="s">
        <v>427</v>
      </c>
      <c r="N125" s="46" t="s">
        <v>59</v>
      </c>
    </row>
    <row r="126" spans="12:14" x14ac:dyDescent="0.2">
      <c r="L126" s="1" t="s">
        <v>426</v>
      </c>
      <c r="N126" s="46" t="s">
        <v>60</v>
      </c>
    </row>
    <row r="127" spans="12:14" x14ac:dyDescent="0.2">
      <c r="L127" s="1" t="s">
        <v>428</v>
      </c>
      <c r="N127" s="46" t="s">
        <v>61</v>
      </c>
    </row>
    <row r="128" spans="12:14" x14ac:dyDescent="0.2">
      <c r="L128" s="2" t="s">
        <v>360</v>
      </c>
      <c r="N128" s="46" t="s">
        <v>62</v>
      </c>
    </row>
    <row r="129" spans="12:14" x14ac:dyDescent="0.2">
      <c r="L129" s="1" t="s">
        <v>432</v>
      </c>
      <c r="N129" s="46" t="s">
        <v>63</v>
      </c>
    </row>
    <row r="130" spans="12:14" x14ac:dyDescent="0.2">
      <c r="N130" s="46" t="s">
        <v>64</v>
      </c>
    </row>
    <row r="131" spans="12:14" x14ac:dyDescent="0.2">
      <c r="N131" s="46" t="s">
        <v>65</v>
      </c>
    </row>
    <row r="132" spans="12:14" x14ac:dyDescent="0.2">
      <c r="N132" s="46" t="s">
        <v>66</v>
      </c>
    </row>
    <row r="133" spans="12:14" x14ac:dyDescent="0.2">
      <c r="L133" s="1" t="s">
        <v>10</v>
      </c>
      <c r="N133" s="46" t="s">
        <v>67</v>
      </c>
    </row>
    <row r="134" spans="12:14" x14ac:dyDescent="0.2">
      <c r="L134" s="1" t="s">
        <v>11</v>
      </c>
      <c r="N134" s="46" t="s">
        <v>68</v>
      </c>
    </row>
    <row r="135" spans="12:14" x14ac:dyDescent="0.2">
      <c r="L135" s="1" t="s">
        <v>361</v>
      </c>
      <c r="N135" s="46" t="s">
        <v>69</v>
      </c>
    </row>
    <row r="136" spans="12:14" x14ac:dyDescent="0.2">
      <c r="L136" s="1" t="s">
        <v>12</v>
      </c>
      <c r="N136" s="46" t="s">
        <v>70</v>
      </c>
    </row>
    <row r="137" spans="12:14" x14ac:dyDescent="0.2">
      <c r="L137" s="1" t="s">
        <v>13</v>
      </c>
      <c r="N137" s="46" t="s">
        <v>71</v>
      </c>
    </row>
    <row r="138" spans="12:14" x14ac:dyDescent="0.2">
      <c r="N138" s="46" t="s">
        <v>72</v>
      </c>
    </row>
    <row r="139" spans="12:14" x14ac:dyDescent="0.2">
      <c r="N139" s="46" t="s">
        <v>73</v>
      </c>
    </row>
    <row r="140" spans="12:14" x14ac:dyDescent="0.2">
      <c r="N140" s="46" t="s">
        <v>74</v>
      </c>
    </row>
    <row r="141" spans="12:14" x14ac:dyDescent="0.2">
      <c r="N141" s="46" t="s">
        <v>75</v>
      </c>
    </row>
    <row r="142" spans="12:14" x14ac:dyDescent="0.2">
      <c r="N142" s="46" t="s">
        <v>76</v>
      </c>
    </row>
    <row r="143" spans="12:14" x14ac:dyDescent="0.2">
      <c r="N143" s="46" t="s">
        <v>77</v>
      </c>
    </row>
    <row r="144" spans="12:14" x14ac:dyDescent="0.2">
      <c r="N144" s="46" t="s">
        <v>78</v>
      </c>
    </row>
    <row r="145" spans="12:14" x14ac:dyDescent="0.2">
      <c r="N145" s="46" t="s">
        <v>79</v>
      </c>
    </row>
    <row r="146" spans="12:14" x14ac:dyDescent="0.2">
      <c r="N146" s="46" t="s">
        <v>80</v>
      </c>
    </row>
    <row r="147" spans="12:14" x14ac:dyDescent="0.2">
      <c r="N147" s="46" t="s">
        <v>81</v>
      </c>
    </row>
    <row r="148" spans="12:14" x14ac:dyDescent="0.2">
      <c r="L148" s="1" t="s">
        <v>412</v>
      </c>
      <c r="N148" s="46" t="s">
        <v>82</v>
      </c>
    </row>
    <row r="149" spans="12:14" x14ac:dyDescent="0.2">
      <c r="L149" s="2" t="s">
        <v>413</v>
      </c>
      <c r="N149" s="46" t="s">
        <v>83</v>
      </c>
    </row>
    <row r="150" spans="12:14" x14ac:dyDescent="0.2">
      <c r="L150" s="2" t="s">
        <v>414</v>
      </c>
      <c r="N150" s="46" t="s">
        <v>84</v>
      </c>
    </row>
    <row r="151" spans="12:14" x14ac:dyDescent="0.2">
      <c r="L151" s="2" t="s">
        <v>415</v>
      </c>
      <c r="N151" s="46" t="s">
        <v>85</v>
      </c>
    </row>
    <row r="152" spans="12:14" x14ac:dyDescent="0.2">
      <c r="L152" s="2" t="s">
        <v>416</v>
      </c>
      <c r="N152" s="46" t="s">
        <v>86</v>
      </c>
    </row>
    <row r="153" spans="12:14" x14ac:dyDescent="0.2">
      <c r="L153" s="2" t="s">
        <v>417</v>
      </c>
      <c r="N153" s="46" t="s">
        <v>87</v>
      </c>
    </row>
    <row r="154" spans="12:14" x14ac:dyDescent="0.2">
      <c r="L154" s="2" t="s">
        <v>418</v>
      </c>
      <c r="N154" s="46" t="s">
        <v>88</v>
      </c>
    </row>
    <row r="155" spans="12:14" x14ac:dyDescent="0.2">
      <c r="L155" s="2" t="s">
        <v>419</v>
      </c>
      <c r="N155" s="46" t="s">
        <v>89</v>
      </c>
    </row>
    <row r="156" spans="12:14" x14ac:dyDescent="0.2">
      <c r="L156" s="2" t="s">
        <v>420</v>
      </c>
      <c r="N156" s="46" t="s">
        <v>90</v>
      </c>
    </row>
    <row r="157" spans="12:14" x14ac:dyDescent="0.2">
      <c r="L157" s="1" t="s">
        <v>421</v>
      </c>
      <c r="N157" s="46" t="s">
        <v>91</v>
      </c>
    </row>
    <row r="158" spans="12:14" x14ac:dyDescent="0.2">
      <c r="L158" s="1" t="s">
        <v>422</v>
      </c>
      <c r="N158" s="46" t="s">
        <v>92</v>
      </c>
    </row>
    <row r="159" spans="12:14" x14ac:dyDescent="0.2">
      <c r="L159" s="21" t="s">
        <v>423</v>
      </c>
      <c r="N159" s="46" t="s">
        <v>93</v>
      </c>
    </row>
    <row r="160" spans="12:14" x14ac:dyDescent="0.2">
      <c r="L160" s="21" t="s">
        <v>431</v>
      </c>
      <c r="N160" s="46" t="s">
        <v>94</v>
      </c>
    </row>
    <row r="161" spans="12:14" x14ac:dyDescent="0.2">
      <c r="N161" s="46" t="s">
        <v>95</v>
      </c>
    </row>
    <row r="162" spans="12:14" x14ac:dyDescent="0.2">
      <c r="N162" s="46" t="s">
        <v>96</v>
      </c>
    </row>
    <row r="163" spans="12:14" x14ac:dyDescent="0.2">
      <c r="L163" s="2">
        <v>610010</v>
      </c>
      <c r="M163" s="1" t="s">
        <v>436</v>
      </c>
      <c r="N163" s="46" t="s">
        <v>97</v>
      </c>
    </row>
    <row r="164" spans="12:14" x14ac:dyDescent="0.2">
      <c r="L164" s="2">
        <v>610011</v>
      </c>
      <c r="M164" s="1" t="s">
        <v>434</v>
      </c>
      <c r="N164" s="46" t="s">
        <v>98</v>
      </c>
    </row>
    <row r="165" spans="12:14" x14ac:dyDescent="0.2">
      <c r="L165" s="2">
        <v>610015</v>
      </c>
      <c r="M165" s="1" t="s">
        <v>445</v>
      </c>
      <c r="N165" s="46" t="s">
        <v>99</v>
      </c>
    </row>
    <row r="166" spans="12:14" x14ac:dyDescent="0.2">
      <c r="L166" s="2">
        <v>610020</v>
      </c>
      <c r="M166" s="1" t="s">
        <v>440</v>
      </c>
      <c r="N166" s="46" t="s">
        <v>100</v>
      </c>
    </row>
    <row r="167" spans="12:14" x14ac:dyDescent="0.2">
      <c r="L167" s="2">
        <v>610025</v>
      </c>
      <c r="M167" s="1" t="s">
        <v>435</v>
      </c>
      <c r="N167" s="46" t="s">
        <v>101</v>
      </c>
    </row>
    <row r="168" spans="12:14" x14ac:dyDescent="0.2">
      <c r="L168" s="2">
        <v>610030</v>
      </c>
      <c r="M168" s="1" t="s">
        <v>441</v>
      </c>
      <c r="N168" s="46" t="s">
        <v>102</v>
      </c>
    </row>
    <row r="169" spans="12:14" x14ac:dyDescent="0.2">
      <c r="L169" s="2">
        <v>611005</v>
      </c>
      <c r="M169" s="1" t="s">
        <v>442</v>
      </c>
      <c r="N169" s="46" t="s">
        <v>103</v>
      </c>
    </row>
    <row r="170" spans="12:14" x14ac:dyDescent="0.2">
      <c r="L170" s="2">
        <v>611010</v>
      </c>
      <c r="M170" s="1" t="s">
        <v>443</v>
      </c>
      <c r="N170" s="46" t="s">
        <v>104</v>
      </c>
    </row>
    <row r="171" spans="12:14" x14ac:dyDescent="0.2">
      <c r="L171" s="2">
        <v>611015</v>
      </c>
      <c r="M171" s="1" t="s">
        <v>444</v>
      </c>
      <c r="N171" s="46" t="s">
        <v>105</v>
      </c>
    </row>
    <row r="172" spans="12:14" x14ac:dyDescent="0.2">
      <c r="L172" s="2">
        <v>611030</v>
      </c>
      <c r="M172" s="1" t="s">
        <v>437</v>
      </c>
      <c r="N172" s="46" t="s">
        <v>106</v>
      </c>
    </row>
    <row r="173" spans="12:14" x14ac:dyDescent="0.2">
      <c r="L173" s="2">
        <v>611035</v>
      </c>
      <c r="M173" s="1" t="s">
        <v>438</v>
      </c>
      <c r="N173" s="46" t="s">
        <v>107</v>
      </c>
    </row>
    <row r="174" spans="12:14" x14ac:dyDescent="0.2">
      <c r="L174" s="2">
        <v>611040</v>
      </c>
      <c r="M174" s="1" t="s">
        <v>439</v>
      </c>
      <c r="N174" s="46" t="s">
        <v>108</v>
      </c>
    </row>
    <row r="175" spans="12:14" x14ac:dyDescent="0.2">
      <c r="N175" s="46" t="s">
        <v>109</v>
      </c>
    </row>
    <row r="176" spans="12:14" x14ac:dyDescent="0.2">
      <c r="N176" s="46" t="s">
        <v>110</v>
      </c>
    </row>
    <row r="177" spans="14:14" x14ac:dyDescent="0.2">
      <c r="N177" s="46" t="s">
        <v>111</v>
      </c>
    </row>
    <row r="178" spans="14:14" x14ac:dyDescent="0.2">
      <c r="N178" s="46" t="s">
        <v>112</v>
      </c>
    </row>
    <row r="179" spans="14:14" x14ac:dyDescent="0.2">
      <c r="N179" s="46" t="s">
        <v>113</v>
      </c>
    </row>
    <row r="180" spans="14:14" x14ac:dyDescent="0.2">
      <c r="N180" s="46" t="s">
        <v>114</v>
      </c>
    </row>
    <row r="181" spans="14:14" x14ac:dyDescent="0.2">
      <c r="N181" s="46" t="s">
        <v>115</v>
      </c>
    </row>
    <row r="182" spans="14:14" x14ac:dyDescent="0.2">
      <c r="N182" s="46" t="s">
        <v>116</v>
      </c>
    </row>
    <row r="183" spans="14:14" x14ac:dyDescent="0.2">
      <c r="N183" s="46" t="s">
        <v>117</v>
      </c>
    </row>
    <row r="184" spans="14:14" x14ac:dyDescent="0.2">
      <c r="N184" s="46" t="s">
        <v>118</v>
      </c>
    </row>
    <row r="185" spans="14:14" x14ac:dyDescent="0.2">
      <c r="N185" s="46" t="s">
        <v>119</v>
      </c>
    </row>
    <row r="186" spans="14:14" x14ac:dyDescent="0.2">
      <c r="N186" s="46" t="s">
        <v>120</v>
      </c>
    </row>
    <row r="187" spans="14:14" x14ac:dyDescent="0.2">
      <c r="N187" s="46" t="s">
        <v>121</v>
      </c>
    </row>
    <row r="188" spans="14:14" x14ac:dyDescent="0.2">
      <c r="N188" s="46" t="s">
        <v>122</v>
      </c>
    </row>
    <row r="189" spans="14:14" x14ac:dyDescent="0.2">
      <c r="N189" s="46" t="s">
        <v>123</v>
      </c>
    </row>
    <row r="190" spans="14:14" x14ac:dyDescent="0.2">
      <c r="N190" s="46" t="s">
        <v>124</v>
      </c>
    </row>
    <row r="191" spans="14:14" x14ac:dyDescent="0.2">
      <c r="N191" s="46" t="s">
        <v>125</v>
      </c>
    </row>
    <row r="192" spans="14:14" x14ac:dyDescent="0.2">
      <c r="N192" s="46" t="s">
        <v>126</v>
      </c>
    </row>
    <row r="193" spans="14:14" x14ac:dyDescent="0.2">
      <c r="N193" s="46" t="s">
        <v>127</v>
      </c>
    </row>
    <row r="194" spans="14:14" x14ac:dyDescent="0.2">
      <c r="N194" s="46" t="s">
        <v>128</v>
      </c>
    </row>
    <row r="195" spans="14:14" x14ac:dyDescent="0.2">
      <c r="N195" s="46" t="s">
        <v>129</v>
      </c>
    </row>
    <row r="196" spans="14:14" x14ac:dyDescent="0.2">
      <c r="N196" s="46" t="s">
        <v>130</v>
      </c>
    </row>
    <row r="197" spans="14:14" x14ac:dyDescent="0.2">
      <c r="N197" s="46" t="s">
        <v>131</v>
      </c>
    </row>
    <row r="198" spans="14:14" x14ac:dyDescent="0.2">
      <c r="N198" s="46" t="s">
        <v>132</v>
      </c>
    </row>
    <row r="199" spans="14:14" x14ac:dyDescent="0.2">
      <c r="N199" s="46" t="s">
        <v>133</v>
      </c>
    </row>
    <row r="200" spans="14:14" x14ac:dyDescent="0.2">
      <c r="N200" s="46" t="s">
        <v>134</v>
      </c>
    </row>
    <row r="201" spans="14:14" x14ac:dyDescent="0.2">
      <c r="N201" s="46" t="s">
        <v>135</v>
      </c>
    </row>
    <row r="202" spans="14:14" x14ac:dyDescent="0.2">
      <c r="N202" s="46" t="s">
        <v>136</v>
      </c>
    </row>
    <row r="203" spans="14:14" x14ac:dyDescent="0.2">
      <c r="N203" s="46" t="s">
        <v>137</v>
      </c>
    </row>
    <row r="204" spans="14:14" x14ac:dyDescent="0.2">
      <c r="N204" s="46" t="s">
        <v>138</v>
      </c>
    </row>
    <row r="205" spans="14:14" x14ac:dyDescent="0.2">
      <c r="N205" s="46" t="s">
        <v>139</v>
      </c>
    </row>
    <row r="206" spans="14:14" x14ac:dyDescent="0.2">
      <c r="N206" s="46" t="s">
        <v>140</v>
      </c>
    </row>
    <row r="207" spans="14:14" x14ac:dyDescent="0.2">
      <c r="N207" s="46" t="s">
        <v>141</v>
      </c>
    </row>
    <row r="208" spans="14:14" x14ac:dyDescent="0.2">
      <c r="N208" s="46" t="s">
        <v>142</v>
      </c>
    </row>
    <row r="209" spans="14:14" x14ac:dyDescent="0.2">
      <c r="N209" s="46" t="s">
        <v>143</v>
      </c>
    </row>
    <row r="210" spans="14:14" x14ac:dyDescent="0.2">
      <c r="N210" s="46" t="s">
        <v>144</v>
      </c>
    </row>
    <row r="211" spans="14:14" x14ac:dyDescent="0.2">
      <c r="N211" s="46" t="s">
        <v>145</v>
      </c>
    </row>
    <row r="212" spans="14:14" x14ac:dyDescent="0.2">
      <c r="N212" s="46" t="s">
        <v>146</v>
      </c>
    </row>
    <row r="213" spans="14:14" x14ac:dyDescent="0.2">
      <c r="N213" s="46" t="s">
        <v>147</v>
      </c>
    </row>
    <row r="214" spans="14:14" x14ac:dyDescent="0.2">
      <c r="N214" s="46" t="s">
        <v>148</v>
      </c>
    </row>
    <row r="215" spans="14:14" x14ac:dyDescent="0.2">
      <c r="N215" s="46" t="s">
        <v>149</v>
      </c>
    </row>
    <row r="216" spans="14:14" x14ac:dyDescent="0.2">
      <c r="N216" s="46" t="s">
        <v>150</v>
      </c>
    </row>
    <row r="217" spans="14:14" x14ac:dyDescent="0.2">
      <c r="N217" s="46" t="s">
        <v>151</v>
      </c>
    </row>
    <row r="218" spans="14:14" x14ac:dyDescent="0.2">
      <c r="N218" s="46" t="s">
        <v>152</v>
      </c>
    </row>
    <row r="219" spans="14:14" x14ac:dyDescent="0.2">
      <c r="N219" s="46" t="s">
        <v>153</v>
      </c>
    </row>
    <row r="220" spans="14:14" x14ac:dyDescent="0.2">
      <c r="N220" s="46" t="s">
        <v>154</v>
      </c>
    </row>
    <row r="221" spans="14:14" x14ac:dyDescent="0.2">
      <c r="N221" s="46" t="s">
        <v>155</v>
      </c>
    </row>
    <row r="222" spans="14:14" x14ac:dyDescent="0.2">
      <c r="N222" s="46" t="s">
        <v>156</v>
      </c>
    </row>
    <row r="223" spans="14:14" x14ac:dyDescent="0.2">
      <c r="N223" s="46" t="s">
        <v>157</v>
      </c>
    </row>
    <row r="224" spans="14:14" x14ac:dyDescent="0.2">
      <c r="N224" s="46" t="s">
        <v>158</v>
      </c>
    </row>
    <row r="225" spans="14:14" x14ac:dyDescent="0.2">
      <c r="N225" s="46" t="s">
        <v>159</v>
      </c>
    </row>
    <row r="226" spans="14:14" x14ac:dyDescent="0.2">
      <c r="N226" s="46" t="s">
        <v>160</v>
      </c>
    </row>
    <row r="227" spans="14:14" x14ac:dyDescent="0.2">
      <c r="N227" s="46" t="s">
        <v>161</v>
      </c>
    </row>
    <row r="228" spans="14:14" x14ac:dyDescent="0.2">
      <c r="N228" s="46" t="s">
        <v>162</v>
      </c>
    </row>
    <row r="229" spans="14:14" x14ac:dyDescent="0.2">
      <c r="N229" s="46" t="s">
        <v>163</v>
      </c>
    </row>
    <row r="230" spans="14:14" x14ac:dyDescent="0.2">
      <c r="N230" s="46" t="s">
        <v>164</v>
      </c>
    </row>
    <row r="231" spans="14:14" x14ac:dyDescent="0.2">
      <c r="N231" s="46" t="s">
        <v>165</v>
      </c>
    </row>
    <row r="232" spans="14:14" x14ac:dyDescent="0.2">
      <c r="N232" s="46" t="s">
        <v>166</v>
      </c>
    </row>
    <row r="233" spans="14:14" x14ac:dyDescent="0.2">
      <c r="N233" s="46" t="s">
        <v>167</v>
      </c>
    </row>
    <row r="234" spans="14:14" x14ac:dyDescent="0.2">
      <c r="N234" s="46" t="s">
        <v>168</v>
      </c>
    </row>
    <row r="235" spans="14:14" x14ac:dyDescent="0.2">
      <c r="N235" s="46" t="s">
        <v>169</v>
      </c>
    </row>
    <row r="236" spans="14:14" x14ac:dyDescent="0.2">
      <c r="N236" s="46" t="s">
        <v>170</v>
      </c>
    </row>
    <row r="237" spans="14:14" x14ac:dyDescent="0.2">
      <c r="N237" s="46" t="s">
        <v>171</v>
      </c>
    </row>
    <row r="238" spans="14:14" x14ac:dyDescent="0.2">
      <c r="N238" s="46" t="s">
        <v>172</v>
      </c>
    </row>
    <row r="239" spans="14:14" x14ac:dyDescent="0.2">
      <c r="N239" s="46" t="s">
        <v>173</v>
      </c>
    </row>
    <row r="240" spans="14:14" x14ac:dyDescent="0.2">
      <c r="N240" s="46" t="s">
        <v>174</v>
      </c>
    </row>
    <row r="241" spans="14:14" x14ac:dyDescent="0.2">
      <c r="N241" s="46" t="s">
        <v>175</v>
      </c>
    </row>
    <row r="242" spans="14:14" x14ac:dyDescent="0.2">
      <c r="N242" s="46" t="s">
        <v>176</v>
      </c>
    </row>
    <row r="243" spans="14:14" x14ac:dyDescent="0.2">
      <c r="N243" s="46" t="s">
        <v>177</v>
      </c>
    </row>
    <row r="244" spans="14:14" x14ac:dyDescent="0.2">
      <c r="N244" s="46" t="s">
        <v>178</v>
      </c>
    </row>
    <row r="245" spans="14:14" x14ac:dyDescent="0.2">
      <c r="N245" s="46" t="s">
        <v>179</v>
      </c>
    </row>
    <row r="246" spans="14:14" x14ac:dyDescent="0.2">
      <c r="N246" s="46" t="s">
        <v>180</v>
      </c>
    </row>
    <row r="247" spans="14:14" x14ac:dyDescent="0.2">
      <c r="N247" s="46" t="s">
        <v>181</v>
      </c>
    </row>
    <row r="248" spans="14:14" x14ac:dyDescent="0.2">
      <c r="N248" s="46" t="s">
        <v>182</v>
      </c>
    </row>
    <row r="249" spans="14:14" x14ac:dyDescent="0.2">
      <c r="N249" s="46" t="s">
        <v>183</v>
      </c>
    </row>
    <row r="250" spans="14:14" x14ac:dyDescent="0.2">
      <c r="N250" s="46" t="s">
        <v>184</v>
      </c>
    </row>
    <row r="251" spans="14:14" x14ac:dyDescent="0.2">
      <c r="N251" s="46" t="s">
        <v>185</v>
      </c>
    </row>
    <row r="252" spans="14:14" x14ac:dyDescent="0.2">
      <c r="N252" s="46" t="s">
        <v>186</v>
      </c>
    </row>
    <row r="253" spans="14:14" x14ac:dyDescent="0.2">
      <c r="N253" s="46" t="s">
        <v>187</v>
      </c>
    </row>
    <row r="254" spans="14:14" x14ac:dyDescent="0.2">
      <c r="N254" s="46" t="s">
        <v>188</v>
      </c>
    </row>
    <row r="255" spans="14:14" x14ac:dyDescent="0.2">
      <c r="N255" s="46" t="s">
        <v>189</v>
      </c>
    </row>
    <row r="256" spans="14:14" x14ac:dyDescent="0.2">
      <c r="N256" s="46" t="s">
        <v>190</v>
      </c>
    </row>
    <row r="257" spans="14:14" x14ac:dyDescent="0.2">
      <c r="N257" s="46" t="s">
        <v>191</v>
      </c>
    </row>
    <row r="258" spans="14:14" x14ac:dyDescent="0.2">
      <c r="N258" s="46" t="s">
        <v>192</v>
      </c>
    </row>
    <row r="259" spans="14:14" x14ac:dyDescent="0.2">
      <c r="N259" s="46" t="s">
        <v>193</v>
      </c>
    </row>
    <row r="260" spans="14:14" x14ac:dyDescent="0.2">
      <c r="N260" s="46" t="s">
        <v>194</v>
      </c>
    </row>
    <row r="261" spans="14:14" x14ac:dyDescent="0.2">
      <c r="N261" s="46" t="s">
        <v>195</v>
      </c>
    </row>
    <row r="262" spans="14:14" x14ac:dyDescent="0.2">
      <c r="N262" s="46" t="s">
        <v>196</v>
      </c>
    </row>
    <row r="263" spans="14:14" x14ac:dyDescent="0.2">
      <c r="N263" s="46" t="s">
        <v>197</v>
      </c>
    </row>
    <row r="264" spans="14:14" x14ac:dyDescent="0.2">
      <c r="N264" s="46" t="s">
        <v>198</v>
      </c>
    </row>
    <row r="265" spans="14:14" x14ac:dyDescent="0.2">
      <c r="N265" s="46" t="s">
        <v>199</v>
      </c>
    </row>
    <row r="266" spans="14:14" x14ac:dyDescent="0.2">
      <c r="N266" s="46" t="s">
        <v>200</v>
      </c>
    </row>
    <row r="267" spans="14:14" x14ac:dyDescent="0.2">
      <c r="N267" s="46" t="s">
        <v>201</v>
      </c>
    </row>
    <row r="268" spans="14:14" x14ac:dyDescent="0.2">
      <c r="N268" s="46" t="s">
        <v>202</v>
      </c>
    </row>
    <row r="269" spans="14:14" x14ac:dyDescent="0.2">
      <c r="N269" s="46" t="s">
        <v>203</v>
      </c>
    </row>
    <row r="270" spans="14:14" x14ac:dyDescent="0.2">
      <c r="N270" s="46" t="s">
        <v>204</v>
      </c>
    </row>
    <row r="271" spans="14:14" x14ac:dyDescent="0.2">
      <c r="N271" s="46" t="s">
        <v>205</v>
      </c>
    </row>
    <row r="272" spans="14:14" x14ac:dyDescent="0.2">
      <c r="N272" s="46" t="s">
        <v>206</v>
      </c>
    </row>
    <row r="273" spans="14:14" x14ac:dyDescent="0.2">
      <c r="N273" s="46" t="s">
        <v>207</v>
      </c>
    </row>
    <row r="274" spans="14:14" x14ac:dyDescent="0.2">
      <c r="N274" s="46" t="s">
        <v>208</v>
      </c>
    </row>
    <row r="275" spans="14:14" x14ac:dyDescent="0.2">
      <c r="N275" s="46" t="s">
        <v>209</v>
      </c>
    </row>
    <row r="276" spans="14:14" x14ac:dyDescent="0.2">
      <c r="N276" s="46" t="s">
        <v>210</v>
      </c>
    </row>
    <row r="277" spans="14:14" x14ac:dyDescent="0.2">
      <c r="N277" s="46" t="s">
        <v>211</v>
      </c>
    </row>
    <row r="278" spans="14:14" x14ac:dyDescent="0.2">
      <c r="N278" s="46" t="s">
        <v>212</v>
      </c>
    </row>
    <row r="279" spans="14:14" x14ac:dyDescent="0.2">
      <c r="N279" s="46" t="s">
        <v>213</v>
      </c>
    </row>
    <row r="280" spans="14:14" x14ac:dyDescent="0.2">
      <c r="N280" s="46" t="s">
        <v>214</v>
      </c>
    </row>
    <row r="281" spans="14:14" x14ac:dyDescent="0.2">
      <c r="N281" s="46" t="s">
        <v>215</v>
      </c>
    </row>
    <row r="282" spans="14:14" x14ac:dyDescent="0.2">
      <c r="N282" s="46" t="s">
        <v>216</v>
      </c>
    </row>
    <row r="283" spans="14:14" x14ac:dyDescent="0.2">
      <c r="N283" s="46" t="s">
        <v>217</v>
      </c>
    </row>
    <row r="284" spans="14:14" x14ac:dyDescent="0.2">
      <c r="N284" s="46" t="s">
        <v>218</v>
      </c>
    </row>
    <row r="285" spans="14:14" x14ac:dyDescent="0.2">
      <c r="N285" s="46" t="s">
        <v>219</v>
      </c>
    </row>
    <row r="286" spans="14:14" x14ac:dyDescent="0.2">
      <c r="N286" s="46" t="s">
        <v>220</v>
      </c>
    </row>
    <row r="287" spans="14:14" x14ac:dyDescent="0.2">
      <c r="N287" s="46" t="s">
        <v>221</v>
      </c>
    </row>
    <row r="288" spans="14:14" x14ac:dyDescent="0.2">
      <c r="N288" s="46" t="s">
        <v>222</v>
      </c>
    </row>
    <row r="289" spans="14:14" x14ac:dyDescent="0.2">
      <c r="N289" s="46" t="s">
        <v>223</v>
      </c>
    </row>
    <row r="290" spans="14:14" x14ac:dyDescent="0.2">
      <c r="N290" s="46" t="s">
        <v>224</v>
      </c>
    </row>
    <row r="291" spans="14:14" x14ac:dyDescent="0.2">
      <c r="N291" s="46" t="s">
        <v>225</v>
      </c>
    </row>
    <row r="292" spans="14:14" x14ac:dyDescent="0.2">
      <c r="N292" s="46" t="s">
        <v>226</v>
      </c>
    </row>
    <row r="293" spans="14:14" x14ac:dyDescent="0.2">
      <c r="N293" s="46" t="s">
        <v>227</v>
      </c>
    </row>
    <row r="294" spans="14:14" x14ac:dyDescent="0.2">
      <c r="N294" s="46" t="s">
        <v>228</v>
      </c>
    </row>
    <row r="295" spans="14:14" x14ac:dyDescent="0.2">
      <c r="N295" s="46" t="s">
        <v>229</v>
      </c>
    </row>
    <row r="296" spans="14:14" x14ac:dyDescent="0.2">
      <c r="N296" s="46" t="s">
        <v>230</v>
      </c>
    </row>
    <row r="297" spans="14:14" x14ac:dyDescent="0.2">
      <c r="N297" s="46" t="s">
        <v>231</v>
      </c>
    </row>
    <row r="298" spans="14:14" x14ac:dyDescent="0.2">
      <c r="N298" s="46" t="s">
        <v>232</v>
      </c>
    </row>
    <row r="299" spans="14:14" x14ac:dyDescent="0.2">
      <c r="N299" s="46" t="s">
        <v>233</v>
      </c>
    </row>
    <row r="300" spans="14:14" x14ac:dyDescent="0.2">
      <c r="N300" s="46" t="s">
        <v>234</v>
      </c>
    </row>
    <row r="301" spans="14:14" x14ac:dyDescent="0.2">
      <c r="N301" s="46" t="s">
        <v>235</v>
      </c>
    </row>
    <row r="302" spans="14:14" x14ac:dyDescent="0.2">
      <c r="N302" s="46" t="s">
        <v>236</v>
      </c>
    </row>
    <row r="303" spans="14:14" x14ac:dyDescent="0.2">
      <c r="N303" s="46" t="s">
        <v>237</v>
      </c>
    </row>
    <row r="304" spans="14:14" x14ac:dyDescent="0.2">
      <c r="N304" s="46" t="s">
        <v>238</v>
      </c>
    </row>
    <row r="305" spans="14:14" x14ac:dyDescent="0.2">
      <c r="N305" s="46" t="s">
        <v>239</v>
      </c>
    </row>
    <row r="306" spans="14:14" x14ac:dyDescent="0.2">
      <c r="N306" s="46" t="s">
        <v>240</v>
      </c>
    </row>
    <row r="307" spans="14:14" x14ac:dyDescent="0.2">
      <c r="N307" s="46" t="s">
        <v>241</v>
      </c>
    </row>
    <row r="308" spans="14:14" x14ac:dyDescent="0.2">
      <c r="N308" s="46" t="s">
        <v>242</v>
      </c>
    </row>
    <row r="309" spans="14:14" x14ac:dyDescent="0.2">
      <c r="N309" s="46" t="s">
        <v>243</v>
      </c>
    </row>
    <row r="310" spans="14:14" x14ac:dyDescent="0.2">
      <c r="N310" s="46" t="s">
        <v>244</v>
      </c>
    </row>
    <row r="311" spans="14:14" x14ac:dyDescent="0.2">
      <c r="N311" s="46" t="s">
        <v>245</v>
      </c>
    </row>
    <row r="312" spans="14:14" x14ac:dyDescent="0.2">
      <c r="N312" s="46" t="s">
        <v>246</v>
      </c>
    </row>
    <row r="313" spans="14:14" x14ac:dyDescent="0.2">
      <c r="N313" s="46" t="s">
        <v>247</v>
      </c>
    </row>
    <row r="314" spans="14:14" x14ac:dyDescent="0.2">
      <c r="N314" s="46" t="s">
        <v>248</v>
      </c>
    </row>
    <row r="315" spans="14:14" x14ac:dyDescent="0.2">
      <c r="N315" s="46" t="s">
        <v>249</v>
      </c>
    </row>
    <row r="316" spans="14:14" x14ac:dyDescent="0.2">
      <c r="N316" s="46" t="s">
        <v>250</v>
      </c>
    </row>
    <row r="317" spans="14:14" x14ac:dyDescent="0.2">
      <c r="N317" s="46" t="s">
        <v>251</v>
      </c>
    </row>
    <row r="318" spans="14:14" x14ac:dyDescent="0.2">
      <c r="N318" s="46" t="s">
        <v>252</v>
      </c>
    </row>
    <row r="319" spans="14:14" x14ac:dyDescent="0.2">
      <c r="N319" s="46" t="s">
        <v>253</v>
      </c>
    </row>
    <row r="320" spans="14:14" x14ac:dyDescent="0.2">
      <c r="N320" s="46" t="s">
        <v>254</v>
      </c>
    </row>
    <row r="321" spans="14:14" x14ac:dyDescent="0.2">
      <c r="N321" s="46" t="s">
        <v>255</v>
      </c>
    </row>
    <row r="322" spans="14:14" x14ac:dyDescent="0.2">
      <c r="N322" s="46" t="s">
        <v>256</v>
      </c>
    </row>
    <row r="323" spans="14:14" x14ac:dyDescent="0.2">
      <c r="N323" s="46" t="s">
        <v>257</v>
      </c>
    </row>
    <row r="324" spans="14:14" x14ac:dyDescent="0.2">
      <c r="N324" s="46" t="s">
        <v>258</v>
      </c>
    </row>
    <row r="325" spans="14:14" x14ac:dyDescent="0.2">
      <c r="N325" s="46" t="s">
        <v>259</v>
      </c>
    </row>
    <row r="326" spans="14:14" x14ac:dyDescent="0.2">
      <c r="N326" s="46" t="s">
        <v>260</v>
      </c>
    </row>
    <row r="327" spans="14:14" x14ac:dyDescent="0.2">
      <c r="N327" s="46" t="s">
        <v>261</v>
      </c>
    </row>
    <row r="328" spans="14:14" x14ac:dyDescent="0.2">
      <c r="N328" s="46" t="s">
        <v>262</v>
      </c>
    </row>
    <row r="329" spans="14:14" x14ac:dyDescent="0.2">
      <c r="N329" s="46" t="s">
        <v>263</v>
      </c>
    </row>
    <row r="330" spans="14:14" x14ac:dyDescent="0.2">
      <c r="N330" s="46" t="s">
        <v>264</v>
      </c>
    </row>
    <row r="331" spans="14:14" x14ac:dyDescent="0.2">
      <c r="N331" s="46" t="s">
        <v>265</v>
      </c>
    </row>
    <row r="332" spans="14:14" x14ac:dyDescent="0.2">
      <c r="N332" s="46" t="s">
        <v>266</v>
      </c>
    </row>
    <row r="333" spans="14:14" x14ac:dyDescent="0.2">
      <c r="N333" s="46" t="s">
        <v>267</v>
      </c>
    </row>
    <row r="334" spans="14:14" x14ac:dyDescent="0.2">
      <c r="N334" s="46" t="s">
        <v>268</v>
      </c>
    </row>
    <row r="335" spans="14:14" x14ac:dyDescent="0.2">
      <c r="N335" s="46" t="s">
        <v>269</v>
      </c>
    </row>
    <row r="336" spans="14:14" x14ac:dyDescent="0.2">
      <c r="N336" s="46" t="s">
        <v>270</v>
      </c>
    </row>
    <row r="337" spans="14:14" x14ac:dyDescent="0.2">
      <c r="N337" s="46" t="s">
        <v>271</v>
      </c>
    </row>
    <row r="338" spans="14:14" x14ac:dyDescent="0.2">
      <c r="N338" s="46" t="s">
        <v>272</v>
      </c>
    </row>
    <row r="339" spans="14:14" x14ac:dyDescent="0.2">
      <c r="N339" s="46" t="s">
        <v>273</v>
      </c>
    </row>
    <row r="340" spans="14:14" x14ac:dyDescent="0.2">
      <c r="N340" s="46" t="s">
        <v>274</v>
      </c>
    </row>
    <row r="341" spans="14:14" x14ac:dyDescent="0.2">
      <c r="N341" s="46" t="s">
        <v>275</v>
      </c>
    </row>
    <row r="342" spans="14:14" x14ac:dyDescent="0.2">
      <c r="N342" s="46" t="s">
        <v>276</v>
      </c>
    </row>
    <row r="343" spans="14:14" x14ac:dyDescent="0.2">
      <c r="N343" s="46" t="s">
        <v>277</v>
      </c>
    </row>
    <row r="344" spans="14:14" x14ac:dyDescent="0.2">
      <c r="N344" s="46" t="s">
        <v>278</v>
      </c>
    </row>
    <row r="345" spans="14:14" x14ac:dyDescent="0.2">
      <c r="N345" s="46" t="s">
        <v>279</v>
      </c>
    </row>
    <row r="346" spans="14:14" x14ac:dyDescent="0.2">
      <c r="N346" s="46" t="s">
        <v>280</v>
      </c>
    </row>
    <row r="347" spans="14:14" x14ac:dyDescent="0.2">
      <c r="N347" s="46" t="s">
        <v>281</v>
      </c>
    </row>
    <row r="348" spans="14:14" x14ac:dyDescent="0.2">
      <c r="N348" s="46" t="s">
        <v>282</v>
      </c>
    </row>
    <row r="349" spans="14:14" x14ac:dyDescent="0.2">
      <c r="N349" s="46" t="s">
        <v>283</v>
      </c>
    </row>
    <row r="350" spans="14:14" x14ac:dyDescent="0.2">
      <c r="N350" s="46" t="s">
        <v>284</v>
      </c>
    </row>
    <row r="351" spans="14:14" x14ac:dyDescent="0.2">
      <c r="N351" s="46" t="s">
        <v>285</v>
      </c>
    </row>
    <row r="352" spans="14:14" x14ac:dyDescent="0.2">
      <c r="N352" s="46" t="s">
        <v>286</v>
      </c>
    </row>
    <row r="353" spans="14:14" x14ac:dyDescent="0.2">
      <c r="N353" s="46" t="s">
        <v>287</v>
      </c>
    </row>
    <row r="354" spans="14:14" x14ac:dyDescent="0.2">
      <c r="N354" s="46" t="s">
        <v>288</v>
      </c>
    </row>
    <row r="355" spans="14:14" x14ac:dyDescent="0.2">
      <c r="N355" s="46" t="s">
        <v>289</v>
      </c>
    </row>
    <row r="356" spans="14:14" x14ac:dyDescent="0.2">
      <c r="N356" s="46" t="s">
        <v>290</v>
      </c>
    </row>
    <row r="357" spans="14:14" x14ac:dyDescent="0.2">
      <c r="N357" s="46" t="s">
        <v>291</v>
      </c>
    </row>
    <row r="358" spans="14:14" x14ac:dyDescent="0.2">
      <c r="N358" s="46" t="s">
        <v>292</v>
      </c>
    </row>
    <row r="359" spans="14:14" x14ac:dyDescent="0.2">
      <c r="N359" s="46" t="s">
        <v>293</v>
      </c>
    </row>
    <row r="360" spans="14:14" x14ac:dyDescent="0.2">
      <c r="N360" s="46" t="s">
        <v>294</v>
      </c>
    </row>
    <row r="361" spans="14:14" x14ac:dyDescent="0.2">
      <c r="N361" s="46" t="s">
        <v>295</v>
      </c>
    </row>
    <row r="362" spans="14:14" x14ac:dyDescent="0.2">
      <c r="N362" s="46" t="s">
        <v>296</v>
      </c>
    </row>
    <row r="363" spans="14:14" x14ac:dyDescent="0.2">
      <c r="N363" s="46" t="s">
        <v>297</v>
      </c>
    </row>
    <row r="364" spans="14:14" x14ac:dyDescent="0.2">
      <c r="N364" s="46" t="s">
        <v>298</v>
      </c>
    </row>
    <row r="365" spans="14:14" x14ac:dyDescent="0.2">
      <c r="N365" s="46" t="s">
        <v>299</v>
      </c>
    </row>
    <row r="366" spans="14:14" x14ac:dyDescent="0.2">
      <c r="N366" s="46" t="s">
        <v>300</v>
      </c>
    </row>
    <row r="367" spans="14:14" x14ac:dyDescent="0.2">
      <c r="N367" s="46" t="s">
        <v>301</v>
      </c>
    </row>
    <row r="368" spans="14:14" x14ac:dyDescent="0.2">
      <c r="N368" s="46" t="s">
        <v>302</v>
      </c>
    </row>
    <row r="369" spans="14:14" x14ac:dyDescent="0.2">
      <c r="N369" s="46" t="s">
        <v>303</v>
      </c>
    </row>
    <row r="370" spans="14:14" x14ac:dyDescent="0.2">
      <c r="N370" s="46" t="s">
        <v>304</v>
      </c>
    </row>
    <row r="371" spans="14:14" x14ac:dyDescent="0.2">
      <c r="N371" s="46" t="s">
        <v>305</v>
      </c>
    </row>
    <row r="372" spans="14:14" x14ac:dyDescent="0.2">
      <c r="N372" s="46" t="s">
        <v>306</v>
      </c>
    </row>
    <row r="373" spans="14:14" x14ac:dyDescent="0.2">
      <c r="N373" s="46" t="s">
        <v>307</v>
      </c>
    </row>
    <row r="374" spans="14:14" x14ac:dyDescent="0.2">
      <c r="N374" s="46" t="s">
        <v>308</v>
      </c>
    </row>
    <row r="375" spans="14:14" x14ac:dyDescent="0.2">
      <c r="N375" s="46" t="s">
        <v>309</v>
      </c>
    </row>
    <row r="376" spans="14:14" x14ac:dyDescent="0.2">
      <c r="N376" s="46" t="s">
        <v>310</v>
      </c>
    </row>
    <row r="377" spans="14:14" x14ac:dyDescent="0.2">
      <c r="N377" s="46" t="s">
        <v>311</v>
      </c>
    </row>
    <row r="378" spans="14:14" x14ac:dyDescent="0.2">
      <c r="N378" s="46" t="s">
        <v>312</v>
      </c>
    </row>
    <row r="379" spans="14:14" x14ac:dyDescent="0.2">
      <c r="N379" s="46" t="s">
        <v>313</v>
      </c>
    </row>
    <row r="380" spans="14:14" x14ac:dyDescent="0.2">
      <c r="N380" s="46" t="s">
        <v>314</v>
      </c>
    </row>
    <row r="381" spans="14:14" x14ac:dyDescent="0.2">
      <c r="N381" s="46" t="s">
        <v>315</v>
      </c>
    </row>
    <row r="382" spans="14:14" x14ac:dyDescent="0.2">
      <c r="N382" s="46" t="s">
        <v>316</v>
      </c>
    </row>
    <row r="383" spans="14:14" x14ac:dyDescent="0.2">
      <c r="N383" s="46" t="s">
        <v>317</v>
      </c>
    </row>
    <row r="384" spans="14:14" x14ac:dyDescent="0.2">
      <c r="N384" s="46" t="s">
        <v>318</v>
      </c>
    </row>
    <row r="385" spans="14:14" x14ac:dyDescent="0.2">
      <c r="N385" s="46" t="s">
        <v>319</v>
      </c>
    </row>
    <row r="386" spans="14:14" x14ac:dyDescent="0.2">
      <c r="N386" s="46" t="s">
        <v>320</v>
      </c>
    </row>
    <row r="387" spans="14:14" x14ac:dyDescent="0.2">
      <c r="N387" s="46" t="s">
        <v>321</v>
      </c>
    </row>
    <row r="388" spans="14:14" x14ac:dyDescent="0.2">
      <c r="N388" s="46" t="s">
        <v>322</v>
      </c>
    </row>
    <row r="389" spans="14:14" x14ac:dyDescent="0.2">
      <c r="N389" s="46" t="s">
        <v>323</v>
      </c>
    </row>
    <row r="390" spans="14:14" x14ac:dyDescent="0.2">
      <c r="N390" s="46" t="s">
        <v>324</v>
      </c>
    </row>
    <row r="391" spans="14:14" x14ac:dyDescent="0.2">
      <c r="N391" s="46" t="s">
        <v>325</v>
      </c>
    </row>
    <row r="392" spans="14:14" x14ac:dyDescent="0.2">
      <c r="N392" s="46" t="s">
        <v>326</v>
      </c>
    </row>
    <row r="393" spans="14:14" x14ac:dyDescent="0.2">
      <c r="N393" s="46" t="s">
        <v>327</v>
      </c>
    </row>
    <row r="394" spans="14:14" x14ac:dyDescent="0.2">
      <c r="N394" s="46" t="s">
        <v>328</v>
      </c>
    </row>
    <row r="395" spans="14:14" x14ac:dyDescent="0.2">
      <c r="N395" s="46" t="s">
        <v>329</v>
      </c>
    </row>
    <row r="396" spans="14:14" x14ac:dyDescent="0.2">
      <c r="N396" s="46" t="s">
        <v>330</v>
      </c>
    </row>
    <row r="397" spans="14:14" x14ac:dyDescent="0.2">
      <c r="N397" s="46" t="s">
        <v>331</v>
      </c>
    </row>
    <row r="398" spans="14:14" x14ac:dyDescent="0.2">
      <c r="N398" s="46" t="s">
        <v>332</v>
      </c>
    </row>
    <row r="399" spans="14:14" x14ac:dyDescent="0.2">
      <c r="N399" s="46" t="s">
        <v>333</v>
      </c>
    </row>
    <row r="400" spans="14:14" x14ac:dyDescent="0.2">
      <c r="N400" s="46" t="s">
        <v>334</v>
      </c>
    </row>
    <row r="401" spans="14:14" x14ac:dyDescent="0.2">
      <c r="N401" s="46" t="s">
        <v>335</v>
      </c>
    </row>
    <row r="402" spans="14:14" x14ac:dyDescent="0.2">
      <c r="N402" s="46" t="s">
        <v>336</v>
      </c>
    </row>
    <row r="403" spans="14:14" x14ac:dyDescent="0.2">
      <c r="N403" s="46" t="s">
        <v>337</v>
      </c>
    </row>
    <row r="404" spans="14:14" x14ac:dyDescent="0.2">
      <c r="N404" s="46" t="s">
        <v>338</v>
      </c>
    </row>
    <row r="405" spans="14:14" x14ac:dyDescent="0.2">
      <c r="N405" s="46" t="s">
        <v>339</v>
      </c>
    </row>
    <row r="406" spans="14:14" x14ac:dyDescent="0.2">
      <c r="N406" s="46" t="s">
        <v>340</v>
      </c>
    </row>
    <row r="407" spans="14:14" x14ac:dyDescent="0.2">
      <c r="N407" s="46" t="s">
        <v>341</v>
      </c>
    </row>
    <row r="408" spans="14:14" x14ac:dyDescent="0.2">
      <c r="N408" s="46" t="s">
        <v>342</v>
      </c>
    </row>
    <row r="409" spans="14:14" x14ac:dyDescent="0.2">
      <c r="N409" s="46" t="s">
        <v>343</v>
      </c>
    </row>
    <row r="410" spans="14:14" x14ac:dyDescent="0.2">
      <c r="N410" s="46" t="s">
        <v>344</v>
      </c>
    </row>
    <row r="411" spans="14:14" x14ac:dyDescent="0.2">
      <c r="N411" s="46" t="s">
        <v>345</v>
      </c>
    </row>
    <row r="412" spans="14:14" x14ac:dyDescent="0.2">
      <c r="N412" s="46" t="s">
        <v>346</v>
      </c>
    </row>
    <row r="413" spans="14:14" x14ac:dyDescent="0.2">
      <c r="N413" s="46" t="s">
        <v>347</v>
      </c>
    </row>
    <row r="414" spans="14:14" x14ac:dyDescent="0.2">
      <c r="N414" s="46" t="s">
        <v>348</v>
      </c>
    </row>
    <row r="415" spans="14:14" x14ac:dyDescent="0.2">
      <c r="N415" s="46" t="s">
        <v>349</v>
      </c>
    </row>
    <row r="416" spans="14:14" x14ac:dyDescent="0.2">
      <c r="N416" s="46" t="s">
        <v>350</v>
      </c>
    </row>
    <row r="417" spans="14:14" x14ac:dyDescent="0.2">
      <c r="N417" s="46" t="s">
        <v>351</v>
      </c>
    </row>
  </sheetData>
  <sheetProtection password="D332" sheet="1" objects="1" scenarios="1"/>
  <mergeCells count="49">
    <mergeCell ref="A3:G4"/>
    <mergeCell ref="A6:B6"/>
    <mergeCell ref="C6:F6"/>
    <mergeCell ref="A8:G8"/>
    <mergeCell ref="B10:C10"/>
    <mergeCell ref="B11:C11"/>
    <mergeCell ref="E11:F11"/>
    <mergeCell ref="E12:G12"/>
    <mergeCell ref="E13:G13"/>
    <mergeCell ref="B14:C14"/>
    <mergeCell ref="E14:G14"/>
    <mergeCell ref="B15:C15"/>
    <mergeCell ref="A17:G17"/>
    <mergeCell ref="A19:A20"/>
    <mergeCell ref="F19:G19"/>
    <mergeCell ref="F20:G20"/>
    <mergeCell ref="A23:A24"/>
    <mergeCell ref="E23:G23"/>
    <mergeCell ref="B25:C25"/>
    <mergeCell ref="D25:E25"/>
    <mergeCell ref="B26:C26"/>
    <mergeCell ref="A28:A29"/>
    <mergeCell ref="D28:G28"/>
    <mergeCell ref="A31:A32"/>
    <mergeCell ref="C31:E31"/>
    <mergeCell ref="A34:G34"/>
    <mergeCell ref="A39:A40"/>
    <mergeCell ref="D39:F39"/>
    <mergeCell ref="B41:G41"/>
    <mergeCell ref="B44:F44"/>
    <mergeCell ref="A46:A49"/>
    <mergeCell ref="B53:C53"/>
    <mergeCell ref="E53:F53"/>
    <mergeCell ref="B54:C55"/>
    <mergeCell ref="E54:F54"/>
    <mergeCell ref="B56:G59"/>
    <mergeCell ref="A61:G61"/>
    <mergeCell ref="B62:C62"/>
    <mergeCell ref="D62:E62"/>
    <mergeCell ref="F62:G62"/>
    <mergeCell ref="B63:C63"/>
    <mergeCell ref="D63:E63"/>
    <mergeCell ref="F63:G63"/>
    <mergeCell ref="D67:G68"/>
    <mergeCell ref="B69:C69"/>
    <mergeCell ref="A64:A65"/>
    <mergeCell ref="B64:C65"/>
    <mergeCell ref="D64:E65"/>
    <mergeCell ref="F64:G65"/>
  </mergeCells>
  <phoneticPr fontId="0" type="noConversion"/>
  <conditionalFormatting sqref="G46">
    <cfRule type="expression" dxfId="13" priority="14" stopIfTrue="1">
      <formula>ISERROR($G$46)</formula>
    </cfRule>
  </conditionalFormatting>
  <conditionalFormatting sqref="G47">
    <cfRule type="expression" dxfId="12" priority="13" stopIfTrue="1">
      <formula>ISERROR($G$47)</formula>
    </cfRule>
  </conditionalFormatting>
  <conditionalFormatting sqref="G48">
    <cfRule type="expression" dxfId="11" priority="12" stopIfTrue="1">
      <formula>ISERROR($G$48)</formula>
    </cfRule>
  </conditionalFormatting>
  <conditionalFormatting sqref="G49">
    <cfRule type="expression" dxfId="10" priority="11" stopIfTrue="1">
      <formula>ISERROR($G$49)</formula>
    </cfRule>
  </conditionalFormatting>
  <conditionalFormatting sqref="B46:B49">
    <cfRule type="expression" dxfId="9" priority="10" stopIfTrue="1">
      <formula>IF(SUM($B$46:$B$49)&lt;&gt;0,TRUE,FALSE)</formula>
    </cfRule>
  </conditionalFormatting>
  <conditionalFormatting sqref="C46:C49">
    <cfRule type="expression" dxfId="8" priority="9" stopIfTrue="1">
      <formula>IF(SUM($C$46:$C$49)&lt;&gt;0,TRUE,FALSE)</formula>
    </cfRule>
  </conditionalFormatting>
  <conditionalFormatting sqref="D46:D49">
    <cfRule type="expression" dxfId="7" priority="8" stopIfTrue="1">
      <formula>IF(SUM($D$46:$D$49)&lt;&gt;0,TRUE,FALSE)</formula>
    </cfRule>
  </conditionalFormatting>
  <conditionalFormatting sqref="E46:E49">
    <cfRule type="expression" dxfId="6" priority="7" stopIfTrue="1">
      <formula>IF(SUM($E$46:$E$49)&lt;&gt;0,TRUE,FALSE)</formula>
    </cfRule>
  </conditionalFormatting>
  <conditionalFormatting sqref="F46:F49">
    <cfRule type="expression" dxfId="5" priority="6" stopIfTrue="1">
      <formula>IF(SUM($F$46:$F$49)&lt;&gt;0,TRUE,FALSE)</formula>
    </cfRule>
  </conditionalFormatting>
  <conditionalFormatting sqref="B10:C11 B12:B13 B14:C15">
    <cfRule type="cellIs" dxfId="4" priority="5" stopIfTrue="1" operator="notEqual">
      <formula>$A$1</formula>
    </cfRule>
  </conditionalFormatting>
  <conditionalFormatting sqref="E11:F11 E12:G14">
    <cfRule type="cellIs" dxfId="3" priority="4" stopIfTrue="1" operator="notEqual">
      <formula>$A$1</formula>
    </cfRule>
  </conditionalFormatting>
  <conditionalFormatting sqref="E10">
    <cfRule type="cellIs" dxfId="2" priority="3" stopIfTrue="1" operator="notEqual">
      <formula>$A$1</formula>
    </cfRule>
  </conditionalFormatting>
  <conditionalFormatting sqref="B53:C53 E53:F54">
    <cfRule type="cellIs" dxfId="1" priority="2" stopIfTrue="1" operator="notEqual">
      <formula>$A$1</formula>
    </cfRule>
  </conditionalFormatting>
  <conditionalFormatting sqref="B63:G63">
    <cfRule type="cellIs" dxfId="0" priority="1" stopIfTrue="1" operator="notEqual">
      <formula>$A$1</formula>
    </cfRule>
  </conditionalFormatting>
  <dataValidations count="7">
    <dataValidation type="list" allowBlank="1" showInputMessage="1" showErrorMessage="1" sqref="D46:D49">
      <formula1>$L$163:$L$174</formula1>
    </dataValidation>
    <dataValidation type="list" allowBlank="1" showInputMessage="1" showErrorMessage="1" sqref="C31:E31">
      <formula1>$L$148:$L$160</formula1>
    </dataValidation>
    <dataValidation type="list" allowBlank="1" showInputMessage="1" showErrorMessage="1" sqref="E14">
      <formula1>$L$121:$L$129</formula1>
    </dataValidation>
    <dataValidation type="list" allowBlank="1" showInputMessage="1" showErrorMessage="1" sqref="E13">
      <formula1>$L$91:$L$109</formula1>
    </dataValidation>
    <dataValidation type="list" allowBlank="1" showInputMessage="1" showErrorMessage="1" sqref="E11:F11">
      <formula1>$L$114:$L$118</formula1>
    </dataValidation>
    <dataValidation type="list" allowBlank="1" showInputMessage="1" showErrorMessage="1" sqref="E12 E23">
      <formula1>$N$91:$N$417</formula1>
    </dataValidation>
    <dataValidation type="list" allowBlank="1" showInputMessage="1" showErrorMessage="1" sqref="C36 E36 C23 C19">
      <formula1>$L$133:$L$137</formula1>
    </dataValidation>
  </dataValidations>
  <hyperlinks>
    <hyperlink ref="A12" r:id="rId1"/>
    <hyperlink ref="B44:F44" r:id="rId2" display="POSITION FUNDING"/>
  </hyperlinks>
  <pageMargins left="0.5" right="0.5" top="0.5" bottom="0.5" header="0.3" footer="0.3"/>
  <pageSetup scale="94"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Directions</vt:lpstr>
      <vt:lpstr>PAF</vt:lpstr>
      <vt:lpstr>New Hire</vt:lpstr>
      <vt:lpstr>Grant</vt:lpstr>
      <vt:lpstr>Promotion</vt:lpstr>
      <vt:lpstr>Termination</vt:lpstr>
      <vt:lpstr>Pay Change</vt:lpstr>
      <vt:lpstr>Single Payment</vt:lpstr>
      <vt:lpstr>Student Reclassification</vt:lpstr>
      <vt:lpstr>Directions!Print_Area</vt:lpstr>
      <vt:lpstr>Grant!Print_Area</vt:lpstr>
      <vt:lpstr>'New Hire'!Print_Area</vt:lpstr>
      <vt:lpstr>PAF!Print_Area</vt:lpstr>
      <vt:lpstr>'Pay Change'!Print_Area</vt:lpstr>
      <vt:lpstr>Promotion!Print_Area</vt:lpstr>
      <vt:lpstr>'Single Payment'!Print_Area</vt:lpstr>
      <vt:lpstr>'Student Reclassification'!Print_Area</vt:lpstr>
      <vt:lpstr>Termination!Print_Area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Human Resources</dc:creator>
  <cp:lastModifiedBy>Eric Kieft</cp:lastModifiedBy>
  <cp:lastPrinted>2010-02-08T15:34:13Z</cp:lastPrinted>
  <dcterms:created xsi:type="dcterms:W3CDTF">2006-03-21T21:32:19Z</dcterms:created>
  <dcterms:modified xsi:type="dcterms:W3CDTF">2013-11-22T16:01:36Z</dcterms:modified>
</cp:coreProperties>
</file>