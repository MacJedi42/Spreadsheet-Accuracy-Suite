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360" windowWidth="15195" windowHeight="8460" firstSheet="1" activeTab="4"/>
  </bookViews>
  <sheets>
    <sheet name="Instructions" sheetId="1" r:id="rId1"/>
    <sheet name="Ex. 10 - Repl. Unit Analysis" sheetId="2" r:id="rId2"/>
    <sheet name="Ex. 22 - Development Budget" sheetId="8" r:id="rId3"/>
    <sheet name="Ex. 23 - Operating Budget" sheetId="7" r:id="rId4"/>
    <sheet name="Exhibit 24 - 30 Year Proforma" sheetId="13" r:id="rId5"/>
    <sheet name="Exhibit 25 - Financial Summ " sheetId="9" r:id="rId6"/>
    <sheet name="Ex 26 - Unit Affordability" sheetId="11" r:id="rId7"/>
    <sheet name="Unit Affordability Example" sheetId="14" r:id="rId8"/>
    <sheet name="Sheet1" sheetId="15" r:id="rId9"/>
  </sheets>
  <definedNames>
    <definedName name="_int70">#REF!</definedName>
    <definedName name="_int80">#REF!</definedName>
    <definedName name="abc">#REF!</definedName>
    <definedName name="bdrms">#REF!</definedName>
    <definedName name="bdrms2">#REF!</definedName>
    <definedName name="down100">#REF!</definedName>
    <definedName name="down70">#REF!</definedName>
    <definedName name="_xlnm.Print_Area" localSheetId="3">'Ex. 23 - Operating Budget'!$A$1:$E$97</definedName>
    <definedName name="tdc">#REF!</definedName>
    <definedName name="units">#REF!</definedName>
  </definedNames>
  <calcPr calcId="145621"/>
</workbook>
</file>

<file path=xl/calcChain.xml><?xml version="1.0" encoding="utf-8"?>
<calcChain xmlns="http://schemas.openxmlformats.org/spreadsheetml/2006/main">
  <c r="D33" i="13" l="1"/>
  <c r="E83" i="8" l="1"/>
  <c r="B54" i="8" l="1"/>
  <c r="A2" i="9" l="1"/>
  <c r="AE33" i="13" l="1"/>
  <c r="AF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4" i="13"/>
  <c r="E34" i="13" s="1"/>
  <c r="F34" i="13" s="1"/>
  <c r="G34" i="13" s="1"/>
  <c r="H34" i="13" s="1"/>
  <c r="I34" i="13" s="1"/>
  <c r="J34" i="13" s="1"/>
  <c r="K34" i="13" s="1"/>
  <c r="L34" i="13" s="1"/>
  <c r="M34" i="13" s="1"/>
  <c r="N34" i="13" s="1"/>
  <c r="O34" i="13" s="1"/>
  <c r="P34" i="13" s="1"/>
  <c r="Q34" i="13" s="1"/>
  <c r="R34" i="13" s="1"/>
  <c r="S34" i="13" s="1"/>
  <c r="T34" i="13" s="1"/>
  <c r="U34" i="13" s="1"/>
  <c r="V34" i="13" s="1"/>
  <c r="W34" i="13" s="1"/>
  <c r="X34" i="13" s="1"/>
  <c r="Y34" i="13" s="1"/>
  <c r="Z34" i="13" s="1"/>
  <c r="AA34" i="13" s="1"/>
  <c r="AB34" i="13" s="1"/>
  <c r="AC34" i="13" s="1"/>
  <c r="AD34" i="13" s="1"/>
  <c r="AE34" i="13" s="1"/>
  <c r="AF34" i="13" s="1"/>
  <c r="C33" i="13"/>
  <c r="C95" i="7"/>
  <c r="D95" i="7" s="1"/>
  <c r="D25" i="7"/>
  <c r="D85" i="7"/>
  <c r="C86" i="7"/>
  <c r="L11" i="11"/>
  <c r="L12" i="11"/>
  <c r="L13" i="11"/>
  <c r="L14" i="11"/>
  <c r="J11" i="11"/>
  <c r="J12" i="11"/>
  <c r="J13" i="11"/>
  <c r="J14" i="11"/>
  <c r="I11" i="11"/>
  <c r="I12" i="11"/>
  <c r="I13" i="11"/>
  <c r="I14" i="11"/>
  <c r="E37" i="14"/>
  <c r="E36" i="14"/>
  <c r="J25" i="11"/>
  <c r="J28" i="11" s="1"/>
  <c r="B31" i="14"/>
  <c r="J30" i="14"/>
  <c r="J31" i="14" s="1"/>
  <c r="J29" i="14"/>
  <c r="J28" i="14"/>
  <c r="B24" i="14"/>
  <c r="J23" i="14"/>
  <c r="J22" i="14"/>
  <c r="J21" i="14"/>
  <c r="J24" i="14"/>
  <c r="B17" i="14"/>
  <c r="L16" i="14"/>
  <c r="J16" i="14"/>
  <c r="I16" i="14"/>
  <c r="L15" i="14"/>
  <c r="J15" i="14"/>
  <c r="I15" i="14"/>
  <c r="L14" i="14"/>
  <c r="J14" i="14"/>
  <c r="I14" i="14"/>
  <c r="L13" i="14"/>
  <c r="J13" i="14"/>
  <c r="I13" i="14"/>
  <c r="L12" i="14"/>
  <c r="J12" i="14"/>
  <c r="I12" i="14"/>
  <c r="L11" i="14"/>
  <c r="J11" i="14"/>
  <c r="I11" i="14"/>
  <c r="L10" i="14"/>
  <c r="J10" i="14"/>
  <c r="I10" i="14"/>
  <c r="L9" i="14"/>
  <c r="J9" i="14"/>
  <c r="I9" i="14"/>
  <c r="L8" i="14"/>
  <c r="J8" i="14"/>
  <c r="I8" i="14"/>
  <c r="I9" i="11"/>
  <c r="I10" i="11"/>
  <c r="I15" i="11"/>
  <c r="I16" i="11"/>
  <c r="I17" i="11"/>
  <c r="I18" i="11"/>
  <c r="I19" i="11"/>
  <c r="I20" i="11"/>
  <c r="I8" i="11"/>
  <c r="L9" i="11"/>
  <c r="L10" i="11"/>
  <c r="L15" i="11"/>
  <c r="L16" i="11"/>
  <c r="L17" i="11"/>
  <c r="L18" i="11"/>
  <c r="L19" i="11"/>
  <c r="L20" i="11"/>
  <c r="L8" i="11"/>
  <c r="J9" i="11"/>
  <c r="J10" i="11"/>
  <c r="J15" i="11"/>
  <c r="J16" i="11"/>
  <c r="J17" i="11"/>
  <c r="J18" i="11"/>
  <c r="J19" i="11"/>
  <c r="J20" i="11"/>
  <c r="J8" i="11"/>
  <c r="B21" i="11"/>
  <c r="D14" i="7"/>
  <c r="D13" i="13"/>
  <c r="C30" i="13"/>
  <c r="D30" i="13" s="1"/>
  <c r="C31" i="13"/>
  <c r="AC31" i="13" s="1"/>
  <c r="D31" i="13"/>
  <c r="C32" i="13"/>
  <c r="D32" i="13" s="1"/>
  <c r="E32" i="13" s="1"/>
  <c r="F32" i="13" s="1"/>
  <c r="G32" i="13" s="1"/>
  <c r="H32" i="13" s="1"/>
  <c r="I32" i="13" s="1"/>
  <c r="J32" i="13" s="1"/>
  <c r="K32" i="13" s="1"/>
  <c r="L32" i="13" s="1"/>
  <c r="M32" i="13" s="1"/>
  <c r="N32" i="13" s="1"/>
  <c r="O32" i="13" s="1"/>
  <c r="P32" i="13" s="1"/>
  <c r="Q32" i="13" s="1"/>
  <c r="R32" i="13" s="1"/>
  <c r="S32" i="13" s="1"/>
  <c r="T32" i="13" s="1"/>
  <c r="U32" i="13" s="1"/>
  <c r="V32" i="13" s="1"/>
  <c r="W32" i="13" s="1"/>
  <c r="X32" i="13" s="1"/>
  <c r="Y32" i="13" s="1"/>
  <c r="Z32" i="13" s="1"/>
  <c r="AA32" i="13" s="1"/>
  <c r="AB32" i="13" s="1"/>
  <c r="AC32" i="13" s="1"/>
  <c r="AD32" i="13" s="1"/>
  <c r="AE32" i="13" s="1"/>
  <c r="AF32" i="13" s="1"/>
  <c r="D16" i="13"/>
  <c r="E16" i="13"/>
  <c r="F16" i="13"/>
  <c r="G16" i="13"/>
  <c r="H16" i="13"/>
  <c r="AF13" i="13"/>
  <c r="D14" i="13"/>
  <c r="E14" i="13"/>
  <c r="F14" i="13"/>
  <c r="G14" i="13"/>
  <c r="H14" i="13"/>
  <c r="I14" i="13"/>
  <c r="J14" i="13"/>
  <c r="K14" i="13"/>
  <c r="L14" i="13"/>
  <c r="M14" i="13"/>
  <c r="N14" i="13"/>
  <c r="O14" i="13"/>
  <c r="P14" i="13"/>
  <c r="Q14" i="13"/>
  <c r="R14" i="13"/>
  <c r="S14" i="13"/>
  <c r="T14" i="13"/>
  <c r="U14" i="13"/>
  <c r="V14" i="13"/>
  <c r="W14" i="13"/>
  <c r="X14" i="13"/>
  <c r="Y14" i="13"/>
  <c r="Z14" i="13"/>
  <c r="AA14" i="13"/>
  <c r="AB14" i="13"/>
  <c r="AC14" i="13"/>
  <c r="AD14" i="13"/>
  <c r="AE14" i="13"/>
  <c r="AF14" i="13"/>
  <c r="D15" i="13"/>
  <c r="E15" i="13"/>
  <c r="F15" i="13"/>
  <c r="G15" i="13"/>
  <c r="H15" i="13"/>
  <c r="I15" i="13"/>
  <c r="J15" i="13"/>
  <c r="K15" i="13"/>
  <c r="L15" i="13"/>
  <c r="M15" i="13"/>
  <c r="N15" i="13"/>
  <c r="O15" i="13"/>
  <c r="P15" i="13"/>
  <c r="Q15" i="13"/>
  <c r="R15" i="13"/>
  <c r="S15" i="13"/>
  <c r="T15" i="13"/>
  <c r="U15" i="13"/>
  <c r="V15" i="13"/>
  <c r="W15" i="13"/>
  <c r="X15" i="13"/>
  <c r="Y15" i="13"/>
  <c r="Z15" i="13"/>
  <c r="AA15" i="13"/>
  <c r="AB15" i="13"/>
  <c r="AC15" i="13"/>
  <c r="AD15" i="13"/>
  <c r="AE15" i="13"/>
  <c r="AF15" i="13"/>
  <c r="I16" i="13"/>
  <c r="J16" i="13"/>
  <c r="K16" i="13"/>
  <c r="L16" i="13"/>
  <c r="M16" i="13"/>
  <c r="N16" i="13"/>
  <c r="O16" i="13"/>
  <c r="P16" i="13"/>
  <c r="Q16" i="13"/>
  <c r="R16" i="13"/>
  <c r="S16" i="13"/>
  <c r="T16" i="13"/>
  <c r="U16" i="13"/>
  <c r="V16" i="13"/>
  <c r="W16" i="13"/>
  <c r="X16" i="13"/>
  <c r="Y16" i="13"/>
  <c r="Z16" i="13"/>
  <c r="AA16" i="13"/>
  <c r="AB16" i="13"/>
  <c r="AC16" i="13"/>
  <c r="AD16" i="13"/>
  <c r="AE16" i="13"/>
  <c r="AF16" i="13"/>
  <c r="D24" i="13"/>
  <c r="E24" i="13"/>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D25" i="13"/>
  <c r="E25" i="13"/>
  <c r="F25" i="13"/>
  <c r="G25" i="13"/>
  <c r="H25" i="13"/>
  <c r="I25" i="13"/>
  <c r="J25" i="13"/>
  <c r="K25" i="13"/>
  <c r="L25" i="13"/>
  <c r="M25" i="13"/>
  <c r="N25" i="13"/>
  <c r="O25" i="13"/>
  <c r="P25" i="13"/>
  <c r="Q25" i="13"/>
  <c r="R25" i="13"/>
  <c r="S25" i="13"/>
  <c r="T25" i="13"/>
  <c r="U25" i="13"/>
  <c r="V25" i="13"/>
  <c r="W25" i="13"/>
  <c r="X25" i="13"/>
  <c r="Y25" i="13"/>
  <c r="Z25" i="13"/>
  <c r="AA25" i="13"/>
  <c r="AB25" i="13"/>
  <c r="AC25" i="13"/>
  <c r="AD25" i="13"/>
  <c r="AE25" i="13"/>
  <c r="AF25" i="13"/>
  <c r="D26" i="13"/>
  <c r="E26" i="13"/>
  <c r="F26" i="13"/>
  <c r="G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D35" i="13"/>
  <c r="E35" i="13"/>
  <c r="F35" i="13"/>
  <c r="G35" i="13"/>
  <c r="H35" i="13"/>
  <c r="I35" i="13"/>
  <c r="J35" i="13"/>
  <c r="K35" i="13"/>
  <c r="L35" i="13"/>
  <c r="M35" i="13"/>
  <c r="N35" i="13"/>
  <c r="O35" i="13"/>
  <c r="P35" i="13"/>
  <c r="Q35" i="13"/>
  <c r="R35" i="13"/>
  <c r="S35" i="13"/>
  <c r="T35" i="13"/>
  <c r="U35" i="13"/>
  <c r="V35" i="13"/>
  <c r="W35" i="13"/>
  <c r="X35" i="13"/>
  <c r="Y35" i="13"/>
  <c r="Z35" i="13"/>
  <c r="AA35" i="13"/>
  <c r="AB35" i="13"/>
  <c r="AC35" i="13"/>
  <c r="AD35" i="13"/>
  <c r="AE35" i="13"/>
  <c r="AF35" i="13"/>
  <c r="D36" i="13"/>
  <c r="E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E13" i="13"/>
  <c r="AD13" i="13"/>
  <c r="AC13" i="13"/>
  <c r="AB13" i="13"/>
  <c r="AB31" i="13"/>
  <c r="AA13" i="13"/>
  <c r="Z13" i="13"/>
  <c r="Y13" i="13"/>
  <c r="X13" i="13"/>
  <c r="X31" i="13"/>
  <c r="W13" i="13"/>
  <c r="V13" i="13"/>
  <c r="V31" i="13"/>
  <c r="U13" i="13"/>
  <c r="T13" i="13"/>
  <c r="T31" i="13"/>
  <c r="S13" i="13"/>
  <c r="S31" i="13"/>
  <c r="R13" i="13"/>
  <c r="Q13" i="13"/>
  <c r="P13" i="13"/>
  <c r="O13" i="13"/>
  <c r="O31" i="13"/>
  <c r="N13" i="13"/>
  <c r="M13" i="13"/>
  <c r="L13" i="13"/>
  <c r="K13" i="13"/>
  <c r="J13" i="13"/>
  <c r="I13" i="13"/>
  <c r="H13" i="13"/>
  <c r="G13" i="13"/>
  <c r="F13" i="13"/>
  <c r="F31" i="13"/>
  <c r="E13"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AD11" i="13"/>
  <c r="AE11" i="13"/>
  <c r="AF11" i="13"/>
  <c r="D10" i="13"/>
  <c r="E10" i="13" s="1"/>
  <c r="F10" i="13" s="1"/>
  <c r="G10" i="13" s="1"/>
  <c r="H10" i="13" s="1"/>
  <c r="I10" i="13" s="1"/>
  <c r="J10" i="13" s="1"/>
  <c r="K10" i="13" s="1"/>
  <c r="L10" i="13" s="1"/>
  <c r="M10" i="13" s="1"/>
  <c r="N10" i="13" s="1"/>
  <c r="O10" i="13" s="1"/>
  <c r="P10" i="13" s="1"/>
  <c r="Q10" i="13" s="1"/>
  <c r="R10" i="13" s="1"/>
  <c r="S10" i="13" s="1"/>
  <c r="T10" i="13" s="1"/>
  <c r="U10" i="13" s="1"/>
  <c r="V10" i="13" s="1"/>
  <c r="W10" i="13" s="1"/>
  <c r="X10" i="13" s="1"/>
  <c r="Y10" i="13" s="1"/>
  <c r="Z10" i="13" s="1"/>
  <c r="AA10" i="13" s="1"/>
  <c r="AB10" i="13" s="1"/>
  <c r="AC10" i="13" s="1"/>
  <c r="AD10" i="13" s="1"/>
  <c r="AE10" i="13" s="1"/>
  <c r="AF10" i="13" s="1"/>
  <c r="J32" i="11"/>
  <c r="J33" i="11"/>
  <c r="J34" i="11"/>
  <c r="J26" i="11"/>
  <c r="J27" i="11"/>
  <c r="B35" i="11"/>
  <c r="B28" i="11"/>
  <c r="A39" i="11" s="1"/>
  <c r="C29" i="7"/>
  <c r="B13" i="9"/>
  <c r="B14" i="9"/>
  <c r="G14" i="9"/>
  <c r="B15" i="9"/>
  <c r="B16" i="9"/>
  <c r="B17" i="9"/>
  <c r="G17" i="9"/>
  <c r="B18" i="9"/>
  <c r="G18" i="9"/>
  <c r="B19" i="9"/>
  <c r="E20" i="9"/>
  <c r="E21" i="9"/>
  <c r="E24" i="9"/>
  <c r="C96" i="7"/>
  <c r="D13" i="7"/>
  <c r="D18" i="7"/>
  <c r="D22" i="7"/>
  <c r="D26" i="7"/>
  <c r="D32" i="7"/>
  <c r="D36" i="7"/>
  <c r="D43" i="7"/>
  <c r="D51" i="7"/>
  <c r="D55" i="7"/>
  <c r="D60" i="7"/>
  <c r="D64" i="7"/>
  <c r="D68" i="7"/>
  <c r="D72" i="7"/>
  <c r="D88" i="7"/>
  <c r="D94" i="7"/>
  <c r="F16" i="9"/>
  <c r="G16" i="9"/>
  <c r="C91" i="7"/>
  <c r="C29" i="13" s="1"/>
  <c r="C74" i="7"/>
  <c r="C56" i="7"/>
  <c r="C49" i="7"/>
  <c r="C44" i="7"/>
  <c r="C40" i="7"/>
  <c r="C11" i="7"/>
  <c r="C77" i="7"/>
  <c r="F14" i="9"/>
  <c r="B17" i="8"/>
  <c r="B35" i="8"/>
  <c r="B10" i="9"/>
  <c r="F10" i="9"/>
  <c r="B13" i="8"/>
  <c r="B14" i="8"/>
  <c r="B6" i="9"/>
  <c r="B7" i="9"/>
  <c r="B21" i="8"/>
  <c r="B11" i="9"/>
  <c r="G11" i="9"/>
  <c r="C12" i="9"/>
  <c r="F19" i="9"/>
  <c r="G19" i="9"/>
  <c r="C20" i="9"/>
  <c r="C21" i="9"/>
  <c r="C24" i="9"/>
  <c r="D20" i="9"/>
  <c r="D21" i="9"/>
  <c r="D24" i="9"/>
  <c r="B23" i="9"/>
  <c r="F23" i="9"/>
  <c r="G23" i="9"/>
  <c r="G77" i="8"/>
  <c r="G83" i="8" s="1"/>
  <c r="G69" i="8"/>
  <c r="G60" i="8"/>
  <c r="G48" i="8"/>
  <c r="G25" i="8"/>
  <c r="G15" i="8"/>
  <c r="F77" i="8"/>
  <c r="F69" i="8"/>
  <c r="F60" i="8"/>
  <c r="F48" i="8"/>
  <c r="F25" i="8"/>
  <c r="F15" i="8"/>
  <c r="E77" i="8"/>
  <c r="E69" i="8"/>
  <c r="E60" i="8"/>
  <c r="E48" i="8"/>
  <c r="E25" i="8"/>
  <c r="E15" i="8"/>
  <c r="D77" i="8"/>
  <c r="D83" i="8" s="1"/>
  <c r="D69" i="8"/>
  <c r="D60" i="8"/>
  <c r="D48" i="8"/>
  <c r="D25" i="8"/>
  <c r="D15" i="8"/>
  <c r="C77" i="8"/>
  <c r="C69" i="8"/>
  <c r="C83" i="8" s="1"/>
  <c r="C60" i="8"/>
  <c r="C48" i="8"/>
  <c r="C25" i="8"/>
  <c r="C15" i="8"/>
  <c r="B81" i="8"/>
  <c r="B79" i="8"/>
  <c r="B72" i="8"/>
  <c r="B73" i="8"/>
  <c r="B77" i="8" s="1"/>
  <c r="B74" i="8"/>
  <c r="B75" i="8"/>
  <c r="B76" i="8"/>
  <c r="B63" i="8"/>
  <c r="B64" i="8"/>
  <c r="B65" i="8"/>
  <c r="B66" i="8"/>
  <c r="B67" i="8"/>
  <c r="B68" i="8"/>
  <c r="B51" i="8"/>
  <c r="B52" i="8"/>
  <c r="B55" i="8"/>
  <c r="B56" i="8"/>
  <c r="B57" i="8"/>
  <c r="B58" i="8"/>
  <c r="B59" i="8"/>
  <c r="B28" i="8"/>
  <c r="B29" i="8"/>
  <c r="B30" i="8"/>
  <c r="B31" i="8"/>
  <c r="B32" i="8"/>
  <c r="B33" i="8"/>
  <c r="B34" i="8"/>
  <c r="B36" i="8"/>
  <c r="B37" i="8"/>
  <c r="B38" i="8"/>
  <c r="B39" i="8"/>
  <c r="B40" i="8"/>
  <c r="B41" i="8"/>
  <c r="B42" i="8"/>
  <c r="B43" i="8"/>
  <c r="B44" i="8"/>
  <c r="B45" i="8"/>
  <c r="B46" i="8"/>
  <c r="B47" i="8"/>
  <c r="B20" i="8"/>
  <c r="B22" i="8"/>
  <c r="B25" i="8" s="1"/>
  <c r="B23" i="8"/>
  <c r="B24" i="8"/>
  <c r="E31" i="13"/>
  <c r="I31" i="13"/>
  <c r="M31" i="13"/>
  <c r="U31" i="13"/>
  <c r="Z31" i="13"/>
  <c r="AA31" i="13"/>
  <c r="AE31" i="13"/>
  <c r="AF31" i="13"/>
  <c r="W30" i="13"/>
  <c r="X30" i="13"/>
  <c r="Y30" i="13"/>
  <c r="Z30" i="13"/>
  <c r="AF30" i="13"/>
  <c r="AA30" i="13"/>
  <c r="AB30" i="13"/>
  <c r="AC30" i="13"/>
  <c r="AD30" i="13"/>
  <c r="AE30" i="13"/>
  <c r="E30" i="13"/>
  <c r="F30" i="13"/>
  <c r="G30" i="13"/>
  <c r="H30" i="13"/>
  <c r="I30" i="13"/>
  <c r="J30" i="13"/>
  <c r="K30" i="13"/>
  <c r="L30" i="13"/>
  <c r="M30" i="13"/>
  <c r="N30" i="13"/>
  <c r="O30" i="13"/>
  <c r="P30" i="13"/>
  <c r="Q30" i="13"/>
  <c r="R30" i="13"/>
  <c r="S30" i="13"/>
  <c r="T30" i="13"/>
  <c r="U30" i="13"/>
  <c r="V30" i="13"/>
  <c r="D73" i="7"/>
  <c r="D65" i="7"/>
  <c r="D52" i="7"/>
  <c r="D46" i="7"/>
  <c r="D39" i="7"/>
  <c r="D35" i="7"/>
  <c r="D31" i="7"/>
  <c r="D21" i="7"/>
  <c r="D17" i="7"/>
  <c r="D10" i="7"/>
  <c r="D93" i="7"/>
  <c r="D76" i="7"/>
  <c r="D77" i="7" s="1"/>
  <c r="D71" i="7"/>
  <c r="D67" i="7"/>
  <c r="D63" i="7"/>
  <c r="D59" i="7"/>
  <c r="D54" i="7"/>
  <c r="D48" i="7"/>
  <c r="D42" i="7"/>
  <c r="D37" i="7"/>
  <c r="D33" i="7"/>
  <c r="D27" i="7"/>
  <c r="D23" i="7"/>
  <c r="D19" i="7"/>
  <c r="C78" i="7"/>
  <c r="C23" i="13" s="1"/>
  <c r="B15" i="8"/>
  <c r="B69" i="8"/>
  <c r="G10" i="9"/>
  <c r="F17" i="9"/>
  <c r="G13" i="9"/>
  <c r="F13" i="9"/>
  <c r="B12" i="9"/>
  <c r="D69" i="7"/>
  <c r="D89" i="7"/>
  <c r="D84" i="7"/>
  <c r="D66" i="7"/>
  <c r="D58" i="7"/>
  <c r="D47" i="7"/>
  <c r="D34" i="7"/>
  <c r="D24" i="7"/>
  <c r="D15" i="7"/>
  <c r="D61" i="7"/>
  <c r="D83" i="7"/>
  <c r="D86" i="7" s="1"/>
  <c r="D90" i="7"/>
  <c r="D70" i="7"/>
  <c r="D62" i="7"/>
  <c r="D53" i="7"/>
  <c r="D38" i="7"/>
  <c r="D28" i="7"/>
  <c r="D20" i="7"/>
  <c r="D9" i="7"/>
  <c r="D16" i="7"/>
  <c r="B20" i="9"/>
  <c r="G20" i="9"/>
  <c r="F20" i="9"/>
  <c r="G15" i="9"/>
  <c r="F18" i="9"/>
  <c r="F15" i="9"/>
  <c r="F11" i="9"/>
  <c r="C22" i="9"/>
  <c r="J35" i="11"/>
  <c r="B21" i="9"/>
  <c r="G21" i="9"/>
  <c r="G12" i="9"/>
  <c r="F12" i="9"/>
  <c r="F21" i="9"/>
  <c r="B24" i="9"/>
  <c r="G24" i="9"/>
  <c r="F24" i="9"/>
  <c r="Q31" i="13"/>
  <c r="H31" i="13"/>
  <c r="J31" i="13"/>
  <c r="W31" i="13"/>
  <c r="G31" i="13"/>
  <c r="L31" i="13"/>
  <c r="N31" i="13"/>
  <c r="P31" i="13"/>
  <c r="R31" i="13"/>
  <c r="F83" i="8" l="1"/>
  <c r="F85" i="8" s="1"/>
  <c r="B53" i="8" s="1"/>
  <c r="B60" i="8" s="1"/>
  <c r="D11" i="7"/>
  <c r="D44" i="7"/>
  <c r="D96" i="7"/>
  <c r="D49" i="7"/>
  <c r="D74" i="7"/>
  <c r="D91" i="7"/>
  <c r="D40" i="7"/>
  <c r="D29" i="7"/>
  <c r="D56" i="7"/>
  <c r="F86" i="8"/>
  <c r="D87" i="8"/>
  <c r="D86" i="8"/>
  <c r="C87" i="8"/>
  <c r="C86" i="8"/>
  <c r="E87" i="8"/>
  <c r="E86" i="8"/>
  <c r="G87" i="8"/>
  <c r="G86" i="8"/>
  <c r="B48" i="8"/>
  <c r="A35" i="14"/>
  <c r="J17" i="14"/>
  <c r="M34" i="14" s="1"/>
  <c r="M38" i="14" s="1"/>
  <c r="J21" i="11"/>
  <c r="M38" i="11" s="1"/>
  <c r="M42" i="11" s="1"/>
  <c r="C12" i="13" s="1"/>
  <c r="D23" i="13"/>
  <c r="M29" i="13"/>
  <c r="AC29" i="13"/>
  <c r="K29" i="13"/>
  <c r="Z29" i="13"/>
  <c r="D29" i="13"/>
  <c r="P29" i="13"/>
  <c r="W29" i="13"/>
  <c r="U29" i="13"/>
  <c r="AE29" i="13"/>
  <c r="AB29" i="13"/>
  <c r="L29" i="13"/>
  <c r="AD29" i="13"/>
  <c r="S29" i="13"/>
  <c r="N29" i="13"/>
  <c r="V29" i="13"/>
  <c r="Q29" i="13"/>
  <c r="O29" i="13"/>
  <c r="AF29" i="13"/>
  <c r="X29" i="13"/>
  <c r="Y29" i="13"/>
  <c r="H29" i="13"/>
  <c r="AA29" i="13"/>
  <c r="E29" i="13"/>
  <c r="I29" i="13"/>
  <c r="G29" i="13"/>
  <c r="J29" i="13"/>
  <c r="T29" i="13"/>
  <c r="R29" i="13"/>
  <c r="F29" i="13"/>
  <c r="K31" i="13"/>
  <c r="Y31" i="13"/>
  <c r="AD31" i="13"/>
  <c r="F87" i="8" l="1"/>
  <c r="D78" i="7"/>
  <c r="B83" i="8"/>
  <c r="B87" i="8" s="1"/>
  <c r="D12" i="13"/>
  <c r="E12" i="13" s="1"/>
  <c r="C17" i="13"/>
  <c r="C19" i="13"/>
  <c r="D19" i="13"/>
  <c r="D17" i="13"/>
  <c r="D21" i="13" s="1"/>
  <c r="D27" i="13" s="1"/>
  <c r="D37" i="13" s="1"/>
  <c r="E23" i="13"/>
  <c r="B86" i="8" l="1"/>
  <c r="C21" i="13"/>
  <c r="C27" i="13" s="1"/>
  <c r="C37" i="13" s="1"/>
  <c r="E17" i="13"/>
  <c r="F12" i="13"/>
  <c r="E19" i="13"/>
  <c r="F23" i="13"/>
  <c r="G12" i="13" l="1"/>
  <c r="F17" i="13"/>
  <c r="F19" i="13"/>
  <c r="E21" i="13"/>
  <c r="E27" i="13" s="1"/>
  <c r="E37" i="13" s="1"/>
  <c r="G23" i="13"/>
  <c r="F21" i="13" l="1"/>
  <c r="F27" i="13" s="1"/>
  <c r="F37" i="13" s="1"/>
  <c r="G19" i="13"/>
  <c r="H12" i="13"/>
  <c r="G17" i="13"/>
  <c r="H23" i="13"/>
  <c r="I12" i="13" l="1"/>
  <c r="H19" i="13"/>
  <c r="H17" i="13"/>
  <c r="H21" i="13" s="1"/>
  <c r="H27" i="13" s="1"/>
  <c r="H37" i="13" s="1"/>
  <c r="G21" i="13"/>
  <c r="G27" i="13" s="1"/>
  <c r="G37" i="13" s="1"/>
  <c r="I23" i="13"/>
  <c r="I19" i="13" l="1"/>
  <c r="J12" i="13"/>
  <c r="I17" i="13"/>
  <c r="I21" i="13" s="1"/>
  <c r="I27" i="13" s="1"/>
  <c r="I37" i="13" s="1"/>
  <c r="J23" i="13"/>
  <c r="J19" i="13" l="1"/>
  <c r="K12" i="13"/>
  <c r="J17" i="13"/>
  <c r="J21" i="13" s="1"/>
  <c r="J27" i="13" s="1"/>
  <c r="J37" i="13" s="1"/>
  <c r="K23" i="13"/>
  <c r="K19" i="13" l="1"/>
  <c r="K17" i="13"/>
  <c r="K21" i="13" s="1"/>
  <c r="K27" i="13" s="1"/>
  <c r="K37" i="13" s="1"/>
  <c r="L12" i="13"/>
  <c r="L23" i="13"/>
  <c r="L17" i="13" l="1"/>
  <c r="M12" i="13"/>
  <c r="L19" i="13"/>
  <c r="M23" i="13"/>
  <c r="M19" i="13" l="1"/>
  <c r="M17" i="13"/>
  <c r="M21" i="13" s="1"/>
  <c r="M27" i="13" s="1"/>
  <c r="M37" i="13" s="1"/>
  <c r="N12" i="13"/>
  <c r="L21" i="13"/>
  <c r="L27" i="13" s="1"/>
  <c r="L37" i="13" s="1"/>
  <c r="N23" i="13"/>
  <c r="O12" i="13" l="1"/>
  <c r="N17" i="13"/>
  <c r="N21" i="13" s="1"/>
  <c r="N27" i="13" s="1"/>
  <c r="N37" i="13" s="1"/>
  <c r="N19" i="13"/>
  <c r="O23" i="13"/>
  <c r="O19" i="13" l="1"/>
  <c r="O17" i="13"/>
  <c r="O21" i="13" s="1"/>
  <c r="O27" i="13" s="1"/>
  <c r="O37" i="13" s="1"/>
  <c r="P12" i="13"/>
  <c r="P23" i="13"/>
  <c r="P17" i="13" l="1"/>
  <c r="P19" i="13"/>
  <c r="Q12" i="13"/>
  <c r="Q23" i="13"/>
  <c r="R12" i="13" l="1"/>
  <c r="Q19" i="13"/>
  <c r="Q17" i="13"/>
  <c r="P21" i="13"/>
  <c r="P27" i="13" s="1"/>
  <c r="P37" i="13" s="1"/>
  <c r="R23" i="13"/>
  <c r="Q21" i="13" l="1"/>
  <c r="Q27" i="13" s="1"/>
  <c r="Q37" i="13" s="1"/>
  <c r="R19" i="13"/>
  <c r="R17" i="13"/>
  <c r="R21" i="13" s="1"/>
  <c r="R27" i="13" s="1"/>
  <c r="R37" i="13" s="1"/>
  <c r="S12" i="13"/>
  <c r="S23" i="13"/>
  <c r="S17" i="13" l="1"/>
  <c r="S19" i="13"/>
  <c r="T12" i="13"/>
  <c r="T23" i="13"/>
  <c r="T19" i="13" l="1"/>
  <c r="T17" i="13"/>
  <c r="T21" i="13" s="1"/>
  <c r="T27" i="13" s="1"/>
  <c r="T37" i="13" s="1"/>
  <c r="U12" i="13"/>
  <c r="S21" i="13"/>
  <c r="S27" i="13" s="1"/>
  <c r="S37" i="13" s="1"/>
  <c r="U23" i="13"/>
  <c r="V12" i="13" l="1"/>
  <c r="U19" i="13"/>
  <c r="U17" i="13"/>
  <c r="V23" i="13"/>
  <c r="U21" i="13" l="1"/>
  <c r="U27" i="13" s="1"/>
  <c r="U37" i="13" s="1"/>
  <c r="W12" i="13"/>
  <c r="V17" i="13"/>
  <c r="V21" i="13" s="1"/>
  <c r="V27" i="13" s="1"/>
  <c r="V37" i="13" s="1"/>
  <c r="V19" i="13"/>
  <c r="W23" i="13"/>
  <c r="X12" i="13" l="1"/>
  <c r="W19" i="13"/>
  <c r="W17" i="13"/>
  <c r="W21" i="13" s="1"/>
  <c r="W27" i="13" s="1"/>
  <c r="W37" i="13" s="1"/>
  <c r="X23" i="13"/>
  <c r="Y12" i="13" l="1"/>
  <c r="X19" i="13"/>
  <c r="X17" i="13"/>
  <c r="Y23" i="13"/>
  <c r="X21" i="13" l="1"/>
  <c r="X27" i="13" s="1"/>
  <c r="X37" i="13" s="1"/>
  <c r="Y19" i="13"/>
  <c r="Z12" i="13"/>
  <c r="Y17" i="13"/>
  <c r="Y21" i="13" s="1"/>
  <c r="Y27" i="13" s="1"/>
  <c r="Y37" i="13" s="1"/>
  <c r="Z23" i="13"/>
  <c r="Z17" i="13" l="1"/>
  <c r="AA12" i="13"/>
  <c r="Z19" i="13"/>
  <c r="AA23" i="13"/>
  <c r="AB12" i="13" l="1"/>
  <c r="AA17" i="13"/>
  <c r="AA21" i="13" s="1"/>
  <c r="AA27" i="13" s="1"/>
  <c r="AA37" i="13" s="1"/>
  <c r="AA19" i="13"/>
  <c r="Z21" i="13"/>
  <c r="Z27" i="13" s="1"/>
  <c r="Z37" i="13" s="1"/>
  <c r="AB23" i="13"/>
  <c r="AC12" i="13" l="1"/>
  <c r="AB19" i="13"/>
  <c r="AB17" i="13"/>
  <c r="AB21" i="13" s="1"/>
  <c r="AB27" i="13" s="1"/>
  <c r="AB37" i="13" s="1"/>
  <c r="AC23" i="13"/>
  <c r="AC19" i="13" l="1"/>
  <c r="AD12" i="13"/>
  <c r="AC17" i="13"/>
  <c r="AC21" i="13" s="1"/>
  <c r="AC27" i="13" s="1"/>
  <c r="AC37" i="13" s="1"/>
  <c r="AD23" i="13"/>
  <c r="AE12" i="13" l="1"/>
  <c r="AD17" i="13"/>
  <c r="AD21" i="13" s="1"/>
  <c r="AD27" i="13" s="1"/>
  <c r="AD37" i="13" s="1"/>
  <c r="AD19" i="13"/>
  <c r="AE23" i="13"/>
  <c r="AE19" i="13" l="1"/>
  <c r="AF12" i="13"/>
  <c r="AE17" i="13"/>
  <c r="AE21" i="13" s="1"/>
  <c r="AE27" i="13" s="1"/>
  <c r="AE37" i="13" s="1"/>
  <c r="AF23" i="13"/>
  <c r="AF19" i="13" l="1"/>
  <c r="AF17" i="13"/>
  <c r="AF21" i="13" s="1"/>
  <c r="AF27" i="13" s="1"/>
  <c r="B40" i="13" l="1"/>
  <c r="AF37" i="13"/>
</calcChain>
</file>

<file path=xl/sharedStrings.xml><?xml version="1.0" encoding="utf-8"?>
<sst xmlns="http://schemas.openxmlformats.org/spreadsheetml/2006/main" count="459" uniqueCount="319">
  <si>
    <t>Instructions for Completing the Rental Project Spreadsheets</t>
  </si>
  <si>
    <t>Submitting your budgets:</t>
  </si>
  <si>
    <r>
      <t>Hard (paper) copy</t>
    </r>
    <r>
      <rPr>
        <sz val="10"/>
        <rFont val="Arial"/>
        <family val="2"/>
      </rPr>
      <t>: must be submitted as the appropriate exhibit in your application.</t>
    </r>
  </si>
  <si>
    <t>Filling out your budgets:</t>
  </si>
  <si>
    <t xml:space="preserve">The budget worksheets have been protected.  Applicants should fill in light green cells.  Other cells cannot be modified.  In the budgets, gray shading signifies uses for which particular sources of funds are not expected to be used.  </t>
  </si>
  <si>
    <t xml:space="preserve">Use the TAB key to navigate through the worksheet: it will bring your cursor only to those cells that need entries.  Excel will calculate totals for each row and column of figures in the "total" cells.   </t>
  </si>
  <si>
    <t xml:space="preserve">We recognize that each project is unique and may have special costs not included in the standard budget.  Use the "other" lines in each category when appropriate (be sure to fill in what the "other" cost is).  </t>
  </si>
  <si>
    <t>An example Unit Size and Affordability worksheet is included for your reference.</t>
  </si>
  <si>
    <t xml:space="preserve">You should be able to manipulate the print settings if necessary; please try to print on as few pages as is readable.  </t>
  </si>
  <si>
    <t>[Project Name]</t>
  </si>
  <si>
    <r>
      <t xml:space="preserve">This worksheet must be completed if any of the current site use is residential, even if all existing units are currently vacant.  </t>
    </r>
    <r>
      <rPr>
        <b/>
        <sz val="10"/>
        <color indexed="10"/>
        <rFont val="Arial"/>
        <family val="2"/>
      </rPr>
      <t>Complete chart according to the current uses, not your proposal.  Each unit must be on a separate line.  Add lines if necessary.</t>
    </r>
  </si>
  <si>
    <t>Proposal Includes Substantial Renovation:</t>
  </si>
  <si>
    <t>No/Yes</t>
  </si>
  <si>
    <t>Proposal Includes Demolition and New Construction:</t>
  </si>
  <si>
    <t>Current Configuration of Site</t>
  </si>
  <si>
    <t>Number of Residential Buildings:</t>
  </si>
  <si>
    <t>Total Number of Units:</t>
  </si>
  <si>
    <t>Unit Number</t>
  </si>
  <si>
    <t>Number of Bedrooms</t>
  </si>
  <si>
    <t>Monthly Gross Rent</t>
  </si>
  <si>
    <t>Household Size</t>
  </si>
  <si>
    <t>Household Income</t>
  </si>
  <si>
    <t>Check one</t>
  </si>
  <si>
    <t>Is Unit Currently Occupied?</t>
  </si>
  <si>
    <t>Is Unit Accessible?</t>
  </si>
  <si>
    <t xml:space="preserve">Under 30% AMI </t>
  </si>
  <si>
    <t xml:space="preserve">Under 50% AMI </t>
  </si>
  <si>
    <t xml:space="preserve">Under 80% AMI </t>
  </si>
  <si>
    <t>Market Rate</t>
  </si>
  <si>
    <t>Summary</t>
  </si>
  <si>
    <t># units with annual rents ≤ 30% of 30% AMI</t>
  </si>
  <si>
    <t># units with annual rents ≤ 30% of 50% AMI</t>
  </si>
  <si>
    <t># units with annual rents ≤ 30% of 80% AMI</t>
  </si>
  <si>
    <t># units with annual rents ≤ 30% of 120% AMI</t>
  </si>
  <si>
    <t># market rate units</t>
  </si>
  <si>
    <t>Project Name</t>
  </si>
  <si>
    <t>Total</t>
  </si>
  <si>
    <t>Affordable Portion</t>
  </si>
  <si>
    <t>Market Rate Portion</t>
  </si>
  <si>
    <t>Total Square Feet</t>
  </si>
  <si>
    <t># of Units</t>
  </si>
  <si>
    <t>Total # of Bedrooms</t>
  </si>
  <si>
    <t>* assume 1 person per SRO, 1.5 per bedroom or studio</t>
  </si>
  <si>
    <t>Entire Project</t>
  </si>
  <si>
    <t>Affordable Units Sources</t>
  </si>
  <si>
    <t>Item</t>
  </si>
  <si>
    <t>Total Costs</t>
  </si>
  <si>
    <t>Residential Costs</t>
  </si>
  <si>
    <t>Commercial Costs</t>
  </si>
  <si>
    <t>Other Sources Total</t>
  </si>
  <si>
    <t xml:space="preserve">     Option Payments</t>
  </si>
  <si>
    <t>Total Acquisition</t>
  </si>
  <si>
    <t>3. Hard Costs</t>
  </si>
  <si>
    <t xml:space="preserve">     Demolition/Site Clearance</t>
  </si>
  <si>
    <t xml:space="preserve">     Construction</t>
  </si>
  <si>
    <t xml:space="preserve">     Contingency</t>
  </si>
  <si>
    <t xml:space="preserve">     Other:___________________________</t>
  </si>
  <si>
    <t>Total Hard Costs</t>
  </si>
  <si>
    <t>4. Soft Costs</t>
  </si>
  <si>
    <t xml:space="preserve">     Appraisal</t>
  </si>
  <si>
    <t xml:space="preserve">     Architecture/Engineering</t>
  </si>
  <si>
    <t xml:space="preserve">     Survey</t>
  </si>
  <si>
    <t xml:space="preserve">     Construction Bond Premium</t>
  </si>
  <si>
    <t xml:space="preserve">     Construction Testing/Inspection</t>
  </si>
  <si>
    <t xml:space="preserve">     Soils Report/Geological Survey</t>
  </si>
  <si>
    <t xml:space="preserve">     Environmental: Phase I, II, lead, asbestos</t>
  </si>
  <si>
    <t xml:space="preserve">     Plan Check</t>
  </si>
  <si>
    <t xml:space="preserve">     Permits &amp; Fees</t>
  </si>
  <si>
    <t xml:space="preserve">     Accounting/Audit/Tax Prep./Cost Cert.</t>
  </si>
  <si>
    <t xml:space="preserve">     Legal</t>
  </si>
  <si>
    <t xml:space="preserve">     Utility Fees</t>
  </si>
  <si>
    <t xml:space="preserve">     Construction Management</t>
  </si>
  <si>
    <t xml:space="preserve">     Relocation</t>
  </si>
  <si>
    <t xml:space="preserve">     Title/Recording/Closing Costs
         -Construction/Acquisition Closing</t>
  </si>
  <si>
    <t xml:space="preserve">     Title/Recording/Closing Costs
         -Perm. Loan Closing</t>
  </si>
  <si>
    <t xml:space="preserve">     Marketing</t>
  </si>
  <si>
    <t>Total Soft Costs</t>
  </si>
  <si>
    <t>5. Carrying Costs</t>
  </si>
  <si>
    <t xml:space="preserve">     Property Taxes During Construction</t>
  </si>
  <si>
    <t xml:space="preserve">     Insurance During Construction</t>
  </si>
  <si>
    <t xml:space="preserve">     Construction Loan Fees</t>
  </si>
  <si>
    <t xml:space="preserve">     Construction Loan Interest</t>
  </si>
  <si>
    <t xml:space="preserve">     Bridge Loan Interest</t>
  </si>
  <si>
    <t>Total Carrying Costs</t>
  </si>
  <si>
    <t>6.  Syndication Costs</t>
  </si>
  <si>
    <r>
      <t xml:space="preserve">     </t>
    </r>
    <r>
      <rPr>
        <sz val="10"/>
        <rFont val="Arial"/>
        <family val="2"/>
      </rPr>
      <t>Syndication Accounting</t>
    </r>
  </si>
  <si>
    <r>
      <t xml:space="preserve">     </t>
    </r>
    <r>
      <rPr>
        <sz val="10"/>
        <rFont val="Arial"/>
        <family val="2"/>
      </rPr>
      <t>Syndication Legal</t>
    </r>
  </si>
  <si>
    <t xml:space="preserve">     Syndication Consultant Fees</t>
  </si>
  <si>
    <t xml:space="preserve">     LIHTC Fees</t>
  </si>
  <si>
    <t>Total Syndication Costs</t>
  </si>
  <si>
    <t>7.  Capitalization of Reserves</t>
  </si>
  <si>
    <t xml:space="preserve">     Vacancy Loss Reserve (18 months)</t>
  </si>
  <si>
    <t xml:space="preserve">     Other_______________________</t>
  </si>
  <si>
    <t>Total Reserves</t>
  </si>
  <si>
    <t>8.  Developer Fee</t>
  </si>
  <si>
    <t>Total Project Costs</t>
  </si>
  <si>
    <t>Total Project Costs Per Unit</t>
  </si>
  <si>
    <t>Total Project Costs Per Sq. Foot</t>
  </si>
  <si>
    <t>HUD Number</t>
  </si>
  <si>
    <t>Total Annual</t>
  </si>
  <si>
    <t>Per Unit Cost</t>
  </si>
  <si>
    <t>Management</t>
  </si>
  <si>
    <t>sub-total Management Expenses:</t>
  </si>
  <si>
    <t>Administration</t>
  </si>
  <si>
    <t>sub-total Administration Expenses:</t>
  </si>
  <si>
    <t>Personnel</t>
  </si>
  <si>
    <t>sub-total Personnel Expenses:</t>
  </si>
  <si>
    <t>Taxes, Licenses and Permits</t>
  </si>
  <si>
    <t>sub-total Taxes, License and Permit Expenses:</t>
  </si>
  <si>
    <t>Insurance</t>
  </si>
  <si>
    <t>sub-total Insurance Expenses:</t>
  </si>
  <si>
    <t>Utilities</t>
  </si>
  <si>
    <t>sub-total Utilities Expenses:</t>
  </si>
  <si>
    <t>Maintenance</t>
  </si>
  <si>
    <t>sub-total Maintenance Expenses:</t>
  </si>
  <si>
    <t>Total Operating Expenses</t>
  </si>
  <si>
    <t>Total Number of Units, including manager's unit(s)</t>
  </si>
  <si>
    <t>Total Number of Bedrooms</t>
  </si>
  <si>
    <t>Known and Anticipated Sources (Residential Portion Only)</t>
  </si>
  <si>
    <t>Affordable Portion Total</t>
  </si>
  <si>
    <t>Market Rate Portion Total</t>
  </si>
  <si>
    <t>Per Unit</t>
  </si>
  <si>
    <t>Per Bedroom</t>
  </si>
  <si>
    <t>Funding Source: _______________</t>
  </si>
  <si>
    <t>TDC less Site Acquisition cost</t>
  </si>
  <si>
    <r>
      <t>1</t>
    </r>
    <r>
      <rPr>
        <sz val="10"/>
        <rFont val="Arial"/>
        <family val="2"/>
      </rPr>
      <t xml:space="preserve"> Do not include City predevelopment loans.</t>
    </r>
  </si>
  <si>
    <r>
      <t>Site Acquisition cost</t>
    </r>
    <r>
      <rPr>
        <vertAlign val="superscript"/>
        <sz val="10"/>
        <rFont val="Arial"/>
        <family val="2"/>
      </rPr>
      <t>2</t>
    </r>
    <r>
      <rPr>
        <sz val="10"/>
        <rFont val="Arial"/>
        <family val="2"/>
      </rPr>
      <t xml:space="preserve"> (all sources)</t>
    </r>
  </si>
  <si>
    <t>Enter one type of unit per row; add rows if necessary.</t>
  </si>
  <si>
    <t xml:space="preserve"># of Units </t>
  </si>
  <si>
    <t>Unit Type                (#BR / #Bath)</t>
  </si>
  <si>
    <t>Square Footage</t>
  </si>
  <si>
    <t>Maximum Tenant Income*</t>
  </si>
  <si>
    <t>Indicate percentage of AMI used to calculate rents
(e.g., 30% of 50% of AMI)</t>
  </si>
  <si>
    <t>Total Monthly Rents</t>
  </si>
  <si>
    <t>Total # Units</t>
  </si>
  <si>
    <t>Total Monthly Rental Income</t>
  </si>
  <si>
    <t xml:space="preserve">Proposed Monthly Rent </t>
  </si>
  <si>
    <t>3.  Market Rate Units</t>
  </si>
  <si>
    <t xml:space="preserve">Total Monthly Rents </t>
  </si>
  <si>
    <t xml:space="preserve">5.  Annual Rental Revenue </t>
  </si>
  <si>
    <t>Total Project Units</t>
  </si>
  <si>
    <t>% of Units</t>
  </si>
  <si>
    <t>Total Monthly Rents for ALL units</t>
  </si>
  <si>
    <t>x12</t>
  </si>
  <si>
    <t>Total Annual Rents for ALL Units</t>
  </si>
  <si>
    <t>Gas</t>
  </si>
  <si>
    <t>Water</t>
  </si>
  <si>
    <t>** Including project-based rental assistance from Section 8, Public Housing ACC, HOPWA, Shelter Plus Care or similar project-based assistance.</t>
  </si>
  <si>
    <t>Vehicle and Maintenance Equipment  Operation and Repairs</t>
  </si>
  <si>
    <t>Management Fee</t>
  </si>
  <si>
    <t>Administrative Rent Free Unit</t>
  </si>
  <si>
    <t>Seminars &amp; Training</t>
  </si>
  <si>
    <t>Advertising</t>
  </si>
  <si>
    <t>Office Supplies</t>
  </si>
  <si>
    <t>Office Rent</t>
  </si>
  <si>
    <t>Computer Charges</t>
  </si>
  <si>
    <t>Legal</t>
  </si>
  <si>
    <t>Other Professional Fees</t>
  </si>
  <si>
    <t>Audit</t>
  </si>
  <si>
    <t>Bookkeeping</t>
  </si>
  <si>
    <t>Telephone (office, fax, data, entry system)</t>
  </si>
  <si>
    <t>Bad Debts</t>
  </si>
  <si>
    <t>Social/Dues/Travel/Equip. maint.</t>
  </si>
  <si>
    <t>Credit Reports</t>
  </si>
  <si>
    <t>Bank Charges</t>
  </si>
  <si>
    <t>Mileage/Travel</t>
  </si>
  <si>
    <t>On-Site Manager(s)</t>
  </si>
  <si>
    <t>Desk Clerk/Security</t>
  </si>
  <si>
    <t>Grounds, Janitorial, Repairs and Maintenance</t>
  </si>
  <si>
    <t>Payroll Taxes</t>
  </si>
  <si>
    <t>Worker's Compensation</t>
  </si>
  <si>
    <t>Health Benefits</t>
  </si>
  <si>
    <t>Retirement  Benefits</t>
  </si>
  <si>
    <t>Unemployment Insurance</t>
  </si>
  <si>
    <t>Other Salary/Benefit Expenses</t>
  </si>
  <si>
    <t>Real Estate Taxes</t>
  </si>
  <si>
    <t>Miscellaneous Taxes, Licenses, and Permits</t>
  </si>
  <si>
    <t>Property and Liability Insurance</t>
  </si>
  <si>
    <t>Fidelity Bond Insurance</t>
  </si>
  <si>
    <t>Other Insurance</t>
  </si>
  <si>
    <t>Electricity</t>
  </si>
  <si>
    <t>Sewer</t>
  </si>
  <si>
    <t>Trash Removal</t>
  </si>
  <si>
    <t>Cleaning Supplies</t>
  </si>
  <si>
    <t>Contract Cleaning</t>
  </si>
  <si>
    <t>Pest Control</t>
  </si>
  <si>
    <t>Security</t>
  </si>
  <si>
    <t>Fire Alarm Expense  (incl. phone)</t>
  </si>
  <si>
    <t>Grounds, Repairs &amp; Maintenance</t>
  </si>
  <si>
    <t>Grounds, Repairs &amp; Maintenance Supplies</t>
  </si>
  <si>
    <t>Elevator Maintenance (incl. phone)</t>
  </si>
  <si>
    <t>Plumbing, Electrical, HVAC Maintenance</t>
  </si>
  <si>
    <t>Painting and Decorating</t>
  </si>
  <si>
    <t>Exterior  Paining</t>
  </si>
  <si>
    <t>Furniture</t>
  </si>
  <si>
    <t>Window Covering &amp; Carpeting</t>
  </si>
  <si>
    <t xml:space="preserve">Cable/Tools </t>
  </si>
  <si>
    <t>Miscellaneous Operating &amp; Maintenance</t>
  </si>
  <si>
    <t xml:space="preserve">     Environmental Review: CEQA/NEPA</t>
  </si>
  <si>
    <t>4.  Affordability Summary/City Restrictions</t>
  </si>
  <si>
    <r>
      <t>If the proposal includes market-rate units,</t>
    </r>
    <r>
      <rPr>
        <sz val="10"/>
        <rFont val="Arial"/>
        <family val="2"/>
      </rPr>
      <t xml:space="preserve"> </t>
    </r>
    <r>
      <rPr>
        <b/>
        <sz val="10"/>
        <rFont val="Arial"/>
        <family val="2"/>
      </rPr>
      <t>fill in the applicable columns.</t>
    </r>
    <r>
      <rPr>
        <sz val="10"/>
        <rFont val="Arial"/>
        <family val="2"/>
      </rPr>
      <t xml:space="preserve">  If you expect management costs for affordable and non-affordable units to differ, provide a detailed description of how and why.  Note that additional information about financing sources for the affordable and market-rate portions of the project is required in the description of Construction and Permanent financing elsewhere in the application.</t>
    </r>
  </si>
  <si>
    <t xml:space="preserve">This summary reflects the rent restrictions according to the City's requirements only and won't necessarily match the actual rent structure detailed in table 1 above.   </t>
  </si>
  <si>
    <t>Commercial Portion</t>
  </si>
  <si>
    <t xml:space="preserve">   Other:___________________________</t>
  </si>
  <si>
    <t>Services</t>
  </si>
  <si>
    <t>sub-total Services Expenses:</t>
  </si>
  <si>
    <t>Social Service Coordination*</t>
  </si>
  <si>
    <t>Reserves</t>
  </si>
  <si>
    <t>sub-total Reserve Deposits:</t>
  </si>
  <si>
    <t xml:space="preserve">   Lender:___________________________</t>
  </si>
  <si>
    <t>sub-total Debt Service:</t>
  </si>
  <si>
    <t>Other Fees</t>
  </si>
  <si>
    <t>Partnership/Asset Management Fee**</t>
  </si>
  <si>
    <t>sub-total Other Fees:</t>
  </si>
  <si>
    <t xml:space="preserve">   Other: _________________________</t>
  </si>
  <si>
    <t xml:space="preserve">     Acquisition*</t>
  </si>
  <si>
    <t>**This item is ineligible for HOME funding but may be an eligible cost if no HOME funds are awarded.</t>
  </si>
  <si>
    <t xml:space="preserve">     Replacement Reserve**</t>
  </si>
  <si>
    <t xml:space="preserve">     Operating Reserve (long term)**</t>
  </si>
  <si>
    <t>9.  Furnishings/Other____________**</t>
  </si>
  <si>
    <t>2. Off-Site Improvements**</t>
  </si>
  <si>
    <t>*If property has been donated, include the value of the donated property, and show as a source of funds in the financial summary.</t>
  </si>
  <si>
    <t>1. Acquisition*</t>
  </si>
  <si>
    <t>Operating Reserve Deposit</t>
  </si>
  <si>
    <t>Replacement Reserve Deposit</t>
  </si>
  <si>
    <t>Debt Service</t>
  </si>
  <si>
    <t>Operating Expenses</t>
  </si>
  <si>
    <r>
      <t xml:space="preserve">2 </t>
    </r>
    <r>
      <rPr>
        <sz val="10"/>
        <rFont val="Arial"/>
        <family val="2"/>
      </rPr>
      <t>Includes option payments, acquisition, and holding costs directly related to acquisition.  Include value of donated property as a source.</t>
    </r>
  </si>
  <si>
    <t>*** Rent for manager's unit(s) should be listed as income here and an expense on the operating budget.</t>
  </si>
  <si>
    <t>2.  Managers' Units***</t>
  </si>
  <si>
    <t>* See Addendum: "Income, Rent, Utility Allowance, Housing Payments Limits" for current utility allowances and rents.</t>
  </si>
  <si>
    <t>Deferred Developer Fee</t>
  </si>
  <si>
    <t>Reserves, Debt Service, &amp; Fees</t>
  </si>
  <si>
    <t>Rental Projects</t>
  </si>
  <si>
    <t xml:space="preserve">1.  Rental:  Affordable Units </t>
  </si>
  <si>
    <t>Total Development Cost</t>
  </si>
  <si>
    <t>Commercial Portion Total</t>
  </si>
  <si>
    <t>Name of subsidy that is applied to the unit (If any)</t>
  </si>
  <si>
    <t>Per Unit Amount of Subsidy Applied To The Unit (If Any)</t>
  </si>
  <si>
    <t>PBS8</t>
  </si>
  <si>
    <t>Inflation Factor</t>
  </si>
  <si>
    <t>Total Rental Income</t>
  </si>
  <si>
    <t>Other: laundry</t>
  </si>
  <si>
    <t xml:space="preserve">Other: </t>
  </si>
  <si>
    <t>TOTAL GROSS POTENTIAL REVENUE</t>
  </si>
  <si>
    <t>EFFECTIVE GROSS INCOME</t>
  </si>
  <si>
    <t>NET OPERATING  INCOME</t>
  </si>
  <si>
    <t>(Less Debt Service)</t>
  </si>
  <si>
    <t>(Less Operating Reserves)</t>
  </si>
  <si>
    <t>(Less Replacement Reserves)</t>
  </si>
  <si>
    <t>(Less Partnership/Asset Management Fee - if applicable)</t>
  </si>
  <si>
    <t>CASH FLOW</t>
  </si>
  <si>
    <t>Does Cash Flow Drop Below Zero?</t>
  </si>
  <si>
    <t>If yes, provide a detailed explanation as to why the cash flow is negative and what precautionary measure will be taken to ensure the feasibility of the project.</t>
  </si>
  <si>
    <t>Per Unit Monthly Rent (Estimated Tenant Contribution)</t>
  </si>
  <si>
    <t>Per Unit Monthly Utility Allowances*</t>
  </si>
  <si>
    <t>↑</t>
  </si>
  <si>
    <t>City Development Funds</t>
  </si>
  <si>
    <t>Vacancy (5%, or 10% for special needs/SRO)</t>
  </si>
  <si>
    <t>Accessible Unit? (Mobility, Visual/Hearing, etc)</t>
  </si>
  <si>
    <t>Mobility</t>
  </si>
  <si>
    <t>30% of 30% AMI</t>
  </si>
  <si>
    <t>2/1</t>
  </si>
  <si>
    <t>30% of 50% AMI</t>
  </si>
  <si>
    <t>1/1</t>
  </si>
  <si>
    <t>Visual/Hearing</t>
  </si>
  <si>
    <t>2/2</t>
  </si>
  <si>
    <t>Total Gross Monthly Payment Per Unit (Incl. Utilities)</t>
  </si>
  <si>
    <t>Rents in this column may not exceed Maximum Rents Per Addendum, Income, Rent &amp; Housing Payment Limits</t>
  </si>
  <si>
    <t>Other: vending</t>
  </si>
  <si>
    <t>% units with annual rents ≤ 30% of 30% AMI</t>
  </si>
  <si>
    <t>% units with annual rents ≤ 30% of 60% AMI</t>
  </si>
  <si>
    <t>Indicate which utilites will be paid by tenant (T) and which utilities will be paid by landlord (L).</t>
  </si>
  <si>
    <t>Electric</t>
  </si>
  <si>
    <t>Space Heating</t>
  </si>
  <si>
    <t>Lighting</t>
  </si>
  <si>
    <t>Cooking</t>
  </si>
  <si>
    <t>Hot Water</t>
  </si>
  <si>
    <t>Garbage</t>
  </si>
  <si>
    <t>Unit Type</t>
  </si>
  <si>
    <t>SRO</t>
  </si>
  <si>
    <t>Studio</t>
  </si>
  <si>
    <t>1 bedroom</t>
  </si>
  <si>
    <t>2 bedroom</t>
  </si>
  <si>
    <t>3 bedroom</t>
  </si>
  <si>
    <t>4 bedroom</t>
  </si>
  <si>
    <t>6.  Tenant-Paid Utility Breakdown</t>
  </si>
  <si>
    <t>7. Unit Type Summary</t>
  </si>
  <si>
    <t>Total Monthly Rent for Unit Type**</t>
  </si>
  <si>
    <t>Per Unit Rent Received**</t>
  </si>
  <si>
    <t>** Review the Developer Fee Guidelines for allowable Partnership and Asset Management Fees.</t>
  </si>
  <si>
    <t>If you have questions, or have special circumstances and need to further manipulate the spreadsheets, please contact Housing Development Staff.</t>
  </si>
  <si>
    <r>
      <t>Previous City Funding</t>
    </r>
    <r>
      <rPr>
        <vertAlign val="superscript"/>
        <sz val="10"/>
        <rFont val="Arial"/>
        <family val="2"/>
      </rPr>
      <t>1</t>
    </r>
  </si>
  <si>
    <t>Current Request for City Funds</t>
  </si>
  <si>
    <t>Subtotal City Funds</t>
  </si>
  <si>
    <t>Subtotal Non-City Funds</t>
  </si>
  <si>
    <t>City funds % of TDC (Affordable Portion Only)</t>
  </si>
  <si>
    <r>
      <t xml:space="preserve">3 </t>
    </r>
    <r>
      <rPr>
        <sz val="10"/>
        <rFont val="Arial"/>
        <family val="2"/>
      </rPr>
      <t>Shaded cells represent ineligible uses of City funds</t>
    </r>
  </si>
  <si>
    <t>Sample</t>
  </si>
  <si>
    <t>T</t>
  </si>
  <si>
    <t>L</t>
  </si>
  <si>
    <t>Exhibit 10: Residential Deplacement and Replacement Unit Analysis</t>
  </si>
  <si>
    <t>22. Development Budget (Rental)</t>
  </si>
  <si>
    <t>23.  Operating Budget   (Rental)</t>
  </si>
  <si>
    <t>Exhibit 24: 30 Year Proforma (use this worksheet or submit your own worksheet in Excel)</t>
  </si>
  <si>
    <t>Exhibit 25:  Financial Summary Worksheet</t>
  </si>
  <si>
    <t>Exhibit 26: Unit Size and Affordability Worksheet (Rental)</t>
  </si>
  <si>
    <r>
      <t>This workbook contains spreadsheets for</t>
    </r>
    <r>
      <rPr>
        <b/>
        <sz val="10"/>
        <rFont val="Arial"/>
        <family val="2"/>
      </rPr>
      <t xml:space="preserve"> the 2014 NOFA application: Replacement Unit Analysis, Development Budget, Operating Budget, Financial Summary and Unit Size and Affordability Worksheet</t>
    </r>
    <r>
      <rPr>
        <sz val="10"/>
        <rFont val="Arial"/>
        <family val="2"/>
      </rPr>
      <t>.  You may use our provided 30-Year Proforma worksheet, or provide your own in Excel.  If these are not the right budgets for your project, please open the "Ownership Project Spreadsheets" workbook.</t>
    </r>
  </si>
  <si>
    <r>
      <t>Electronic copy</t>
    </r>
    <r>
      <rPr>
        <sz val="10"/>
        <rFont val="Arial"/>
        <family val="2"/>
      </rPr>
      <t>: must be submitted with your application, either on disk (preferred) or via email to cmorales@oaklandnet.com.</t>
    </r>
  </si>
  <si>
    <t>2014-15 Housing Development NOFA</t>
  </si>
  <si>
    <t>City of Oakland Monitoring Fee</t>
  </si>
  <si>
    <t>* Social Service Coordination is an eligible operating cost.  Direct Social Service provision cannot be funded by operations unless it is a requirement of another funding source.</t>
  </si>
  <si>
    <t>(Less City of Oakland Monitoring Fee)</t>
  </si>
  <si>
    <t># of Special Needs Units</t>
  </si>
  <si>
    <t># of Homeless Units</t>
  </si>
  <si>
    <t>Previous City Funding***</t>
  </si>
  <si>
    <t>*** Do not include predevelopment loans</t>
  </si>
  <si>
    <t xml:space="preserve">     City Loan Fee (1% of Previous Award)</t>
  </si>
  <si>
    <t xml:space="preserve">     City Loan Fee (2% of Current Loan Request)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</si>
</sst>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quot;$&quot;#,##0"/>
    <numFmt numFmtId="166" formatCode="#,##0\ &quot;sf&quot;"/>
    <numFmt numFmtId="167" formatCode="0.0%"/>
  </numFmts>
  <fonts count="34">
    <font>
      <sz val="10"/>
      <name val="Arial"/>
    </font>
    <font>
      <sz val="10"/>
      <name val="Arial"/>
      <family val="2"/>
    </font>
    <font>
      <b/>
      <i/>
      <sz val="12"/>
      <name val="Arial"/>
      <family val="2"/>
    </font>
    <font>
      <b/>
      <sz val="10"/>
      <name val="Arial"/>
      <family val="2"/>
    </font>
    <font>
      <b/>
      <i/>
      <sz val="10"/>
      <name val="Arial"/>
      <family val="2"/>
    </font>
    <font>
      <b/>
      <i/>
      <sz val="11"/>
      <name val="Arial"/>
      <family val="2"/>
    </font>
    <font>
      <b/>
      <sz val="11"/>
      <name val="Arial"/>
      <family val="2"/>
    </font>
    <font>
      <b/>
      <sz val="10"/>
      <color indexed="10"/>
      <name val="Arial"/>
      <family val="2"/>
    </font>
    <font>
      <sz val="10"/>
      <name val="Arial"/>
      <family val="2"/>
    </font>
    <font>
      <b/>
      <sz val="12"/>
      <name val="Arial"/>
      <family val="2"/>
    </font>
    <font>
      <b/>
      <sz val="9"/>
      <name val="Arial"/>
      <family val="2"/>
    </font>
    <font>
      <sz val="9"/>
      <name val="Geneva"/>
    </font>
    <font>
      <sz val="9"/>
      <name val="Arial"/>
      <family val="2"/>
    </font>
    <font>
      <i/>
      <sz val="10"/>
      <name val="Arial"/>
      <family val="2"/>
    </font>
    <font>
      <i/>
      <sz val="10"/>
      <color indexed="9"/>
      <name val="Arial"/>
      <family val="2"/>
    </font>
    <font>
      <b/>
      <sz val="10"/>
      <color indexed="9"/>
      <name val="Arial"/>
      <family val="2"/>
    </font>
    <font>
      <b/>
      <u/>
      <sz val="10"/>
      <name val="Arial"/>
      <family val="2"/>
    </font>
    <font>
      <b/>
      <sz val="10"/>
      <name val="Arial"/>
      <family val="2"/>
    </font>
    <font>
      <sz val="8"/>
      <name val="Arial"/>
      <family val="2"/>
    </font>
    <font>
      <vertAlign val="superscript"/>
      <sz val="10"/>
      <name val="Arial"/>
      <family val="2"/>
    </font>
    <font>
      <b/>
      <vertAlign val="superscript"/>
      <sz val="10"/>
      <name val="Arial"/>
      <family val="2"/>
    </font>
    <font>
      <i/>
      <sz val="12"/>
      <color indexed="10"/>
      <name val="Arial"/>
      <family val="2"/>
    </font>
    <font>
      <sz val="12"/>
      <color indexed="10"/>
      <name val="Arial"/>
      <family val="2"/>
    </font>
    <font>
      <sz val="12"/>
      <name val="Arial"/>
      <family val="2"/>
    </font>
    <font>
      <sz val="9"/>
      <color indexed="55"/>
      <name val="Arial"/>
      <family val="2"/>
    </font>
    <font>
      <b/>
      <sz val="10"/>
      <color indexed="12"/>
      <name val="Arial"/>
      <family val="2"/>
    </font>
    <font>
      <b/>
      <sz val="11"/>
      <color indexed="12"/>
      <name val="Arial"/>
      <family val="2"/>
    </font>
    <font>
      <i/>
      <sz val="10"/>
      <color indexed="10"/>
      <name val="Arial"/>
      <family val="2"/>
    </font>
    <font>
      <sz val="9"/>
      <name val="Arial"/>
      <family val="2"/>
    </font>
    <font>
      <sz val="11"/>
      <name val="Arial"/>
      <family val="2"/>
    </font>
    <font>
      <sz val="8"/>
      <name val="Arial"/>
      <family val="2"/>
    </font>
    <font>
      <u/>
      <sz val="11"/>
      <name val="Arial"/>
      <family val="2"/>
    </font>
    <font>
      <i/>
      <sz val="11"/>
      <name val="Arial"/>
      <family val="2"/>
    </font>
    <font>
      <sz val="24"/>
      <name val="Arial"/>
      <family val="2"/>
    </font>
  </fonts>
  <fills count="15">
    <fill>
      <patternFill patternType="none"/>
    </fill>
    <fill>
      <patternFill patternType="gray125"/>
    </fill>
    <fill>
      <patternFill patternType="solid">
        <fgColor indexed="42"/>
        <bgColor indexed="64"/>
      </patternFill>
    </fill>
    <fill>
      <patternFill patternType="solid">
        <fgColor indexed="62"/>
        <bgColor indexed="64"/>
      </patternFill>
    </fill>
    <fill>
      <patternFill patternType="solid">
        <fgColor indexed="57"/>
        <bgColor indexed="64"/>
      </patternFill>
    </fill>
    <fill>
      <patternFill patternType="solid">
        <fgColor indexed="18"/>
        <bgColor indexed="64"/>
      </patternFill>
    </fill>
    <fill>
      <patternFill patternType="solid">
        <fgColor indexed="44"/>
        <bgColor indexed="64"/>
      </patternFill>
    </fill>
    <fill>
      <patternFill patternType="solid">
        <fgColor indexed="55"/>
        <bgColor indexed="64"/>
      </patternFill>
    </fill>
    <fill>
      <patternFill patternType="solid">
        <fgColor indexed="41"/>
        <bgColor indexed="64"/>
      </patternFill>
    </fill>
    <fill>
      <patternFill patternType="solid">
        <fgColor indexed="22"/>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rgb="FFCCFFCC"/>
        <bgColor indexed="64"/>
      </patternFill>
    </fill>
  </fills>
  <borders count="104">
    <border>
      <left/>
      <right/>
      <top/>
      <bottom/>
      <diagonal/>
    </border>
    <border>
      <left/>
      <right/>
      <top/>
      <bottom style="double">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top style="double">
        <color indexed="64"/>
      </top>
      <bottom/>
      <diagonal/>
    </border>
    <border>
      <left style="double">
        <color indexed="64"/>
      </left>
      <right/>
      <top/>
      <bottom style="thin">
        <color indexed="64"/>
      </bottom>
      <diagonal/>
    </border>
    <border>
      <left/>
      <right/>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thin">
        <color indexed="64"/>
      </top>
      <bottom/>
      <diagonal/>
    </border>
    <border>
      <left style="thin">
        <color indexed="64"/>
      </left>
      <right style="double">
        <color indexed="64"/>
      </right>
      <top/>
      <bottom style="thin">
        <color indexed="64"/>
      </bottom>
      <diagonal/>
    </border>
    <border>
      <left/>
      <right/>
      <top style="dashed">
        <color indexed="64"/>
      </top>
      <bottom/>
      <diagonal/>
    </border>
    <border>
      <left/>
      <right style="thin">
        <color indexed="64"/>
      </right>
      <top style="dashed">
        <color indexed="64"/>
      </top>
      <bottom/>
      <diagonal/>
    </border>
    <border>
      <left style="thin">
        <color indexed="64"/>
      </left>
      <right style="double">
        <color indexed="64"/>
      </right>
      <top style="dashed">
        <color indexed="64"/>
      </top>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double">
        <color indexed="64"/>
      </right>
      <top/>
      <bottom style="dotted">
        <color indexed="64"/>
      </bottom>
      <diagonal/>
    </border>
    <border>
      <left/>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thin">
        <color indexed="64"/>
      </right>
      <top/>
      <bottom style="hair">
        <color indexed="64"/>
      </bottom>
      <diagonal/>
    </border>
    <border>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double">
        <color indexed="64"/>
      </left>
      <right/>
      <top style="medium">
        <color indexed="64"/>
      </top>
      <bottom style="thin">
        <color indexed="64"/>
      </bottom>
      <diagonal/>
    </border>
    <border>
      <left style="double">
        <color indexed="64"/>
      </left>
      <right/>
      <top style="thin">
        <color indexed="64"/>
      </top>
      <bottom style="medium">
        <color indexed="64"/>
      </bottom>
      <diagonal/>
    </border>
    <border>
      <left style="double">
        <color indexed="64"/>
      </left>
      <right/>
      <top style="medium">
        <color indexed="64"/>
      </top>
      <bottom style="double">
        <color indexed="64"/>
      </bottom>
      <diagonal/>
    </border>
    <border>
      <left style="thin">
        <color indexed="64"/>
      </left>
      <right style="thin">
        <color indexed="64"/>
      </right>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top/>
      <bottom style="hair">
        <color indexed="64"/>
      </bottom>
      <diagonal/>
    </border>
    <border>
      <left/>
      <right style="double">
        <color indexed="64"/>
      </right>
      <top style="hair">
        <color indexed="64"/>
      </top>
      <bottom style="hair">
        <color indexed="64"/>
      </bottom>
      <diagonal/>
    </border>
    <border>
      <left/>
      <right style="double">
        <color indexed="64"/>
      </right>
      <top style="thin">
        <color indexed="64"/>
      </top>
      <bottom style="thin">
        <color indexed="64"/>
      </bottom>
      <diagonal/>
    </border>
    <border>
      <left/>
      <right style="double">
        <color indexed="64"/>
      </right>
      <top/>
      <bottom style="hair">
        <color indexed="64"/>
      </bottom>
      <diagonal/>
    </border>
    <border>
      <left style="double">
        <color indexed="64"/>
      </left>
      <right style="thin">
        <color indexed="64"/>
      </right>
      <top style="double">
        <color indexed="64"/>
      </top>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double">
        <color indexed="64"/>
      </left>
      <right style="thin">
        <color indexed="64"/>
      </right>
      <top/>
      <bottom style="double">
        <color indexed="64"/>
      </bottom>
      <diagonal/>
    </border>
    <border>
      <left style="double">
        <color indexed="64"/>
      </left>
      <right style="thin">
        <color indexed="64"/>
      </right>
      <top style="medium">
        <color indexed="64"/>
      </top>
      <bottom style="thin">
        <color indexed="64"/>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right style="double">
        <color indexed="64"/>
      </right>
      <top/>
      <bottom style="medium">
        <color indexed="64"/>
      </bottom>
      <diagonal/>
    </border>
    <border>
      <left style="double">
        <color indexed="64"/>
      </left>
      <right style="thin">
        <color indexed="64"/>
      </right>
      <top/>
      <bottom style="medium">
        <color indexed="64"/>
      </bottom>
      <diagonal/>
    </border>
    <border>
      <left style="thin">
        <color indexed="64"/>
      </left>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1" fillId="0" borderId="0"/>
    <xf numFmtId="9" fontId="1" fillId="0" borderId="0" applyFont="0" applyFill="0" applyBorder="0" applyAlignment="0" applyProtection="0"/>
  </cellStyleXfs>
  <cellXfs count="492">
    <xf numFmtId="0" fontId="0" fillId="0" borderId="0" xfId="0"/>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6" fillId="0" borderId="0" xfId="0" applyFont="1" applyBorder="1" applyAlignment="1" applyProtection="1">
      <alignment horizontal="center"/>
    </xf>
    <xf numFmtId="0" fontId="0" fillId="0" borderId="0" xfId="0" applyProtection="1"/>
    <xf numFmtId="0" fontId="0" fillId="0" borderId="0" xfId="0" applyAlignment="1" applyProtection="1">
      <alignment horizontal="left" wrapText="1"/>
    </xf>
    <xf numFmtId="0" fontId="8" fillId="0" borderId="0" xfId="0" applyFont="1" applyProtection="1"/>
    <xf numFmtId="0" fontId="8" fillId="2" borderId="0" xfId="0" applyFont="1" applyFill="1" applyProtection="1">
      <protection locked="0"/>
    </xf>
    <xf numFmtId="0" fontId="3" fillId="0" borderId="0" xfId="0" applyFont="1" applyProtection="1"/>
    <xf numFmtId="0" fontId="9" fillId="0" borderId="0" xfId="0" applyFont="1" applyProtection="1"/>
    <xf numFmtId="0" fontId="0" fillId="0" borderId="0" xfId="0" applyFill="1" applyProtection="1"/>
    <xf numFmtId="0" fontId="0" fillId="2" borderId="0" xfId="0" applyFill="1" applyProtection="1">
      <protection locked="0"/>
    </xf>
    <xf numFmtId="0" fontId="0" fillId="0" borderId="1" xfId="0" applyBorder="1" applyProtection="1"/>
    <xf numFmtId="0" fontId="0" fillId="0" borderId="1" xfId="0" applyFill="1" applyBorder="1" applyProtection="1"/>
    <xf numFmtId="0" fontId="10" fillId="0" borderId="2" xfId="3" applyFont="1" applyBorder="1" applyAlignment="1" applyProtection="1">
      <alignment horizontal="center" wrapText="1"/>
    </xf>
    <xf numFmtId="0" fontId="12" fillId="2" borderId="3" xfId="3" applyFont="1" applyFill="1" applyBorder="1" applyProtection="1">
      <protection locked="0"/>
    </xf>
    <xf numFmtId="0" fontId="12" fillId="2" borderId="4" xfId="3" applyFont="1" applyFill="1" applyBorder="1" applyProtection="1">
      <protection locked="0"/>
    </xf>
    <xf numFmtId="0" fontId="12" fillId="2" borderId="5" xfId="3" applyFont="1" applyFill="1" applyBorder="1" applyAlignment="1" applyProtection="1">
      <alignment horizontal="center"/>
      <protection locked="0"/>
    </xf>
    <xf numFmtId="0" fontId="12" fillId="2" borderId="6" xfId="3" applyFont="1" applyFill="1" applyBorder="1" applyAlignment="1" applyProtection="1">
      <alignment horizontal="center" vertical="center"/>
      <protection locked="0"/>
    </xf>
    <xf numFmtId="0" fontId="12" fillId="2" borderId="7" xfId="3" applyFont="1" applyFill="1" applyBorder="1" applyAlignment="1" applyProtection="1">
      <alignment horizontal="center"/>
      <protection locked="0"/>
    </xf>
    <xf numFmtId="0" fontId="12" fillId="2" borderId="8" xfId="3" applyFont="1" applyFill="1" applyBorder="1" applyAlignment="1" applyProtection="1">
      <alignment horizontal="center"/>
      <protection locked="0"/>
    </xf>
    <xf numFmtId="0" fontId="12" fillId="2" borderId="9" xfId="3" applyFont="1" applyFill="1" applyBorder="1" applyProtection="1">
      <protection locked="0"/>
    </xf>
    <xf numFmtId="0" fontId="12" fillId="2" borderId="10" xfId="3" applyFont="1" applyFill="1" applyBorder="1" applyProtection="1">
      <protection locked="0"/>
    </xf>
    <xf numFmtId="0" fontId="12" fillId="2" borderId="11" xfId="3" applyFont="1" applyFill="1" applyBorder="1" applyAlignment="1" applyProtection="1">
      <alignment horizontal="center"/>
      <protection locked="0"/>
    </xf>
    <xf numFmtId="0" fontId="12" fillId="2" borderId="12" xfId="3" applyFont="1" applyFill="1" applyBorder="1" applyAlignment="1" applyProtection="1">
      <alignment horizontal="center"/>
      <protection locked="0"/>
    </xf>
    <xf numFmtId="0" fontId="12" fillId="2" borderId="13" xfId="3" applyFont="1" applyFill="1" applyBorder="1" applyAlignment="1" applyProtection="1">
      <alignment horizontal="center"/>
      <protection locked="0"/>
    </xf>
    <xf numFmtId="0" fontId="12" fillId="2" borderId="14" xfId="3" applyFont="1" applyFill="1" applyBorder="1" applyAlignment="1" applyProtection="1">
      <alignment horizontal="center"/>
      <protection locked="0"/>
    </xf>
    <xf numFmtId="0" fontId="12" fillId="2" borderId="15" xfId="3" applyFont="1" applyFill="1" applyBorder="1" applyProtection="1">
      <protection locked="0"/>
    </xf>
    <xf numFmtId="0" fontId="12" fillId="2" borderId="16" xfId="3" applyFont="1" applyFill="1" applyBorder="1" applyProtection="1">
      <protection locked="0"/>
    </xf>
    <xf numFmtId="0" fontId="12" fillId="2" borderId="17" xfId="3" applyFont="1" applyFill="1" applyBorder="1" applyAlignment="1" applyProtection="1">
      <alignment horizontal="center"/>
      <protection locked="0"/>
    </xf>
    <xf numFmtId="0" fontId="12" fillId="2" borderId="18" xfId="3" applyFont="1" applyFill="1" applyBorder="1" applyAlignment="1" applyProtection="1">
      <alignment horizontal="center"/>
      <protection locked="0"/>
    </xf>
    <xf numFmtId="0" fontId="12" fillId="0" borderId="19" xfId="3" applyFont="1" applyBorder="1" applyProtection="1"/>
    <xf numFmtId="0" fontId="12" fillId="0" borderId="0" xfId="3" applyFont="1" applyBorder="1" applyProtection="1"/>
    <xf numFmtId="0" fontId="9" fillId="0" borderId="1" xfId="3" applyFont="1" applyBorder="1" applyProtection="1"/>
    <xf numFmtId="0" fontId="6" fillId="0" borderId="1" xfId="3" applyFont="1" applyBorder="1" applyAlignment="1" applyProtection="1">
      <alignment horizontal="right"/>
    </xf>
    <xf numFmtId="0" fontId="6" fillId="0" borderId="1" xfId="3" applyFont="1" applyBorder="1" applyAlignment="1" applyProtection="1">
      <alignment horizontal="center"/>
    </xf>
    <xf numFmtId="0" fontId="6" fillId="0" borderId="0" xfId="3" applyFont="1" applyBorder="1" applyAlignment="1" applyProtection="1">
      <alignment horizontal="right" wrapText="1"/>
    </xf>
    <xf numFmtId="0" fontId="12" fillId="0" borderId="20" xfId="3" applyFont="1" applyBorder="1" applyProtection="1"/>
    <xf numFmtId="0" fontId="6" fillId="0" borderId="21" xfId="3" applyFont="1" applyBorder="1" applyAlignment="1" applyProtection="1">
      <alignment horizontal="right"/>
    </xf>
    <xf numFmtId="0" fontId="10" fillId="0" borderId="4" xfId="3" applyFont="1" applyBorder="1" applyAlignment="1" applyProtection="1">
      <alignment horizontal="right"/>
    </xf>
    <xf numFmtId="0" fontId="0" fillId="2" borderId="22" xfId="0" applyFill="1" applyBorder="1" applyAlignment="1" applyProtection="1">
      <alignment horizontal="center"/>
      <protection locked="0"/>
    </xf>
    <xf numFmtId="0" fontId="10" fillId="0" borderId="23" xfId="3" applyFont="1" applyBorder="1" applyProtection="1"/>
    <xf numFmtId="0" fontId="0" fillId="0" borderId="24" xfId="0" applyBorder="1" applyProtection="1"/>
    <xf numFmtId="0" fontId="10" fillId="0" borderId="10" xfId="3" applyFont="1" applyBorder="1" applyAlignment="1" applyProtection="1">
      <alignment horizontal="right"/>
    </xf>
    <xf numFmtId="0" fontId="8" fillId="2" borderId="14" xfId="3" applyFont="1" applyFill="1" applyBorder="1" applyAlignment="1" applyProtection="1">
      <alignment horizontal="center"/>
      <protection locked="0"/>
    </xf>
    <xf numFmtId="0" fontId="12" fillId="0" borderId="23" xfId="3" applyFont="1" applyBorder="1" applyProtection="1"/>
    <xf numFmtId="0" fontId="12" fillId="0" borderId="25" xfId="3" applyFont="1" applyBorder="1" applyProtection="1"/>
    <xf numFmtId="0" fontId="0" fillId="0" borderId="26" xfId="0" applyBorder="1" applyProtection="1"/>
    <xf numFmtId="0" fontId="10" fillId="0" borderId="16" xfId="3" applyFont="1" applyBorder="1" applyAlignment="1" applyProtection="1">
      <alignment horizontal="right"/>
    </xf>
    <xf numFmtId="0" fontId="0" fillId="0" borderId="21" xfId="0" applyBorder="1" applyAlignment="1" applyProtection="1">
      <alignment horizontal="center"/>
    </xf>
    <xf numFmtId="0" fontId="13" fillId="0" borderId="0" xfId="0" applyFont="1" applyBorder="1" applyAlignment="1" applyProtection="1">
      <alignment horizontal="right"/>
    </xf>
    <xf numFmtId="0" fontId="13" fillId="0" borderId="0" xfId="0" applyFont="1" applyFill="1" applyBorder="1" applyAlignment="1" applyProtection="1">
      <alignment horizontal="right"/>
    </xf>
    <xf numFmtId="0" fontId="13" fillId="0" borderId="27" xfId="0" applyFont="1" applyBorder="1" applyAlignment="1" applyProtection="1">
      <alignment horizontal="center"/>
    </xf>
    <xf numFmtId="0" fontId="14" fillId="3" borderId="10" xfId="0" applyFont="1" applyFill="1" applyBorder="1" applyAlignment="1" applyProtection="1">
      <alignment horizontal="center"/>
    </xf>
    <xf numFmtId="0" fontId="14" fillId="4" borderId="10" xfId="0" applyFont="1" applyFill="1" applyBorder="1" applyAlignment="1" applyProtection="1">
      <alignment horizontal="center"/>
    </xf>
    <xf numFmtId="0" fontId="3" fillId="0" borderId="0" xfId="0" applyFont="1" applyFill="1" applyBorder="1" applyAlignment="1" applyProtection="1">
      <alignment horizontal="left" wrapText="1"/>
    </xf>
    <xf numFmtId="0" fontId="0" fillId="0" borderId="0" xfId="0" applyFill="1" applyBorder="1" applyProtection="1"/>
    <xf numFmtId="3" fontId="3" fillId="2" borderId="28" xfId="0" applyNumberFormat="1" applyFont="1" applyFill="1" applyBorder="1" applyAlignment="1" applyProtection="1">
      <alignment horizontal="center" wrapText="1"/>
      <protection locked="0"/>
    </xf>
    <xf numFmtId="0" fontId="12" fillId="0" borderId="21" xfId="0" applyFont="1" applyBorder="1" applyAlignment="1" applyProtection="1">
      <alignment horizontal="right" shrinkToFit="1"/>
    </xf>
    <xf numFmtId="0" fontId="3" fillId="2" borderId="29" xfId="0" applyFont="1" applyFill="1" applyBorder="1" applyAlignment="1" applyProtection="1">
      <alignment horizontal="center" wrapText="1"/>
      <protection locked="0"/>
    </xf>
    <xf numFmtId="0" fontId="0" fillId="0" borderId="21" xfId="0" applyBorder="1" applyProtection="1"/>
    <xf numFmtId="0" fontId="0" fillId="0" borderId="30" xfId="0" applyBorder="1" applyProtection="1"/>
    <xf numFmtId="0" fontId="3" fillId="0" borderId="31" xfId="0" applyFont="1" applyFill="1" applyBorder="1" applyAlignment="1" applyProtection="1">
      <alignment horizontal="center" vertical="top" wrapText="1"/>
    </xf>
    <xf numFmtId="0" fontId="15" fillId="5" borderId="31" xfId="0" applyFont="1" applyFill="1" applyBorder="1" applyAlignment="1" applyProtection="1">
      <alignment horizontal="center" vertical="top" wrapText="1"/>
    </xf>
    <xf numFmtId="0" fontId="15" fillId="4" borderId="31" xfId="0" applyFont="1" applyFill="1" applyBorder="1" applyAlignment="1" applyProtection="1">
      <alignment horizontal="center" vertical="top" wrapText="1"/>
    </xf>
    <xf numFmtId="0" fontId="3" fillId="6" borderId="21" xfId="0" applyFont="1" applyFill="1" applyBorder="1" applyAlignment="1" applyProtection="1">
      <alignment horizontal="center"/>
    </xf>
    <xf numFmtId="0" fontId="0" fillId="6" borderId="4" xfId="0" applyFill="1" applyBorder="1" applyAlignment="1" applyProtection="1">
      <alignment horizontal="center" wrapText="1"/>
    </xf>
    <xf numFmtId="0" fontId="0" fillId="6" borderId="32" xfId="0" applyFill="1" applyBorder="1" applyAlignment="1" applyProtection="1">
      <alignment horizontal="center" wrapText="1"/>
    </xf>
    <xf numFmtId="0" fontId="0" fillId="6" borderId="21" xfId="0" applyFill="1" applyBorder="1" applyAlignment="1" applyProtection="1">
      <alignment horizontal="center" wrapText="1"/>
    </xf>
    <xf numFmtId="0" fontId="3" fillId="0" borderId="0" xfId="0" applyFont="1" applyBorder="1" applyProtection="1"/>
    <xf numFmtId="42" fontId="0" fillId="0" borderId="28" xfId="0" applyNumberFormat="1" applyBorder="1" applyProtection="1"/>
    <xf numFmtId="42" fontId="0" fillId="0" borderId="8" xfId="0" applyNumberFormat="1" applyBorder="1" applyProtection="1"/>
    <xf numFmtId="42" fontId="0" fillId="0" borderId="0" xfId="0" applyNumberFormat="1" applyBorder="1" applyProtection="1"/>
    <xf numFmtId="0" fontId="0" fillId="0" borderId="0" xfId="0" applyBorder="1" applyProtection="1"/>
    <xf numFmtId="37" fontId="0" fillId="2" borderId="28" xfId="0" applyNumberFormat="1" applyFill="1" applyBorder="1" applyProtection="1">
      <protection locked="0"/>
    </xf>
    <xf numFmtId="37" fontId="0" fillId="2" borderId="8" xfId="0" applyNumberFormat="1" applyFill="1" applyBorder="1" applyProtection="1">
      <protection locked="0"/>
    </xf>
    <xf numFmtId="37" fontId="0" fillId="2" borderId="0" xfId="0" applyNumberFormat="1" applyFill="1" applyBorder="1" applyProtection="1">
      <protection locked="0"/>
    </xf>
    <xf numFmtId="0" fontId="3" fillId="0" borderId="33" xfId="0" applyFont="1" applyBorder="1" applyAlignment="1" applyProtection="1">
      <alignment horizontal="right"/>
    </xf>
    <xf numFmtId="42" fontId="0" fillId="0" borderId="34" xfId="0" applyNumberFormat="1" applyBorder="1" applyProtection="1"/>
    <xf numFmtId="42" fontId="0" fillId="0" borderId="35" xfId="0" applyNumberFormat="1" applyBorder="1" applyProtection="1"/>
    <xf numFmtId="42" fontId="0" fillId="0" borderId="33" xfId="0" applyNumberFormat="1" applyBorder="1" applyProtection="1"/>
    <xf numFmtId="0" fontId="3" fillId="0" borderId="0" xfId="0" applyFont="1" applyBorder="1" applyAlignment="1" applyProtection="1">
      <alignment horizontal="right"/>
    </xf>
    <xf numFmtId="37" fontId="0" fillId="7" borderId="0" xfId="0" applyNumberFormat="1" applyFill="1" applyBorder="1" applyProtection="1"/>
    <xf numFmtId="0" fontId="3" fillId="0" borderId="0" xfId="0" applyFont="1" applyFill="1" applyBorder="1" applyProtection="1"/>
    <xf numFmtId="42" fontId="0" fillId="0" borderId="28" xfId="0" applyNumberFormat="1" applyFill="1" applyBorder="1" applyProtection="1"/>
    <xf numFmtId="42" fontId="0" fillId="0" borderId="8" xfId="0" applyNumberFormat="1" applyFill="1" applyBorder="1" applyProtection="1"/>
    <xf numFmtId="42" fontId="0" fillId="0" borderId="0" xfId="0" applyNumberFormat="1" applyFill="1" applyBorder="1" applyProtection="1"/>
    <xf numFmtId="0" fontId="0" fillId="2" borderId="0" xfId="0" applyFill="1" applyBorder="1" applyProtection="1">
      <protection locked="0"/>
    </xf>
    <xf numFmtId="0" fontId="0" fillId="0" borderId="0" xfId="0" applyBorder="1" applyAlignment="1" applyProtection="1">
      <alignment wrapText="1"/>
    </xf>
    <xf numFmtId="0" fontId="3" fillId="0" borderId="0" xfId="0" applyFont="1" applyBorder="1" applyAlignment="1" applyProtection="1">
      <alignment horizontal="left"/>
    </xf>
    <xf numFmtId="42" fontId="8" fillId="0" borderId="34" xfId="0" applyNumberFormat="1" applyFont="1" applyBorder="1" applyProtection="1"/>
    <xf numFmtId="42" fontId="8" fillId="0" borderId="35" xfId="0" applyNumberFormat="1" applyFont="1" applyBorder="1" applyProtection="1"/>
    <xf numFmtId="42" fontId="8" fillId="0" borderId="33" xfId="0" applyNumberFormat="1" applyFont="1" applyBorder="1" applyProtection="1"/>
    <xf numFmtId="42" fontId="8" fillId="0" borderId="28" xfId="0" applyNumberFormat="1" applyFont="1" applyBorder="1" applyProtection="1"/>
    <xf numFmtId="42" fontId="8" fillId="0" borderId="8" xfId="0" applyNumberFormat="1" applyFont="1" applyBorder="1" applyProtection="1"/>
    <xf numFmtId="42" fontId="8" fillId="0" borderId="0" xfId="0" applyNumberFormat="1" applyFont="1" applyBorder="1" applyProtection="1"/>
    <xf numFmtId="0" fontId="8" fillId="0" borderId="0" xfId="0" applyFont="1" applyBorder="1" applyProtection="1"/>
    <xf numFmtId="0" fontId="3" fillId="0" borderId="33" xfId="0" applyFont="1" applyFill="1" applyBorder="1" applyAlignment="1" applyProtection="1">
      <alignment horizontal="right"/>
    </xf>
    <xf numFmtId="42" fontId="0" fillId="0" borderId="34" xfId="0" applyNumberFormat="1" applyFill="1" applyBorder="1" applyProtection="1"/>
    <xf numFmtId="42" fontId="0" fillId="0" borderId="35" xfId="0" applyNumberFormat="1" applyFill="1" applyBorder="1" applyProtection="1"/>
    <xf numFmtId="42" fontId="0" fillId="0" borderId="33" xfId="0" applyNumberFormat="1" applyFill="1" applyBorder="1" applyProtection="1"/>
    <xf numFmtId="0" fontId="3" fillId="0" borderId="0" xfId="0" applyFont="1" applyFill="1" applyBorder="1" applyAlignment="1" applyProtection="1">
      <alignment horizontal="right"/>
    </xf>
    <xf numFmtId="0" fontId="0" fillId="2" borderId="36" xfId="0" applyFill="1" applyBorder="1" applyProtection="1">
      <protection locked="0"/>
    </xf>
    <xf numFmtId="42" fontId="0" fillId="0" borderId="37" xfId="0" applyNumberFormat="1" applyBorder="1" applyProtection="1"/>
    <xf numFmtId="37" fontId="0" fillId="2" borderId="38" xfId="0" applyNumberFormat="1" applyFill="1" applyBorder="1" applyProtection="1">
      <protection locked="0"/>
    </xf>
    <xf numFmtId="37" fontId="0" fillId="2" borderId="37" xfId="0" applyNumberFormat="1" applyFill="1" applyBorder="1" applyProtection="1">
      <protection locked="0"/>
    </xf>
    <xf numFmtId="37" fontId="0" fillId="2" borderId="39" xfId="0" applyNumberFormat="1" applyFill="1" applyBorder="1" applyProtection="1">
      <protection locked="0"/>
    </xf>
    <xf numFmtId="37" fontId="0" fillId="2" borderId="36" xfId="0" applyNumberFormat="1" applyFill="1" applyBorder="1" applyProtection="1">
      <protection locked="0"/>
    </xf>
    <xf numFmtId="42" fontId="0" fillId="7" borderId="0" xfId="0" applyNumberFormat="1" applyFill="1" applyBorder="1" applyProtection="1"/>
    <xf numFmtId="42" fontId="0" fillId="2" borderId="28" xfId="0" applyNumberFormat="1" applyFill="1" applyBorder="1" applyProtection="1">
      <protection locked="0"/>
    </xf>
    <xf numFmtId="42" fontId="0" fillId="2" borderId="8" xfId="0" applyNumberFormat="1" applyFill="1" applyBorder="1" applyProtection="1">
      <protection locked="0"/>
    </xf>
    <xf numFmtId="42" fontId="0" fillId="2" borderId="0" xfId="0" applyNumberFormat="1" applyFill="1" applyBorder="1" applyProtection="1">
      <protection locked="0"/>
    </xf>
    <xf numFmtId="0" fontId="3" fillId="2" borderId="0" xfId="0" applyFont="1" applyFill="1" applyBorder="1" applyProtection="1">
      <protection locked="0"/>
    </xf>
    <xf numFmtId="0" fontId="9" fillId="0" borderId="40" xfId="0" applyFont="1" applyBorder="1" applyProtection="1"/>
    <xf numFmtId="42" fontId="9" fillId="0" borderId="31" xfId="0" applyNumberFormat="1" applyFont="1" applyBorder="1" applyProtection="1"/>
    <xf numFmtId="42" fontId="9" fillId="0" borderId="13" xfId="0" applyNumberFormat="1" applyFont="1" applyBorder="1" applyProtection="1"/>
    <xf numFmtId="0" fontId="9" fillId="0" borderId="0" xfId="0" applyFont="1" applyBorder="1" applyProtection="1"/>
    <xf numFmtId="42" fontId="9" fillId="0" borderId="28" xfId="0" applyNumberFormat="1" applyFont="1" applyBorder="1" applyProtection="1"/>
    <xf numFmtId="42" fontId="9" fillId="0" borderId="8" xfId="0" applyNumberFormat="1" applyFont="1" applyBorder="1" applyProtection="1"/>
    <xf numFmtId="42" fontId="9" fillId="0" borderId="0" xfId="0" applyNumberFormat="1" applyFont="1" applyBorder="1" applyProtection="1"/>
    <xf numFmtId="0" fontId="9" fillId="0" borderId="21" xfId="0" applyFont="1" applyBorder="1" applyProtection="1"/>
    <xf numFmtId="42" fontId="9" fillId="0" borderId="4" xfId="0" applyNumberFormat="1" applyFont="1" applyBorder="1" applyProtection="1"/>
    <xf numFmtId="42" fontId="9" fillId="0" borderId="32" xfId="0" applyNumberFormat="1" applyFont="1" applyBorder="1" applyProtection="1"/>
    <xf numFmtId="0" fontId="0" fillId="0" borderId="28" xfId="0" applyBorder="1" applyProtection="1"/>
    <xf numFmtId="0" fontId="9" fillId="0" borderId="0" xfId="0" applyFont="1" applyAlignment="1" applyProtection="1">
      <alignment horizontal="center"/>
    </xf>
    <xf numFmtId="0" fontId="0" fillId="0" borderId="0" xfId="0" applyBorder="1" applyAlignment="1" applyProtection="1">
      <alignment horizontal="center"/>
    </xf>
    <xf numFmtId="0" fontId="3" fillId="0" borderId="0" xfId="0" applyFont="1" applyBorder="1" applyAlignment="1" applyProtection="1">
      <alignment horizontal="left" wrapText="1"/>
    </xf>
    <xf numFmtId="0" fontId="3" fillId="0" borderId="0" xfId="0" applyFont="1" applyBorder="1" applyAlignment="1" applyProtection="1">
      <alignment horizontal="center" wrapText="1"/>
    </xf>
    <xf numFmtId="0" fontId="13" fillId="0" borderId="21" xfId="0" applyFont="1" applyBorder="1" applyAlignment="1" applyProtection="1">
      <alignment horizontal="right"/>
    </xf>
    <xf numFmtId="0" fontId="3" fillId="6" borderId="24" xfId="0" applyFont="1" applyFill="1" applyBorder="1" applyAlignment="1" applyProtection="1">
      <alignment horizontal="center" wrapText="1"/>
    </xf>
    <xf numFmtId="4" fontId="16" fillId="8" borderId="40" xfId="0" applyNumberFormat="1" applyFont="1" applyFill="1" applyBorder="1" applyAlignment="1" applyProtection="1">
      <alignment horizontal="left"/>
    </xf>
    <xf numFmtId="0" fontId="17" fillId="8" borderId="40" xfId="0" applyNumberFormat="1" applyFont="1" applyFill="1" applyBorder="1" applyAlignment="1" applyProtection="1">
      <alignment horizontal="center"/>
    </xf>
    <xf numFmtId="0" fontId="1" fillId="0" borderId="0" xfId="0" applyNumberFormat="1" applyFont="1" applyBorder="1" applyAlignment="1" applyProtection="1">
      <alignment horizontal="center"/>
    </xf>
    <xf numFmtId="4" fontId="3" fillId="0" borderId="0" xfId="0" applyNumberFormat="1" applyFont="1" applyFill="1" applyBorder="1" applyAlignment="1" applyProtection="1">
      <alignment horizontal="right"/>
    </xf>
    <xf numFmtId="4" fontId="16" fillId="8" borderId="0" xfId="0" applyNumberFormat="1" applyFont="1" applyFill="1" applyBorder="1" applyAlignment="1" applyProtection="1">
      <alignment horizontal="left"/>
    </xf>
    <xf numFmtId="0" fontId="1" fillId="8" borderId="0" xfId="0" applyNumberFormat="1" applyFont="1" applyFill="1" applyBorder="1" applyAlignment="1" applyProtection="1">
      <alignment horizontal="center"/>
    </xf>
    <xf numFmtId="0" fontId="16" fillId="8" borderId="0" xfId="0" applyFont="1" applyFill="1" applyBorder="1" applyProtection="1"/>
    <xf numFmtId="4" fontId="16" fillId="8" borderId="0" xfId="0" applyNumberFormat="1" applyFont="1" applyFill="1" applyBorder="1" applyProtection="1"/>
    <xf numFmtId="4" fontId="3" fillId="0" borderId="0" xfId="0" applyNumberFormat="1" applyFont="1" applyFill="1" applyBorder="1" applyAlignment="1" applyProtection="1">
      <alignment horizontal="right" wrapText="1"/>
    </xf>
    <xf numFmtId="4" fontId="16" fillId="8" borderId="0" xfId="0" applyNumberFormat="1" applyFont="1" applyFill="1" applyBorder="1" applyAlignment="1" applyProtection="1">
      <alignment horizontal="left" vertical="center"/>
    </xf>
    <xf numFmtId="0" fontId="1" fillId="8" borderId="0" xfId="0" applyFont="1" applyFill="1" applyBorder="1" applyAlignment="1" applyProtection="1">
      <alignment horizontal="center" wrapText="1"/>
    </xf>
    <xf numFmtId="0" fontId="0" fillId="0" borderId="0" xfId="0" applyBorder="1" applyAlignment="1" applyProtection="1">
      <alignment horizontal="center" wrapText="1"/>
    </xf>
    <xf numFmtId="0" fontId="17" fillId="8" borderId="0" xfId="0" applyNumberFormat="1" applyFont="1" applyFill="1" applyBorder="1" applyAlignment="1" applyProtection="1">
      <alignment horizontal="center" wrapText="1"/>
    </xf>
    <xf numFmtId="0" fontId="1" fillId="0" borderId="0" xfId="0" applyFont="1" applyBorder="1" applyAlignment="1" applyProtection="1">
      <alignment horizontal="center"/>
    </xf>
    <xf numFmtId="0" fontId="8" fillId="0" borderId="0" xfId="0" applyNumberFormat="1" applyFont="1" applyFill="1" applyBorder="1" applyAlignment="1" applyProtection="1">
      <alignment horizontal="center" wrapText="1"/>
    </xf>
    <xf numFmtId="0" fontId="3" fillId="0" borderId="0" xfId="0" applyNumberFormat="1" applyFont="1" applyBorder="1" applyAlignment="1" applyProtection="1">
      <alignment horizontal="center"/>
    </xf>
    <xf numFmtId="0" fontId="0" fillId="0" borderId="0" xfId="0" applyAlignment="1" applyProtection="1">
      <alignment horizontal="center"/>
    </xf>
    <xf numFmtId="0" fontId="9" fillId="0" borderId="27" xfId="0" applyFont="1" applyBorder="1" applyProtection="1"/>
    <xf numFmtId="0" fontId="9" fillId="0" borderId="24" xfId="0" applyNumberFormat="1" applyFont="1" applyBorder="1" applyAlignment="1" applyProtection="1">
      <alignment horizontal="center"/>
    </xf>
    <xf numFmtId="0" fontId="6" fillId="0" borderId="0" xfId="0" applyFont="1" applyFill="1" applyBorder="1" applyAlignment="1" applyProtection="1">
      <alignment horizontal="center"/>
    </xf>
    <xf numFmtId="0" fontId="0" fillId="0" borderId="0" xfId="0" applyAlignment="1" applyProtection="1">
      <alignment wrapText="1"/>
    </xf>
    <xf numFmtId="0" fontId="13" fillId="0" borderId="5" xfId="0" applyFont="1" applyFill="1" applyBorder="1" applyAlignment="1" applyProtection="1">
      <alignment horizontal="center"/>
    </xf>
    <xf numFmtId="0" fontId="14" fillId="3" borderId="5" xfId="0" applyFont="1" applyFill="1" applyBorder="1" applyAlignment="1" applyProtection="1">
      <alignment horizontal="center"/>
    </xf>
    <xf numFmtId="0" fontId="14" fillId="4" borderId="5" xfId="0" applyFont="1" applyFill="1" applyBorder="1" applyAlignment="1" applyProtection="1">
      <alignment horizontal="center"/>
    </xf>
    <xf numFmtId="0" fontId="3" fillId="0" borderId="27" xfId="0" applyFont="1" applyBorder="1" applyAlignment="1" applyProtection="1">
      <alignment wrapText="1"/>
    </xf>
    <xf numFmtId="0" fontId="0" fillId="0" borderId="5" xfId="0" applyFill="1" applyBorder="1" applyProtection="1"/>
    <xf numFmtId="0" fontId="0" fillId="2" borderId="5" xfId="0" applyFill="1" applyBorder="1" applyProtection="1">
      <protection locked="0"/>
    </xf>
    <xf numFmtId="0" fontId="3" fillId="0" borderId="24" xfId="0" applyFont="1" applyBorder="1" applyAlignment="1" applyProtection="1">
      <alignment wrapText="1"/>
    </xf>
    <xf numFmtId="0" fontId="3" fillId="0" borderId="41" xfId="0" applyFont="1" applyBorder="1" applyAlignment="1" applyProtection="1">
      <alignment wrapText="1"/>
    </xf>
    <xf numFmtId="0" fontId="3" fillId="0" borderId="42" xfId="0" applyFont="1" applyFill="1" applyBorder="1" applyAlignment="1" applyProtection="1">
      <alignment horizontal="center"/>
    </xf>
    <xf numFmtId="0" fontId="15" fillId="3" borderId="42" xfId="0" applyFont="1" applyFill="1" applyBorder="1" applyAlignment="1" applyProtection="1">
      <alignment horizontal="center" wrapText="1"/>
    </xf>
    <xf numFmtId="0" fontId="15" fillId="4" borderId="42" xfId="0" applyFont="1" applyFill="1" applyBorder="1" applyAlignment="1" applyProtection="1">
      <alignment horizontal="center" wrapText="1"/>
    </xf>
    <xf numFmtId="0" fontId="8" fillId="0" borderId="43" xfId="0" applyFont="1" applyBorder="1" applyAlignment="1" applyProtection="1">
      <alignment wrapText="1"/>
    </xf>
    <xf numFmtId="164" fontId="1" fillId="0" borderId="44" xfId="2" applyNumberFormat="1" applyFill="1" applyBorder="1" applyProtection="1"/>
    <xf numFmtId="164" fontId="1" fillId="2" borderId="44" xfId="2" applyNumberFormat="1" applyFill="1" applyBorder="1" applyProtection="1">
      <protection locked="0"/>
    </xf>
    <xf numFmtId="9" fontId="1" fillId="0" borderId="0" xfId="4" applyBorder="1" applyAlignment="1" applyProtection="1">
      <alignment horizontal="center"/>
    </xf>
    <xf numFmtId="0" fontId="8" fillId="0" borderId="45" xfId="0" applyFont="1" applyBorder="1" applyAlignment="1" applyProtection="1">
      <alignment wrapText="1"/>
    </xf>
    <xf numFmtId="164" fontId="1" fillId="0" borderId="46" xfId="2" applyNumberFormat="1" applyFont="1" applyFill="1" applyBorder="1" applyProtection="1"/>
    <xf numFmtId="164" fontId="1" fillId="2" borderId="46" xfId="2" applyNumberFormat="1" applyFill="1" applyBorder="1" applyProtection="1">
      <protection locked="0"/>
    </xf>
    <xf numFmtId="164" fontId="1" fillId="9" borderId="7" xfId="2" applyNumberFormat="1" applyFill="1" applyBorder="1" applyProtection="1"/>
    <xf numFmtId="164" fontId="1" fillId="0" borderId="46" xfId="2" applyNumberFormat="1" applyFill="1" applyBorder="1" applyProtection="1"/>
    <xf numFmtId="0" fontId="3" fillId="0" borderId="47" xfId="0" applyFont="1" applyBorder="1" applyAlignment="1" applyProtection="1">
      <alignment wrapText="1"/>
    </xf>
    <xf numFmtId="164" fontId="1" fillId="0" borderId="48" xfId="2" applyNumberFormat="1" applyFill="1" applyBorder="1" applyProtection="1"/>
    <xf numFmtId="164" fontId="1" fillId="9" borderId="12" xfId="2" applyNumberFormat="1" applyFill="1" applyBorder="1" applyProtection="1"/>
    <xf numFmtId="0" fontId="8" fillId="2" borderId="45" xfId="0" applyFont="1" applyFill="1" applyBorder="1" applyAlignment="1" applyProtection="1">
      <alignment wrapText="1"/>
      <protection locked="0"/>
    </xf>
    <xf numFmtId="164" fontId="1" fillId="0" borderId="4" xfId="2" applyNumberFormat="1" applyFill="1" applyBorder="1" applyProtection="1"/>
    <xf numFmtId="0" fontId="0" fillId="0" borderId="0" xfId="0" applyFill="1" applyBorder="1" applyAlignment="1" applyProtection="1">
      <alignment horizontal="center"/>
    </xf>
    <xf numFmtId="0" fontId="3" fillId="0" borderId="9" xfId="0" applyFont="1" applyBorder="1" applyAlignment="1" applyProtection="1">
      <alignment wrapText="1"/>
    </xf>
    <xf numFmtId="9" fontId="1" fillId="0" borderId="10" xfId="4" applyFill="1" applyBorder="1" applyProtection="1"/>
    <xf numFmtId="164" fontId="1" fillId="9" borderId="10" xfId="2" applyNumberFormat="1" applyFill="1" applyBorder="1" applyProtection="1"/>
    <xf numFmtId="0" fontId="8" fillId="0" borderId="49" xfId="0" applyFont="1" applyBorder="1" applyAlignment="1" applyProtection="1">
      <alignment wrapText="1"/>
    </xf>
    <xf numFmtId="164" fontId="1" fillId="0" borderId="50" xfId="2" applyNumberFormat="1" applyFill="1" applyBorder="1" applyProtection="1"/>
    <xf numFmtId="0" fontId="19" fillId="0" borderId="0" xfId="0" applyFont="1" applyAlignment="1" applyProtection="1"/>
    <xf numFmtId="164" fontId="1" fillId="0" borderId="0" xfId="2" applyNumberFormat="1" applyFill="1" applyProtection="1"/>
    <xf numFmtId="0" fontId="20" fillId="0" borderId="0" xfId="0" applyFont="1" applyBorder="1" applyAlignment="1" applyProtection="1"/>
    <xf numFmtId="0" fontId="12" fillId="0" borderId="0" xfId="3" applyFont="1" applyBorder="1" applyAlignment="1" applyProtection="1">
      <alignment horizontal="left"/>
    </xf>
    <xf numFmtId="0" fontId="21" fillId="0" borderId="0" xfId="3" applyFont="1" applyFill="1" applyBorder="1" applyAlignment="1" applyProtection="1">
      <alignment horizontal="left"/>
    </xf>
    <xf numFmtId="0" fontId="22" fillId="0" borderId="0" xfId="3" applyFont="1" applyFill="1" applyBorder="1" applyAlignment="1" applyProtection="1">
      <alignment horizontal="left"/>
    </xf>
    <xf numFmtId="0" fontId="23" fillId="0" borderId="0" xfId="3" applyFont="1" applyBorder="1" applyAlignment="1" applyProtection="1">
      <alignment horizontal="left"/>
    </xf>
    <xf numFmtId="0" fontId="6" fillId="0" borderId="0" xfId="3" applyFont="1" applyBorder="1" applyAlignment="1" applyProtection="1">
      <alignment horizontal="left"/>
    </xf>
    <xf numFmtId="0" fontId="10" fillId="0" borderId="51" xfId="3" applyFont="1" applyBorder="1" applyAlignment="1" applyProtection="1">
      <alignment horizontal="center" wrapText="1"/>
    </xf>
    <xf numFmtId="0" fontId="10" fillId="0" borderId="52" xfId="3" applyFont="1" applyBorder="1" applyAlignment="1" applyProtection="1">
      <alignment horizontal="center" wrapText="1"/>
    </xf>
    <xf numFmtId="0" fontId="12" fillId="2" borderId="5" xfId="3" applyFont="1" applyFill="1" applyBorder="1" applyProtection="1">
      <protection locked="0"/>
    </xf>
    <xf numFmtId="0" fontId="12" fillId="2" borderId="2" xfId="3" applyFont="1" applyFill="1" applyBorder="1" applyProtection="1">
      <protection locked="0"/>
    </xf>
    <xf numFmtId="0" fontId="12" fillId="0" borderId="0" xfId="3" applyFont="1" applyFill="1" applyBorder="1" applyProtection="1"/>
    <xf numFmtId="0" fontId="10" fillId="0" borderId="0" xfId="3" applyFont="1" applyBorder="1" applyProtection="1"/>
    <xf numFmtId="166" fontId="10" fillId="0" borderId="0" xfId="3" applyNumberFormat="1" applyFont="1" applyBorder="1" applyAlignment="1" applyProtection="1">
      <alignment horizontal="right"/>
    </xf>
    <xf numFmtId="0" fontId="24" fillId="0" borderId="0" xfId="3" applyFont="1" applyFill="1" applyBorder="1" applyProtection="1"/>
    <xf numFmtId="0" fontId="12" fillId="2" borderId="53" xfId="3" applyFont="1" applyFill="1" applyBorder="1" applyAlignment="1" applyProtection="1">
      <alignment horizontal="left"/>
      <protection locked="0"/>
    </xf>
    <xf numFmtId="0" fontId="12" fillId="2" borderId="6" xfId="3" applyFont="1" applyFill="1" applyBorder="1" applyProtection="1">
      <protection locked="0"/>
    </xf>
    <xf numFmtId="0" fontId="12" fillId="9" borderId="0" xfId="3" applyFont="1" applyFill="1" applyBorder="1" applyProtection="1"/>
    <xf numFmtId="0" fontId="12" fillId="9" borderId="28" xfId="3" applyFont="1" applyFill="1" applyBorder="1" applyProtection="1"/>
    <xf numFmtId="0" fontId="12" fillId="2" borderId="23" xfId="3" applyFont="1" applyFill="1" applyBorder="1" applyAlignment="1" applyProtection="1">
      <alignment horizontal="left"/>
      <protection locked="0"/>
    </xf>
    <xf numFmtId="0" fontId="12" fillId="2" borderId="54" xfId="3" applyFont="1" applyFill="1" applyBorder="1" applyAlignment="1" applyProtection="1">
      <alignment horizontal="left"/>
      <protection locked="0"/>
    </xf>
    <xf numFmtId="0" fontId="6" fillId="0" borderId="55" xfId="3" applyFont="1" applyBorder="1" applyAlignment="1" applyProtection="1">
      <alignment horizontal="right"/>
    </xf>
    <xf numFmtId="0" fontId="6" fillId="0" borderId="56" xfId="3" applyFont="1" applyBorder="1" applyProtection="1"/>
    <xf numFmtId="0" fontId="12" fillId="0" borderId="57" xfId="3" applyFont="1" applyFill="1" applyBorder="1" applyProtection="1"/>
    <xf numFmtId="0" fontId="12" fillId="0" borderId="58" xfId="3" applyFont="1" applyFill="1" applyBorder="1" applyProtection="1"/>
    <xf numFmtId="0" fontId="12" fillId="0" borderId="1" xfId="3" applyFont="1" applyFill="1" applyBorder="1" applyProtection="1"/>
    <xf numFmtId="0" fontId="6" fillId="0" borderId="56" xfId="3" applyFont="1" applyFill="1" applyBorder="1" applyAlignment="1" applyProtection="1">
      <alignment horizontal="right"/>
    </xf>
    <xf numFmtId="0" fontId="12" fillId="9" borderId="59" xfId="3" applyFont="1" applyFill="1" applyBorder="1" applyProtection="1"/>
    <xf numFmtId="0" fontId="6" fillId="0" borderId="60" xfId="3" applyFont="1" applyFill="1" applyBorder="1" applyAlignment="1" applyProtection="1">
      <alignment horizontal="right"/>
    </xf>
    <xf numFmtId="0" fontId="6" fillId="0" borderId="0" xfId="3" applyFont="1" applyFill="1" applyBorder="1" applyAlignment="1" applyProtection="1">
      <alignment horizontal="right"/>
    </xf>
    <xf numFmtId="0" fontId="6" fillId="0" borderId="0" xfId="3" applyFont="1" applyBorder="1" applyProtection="1"/>
    <xf numFmtId="0" fontId="6" fillId="0" borderId="0" xfId="3" applyFont="1" applyBorder="1" applyAlignment="1" applyProtection="1">
      <alignment horizontal="right"/>
    </xf>
    <xf numFmtId="165" fontId="6" fillId="0" borderId="61" xfId="3" applyNumberFormat="1" applyFont="1" applyBorder="1" applyAlignment="1" applyProtection="1">
      <alignment horizontal="right" wrapText="1"/>
    </xf>
    <xf numFmtId="0" fontId="6" fillId="0" borderId="62" xfId="3" applyFont="1" applyBorder="1" applyAlignment="1" applyProtection="1">
      <alignment horizontal="right" wrapText="1"/>
    </xf>
    <xf numFmtId="0" fontId="3" fillId="0" borderId="3" xfId="3" applyFont="1" applyBorder="1" applyAlignment="1" applyProtection="1">
      <alignment horizontal="center" vertical="top" wrapText="1"/>
    </xf>
    <xf numFmtId="0" fontId="12" fillId="0" borderId="63" xfId="3" applyFont="1" applyBorder="1" applyAlignment="1" applyProtection="1">
      <alignment horizontal="right" wrapText="1"/>
    </xf>
    <xf numFmtId="0" fontId="8" fillId="0" borderId="0" xfId="3" applyFont="1" applyBorder="1" applyProtection="1"/>
    <xf numFmtId="0" fontId="8" fillId="0" borderId="0" xfId="3" applyFont="1" applyBorder="1" applyAlignment="1" applyProtection="1">
      <alignment horizontal="left"/>
    </xf>
    <xf numFmtId="0" fontId="0" fillId="0" borderId="21" xfId="0" applyBorder="1" applyAlignment="1" applyProtection="1">
      <alignment horizontal="left"/>
    </xf>
    <xf numFmtId="0" fontId="8" fillId="0" borderId="0" xfId="0" applyFont="1" applyFill="1" applyBorder="1" applyAlignment="1" applyProtection="1">
      <alignment horizontal="left" wrapText="1" indent="1"/>
    </xf>
    <xf numFmtId="4" fontId="8" fillId="0" borderId="0" xfId="0" applyNumberFormat="1" applyFont="1" applyFill="1" applyBorder="1" applyAlignment="1" applyProtection="1">
      <alignment horizontal="left" indent="1"/>
    </xf>
    <xf numFmtId="4" fontId="8" fillId="0" borderId="0" xfId="0" applyNumberFormat="1" applyFont="1" applyBorder="1" applyAlignment="1" applyProtection="1">
      <alignment horizontal="left" indent="1"/>
    </xf>
    <xf numFmtId="0" fontId="8" fillId="0" borderId="0" xfId="0" applyFont="1" applyBorder="1" applyAlignment="1" applyProtection="1">
      <alignment horizontal="left" indent="1"/>
    </xf>
    <xf numFmtId="0" fontId="8" fillId="0" borderId="0" xfId="0" applyFont="1" applyFill="1" applyBorder="1" applyAlignment="1" applyProtection="1">
      <alignment horizontal="left" indent="1"/>
    </xf>
    <xf numFmtId="4" fontId="8" fillId="0" borderId="0" xfId="0" applyNumberFormat="1" applyFont="1" applyBorder="1" applyAlignment="1" applyProtection="1">
      <alignment horizontal="left" vertical="center" indent="1"/>
    </xf>
    <xf numFmtId="4" fontId="8" fillId="0" borderId="0" xfId="0" applyNumberFormat="1" applyFont="1" applyFill="1" applyBorder="1" applyAlignment="1" applyProtection="1">
      <alignment horizontal="left" vertical="center" indent="1"/>
    </xf>
    <xf numFmtId="0" fontId="0" fillId="0" borderId="0" xfId="0" applyFill="1" applyBorder="1" applyAlignment="1" applyProtection="1">
      <alignment horizontal="left"/>
    </xf>
    <xf numFmtId="0" fontId="6" fillId="0" borderId="5" xfId="3" applyFont="1" applyBorder="1" applyProtection="1"/>
    <xf numFmtId="0" fontId="6" fillId="0" borderId="5" xfId="3" applyFont="1" applyBorder="1" applyAlignment="1" applyProtection="1">
      <alignment horizontal="left"/>
    </xf>
    <xf numFmtId="0" fontId="12" fillId="0" borderId="5" xfId="3" applyFont="1" applyBorder="1" applyProtection="1"/>
    <xf numFmtId="0" fontId="10" fillId="0" borderId="5" xfId="3" applyFont="1" applyBorder="1" applyProtection="1"/>
    <xf numFmtId="0" fontId="10" fillId="0" borderId="5" xfId="3" applyFont="1" applyBorder="1" applyAlignment="1" applyProtection="1">
      <alignment horizontal="right"/>
    </xf>
    <xf numFmtId="9" fontId="12" fillId="0" borderId="0" xfId="4" applyFont="1" applyFill="1" applyBorder="1" applyProtection="1"/>
    <xf numFmtId="0" fontId="15" fillId="10" borderId="13" xfId="0" applyFont="1" applyFill="1" applyBorder="1" applyAlignment="1" applyProtection="1">
      <alignment horizontal="center" vertical="top" wrapText="1"/>
    </xf>
    <xf numFmtId="3" fontId="9" fillId="0" borderId="0" xfId="0" applyNumberFormat="1" applyFont="1" applyAlignment="1" applyProtection="1">
      <alignment horizontal="center"/>
    </xf>
    <xf numFmtId="3" fontId="0" fillId="0" borderId="21" xfId="0" applyNumberFormat="1" applyBorder="1" applyAlignment="1" applyProtection="1">
      <alignment horizontal="center"/>
    </xf>
    <xf numFmtId="3" fontId="0" fillId="0" borderId="0" xfId="0" applyNumberFormat="1" applyBorder="1" applyAlignment="1" applyProtection="1">
      <alignment horizontal="center"/>
    </xf>
    <xf numFmtId="3" fontId="3" fillId="0" borderId="0" xfId="0" applyNumberFormat="1" applyFont="1" applyFill="1" applyBorder="1" applyAlignment="1" applyProtection="1">
      <alignment horizontal="center" wrapText="1"/>
    </xf>
    <xf numFmtId="3" fontId="3" fillId="0" borderId="0" xfId="0" applyNumberFormat="1" applyFont="1" applyBorder="1" applyAlignment="1" applyProtection="1">
      <alignment horizontal="center" wrapText="1"/>
    </xf>
    <xf numFmtId="3" fontId="3" fillId="0" borderId="21" xfId="0" applyNumberFormat="1" applyFont="1" applyFill="1" applyBorder="1" applyAlignment="1" applyProtection="1">
      <alignment horizontal="center" wrapText="1"/>
    </xf>
    <xf numFmtId="3" fontId="3" fillId="0" borderId="21" xfId="0" applyNumberFormat="1" applyFont="1" applyBorder="1" applyAlignment="1" applyProtection="1">
      <alignment horizontal="center" wrapText="1"/>
    </xf>
    <xf numFmtId="3" fontId="0" fillId="0" borderId="0" xfId="0" applyNumberFormat="1" applyProtection="1"/>
    <xf numFmtId="3" fontId="3" fillId="6" borderId="24" xfId="0" applyNumberFormat="1" applyFont="1" applyFill="1" applyBorder="1" applyAlignment="1" applyProtection="1">
      <alignment horizontal="center" wrapText="1"/>
    </xf>
    <xf numFmtId="3" fontId="3" fillId="6" borderId="24" xfId="0" applyNumberFormat="1" applyFont="1" applyFill="1" applyBorder="1" applyAlignment="1" applyProtection="1">
      <alignment horizontal="center"/>
    </xf>
    <xf numFmtId="3" fontId="17" fillId="8" borderId="0" xfId="0" applyNumberFormat="1" applyFont="1" applyFill="1" applyBorder="1" applyAlignment="1" applyProtection="1">
      <alignment horizontal="center"/>
    </xf>
    <xf numFmtId="3" fontId="0" fillId="8" borderId="0" xfId="0" applyNumberFormat="1" applyFill="1" applyProtection="1"/>
    <xf numFmtId="3" fontId="1" fillId="2" borderId="0" xfId="0" applyNumberFormat="1" applyFont="1" applyFill="1" applyBorder="1" applyProtection="1">
      <protection locked="0"/>
    </xf>
    <xf numFmtId="3" fontId="0" fillId="0" borderId="0" xfId="0" applyNumberFormat="1" applyFill="1" applyBorder="1" applyProtection="1">
      <protection locked="0"/>
    </xf>
    <xf numFmtId="3" fontId="0" fillId="2" borderId="0" xfId="0" applyNumberFormat="1" applyFill="1" applyBorder="1" applyProtection="1">
      <protection locked="0"/>
    </xf>
    <xf numFmtId="3" fontId="3" fillId="0" borderId="0" xfId="0" applyNumberFormat="1" applyFont="1" applyBorder="1" applyProtection="1"/>
    <xf numFmtId="3" fontId="1" fillId="8" borderId="0" xfId="0" applyNumberFormat="1" applyFont="1" applyFill="1" applyBorder="1" applyProtection="1"/>
    <xf numFmtId="3" fontId="0" fillId="8" borderId="0" xfId="0" applyNumberFormat="1" applyFill="1" applyBorder="1" applyProtection="1"/>
    <xf numFmtId="3" fontId="1" fillId="8" borderId="0" xfId="0" applyNumberFormat="1" applyFont="1" applyFill="1" applyBorder="1" applyAlignment="1" applyProtection="1">
      <alignment horizontal="center" wrapText="1"/>
    </xf>
    <xf numFmtId="3" fontId="0" fillId="2" borderId="0" xfId="0" applyNumberFormat="1" applyFill="1" applyBorder="1" applyAlignment="1" applyProtection="1">
      <alignment horizontal="right" wrapText="1"/>
      <protection locked="0"/>
    </xf>
    <xf numFmtId="3" fontId="17" fillId="8" borderId="0" xfId="0" applyNumberFormat="1" applyFont="1" applyFill="1" applyBorder="1" applyAlignment="1" applyProtection="1">
      <alignment horizontal="center" wrapText="1"/>
    </xf>
    <xf numFmtId="3" fontId="1" fillId="2" borderId="0" xfId="0" applyNumberFormat="1" applyFont="1" applyFill="1" applyBorder="1" applyAlignment="1" applyProtection="1">
      <alignment horizontal="right"/>
      <protection locked="0"/>
    </xf>
    <xf numFmtId="3" fontId="8" fillId="2" borderId="0" xfId="0" applyNumberFormat="1" applyFont="1" applyFill="1" applyBorder="1" applyAlignment="1" applyProtection="1">
      <alignment horizontal="right" wrapText="1"/>
      <protection locked="0"/>
    </xf>
    <xf numFmtId="3" fontId="9" fillId="0" borderId="24" xfId="0" applyNumberFormat="1" applyFont="1" applyBorder="1" applyProtection="1"/>
    <xf numFmtId="3" fontId="6" fillId="0" borderId="0" xfId="0" applyNumberFormat="1" applyFont="1" applyBorder="1" applyAlignment="1" applyProtection="1">
      <alignment horizontal="center"/>
    </xf>
    <xf numFmtId="3" fontId="3" fillId="0" borderId="64" xfId="0" applyNumberFormat="1" applyFont="1" applyBorder="1" applyAlignment="1" applyProtection="1">
      <alignment horizontal="center"/>
    </xf>
    <xf numFmtId="3" fontId="3" fillId="0" borderId="65" xfId="0" applyNumberFormat="1" applyFont="1" applyBorder="1" applyAlignment="1" applyProtection="1">
      <alignment horizontal="center"/>
    </xf>
    <xf numFmtId="3" fontId="0" fillId="0" borderId="66" xfId="0" applyNumberFormat="1" applyBorder="1" applyAlignment="1" applyProtection="1">
      <alignment horizontal="center"/>
    </xf>
    <xf numFmtId="3" fontId="0" fillId="0" borderId="67" xfId="0" applyNumberFormat="1" applyBorder="1" applyAlignment="1" applyProtection="1">
      <alignment horizontal="center"/>
    </xf>
    <xf numFmtId="3" fontId="0" fillId="9" borderId="24" xfId="0" applyNumberFormat="1" applyFill="1" applyBorder="1" applyAlignment="1" applyProtection="1">
      <alignment horizontal="center"/>
    </xf>
    <xf numFmtId="3" fontId="0" fillId="9" borderId="68" xfId="0" applyNumberFormat="1" applyFill="1" applyBorder="1" applyAlignment="1" applyProtection="1">
      <alignment horizontal="center"/>
    </xf>
    <xf numFmtId="3" fontId="0" fillId="0" borderId="69" xfId="0" applyNumberFormat="1" applyBorder="1" applyAlignment="1" applyProtection="1">
      <alignment horizontal="center"/>
    </xf>
    <xf numFmtId="3" fontId="1" fillId="0" borderId="50" xfId="2" applyNumberFormat="1" applyFill="1" applyBorder="1" applyProtection="1"/>
    <xf numFmtId="4" fontId="16" fillId="11" borderId="0" xfId="0" applyNumberFormat="1" applyFont="1" applyFill="1" applyBorder="1" applyAlignment="1" applyProtection="1">
      <alignment horizontal="left" vertical="center"/>
    </xf>
    <xf numFmtId="3" fontId="1" fillId="11" borderId="0" xfId="0" applyNumberFormat="1" applyFont="1" applyFill="1" applyBorder="1" applyAlignment="1" applyProtection="1">
      <alignment horizontal="center" wrapText="1"/>
    </xf>
    <xf numFmtId="3" fontId="0" fillId="11" borderId="0" xfId="0" applyNumberFormat="1" applyFill="1" applyBorder="1" applyProtection="1"/>
    <xf numFmtId="0" fontId="28" fillId="0" borderId="0" xfId="0" applyFont="1" applyProtection="1"/>
    <xf numFmtId="0" fontId="28" fillId="0" borderId="0" xfId="0" applyFont="1" applyAlignment="1" applyProtection="1">
      <alignment horizontal="center"/>
    </xf>
    <xf numFmtId="3" fontId="28" fillId="0" borderId="0" xfId="0" applyNumberFormat="1" applyFont="1" applyProtection="1"/>
    <xf numFmtId="0" fontId="28" fillId="0" borderId="0" xfId="0" applyFont="1" applyFill="1" applyBorder="1" applyProtection="1"/>
    <xf numFmtId="0" fontId="9" fillId="0" borderId="0" xfId="0" applyNumberFormat="1" applyFont="1" applyBorder="1" applyAlignment="1" applyProtection="1">
      <alignment horizontal="center"/>
    </xf>
    <xf numFmtId="3" fontId="9" fillId="0" borderId="0" xfId="0" applyNumberFormat="1" applyFont="1" applyBorder="1" applyProtection="1"/>
    <xf numFmtId="3" fontId="1" fillId="0" borderId="0" xfId="0" applyNumberFormat="1" applyFont="1" applyFill="1" applyBorder="1" applyProtection="1">
      <protection locked="0"/>
    </xf>
    <xf numFmtId="0" fontId="9" fillId="6" borderId="24" xfId="0" applyFont="1" applyFill="1" applyBorder="1" applyAlignment="1" applyProtection="1">
      <alignment horizontal="center"/>
    </xf>
    <xf numFmtId="3" fontId="3" fillId="2" borderId="0" xfId="0" applyNumberFormat="1" applyFont="1" applyFill="1" applyBorder="1" applyAlignment="1" applyProtection="1">
      <alignment horizontal="center"/>
      <protection locked="0"/>
    </xf>
    <xf numFmtId="0" fontId="9" fillId="6" borderId="0" xfId="0" applyFont="1" applyFill="1" applyBorder="1" applyProtection="1"/>
    <xf numFmtId="3" fontId="12" fillId="2" borderId="7" xfId="4" applyNumberFormat="1" applyFont="1" applyFill="1" applyBorder="1" applyAlignment="1" applyProtection="1">
      <alignment horizontal="center"/>
      <protection locked="0"/>
    </xf>
    <xf numFmtId="3" fontId="12" fillId="2" borderId="11" xfId="4" applyNumberFormat="1" applyFont="1" applyFill="1" applyBorder="1" applyAlignment="1" applyProtection="1">
      <alignment horizontal="center"/>
      <protection locked="0"/>
    </xf>
    <xf numFmtId="3" fontId="12" fillId="2" borderId="5" xfId="4" applyNumberFormat="1" applyFont="1" applyFill="1" applyBorder="1" applyAlignment="1" applyProtection="1">
      <alignment horizontal="center"/>
      <protection locked="0"/>
    </xf>
    <xf numFmtId="3" fontId="12" fillId="2" borderId="17" xfId="4" applyNumberFormat="1" applyFont="1" applyFill="1" applyBorder="1" applyAlignment="1" applyProtection="1">
      <alignment horizontal="center"/>
      <protection locked="0"/>
    </xf>
    <xf numFmtId="3" fontId="3" fillId="2" borderId="59" xfId="0" applyNumberFormat="1" applyFont="1" applyFill="1" applyBorder="1" applyAlignment="1" applyProtection="1">
      <alignment horizontal="center"/>
      <protection locked="0"/>
    </xf>
    <xf numFmtId="3" fontId="3" fillId="2" borderId="11" xfId="0" applyNumberFormat="1" applyFont="1" applyFill="1" applyBorder="1" applyAlignment="1" applyProtection="1">
      <alignment horizontal="center"/>
      <protection locked="0"/>
    </xf>
    <xf numFmtId="164" fontId="1" fillId="2" borderId="66" xfId="2" applyNumberFormat="1" applyFill="1" applyBorder="1" applyProtection="1">
      <protection locked="0"/>
    </xf>
    <xf numFmtId="164" fontId="1" fillId="9" borderId="24" xfId="2" applyNumberFormat="1" applyFill="1" applyBorder="1" applyProtection="1"/>
    <xf numFmtId="0" fontId="14" fillId="10" borderId="0" xfId="0" applyFont="1" applyFill="1" applyBorder="1" applyAlignment="1" applyProtection="1">
      <alignment horizontal="center"/>
    </xf>
    <xf numFmtId="0" fontId="15" fillId="10" borderId="64" xfId="0" applyFont="1" applyFill="1" applyBorder="1" applyAlignment="1" applyProtection="1">
      <alignment horizontal="center" wrapText="1"/>
    </xf>
    <xf numFmtId="0" fontId="3" fillId="0" borderId="3" xfId="0" applyFont="1" applyBorder="1" applyAlignment="1" applyProtection="1">
      <alignment vertical="center" wrapText="1"/>
    </xf>
    <xf numFmtId="0" fontId="3" fillId="0" borderId="70" xfId="3" applyFont="1" applyBorder="1" applyAlignment="1" applyProtection="1">
      <alignment horizontal="right" wrapText="1"/>
    </xf>
    <xf numFmtId="0" fontId="6" fillId="0" borderId="1" xfId="3" applyFont="1" applyBorder="1" applyAlignment="1" applyProtection="1">
      <alignment horizontal="left"/>
    </xf>
    <xf numFmtId="0" fontId="3" fillId="0" borderId="71" xfId="3" applyFont="1" applyBorder="1" applyAlignment="1" applyProtection="1">
      <alignment horizontal="right" wrapText="1"/>
    </xf>
    <xf numFmtId="0" fontId="10" fillId="0" borderId="2" xfId="3" applyFont="1" applyBorder="1" applyProtection="1"/>
    <xf numFmtId="0" fontId="12" fillId="9" borderId="72" xfId="3" applyFont="1" applyFill="1" applyBorder="1" applyProtection="1"/>
    <xf numFmtId="0" fontId="10" fillId="9" borderId="40" xfId="3" applyFont="1" applyFill="1" applyBorder="1" applyProtection="1"/>
    <xf numFmtId="0" fontId="12" fillId="9" borderId="40" xfId="3" applyFont="1" applyFill="1" applyBorder="1" applyProtection="1"/>
    <xf numFmtId="0" fontId="10" fillId="0" borderId="73" xfId="3" applyFont="1" applyBorder="1" applyAlignment="1" applyProtection="1">
      <alignment horizontal="center" wrapText="1"/>
    </xf>
    <xf numFmtId="0" fontId="12" fillId="9" borderId="74" xfId="3" applyFont="1" applyFill="1" applyBorder="1" applyProtection="1"/>
    <xf numFmtId="0" fontId="12" fillId="9" borderId="1" xfId="3" applyFont="1" applyFill="1" applyBorder="1" applyProtection="1"/>
    <xf numFmtId="0" fontId="12" fillId="0" borderId="74" xfId="3" applyFont="1" applyFill="1" applyBorder="1" applyProtection="1"/>
    <xf numFmtId="0" fontId="12" fillId="0" borderId="60" xfId="3" applyFont="1" applyBorder="1" applyProtection="1"/>
    <xf numFmtId="0" fontId="12" fillId="0" borderId="1" xfId="3" applyFont="1" applyBorder="1" applyProtection="1"/>
    <xf numFmtId="0" fontId="10" fillId="0" borderId="75" xfId="3" applyFont="1" applyBorder="1" applyAlignment="1" applyProtection="1">
      <alignment horizontal="center" wrapText="1"/>
    </xf>
    <xf numFmtId="0" fontId="12" fillId="9" borderId="31" xfId="3" applyFont="1" applyFill="1" applyBorder="1" applyProtection="1"/>
    <xf numFmtId="0" fontId="12" fillId="2" borderId="76" xfId="3" applyFont="1" applyFill="1" applyBorder="1" applyProtection="1">
      <protection locked="0"/>
    </xf>
    <xf numFmtId="0" fontId="12" fillId="2" borderId="27" xfId="3" applyFont="1" applyFill="1" applyBorder="1" applyProtection="1">
      <protection locked="0"/>
    </xf>
    <xf numFmtId="0" fontId="12" fillId="2" borderId="75" xfId="3" applyFont="1" applyFill="1" applyBorder="1" applyProtection="1">
      <protection locked="0"/>
    </xf>
    <xf numFmtId="0" fontId="12" fillId="9" borderId="77" xfId="3" applyFont="1" applyFill="1" applyBorder="1" applyProtection="1"/>
    <xf numFmtId="0" fontId="12" fillId="9" borderId="78" xfId="3" applyFont="1" applyFill="1" applyBorder="1" applyProtection="1"/>
    <xf numFmtId="0" fontId="12" fillId="9" borderId="29" xfId="3" applyFont="1" applyFill="1" applyBorder="1" applyProtection="1"/>
    <xf numFmtId="0" fontId="6" fillId="0" borderId="5" xfId="3" applyFont="1" applyBorder="1" applyAlignment="1" applyProtection="1">
      <alignment horizontal="center" wrapText="1"/>
    </xf>
    <xf numFmtId="3" fontId="6" fillId="2" borderId="79" xfId="0" applyNumberFormat="1" applyFont="1" applyFill="1" applyBorder="1" applyAlignment="1" applyProtection="1">
      <alignment horizontal="center"/>
      <protection locked="0"/>
    </xf>
    <xf numFmtId="3" fontId="6" fillId="2" borderId="80" xfId="0" applyNumberFormat="1" applyFont="1" applyFill="1" applyBorder="1" applyAlignment="1" applyProtection="1">
      <alignment horizontal="center"/>
      <protection locked="0"/>
    </xf>
    <xf numFmtId="38" fontId="29" fillId="2" borderId="5" xfId="0" applyNumberFormat="1" applyFont="1" applyFill="1" applyBorder="1" applyProtection="1">
      <protection locked="0"/>
    </xf>
    <xf numFmtId="0" fontId="29" fillId="2" borderId="5" xfId="0" applyFont="1" applyFill="1" applyBorder="1" applyAlignment="1" applyProtection="1">
      <alignment horizontal="left" indent="1"/>
      <protection locked="0"/>
    </xf>
    <xf numFmtId="9" fontId="6" fillId="2" borderId="5" xfId="4" applyFont="1" applyFill="1" applyBorder="1" applyAlignment="1" applyProtection="1">
      <alignment horizontal="center"/>
      <protection locked="0"/>
    </xf>
    <xf numFmtId="167" fontId="6" fillId="2" borderId="5" xfId="4" applyNumberFormat="1" applyFont="1" applyFill="1" applyBorder="1" applyAlignment="1" applyProtection="1">
      <alignment horizontal="center"/>
      <protection locked="0"/>
    </xf>
    <xf numFmtId="0" fontId="2" fillId="0" borderId="0" xfId="0" applyFont="1" applyFill="1" applyBorder="1" applyAlignment="1" applyProtection="1">
      <alignment horizontal="left"/>
    </xf>
    <xf numFmtId="0" fontId="9" fillId="0" borderId="0" xfId="0" applyFont="1" applyFill="1" applyBorder="1" applyAlignment="1" applyProtection="1">
      <alignment horizontal="left"/>
    </xf>
    <xf numFmtId="42" fontId="0" fillId="0" borderId="28" xfId="0" applyNumberFormat="1" applyFill="1" applyBorder="1" applyProtection="1">
      <protection locked="0"/>
    </xf>
    <xf numFmtId="3" fontId="0" fillId="0" borderId="0" xfId="0" applyNumberFormat="1" applyFill="1" applyBorder="1" applyProtection="1"/>
    <xf numFmtId="0" fontId="6" fillId="0" borderId="81" xfId="0" applyFont="1" applyBorder="1" applyAlignment="1" applyProtection="1">
      <alignment horizontal="right"/>
    </xf>
    <xf numFmtId="0" fontId="18" fillId="0" borderId="0" xfId="0" applyFont="1" applyProtection="1"/>
    <xf numFmtId="0" fontId="6" fillId="0" borderId="82" xfId="0" applyFont="1" applyBorder="1" applyAlignment="1" applyProtection="1">
      <alignment horizontal="right"/>
    </xf>
    <xf numFmtId="0" fontId="6" fillId="0" borderId="83" xfId="0" applyFont="1" applyBorder="1" applyAlignment="1" applyProtection="1">
      <alignment horizontal="right"/>
    </xf>
    <xf numFmtId="0" fontId="29" fillId="12" borderId="5" xfId="0" applyFont="1" applyFill="1" applyBorder="1" applyProtection="1"/>
    <xf numFmtId="0" fontId="29" fillId="0" borderId="5" xfId="0" applyFont="1" applyFill="1" applyBorder="1" applyAlignment="1" applyProtection="1">
      <alignment horizontal="center"/>
    </xf>
    <xf numFmtId="0" fontId="30" fillId="0" borderId="0" xfId="0" applyFont="1" applyProtection="1"/>
    <xf numFmtId="0" fontId="29" fillId="0" borderId="84" xfId="0" applyFont="1" applyFill="1" applyBorder="1" applyProtection="1"/>
    <xf numFmtId="0" fontId="6" fillId="0" borderId="5" xfId="0" applyFont="1" applyFill="1" applyBorder="1" applyAlignment="1" applyProtection="1">
      <alignment horizontal="center"/>
    </xf>
    <xf numFmtId="0" fontId="31" fillId="0" borderId="5" xfId="0" applyFont="1" applyFill="1" applyBorder="1" applyAlignment="1" applyProtection="1">
      <alignment horizontal="center"/>
    </xf>
    <xf numFmtId="10" fontId="6" fillId="12" borderId="5" xfId="0" applyNumberFormat="1" applyFont="1" applyFill="1" applyBorder="1" applyAlignment="1" applyProtection="1">
      <alignment horizontal="center"/>
    </xf>
    <xf numFmtId="42" fontId="29" fillId="12" borderId="5" xfId="0" applyNumberFormat="1" applyFont="1" applyFill="1" applyBorder="1" applyProtection="1"/>
    <xf numFmtId="0" fontId="29" fillId="12" borderId="5" xfId="0" applyFont="1" applyFill="1" applyBorder="1" applyAlignment="1" applyProtection="1">
      <alignment horizontal="left" indent="1"/>
    </xf>
    <xf numFmtId="167" fontId="6" fillId="12" borderId="5" xfId="4" applyNumberFormat="1" applyFont="1" applyFill="1" applyBorder="1" applyAlignment="1" applyProtection="1">
      <alignment horizontal="center"/>
    </xf>
    <xf numFmtId="38" fontId="29" fillId="0" borderId="5" xfId="0" applyNumberFormat="1" applyFont="1" applyFill="1" applyBorder="1" applyProtection="1"/>
    <xf numFmtId="0" fontId="6" fillId="12" borderId="5" xfId="0" applyFont="1" applyFill="1" applyBorder="1" applyProtection="1"/>
    <xf numFmtId="38" fontId="29" fillId="12" borderId="5" xfId="0" applyNumberFormat="1" applyFont="1" applyFill="1" applyBorder="1" applyProtection="1"/>
    <xf numFmtId="0" fontId="29" fillId="12" borderId="5" xfId="0" quotePrefix="1" applyFont="1" applyFill="1" applyBorder="1" applyAlignment="1" applyProtection="1">
      <alignment horizontal="left"/>
    </xf>
    <xf numFmtId="0" fontId="29" fillId="12" borderId="5" xfId="0" applyFont="1" applyFill="1" applyBorder="1" applyAlignment="1" applyProtection="1">
      <alignment horizontal="center"/>
    </xf>
    <xf numFmtId="0" fontId="32" fillId="12" borderId="5" xfId="0" quotePrefix="1" applyFont="1" applyFill="1" applyBorder="1" applyAlignment="1" applyProtection="1">
      <alignment horizontal="left"/>
    </xf>
    <xf numFmtId="41" fontId="29" fillId="12" borderId="5" xfId="0" applyNumberFormat="1" applyFont="1" applyFill="1" applyBorder="1" applyProtection="1"/>
    <xf numFmtId="0" fontId="6" fillId="0" borderId="5" xfId="0" applyFont="1" applyBorder="1" applyProtection="1"/>
    <xf numFmtId="0" fontId="29" fillId="0" borderId="5" xfId="0" applyFont="1" applyBorder="1" applyProtection="1"/>
    <xf numFmtId="41" fontId="29" fillId="0" borderId="5" xfId="0" applyNumberFormat="1" applyFont="1" applyBorder="1" applyProtection="1"/>
    <xf numFmtId="0" fontId="7" fillId="0" borderId="0" xfId="0" applyFont="1" applyFill="1" applyProtection="1"/>
    <xf numFmtId="0" fontId="6" fillId="0" borderId="85" xfId="3" applyFont="1" applyFill="1" applyBorder="1" applyAlignment="1" applyProtection="1">
      <alignment horizontal="right"/>
    </xf>
    <xf numFmtId="0" fontId="6" fillId="2" borderId="60" xfId="3" applyFont="1" applyFill="1" applyBorder="1" applyProtection="1"/>
    <xf numFmtId="0" fontId="12" fillId="0" borderId="1" xfId="3" applyFont="1" applyFill="1" applyBorder="1" applyAlignment="1" applyProtection="1">
      <alignment horizontal="left"/>
    </xf>
    <xf numFmtId="166" fontId="6" fillId="0" borderId="1" xfId="3" applyNumberFormat="1" applyFont="1" applyFill="1" applyBorder="1" applyAlignment="1" applyProtection="1">
      <alignment horizontal="right"/>
    </xf>
    <xf numFmtId="0" fontId="24" fillId="0" borderId="1" xfId="3" applyFont="1" applyFill="1" applyBorder="1" applyProtection="1"/>
    <xf numFmtId="0" fontId="12" fillId="2" borderId="5" xfId="3" applyFont="1" applyFill="1" applyBorder="1" applyAlignment="1" applyProtection="1">
      <alignment wrapText="1"/>
      <protection locked="0"/>
    </xf>
    <xf numFmtId="0" fontId="29" fillId="0" borderId="0" xfId="0" applyFont="1" applyProtection="1">
      <protection locked="0"/>
    </xf>
    <xf numFmtId="167" fontId="6" fillId="12" borderId="5" xfId="4" applyNumberFormat="1" applyFont="1" applyFill="1" applyBorder="1" applyAlignment="1" applyProtection="1">
      <alignment horizontal="center"/>
      <protection locked="0"/>
    </xf>
    <xf numFmtId="0" fontId="12" fillId="0" borderId="5" xfId="3" applyFont="1" applyFill="1" applyBorder="1" applyProtection="1">
      <protection locked="0"/>
    </xf>
    <xf numFmtId="0" fontId="12" fillId="2" borderId="86" xfId="3" applyFont="1" applyFill="1" applyBorder="1" applyAlignment="1" applyProtection="1">
      <alignment horizontal="left"/>
      <protection locked="0"/>
    </xf>
    <xf numFmtId="3" fontId="12" fillId="2" borderId="7" xfId="1" applyNumberFormat="1" applyFont="1" applyFill="1" applyBorder="1" applyAlignment="1" applyProtection="1">
      <alignment horizontal="center"/>
      <protection locked="0"/>
    </xf>
    <xf numFmtId="0" fontId="12" fillId="2" borderId="7" xfId="3" applyFont="1" applyFill="1" applyBorder="1" applyAlignment="1" applyProtection="1">
      <alignment horizontal="center" wrapText="1"/>
      <protection locked="0"/>
    </xf>
    <xf numFmtId="3" fontId="12" fillId="2" borderId="72" xfId="1" applyNumberFormat="1" applyFont="1" applyFill="1" applyBorder="1" applyAlignment="1" applyProtection="1">
      <alignment horizontal="center"/>
      <protection locked="0"/>
    </xf>
    <xf numFmtId="0" fontId="12" fillId="2" borderId="87" xfId="3" applyFont="1" applyFill="1" applyBorder="1" applyAlignment="1" applyProtection="1">
      <alignment horizontal="left" wrapText="1"/>
      <protection locked="0"/>
    </xf>
    <xf numFmtId="3" fontId="12" fillId="2" borderId="11" xfId="1" applyNumberFormat="1" applyFont="1" applyFill="1" applyBorder="1" applyAlignment="1" applyProtection="1">
      <alignment horizontal="center"/>
      <protection locked="0"/>
    </xf>
    <xf numFmtId="3" fontId="12" fillId="2" borderId="72" xfId="3" applyNumberFormat="1" applyFont="1" applyFill="1" applyBorder="1" applyAlignment="1" applyProtection="1">
      <alignment horizontal="center"/>
      <protection locked="0"/>
    </xf>
    <xf numFmtId="0" fontId="12" fillId="2" borderId="9" xfId="3" applyFont="1" applyFill="1" applyBorder="1" applyAlignment="1" applyProtection="1">
      <alignment horizontal="left" wrapText="1"/>
      <protection locked="0"/>
    </xf>
    <xf numFmtId="0" fontId="12" fillId="2" borderId="88" xfId="3" applyFont="1" applyFill="1" applyBorder="1" applyAlignment="1" applyProtection="1">
      <alignment horizontal="left" wrapText="1"/>
      <protection locked="0"/>
    </xf>
    <xf numFmtId="0" fontId="12" fillId="2" borderId="89" xfId="3" applyNumberFormat="1" applyFont="1" applyFill="1" applyBorder="1" applyAlignment="1" applyProtection="1">
      <alignment horizontal="left" wrapText="1"/>
      <protection locked="0"/>
    </xf>
    <xf numFmtId="0" fontId="12" fillId="2" borderId="2" xfId="3" applyFont="1" applyFill="1" applyBorder="1" applyAlignment="1" applyProtection="1">
      <alignment horizontal="center"/>
      <protection locked="0"/>
    </xf>
    <xf numFmtId="3" fontId="12" fillId="2" borderId="2" xfId="3" applyNumberFormat="1" applyFont="1" applyFill="1" applyBorder="1" applyProtection="1">
      <protection locked="0"/>
    </xf>
    <xf numFmtId="3" fontId="12" fillId="2" borderId="75" xfId="3" applyNumberFormat="1" applyFont="1" applyFill="1" applyBorder="1" applyAlignment="1" applyProtection="1">
      <alignment horizontal="center"/>
      <protection locked="0"/>
    </xf>
    <xf numFmtId="49" fontId="12" fillId="2" borderId="5" xfId="3" applyNumberFormat="1" applyFont="1" applyFill="1" applyBorder="1" applyProtection="1">
      <protection locked="0"/>
    </xf>
    <xf numFmtId="49" fontId="12" fillId="2" borderId="2" xfId="3" applyNumberFormat="1" applyFont="1" applyFill="1" applyBorder="1" applyProtection="1">
      <protection locked="0"/>
    </xf>
    <xf numFmtId="49" fontId="12" fillId="2" borderId="7" xfId="3" applyNumberFormat="1" applyFont="1" applyFill="1" applyBorder="1" applyAlignment="1" applyProtection="1">
      <alignment horizontal="center"/>
      <protection locked="0"/>
    </xf>
    <xf numFmtId="49" fontId="12" fillId="2" borderId="5" xfId="3" applyNumberFormat="1" applyFont="1" applyFill="1" applyBorder="1" applyAlignment="1" applyProtection="1">
      <alignment horizontal="center"/>
      <protection locked="0"/>
    </xf>
    <xf numFmtId="49" fontId="12" fillId="2" borderId="2" xfId="3" applyNumberFormat="1" applyFont="1" applyFill="1" applyBorder="1" applyAlignment="1" applyProtection="1">
      <alignment horizontal="center"/>
      <protection locked="0"/>
    </xf>
    <xf numFmtId="9" fontId="12" fillId="2" borderId="59" xfId="3" applyNumberFormat="1" applyFont="1" applyFill="1" applyBorder="1" applyAlignment="1" applyProtection="1">
      <alignment horizontal="center"/>
      <protection locked="0"/>
    </xf>
    <xf numFmtId="9" fontId="12" fillId="2" borderId="11" xfId="3" applyNumberFormat="1" applyFont="1" applyFill="1" applyBorder="1" applyAlignment="1" applyProtection="1">
      <alignment horizontal="center"/>
      <protection locked="0"/>
    </xf>
    <xf numFmtId="9" fontId="12" fillId="2" borderId="2" xfId="3" applyNumberFormat="1" applyFont="1" applyFill="1" applyBorder="1" applyAlignment="1" applyProtection="1">
      <alignment horizontal="center"/>
      <protection locked="0"/>
    </xf>
    <xf numFmtId="3" fontId="12" fillId="0" borderId="12" xfId="3" applyNumberFormat="1" applyFont="1" applyFill="1" applyBorder="1" applyAlignment="1" applyProtection="1">
      <alignment horizontal="center" wrapText="1"/>
    </xf>
    <xf numFmtId="165" fontId="6" fillId="0" borderId="56" xfId="3" applyNumberFormat="1" applyFont="1" applyFill="1" applyBorder="1" applyProtection="1"/>
    <xf numFmtId="3" fontId="12" fillId="0" borderId="12" xfId="1" applyNumberFormat="1" applyFont="1" applyFill="1" applyBorder="1" applyAlignment="1" applyProtection="1">
      <alignment horizontal="center" wrapText="1"/>
    </xf>
    <xf numFmtId="3" fontId="12" fillId="0" borderId="2" xfId="3" applyNumberFormat="1" applyFont="1" applyFill="1" applyBorder="1" applyAlignment="1" applyProtection="1">
      <alignment horizontal="center" wrapText="1"/>
    </xf>
    <xf numFmtId="3" fontId="12" fillId="0" borderId="2" xfId="1" applyNumberFormat="1" applyFont="1" applyFill="1" applyBorder="1" applyAlignment="1" applyProtection="1">
      <alignment horizontal="center" wrapText="1"/>
    </xf>
    <xf numFmtId="49" fontId="12" fillId="2" borderId="6" xfId="3" applyNumberFormat="1" applyFont="1" applyFill="1" applyBorder="1" applyProtection="1">
      <protection locked="0"/>
    </xf>
    <xf numFmtId="3" fontId="12" fillId="2" borderId="90" xfId="3" applyNumberFormat="1" applyFont="1" applyFill="1" applyBorder="1" applyProtection="1">
      <protection locked="0"/>
    </xf>
    <xf numFmtId="3" fontId="12" fillId="2" borderId="10" xfId="3" applyNumberFormat="1" applyFont="1" applyFill="1" applyBorder="1" applyProtection="1">
      <protection locked="0"/>
    </xf>
    <xf numFmtId="3" fontId="12" fillId="2" borderId="73" xfId="3" applyNumberFormat="1" applyFont="1" applyFill="1" applyBorder="1" applyProtection="1">
      <protection locked="0"/>
    </xf>
    <xf numFmtId="3" fontId="6" fillId="0" borderId="56" xfId="3" applyNumberFormat="1" applyFont="1" applyFill="1" applyBorder="1" applyAlignment="1" applyProtection="1">
      <alignment horizontal="right"/>
    </xf>
    <xf numFmtId="3" fontId="6" fillId="0" borderId="91" xfId="3" applyNumberFormat="1" applyFont="1" applyBorder="1" applyAlignment="1" applyProtection="1">
      <alignment horizontal="right"/>
    </xf>
    <xf numFmtId="3" fontId="12" fillId="2" borderId="5" xfId="3" applyNumberFormat="1" applyFont="1" applyFill="1" applyBorder="1" applyProtection="1">
      <protection locked="0"/>
    </xf>
    <xf numFmtId="0" fontId="0" fillId="0" borderId="1" xfId="0" applyBorder="1"/>
    <xf numFmtId="0" fontId="12" fillId="0" borderId="5" xfId="3" applyFont="1" applyFill="1" applyBorder="1" applyAlignment="1" applyProtection="1">
      <alignment horizontal="center" wrapText="1"/>
    </xf>
    <xf numFmtId="0" fontId="12" fillId="0" borderId="2" xfId="3" applyFont="1" applyFill="1" applyBorder="1" applyAlignment="1" applyProtection="1">
      <alignment horizontal="center" wrapText="1"/>
    </xf>
    <xf numFmtId="0" fontId="12" fillId="0" borderId="12" xfId="3" applyFont="1" applyFill="1" applyBorder="1" applyAlignment="1" applyProtection="1">
      <alignment horizontal="center" wrapText="1"/>
    </xf>
    <xf numFmtId="1" fontId="29" fillId="2" borderId="5" xfId="4" applyNumberFormat="1" applyFont="1" applyFill="1" applyBorder="1" applyAlignment="1" applyProtection="1">
      <alignment horizontal="center"/>
      <protection locked="0"/>
    </xf>
    <xf numFmtId="9" fontId="6" fillId="12" borderId="5" xfId="0" applyNumberFormat="1" applyFont="1" applyFill="1" applyBorder="1" applyAlignment="1" applyProtection="1">
      <alignment horizontal="center"/>
    </xf>
    <xf numFmtId="0" fontId="25" fillId="0" borderId="0" xfId="3" applyFont="1" applyBorder="1" applyAlignment="1" applyProtection="1">
      <alignment wrapText="1"/>
    </xf>
    <xf numFmtId="3" fontId="12" fillId="2" borderId="12" xfId="3" applyNumberFormat="1" applyFont="1" applyFill="1" applyBorder="1" applyProtection="1">
      <protection locked="0"/>
    </xf>
    <xf numFmtId="0" fontId="10" fillId="0" borderId="92" xfId="3" applyFont="1" applyBorder="1" applyAlignment="1" applyProtection="1">
      <alignment horizontal="center" wrapText="1"/>
    </xf>
    <xf numFmtId="49" fontId="12" fillId="2" borderId="12" xfId="3" applyNumberFormat="1" applyFont="1" applyFill="1" applyBorder="1" applyProtection="1">
      <protection locked="0"/>
    </xf>
    <xf numFmtId="0" fontId="10" fillId="0" borderId="11" xfId="3" applyFont="1" applyBorder="1" applyAlignment="1" applyProtection="1">
      <alignment horizontal="center"/>
    </xf>
    <xf numFmtId="10" fontId="12" fillId="2" borderId="5" xfId="3" applyNumberFormat="1" applyFont="1" applyFill="1" applyBorder="1" applyProtection="1">
      <protection locked="0"/>
    </xf>
    <xf numFmtId="165" fontId="26" fillId="0" borderId="0" xfId="3" applyNumberFormat="1" applyFont="1" applyBorder="1" applyAlignment="1" applyProtection="1">
      <alignment horizontal="right" wrapText="1"/>
    </xf>
    <xf numFmtId="0" fontId="12" fillId="0" borderId="41" xfId="3" applyFont="1" applyBorder="1" applyAlignment="1" applyProtection="1">
      <alignment horizontal="left"/>
    </xf>
    <xf numFmtId="0" fontId="10" fillId="0" borderId="93" xfId="3" applyFont="1" applyBorder="1" applyAlignment="1" applyProtection="1">
      <alignment horizontal="center"/>
    </xf>
    <xf numFmtId="0" fontId="10" fillId="0" borderId="22" xfId="3" applyFont="1" applyBorder="1" applyAlignment="1" applyProtection="1">
      <alignment horizontal="center"/>
    </xf>
    <xf numFmtId="0" fontId="10" fillId="0" borderId="9" xfId="3" applyFont="1" applyBorder="1" applyAlignment="1" applyProtection="1">
      <alignment horizontal="left"/>
    </xf>
    <xf numFmtId="0" fontId="10" fillId="0" borderId="15" xfId="3" applyFont="1" applyBorder="1" applyAlignment="1" applyProtection="1">
      <alignment horizontal="left"/>
    </xf>
    <xf numFmtId="0" fontId="10" fillId="0" borderId="0" xfId="3" applyFont="1" applyBorder="1" applyAlignment="1" applyProtection="1">
      <alignment horizontal="center" vertical="center"/>
    </xf>
    <xf numFmtId="0" fontId="10" fillId="0" borderId="41" xfId="3" applyFont="1" applyBorder="1" applyAlignment="1" applyProtection="1">
      <alignment horizontal="left"/>
    </xf>
    <xf numFmtId="0" fontId="12" fillId="2" borderId="22" xfId="3" applyFont="1" applyFill="1" applyBorder="1" applyAlignment="1" applyProtection="1">
      <alignment horizontal="center"/>
      <protection locked="0"/>
    </xf>
    <xf numFmtId="3" fontId="12" fillId="2" borderId="14" xfId="3" applyNumberFormat="1" applyFont="1" applyFill="1" applyBorder="1" applyAlignment="1" applyProtection="1">
      <alignment horizontal="center"/>
      <protection locked="0"/>
    </xf>
    <xf numFmtId="0" fontId="10" fillId="0" borderId="0" xfId="3" applyFont="1" applyBorder="1" applyAlignment="1" applyProtection="1">
      <alignment horizontal="left"/>
    </xf>
    <xf numFmtId="0" fontId="12" fillId="0" borderId="0" xfId="3" applyFont="1" applyFill="1" applyBorder="1" applyAlignment="1" applyProtection="1">
      <alignment horizontal="center"/>
      <protection locked="0"/>
    </xf>
    <xf numFmtId="0" fontId="12" fillId="0" borderId="0" xfId="0" applyFont="1" applyFill="1" applyBorder="1" applyProtection="1"/>
    <xf numFmtId="0" fontId="12" fillId="2" borderId="27" xfId="3" applyFont="1" applyFill="1" applyBorder="1" applyAlignment="1" applyProtection="1">
      <alignment horizontal="center"/>
      <protection locked="0"/>
    </xf>
    <xf numFmtId="0" fontId="12" fillId="2" borderId="102" xfId="3" applyFont="1" applyFill="1" applyBorder="1" applyAlignment="1" applyProtection="1">
      <alignment horizontal="center"/>
      <protection locked="0"/>
    </xf>
    <xf numFmtId="3" fontId="1" fillId="13" borderId="0" xfId="0" applyNumberFormat="1" applyFont="1" applyFill="1" applyBorder="1" applyProtection="1"/>
    <xf numFmtId="0" fontId="12" fillId="13" borderId="0" xfId="3" applyFont="1" applyFill="1" applyBorder="1" applyAlignment="1" applyProtection="1">
      <alignment horizontal="center"/>
      <protection locked="0"/>
    </xf>
    <xf numFmtId="0" fontId="10" fillId="0" borderId="0" xfId="3" applyFont="1" applyBorder="1" applyAlignment="1" applyProtection="1">
      <alignment horizontal="center" vertical="center" wrapText="1"/>
    </xf>
    <xf numFmtId="3" fontId="12" fillId="2" borderId="27" xfId="3" applyNumberFormat="1" applyFont="1" applyFill="1" applyBorder="1" applyAlignment="1" applyProtection="1">
      <alignment horizontal="center"/>
      <protection locked="0"/>
    </xf>
    <xf numFmtId="0" fontId="0" fillId="14" borderId="5" xfId="0" applyFill="1" applyBorder="1" applyAlignment="1">
      <alignment wrapText="1"/>
    </xf>
    <xf numFmtId="0" fontId="12" fillId="2" borderId="98" xfId="3" applyFont="1" applyFill="1" applyBorder="1" applyAlignment="1" applyProtection="1">
      <alignment horizontal="center"/>
      <protection locked="0"/>
    </xf>
    <xf numFmtId="0" fontId="12" fillId="14" borderId="93" xfId="3" applyFont="1" applyFill="1" applyBorder="1" applyAlignment="1" applyProtection="1">
      <alignment horizontal="center"/>
      <protection locked="0"/>
    </xf>
    <xf numFmtId="0" fontId="12" fillId="14" borderId="22" xfId="3" applyFont="1" applyFill="1" applyBorder="1" applyAlignment="1" applyProtection="1">
      <alignment horizontal="center"/>
      <protection locked="0"/>
    </xf>
    <xf numFmtId="0" fontId="12" fillId="14" borderId="17" xfId="3" applyFont="1" applyFill="1" applyBorder="1" applyProtection="1"/>
    <xf numFmtId="0" fontId="12" fillId="14" borderId="18" xfId="3" applyFont="1" applyFill="1" applyBorder="1" applyProtection="1"/>
    <xf numFmtId="0" fontId="6" fillId="0" borderId="0" xfId="3" applyFont="1" applyBorder="1" applyAlignment="1" applyProtection="1">
      <alignment horizontal="left"/>
    </xf>
    <xf numFmtId="0" fontId="3" fillId="0" borderId="0" xfId="0" applyFont="1" applyAlignment="1">
      <alignment horizontal="center"/>
    </xf>
    <xf numFmtId="0" fontId="1" fillId="14" borderId="14" xfId="3" applyFont="1" applyFill="1" applyBorder="1" applyAlignment="1" applyProtection="1">
      <alignment horizontal="right" wrapText="1"/>
    </xf>
    <xf numFmtId="0" fontId="12" fillId="14" borderId="17" xfId="3" applyFont="1" applyFill="1" applyBorder="1" applyProtection="1">
      <protection locked="0"/>
    </xf>
    <xf numFmtId="0" fontId="12" fillId="14" borderId="18" xfId="3" applyFont="1" applyFill="1" applyBorder="1" applyProtection="1">
      <protection locked="0"/>
    </xf>
    <xf numFmtId="0" fontId="12" fillId="14" borderId="5" xfId="0" applyFont="1" applyFill="1" applyBorder="1" applyAlignment="1" applyProtection="1">
      <alignment wrapText="1"/>
      <protection locked="0"/>
    </xf>
    <xf numFmtId="0" fontId="12" fillId="14" borderId="14" xfId="3" applyFont="1" applyFill="1" applyBorder="1" applyAlignment="1" applyProtection="1">
      <alignment horizontal="right" wrapText="1"/>
      <protection locked="0"/>
    </xf>
    <xf numFmtId="0" fontId="1" fillId="0" borderId="0" xfId="0" applyFont="1" applyBorder="1" applyAlignment="1" applyProtection="1">
      <alignment horizontal="right" wrapText="1"/>
    </xf>
    <xf numFmtId="0" fontId="8" fillId="0" borderId="0" xfId="0" applyFont="1" applyBorder="1" applyAlignment="1" applyProtection="1">
      <alignment horizontal="right" wrapText="1"/>
    </xf>
    <xf numFmtId="0" fontId="9" fillId="0" borderId="21" xfId="0" applyNumberFormat="1" applyFont="1" applyBorder="1" applyProtection="1"/>
    <xf numFmtId="0" fontId="1" fillId="0" borderId="0" xfId="0" applyFont="1" applyBorder="1" applyProtection="1"/>
    <xf numFmtId="42" fontId="9" fillId="0" borderId="0" xfId="0" applyNumberFormat="1" applyFont="1" applyBorder="1" applyProtection="1">
      <protection locked="0"/>
    </xf>
    <xf numFmtId="0" fontId="10" fillId="0" borderId="62" xfId="3" applyFont="1" applyBorder="1" applyAlignment="1" applyProtection="1">
      <alignment horizontal="center" wrapText="1"/>
    </xf>
    <xf numFmtId="0" fontId="10" fillId="0" borderId="96" xfId="3" applyFont="1" applyBorder="1" applyAlignment="1" applyProtection="1">
      <alignment horizontal="center" wrapText="1"/>
    </xf>
    <xf numFmtId="0" fontId="5" fillId="0" borderId="0" xfId="0" applyFont="1" applyFill="1" applyBorder="1" applyAlignment="1" applyProtection="1">
      <alignment horizontal="center"/>
    </xf>
    <xf numFmtId="0" fontId="6" fillId="2" borderId="0" xfId="0" applyFont="1" applyFill="1" applyBorder="1" applyAlignment="1" applyProtection="1">
      <alignment horizontal="center"/>
      <protection locked="0"/>
    </xf>
    <xf numFmtId="0" fontId="6" fillId="0" borderId="0" xfId="0" applyFont="1" applyBorder="1" applyAlignment="1" applyProtection="1">
      <alignment horizontal="center"/>
    </xf>
    <xf numFmtId="0" fontId="0" fillId="0" borderId="0" xfId="0" applyAlignment="1" applyProtection="1">
      <alignment horizontal="left" wrapText="1"/>
    </xf>
    <xf numFmtId="0" fontId="10" fillId="0" borderId="70" xfId="3" applyFont="1" applyBorder="1" applyAlignment="1" applyProtection="1">
      <alignment horizontal="center" wrapText="1"/>
    </xf>
    <xf numFmtId="0" fontId="10" fillId="0" borderId="97" xfId="3" applyFont="1" applyBorder="1" applyAlignment="1" applyProtection="1">
      <alignment horizontal="center" wrapText="1"/>
    </xf>
    <xf numFmtId="0" fontId="10" fillId="0" borderId="94" xfId="3" applyFont="1" applyBorder="1" applyAlignment="1" applyProtection="1">
      <alignment horizontal="center" wrapText="1"/>
    </xf>
    <xf numFmtId="0" fontId="10" fillId="0" borderId="95" xfId="3" applyFont="1" applyBorder="1" applyAlignment="1" applyProtection="1">
      <alignment horizontal="center" wrapText="1"/>
    </xf>
    <xf numFmtId="0" fontId="1" fillId="8" borderId="98" xfId="0" applyFont="1" applyFill="1" applyBorder="1" applyAlignment="1" applyProtection="1">
      <alignment horizontal="center"/>
    </xf>
    <xf numFmtId="0" fontId="1" fillId="8" borderId="64" xfId="0" applyFont="1" applyFill="1" applyBorder="1" applyAlignment="1" applyProtection="1">
      <alignment horizontal="center"/>
    </xf>
    <xf numFmtId="0" fontId="1" fillId="8" borderId="42" xfId="0" applyFont="1" applyFill="1" applyBorder="1" applyAlignment="1" applyProtection="1">
      <alignment horizontal="center"/>
    </xf>
    <xf numFmtId="0" fontId="2" fillId="0" borderId="0" xfId="0" applyFont="1" applyFill="1" applyAlignment="1" applyProtection="1">
      <alignment horizontal="left"/>
    </xf>
    <xf numFmtId="0" fontId="3" fillId="2" borderId="40" xfId="0" applyFont="1" applyFill="1" applyBorder="1" applyAlignment="1" applyProtection="1">
      <alignment horizontal="left" wrapText="1"/>
      <protection locked="0"/>
    </xf>
    <xf numFmtId="0" fontId="15" fillId="5" borderId="40" xfId="0" applyFont="1" applyFill="1" applyBorder="1" applyAlignment="1" applyProtection="1">
      <alignment horizontal="center" vertical="top"/>
    </xf>
    <xf numFmtId="0" fontId="15" fillId="5" borderId="31" xfId="0" applyFont="1" applyFill="1" applyBorder="1" applyAlignment="1" applyProtection="1">
      <alignment horizontal="center" vertical="top"/>
    </xf>
    <xf numFmtId="0" fontId="0" fillId="0" borderId="0" xfId="0" applyAlignment="1" applyProtection="1">
      <alignment horizontal="left"/>
    </xf>
    <xf numFmtId="0" fontId="2" fillId="0" borderId="0" xfId="0" applyFont="1" applyFill="1" applyBorder="1" applyAlignment="1" applyProtection="1">
      <alignment horizontal="left"/>
    </xf>
    <xf numFmtId="0" fontId="9" fillId="0" borderId="0" xfId="0" applyFont="1" applyFill="1" applyBorder="1" applyAlignment="1" applyProtection="1">
      <alignment horizontal="left"/>
    </xf>
    <xf numFmtId="0" fontId="28" fillId="0" borderId="0" xfId="0" applyFont="1" applyAlignment="1" applyProtection="1">
      <alignment horizontal="left" wrapText="1"/>
    </xf>
    <xf numFmtId="0" fontId="6" fillId="2" borderId="99" xfId="0" applyFont="1" applyFill="1" applyBorder="1" applyAlignment="1" applyProtection="1">
      <alignment horizontal="left" wrapText="1"/>
      <protection locked="0"/>
    </xf>
    <xf numFmtId="0" fontId="29" fillId="0" borderId="100" xfId="0" applyFont="1" applyBorder="1" applyAlignment="1" applyProtection="1">
      <protection locked="0"/>
    </xf>
    <xf numFmtId="0" fontId="29" fillId="0" borderId="101" xfId="0" applyFont="1" applyBorder="1" applyAlignment="1" applyProtection="1">
      <protection locked="0"/>
    </xf>
    <xf numFmtId="0" fontId="19" fillId="0" borderId="0" xfId="0" applyFont="1" applyAlignment="1" applyProtection="1">
      <alignment horizontal="left" wrapText="1"/>
    </xf>
    <xf numFmtId="165" fontId="26" fillId="0" borderId="5" xfId="3" applyNumberFormat="1" applyFont="1" applyBorder="1" applyAlignment="1" applyProtection="1">
      <alignment horizontal="right" wrapText="1"/>
    </xf>
    <xf numFmtId="0" fontId="0" fillId="0" borderId="5" xfId="0" applyBorder="1" applyAlignment="1">
      <alignment horizontal="right" wrapText="1"/>
    </xf>
    <xf numFmtId="0" fontId="0" fillId="0" borderId="17" xfId="0" applyBorder="1" applyAlignment="1">
      <alignment horizontal="right" wrapText="1"/>
    </xf>
    <xf numFmtId="0" fontId="12" fillId="0" borderId="0" xfId="3" applyFont="1" applyBorder="1" applyAlignment="1" applyProtection="1">
      <alignment horizontal="center" wrapText="1"/>
    </xf>
    <xf numFmtId="0" fontId="0" fillId="0" borderId="0" xfId="0" applyAlignment="1" applyProtection="1">
      <alignment wrapText="1"/>
    </xf>
    <xf numFmtId="0" fontId="5" fillId="0" borderId="0" xfId="3" applyFont="1" applyFill="1" applyBorder="1" applyAlignment="1" applyProtection="1">
      <alignment horizontal="center"/>
    </xf>
    <xf numFmtId="0" fontId="6" fillId="2" borderId="0" xfId="3" applyFont="1" applyFill="1" applyBorder="1" applyAlignment="1" applyProtection="1">
      <alignment horizontal="center"/>
      <protection locked="0"/>
    </xf>
    <xf numFmtId="0" fontId="6" fillId="0" borderId="0" xfId="3" applyFont="1" applyBorder="1" applyAlignment="1" applyProtection="1">
      <alignment horizontal="center"/>
    </xf>
    <xf numFmtId="0" fontId="33" fillId="0" borderId="0" xfId="3" applyFont="1" applyFill="1" applyBorder="1" applyAlignment="1" applyProtection="1">
      <alignment horizontal="center" wrapText="1"/>
    </xf>
    <xf numFmtId="0" fontId="0" fillId="0" borderId="0" xfId="0" applyAlignment="1" applyProtection="1">
      <alignment horizontal="center" wrapText="1"/>
    </xf>
    <xf numFmtId="0" fontId="12" fillId="2" borderId="27" xfId="3" applyFont="1" applyFill="1" applyBorder="1" applyAlignment="1" applyProtection="1">
      <alignment horizontal="center"/>
      <protection locked="0"/>
    </xf>
    <xf numFmtId="0" fontId="12" fillId="2" borderId="68" xfId="3" applyFont="1" applyFill="1" applyBorder="1" applyAlignment="1" applyProtection="1">
      <alignment horizontal="center"/>
      <protection locked="0"/>
    </xf>
    <xf numFmtId="0" fontId="12" fillId="2" borderId="102" xfId="3" applyFont="1" applyFill="1" applyBorder="1" applyAlignment="1" applyProtection="1">
      <alignment horizontal="center"/>
      <protection locked="0"/>
    </xf>
    <xf numFmtId="0" fontId="12" fillId="2" borderId="103" xfId="3" applyFont="1" applyFill="1" applyBorder="1" applyAlignment="1" applyProtection="1">
      <alignment horizontal="center"/>
      <protection locked="0"/>
    </xf>
    <xf numFmtId="0" fontId="27" fillId="0" borderId="1" xfId="3" applyFont="1" applyBorder="1" applyAlignment="1" applyProtection="1">
      <alignment horizontal="left" wrapText="1"/>
    </xf>
    <xf numFmtId="0" fontId="0" fillId="0" borderId="1" xfId="0" applyBorder="1" applyAlignment="1">
      <alignment wrapText="1"/>
    </xf>
    <xf numFmtId="0" fontId="6" fillId="0" borderId="0" xfId="3" applyFont="1" applyBorder="1" applyAlignment="1" applyProtection="1">
      <alignment horizontal="left"/>
    </xf>
    <xf numFmtId="0" fontId="27" fillId="0" borderId="21" xfId="3" applyFont="1" applyBorder="1" applyAlignment="1" applyProtection="1">
      <alignment horizontal="left" wrapText="1"/>
    </xf>
    <xf numFmtId="0" fontId="0" fillId="0" borderId="21" xfId="0" applyBorder="1" applyAlignment="1">
      <alignment wrapText="1"/>
    </xf>
    <xf numFmtId="0" fontId="25" fillId="0" borderId="11" xfId="3" applyFont="1" applyBorder="1" applyAlignment="1" applyProtection="1">
      <alignment horizontal="right" wrapText="1"/>
    </xf>
    <xf numFmtId="0" fontId="0" fillId="0" borderId="7" xfId="0" applyBorder="1" applyAlignment="1">
      <alignment horizontal="right" wrapText="1"/>
    </xf>
    <xf numFmtId="0" fontId="0" fillId="0" borderId="56" xfId="0" applyBorder="1" applyAlignment="1">
      <alignment horizontal="right" wrapText="1"/>
    </xf>
    <xf numFmtId="0" fontId="25" fillId="0" borderId="5" xfId="3" applyFont="1" applyBorder="1" applyAlignment="1" applyProtection="1">
      <alignment horizontal="right" wrapText="1"/>
    </xf>
  </cellXfs>
  <cellStyles count="5">
    <cellStyle name="Comma" xfId="1" builtinId="3"/>
    <cellStyle name="Currency" xfId="2" builtinId="4"/>
    <cellStyle name="Normal" xfId="0" builtinId="0"/>
    <cellStyle name="Normal_unit information table" xfId="3"/>
    <cellStyle name="Percent" xfId="4" builtinId="5"/>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22"/>
  <sheetViews>
    <sheetView zoomScaleNormal="100" workbookViewId="0">
      <selection activeCell="A7" sqref="A7"/>
    </sheetView>
  </sheetViews>
  <sheetFormatPr defaultRowHeight="12.75"/>
  <cols>
    <col min="1" max="1" width="79.85546875" customWidth="1"/>
  </cols>
  <sheetData>
    <row r="1" spans="1:1" ht="15">
      <c r="A1" s="1" t="s">
        <v>0</v>
      </c>
    </row>
    <row r="3" spans="1:1" ht="63.75">
      <c r="A3" s="2" t="s">
        <v>307</v>
      </c>
    </row>
    <row r="5" spans="1:1">
      <c r="A5" s="3" t="s">
        <v>1</v>
      </c>
    </row>
    <row r="6" spans="1:1">
      <c r="A6" s="4" t="s">
        <v>2</v>
      </c>
    </row>
    <row r="7" spans="1:1" ht="25.5">
      <c r="A7" s="4" t="s">
        <v>308</v>
      </c>
    </row>
    <row r="8" spans="1:1">
      <c r="A8" s="2"/>
    </row>
    <row r="9" spans="1:1">
      <c r="A9" s="3" t="s">
        <v>3</v>
      </c>
    </row>
    <row r="10" spans="1:1" ht="38.25">
      <c r="A10" s="2" t="s">
        <v>4</v>
      </c>
    </row>
    <row r="11" spans="1:1">
      <c r="A11" s="2"/>
    </row>
    <row r="12" spans="1:1" ht="38.25">
      <c r="A12" s="2" t="s">
        <v>5</v>
      </c>
    </row>
    <row r="13" spans="1:1">
      <c r="A13" s="2"/>
    </row>
    <row r="14" spans="1:1" ht="38.25">
      <c r="A14" s="2" t="s">
        <v>6</v>
      </c>
    </row>
    <row r="16" spans="1:1" ht="69" customHeight="1">
      <c r="A16" s="4" t="s">
        <v>200</v>
      </c>
    </row>
    <row r="18" spans="1:1">
      <c r="A18" s="2" t="s">
        <v>7</v>
      </c>
    </row>
    <row r="19" spans="1:1">
      <c r="A19" s="3"/>
    </row>
    <row r="20" spans="1:1" ht="25.5">
      <c r="A20" s="2" t="s">
        <v>8</v>
      </c>
    </row>
    <row r="22" spans="1:1" ht="25.5">
      <c r="A22" s="2" t="s">
        <v>291</v>
      </c>
    </row>
  </sheetData>
  <sheetProtection password="DFF4" sheet="1" objects="1" scenarios="1"/>
  <phoneticPr fontId="18"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40"/>
  <sheetViews>
    <sheetView topLeftCell="A7" zoomScaleNormal="100" workbookViewId="0">
      <selection activeCell="A3" sqref="A3:K3"/>
    </sheetView>
  </sheetViews>
  <sheetFormatPr defaultColWidth="14.7109375" defaultRowHeight="12.75"/>
  <cols>
    <col min="1" max="5" width="12.7109375" style="6" customWidth="1"/>
    <col min="6" max="6" width="5.7109375" style="6" customWidth="1"/>
    <col min="7" max="8" width="5.7109375" customWidth="1"/>
    <col min="9" max="9" width="6.42578125" customWidth="1"/>
    <col min="10" max="10" width="10" customWidth="1"/>
    <col min="11" max="11" width="11" customWidth="1"/>
  </cols>
  <sheetData>
    <row r="1" spans="1:11" ht="15" customHeight="1">
      <c r="A1" s="446" t="s">
        <v>301</v>
      </c>
      <c r="B1" s="446"/>
      <c r="C1" s="446"/>
      <c r="D1" s="446"/>
      <c r="E1" s="446"/>
      <c r="F1" s="446"/>
      <c r="G1" s="446"/>
      <c r="H1" s="446"/>
      <c r="I1" s="446"/>
      <c r="J1" s="446"/>
      <c r="K1" s="446"/>
    </row>
    <row r="2" spans="1:11" ht="15">
      <c r="A2" s="447" t="s">
        <v>9</v>
      </c>
      <c r="B2" s="447"/>
      <c r="C2" s="447"/>
      <c r="D2" s="447"/>
      <c r="E2" s="447"/>
      <c r="F2" s="447"/>
      <c r="G2" s="447"/>
      <c r="H2" s="447"/>
      <c r="I2" s="447"/>
      <c r="J2" s="447"/>
      <c r="K2" s="447"/>
    </row>
    <row r="3" spans="1:11" ht="15">
      <c r="A3" s="448" t="s">
        <v>309</v>
      </c>
      <c r="B3" s="448"/>
      <c r="C3" s="448"/>
      <c r="D3" s="448"/>
      <c r="E3" s="448"/>
      <c r="F3" s="448"/>
      <c r="G3" s="448"/>
      <c r="H3" s="448"/>
      <c r="I3" s="448"/>
      <c r="J3" s="448"/>
      <c r="K3" s="448"/>
    </row>
    <row r="4" spans="1:11">
      <c r="G4" s="6"/>
      <c r="H4" s="6"/>
      <c r="I4" s="6"/>
      <c r="J4" s="6"/>
      <c r="K4" s="6"/>
    </row>
    <row r="5" spans="1:11" ht="39.75" customHeight="1">
      <c r="A5" s="449" t="s">
        <v>10</v>
      </c>
      <c r="B5" s="449"/>
      <c r="C5" s="449"/>
      <c r="D5" s="449"/>
      <c r="E5" s="449"/>
      <c r="F5" s="449"/>
      <c r="G5" s="449"/>
      <c r="H5" s="449"/>
      <c r="I5" s="449"/>
      <c r="J5" s="449"/>
      <c r="K5" s="449"/>
    </row>
    <row r="6" spans="1:11" ht="12.75" customHeight="1">
      <c r="A6" s="7"/>
      <c r="B6" s="7"/>
      <c r="C6" s="7"/>
      <c r="D6" s="7"/>
      <c r="E6" s="7"/>
      <c r="F6" s="7"/>
      <c r="G6" s="6"/>
      <c r="H6" s="6"/>
      <c r="I6" s="6"/>
      <c r="J6" s="6"/>
      <c r="K6" s="6"/>
    </row>
    <row r="7" spans="1:11">
      <c r="A7" s="8" t="s">
        <v>11</v>
      </c>
      <c r="B7" s="8"/>
      <c r="D7" s="9" t="s">
        <v>12</v>
      </c>
      <c r="G7" s="6"/>
      <c r="H7" s="6"/>
      <c r="I7" s="6"/>
      <c r="J7" s="6"/>
      <c r="K7" s="6"/>
    </row>
    <row r="8" spans="1:11">
      <c r="A8" s="8" t="s">
        <v>13</v>
      </c>
      <c r="B8" s="8"/>
      <c r="C8" s="8"/>
      <c r="E8" s="9" t="s">
        <v>12</v>
      </c>
      <c r="G8" s="6"/>
      <c r="H8" s="6"/>
      <c r="I8" s="6"/>
      <c r="J8" s="6"/>
      <c r="K8" s="6"/>
    </row>
    <row r="9" spans="1:11">
      <c r="A9" s="10"/>
      <c r="G9" s="6"/>
      <c r="H9" s="6"/>
      <c r="I9" s="6"/>
      <c r="J9" s="6"/>
      <c r="K9" s="6"/>
    </row>
    <row r="10" spans="1:11" ht="15.75">
      <c r="A10" s="11" t="s">
        <v>14</v>
      </c>
      <c r="G10" s="6"/>
      <c r="H10" s="6"/>
      <c r="I10" s="6"/>
      <c r="J10" s="6"/>
      <c r="K10" s="6"/>
    </row>
    <row r="11" spans="1:11" ht="12.75" customHeight="1">
      <c r="A11" s="11"/>
      <c r="G11" s="6"/>
      <c r="H11" s="6"/>
      <c r="I11" s="6"/>
      <c r="J11" s="6"/>
      <c r="K11" s="6"/>
    </row>
    <row r="12" spans="1:11">
      <c r="A12" s="10" t="s">
        <v>15</v>
      </c>
      <c r="B12" s="12"/>
      <c r="D12" s="13"/>
      <c r="G12" s="6"/>
      <c r="H12" s="6"/>
      <c r="I12" s="6"/>
      <c r="J12" s="6"/>
      <c r="K12" s="6"/>
    </row>
    <row r="13" spans="1:11">
      <c r="A13" s="10" t="s">
        <v>16</v>
      </c>
      <c r="B13" s="12"/>
      <c r="C13" s="13"/>
      <c r="G13" s="6"/>
      <c r="H13" s="6"/>
      <c r="I13" s="6"/>
      <c r="J13" s="6"/>
      <c r="K13" s="6"/>
    </row>
    <row r="14" spans="1:11" ht="13.5" thickBot="1">
      <c r="A14" s="14"/>
      <c r="B14" s="15"/>
      <c r="C14" s="14"/>
      <c r="D14" s="14"/>
      <c r="E14" s="14"/>
      <c r="F14" s="14"/>
      <c r="G14" s="14"/>
      <c r="H14" s="14"/>
      <c r="I14" s="14"/>
      <c r="J14" s="14"/>
      <c r="K14" s="14"/>
    </row>
    <row r="15" spans="1:11" ht="13.5" customHeight="1" thickTop="1">
      <c r="A15" s="450" t="s">
        <v>17</v>
      </c>
      <c r="B15" s="452" t="s">
        <v>18</v>
      </c>
      <c r="C15" s="452" t="s">
        <v>19</v>
      </c>
      <c r="D15" s="452" t="s">
        <v>20</v>
      </c>
      <c r="E15" s="452" t="s">
        <v>21</v>
      </c>
      <c r="F15" s="454" t="s">
        <v>22</v>
      </c>
      <c r="G15" s="455"/>
      <c r="H15" s="455"/>
      <c r="I15" s="456"/>
      <c r="J15" s="452" t="s">
        <v>23</v>
      </c>
      <c r="K15" s="444" t="s">
        <v>24</v>
      </c>
    </row>
    <row r="16" spans="1:11" ht="36.75" thickBot="1">
      <c r="A16" s="451"/>
      <c r="B16" s="453"/>
      <c r="C16" s="453"/>
      <c r="D16" s="453"/>
      <c r="E16" s="453"/>
      <c r="F16" s="16" t="s">
        <v>25</v>
      </c>
      <c r="G16" s="16" t="s">
        <v>26</v>
      </c>
      <c r="H16" s="16" t="s">
        <v>27</v>
      </c>
      <c r="I16" s="16" t="s">
        <v>28</v>
      </c>
      <c r="J16" s="453"/>
      <c r="K16" s="445"/>
    </row>
    <row r="17" spans="1:11">
      <c r="A17" s="17"/>
      <c r="B17" s="18"/>
      <c r="C17" s="19"/>
      <c r="D17" s="20"/>
      <c r="E17" s="285"/>
      <c r="F17" s="21"/>
      <c r="G17" s="21"/>
      <c r="H17" s="21"/>
      <c r="I17" s="21"/>
      <c r="J17" s="21"/>
      <c r="K17" s="22"/>
    </row>
    <row r="18" spans="1:11">
      <c r="A18" s="23"/>
      <c r="B18" s="24"/>
      <c r="C18" s="25"/>
      <c r="D18" s="26"/>
      <c r="E18" s="286"/>
      <c r="F18" s="25"/>
      <c r="G18" s="25"/>
      <c r="H18" s="25"/>
      <c r="I18" s="25"/>
      <c r="J18" s="25"/>
      <c r="K18" s="27"/>
    </row>
    <row r="19" spans="1:11">
      <c r="A19" s="23"/>
      <c r="B19" s="24"/>
      <c r="C19" s="25"/>
      <c r="D19" s="19"/>
      <c r="E19" s="286"/>
      <c r="F19" s="25"/>
      <c r="G19" s="25"/>
      <c r="H19" s="25"/>
      <c r="I19" s="25"/>
      <c r="J19" s="25"/>
      <c r="K19" s="27"/>
    </row>
    <row r="20" spans="1:11">
      <c r="A20" s="23"/>
      <c r="B20" s="24"/>
      <c r="C20" s="25"/>
      <c r="D20" s="19"/>
      <c r="E20" s="286"/>
      <c r="F20" s="25"/>
      <c r="G20" s="25"/>
      <c r="H20" s="25"/>
      <c r="I20" s="25"/>
      <c r="J20" s="25"/>
      <c r="K20" s="27"/>
    </row>
    <row r="21" spans="1:11">
      <c r="A21" s="23"/>
      <c r="B21" s="24"/>
      <c r="C21" s="25"/>
      <c r="D21" s="25"/>
      <c r="E21" s="286"/>
      <c r="F21" s="25"/>
      <c r="G21" s="25"/>
      <c r="H21" s="25"/>
      <c r="I21" s="25"/>
      <c r="J21" s="25"/>
      <c r="K21" s="27"/>
    </row>
    <row r="22" spans="1:11">
      <c r="A22" s="23"/>
      <c r="B22" s="24"/>
      <c r="C22" s="19"/>
      <c r="D22" s="19"/>
      <c r="E22" s="287"/>
      <c r="F22" s="19"/>
      <c r="G22" s="19"/>
      <c r="H22" s="19"/>
      <c r="I22" s="19"/>
      <c r="J22" s="19"/>
      <c r="K22" s="28"/>
    </row>
    <row r="23" spans="1:11">
      <c r="A23" s="23"/>
      <c r="B23" s="24"/>
      <c r="C23" s="19"/>
      <c r="D23" s="19"/>
      <c r="E23" s="287"/>
      <c r="F23" s="19"/>
      <c r="G23" s="19"/>
      <c r="H23" s="19"/>
      <c r="I23" s="19"/>
      <c r="J23" s="19"/>
      <c r="K23" s="28"/>
    </row>
    <row r="24" spans="1:11">
      <c r="A24" s="23"/>
      <c r="B24" s="24"/>
      <c r="C24" s="19"/>
      <c r="D24" s="19"/>
      <c r="E24" s="287"/>
      <c r="F24" s="19"/>
      <c r="G24" s="19"/>
      <c r="H24" s="19"/>
      <c r="I24" s="19"/>
      <c r="J24" s="19"/>
      <c r="K24" s="28"/>
    </row>
    <row r="25" spans="1:11">
      <c r="A25" s="23"/>
      <c r="B25" s="24"/>
      <c r="C25" s="19"/>
      <c r="D25" s="19"/>
      <c r="E25" s="287"/>
      <c r="F25" s="19"/>
      <c r="G25" s="19"/>
      <c r="H25" s="19"/>
      <c r="I25" s="19"/>
      <c r="J25" s="19"/>
      <c r="K25" s="28"/>
    </row>
    <row r="26" spans="1:11">
      <c r="A26" s="23"/>
      <c r="B26" s="24"/>
      <c r="C26" s="19"/>
      <c r="D26" s="19"/>
      <c r="E26" s="287"/>
      <c r="F26" s="19"/>
      <c r="G26" s="19"/>
      <c r="H26" s="19"/>
      <c r="I26" s="19"/>
      <c r="J26" s="19"/>
      <c r="K26" s="28"/>
    </row>
    <row r="27" spans="1:11">
      <c r="A27" s="23"/>
      <c r="B27" s="24"/>
      <c r="C27" s="25"/>
      <c r="D27" s="25"/>
      <c r="E27" s="286"/>
      <c r="F27" s="25"/>
      <c r="G27" s="25"/>
      <c r="H27" s="25"/>
      <c r="I27" s="25"/>
      <c r="J27" s="25"/>
      <c r="K27" s="27"/>
    </row>
    <row r="28" spans="1:11">
      <c r="A28" s="23"/>
      <c r="B28" s="24"/>
      <c r="C28" s="25"/>
      <c r="D28" s="25"/>
      <c r="E28" s="286"/>
      <c r="F28" s="25"/>
      <c r="G28" s="19"/>
      <c r="H28" s="19"/>
      <c r="I28" s="19"/>
      <c r="J28" s="19"/>
      <c r="K28" s="28"/>
    </row>
    <row r="29" spans="1:11" ht="13.5" thickBot="1">
      <c r="A29" s="29"/>
      <c r="B29" s="30"/>
      <c r="C29" s="31"/>
      <c r="D29" s="31"/>
      <c r="E29" s="288"/>
      <c r="F29" s="31"/>
      <c r="G29" s="31"/>
      <c r="H29" s="31"/>
      <c r="I29" s="31"/>
      <c r="J29" s="31"/>
      <c r="K29" s="32"/>
    </row>
    <row r="30" spans="1:11" ht="13.5" thickTop="1">
      <c r="A30" s="33"/>
      <c r="B30" s="34"/>
      <c r="C30" s="34"/>
      <c r="D30" s="34"/>
      <c r="E30" s="34"/>
      <c r="F30" s="34"/>
      <c r="G30" s="75"/>
      <c r="H30" s="75"/>
      <c r="I30" s="6"/>
      <c r="J30" s="6"/>
      <c r="K30" s="6"/>
    </row>
    <row r="31" spans="1:11" ht="16.5" customHeight="1" thickBot="1">
      <c r="A31" s="35" t="s">
        <v>29</v>
      </c>
      <c r="B31" s="36"/>
      <c r="C31" s="37"/>
      <c r="D31" s="15"/>
      <c r="E31" s="38"/>
      <c r="G31" s="6"/>
      <c r="H31" s="6"/>
      <c r="I31" s="6"/>
      <c r="J31" s="6"/>
      <c r="K31" s="6"/>
    </row>
    <row r="32" spans="1:11" ht="12.75" customHeight="1" thickTop="1">
      <c r="A32" s="39"/>
      <c r="B32" s="40"/>
      <c r="C32" s="41" t="s">
        <v>30</v>
      </c>
      <c r="D32" s="42"/>
      <c r="E32" s="38"/>
      <c r="G32" s="6"/>
      <c r="H32" s="6"/>
      <c r="I32" s="6"/>
      <c r="J32" s="6"/>
      <c r="K32" s="6"/>
    </row>
    <row r="33" spans="1:11">
      <c r="A33" s="43"/>
      <c r="B33" s="44"/>
      <c r="C33" s="45" t="s">
        <v>31</v>
      </c>
      <c r="D33" s="46"/>
      <c r="E33" s="34"/>
      <c r="G33" s="6"/>
      <c r="H33" s="6"/>
      <c r="I33" s="6"/>
      <c r="J33" s="6"/>
      <c r="K33" s="6"/>
    </row>
    <row r="34" spans="1:11" ht="12.75" customHeight="1">
      <c r="A34" s="47"/>
      <c r="B34" s="44"/>
      <c r="C34" s="45" t="s">
        <v>32</v>
      </c>
      <c r="D34" s="46"/>
      <c r="E34" s="38"/>
      <c r="G34" s="6"/>
      <c r="H34" s="6"/>
      <c r="I34" s="6"/>
      <c r="J34" s="6"/>
      <c r="K34" s="6"/>
    </row>
    <row r="35" spans="1:11" ht="12.75" customHeight="1">
      <c r="A35" s="47"/>
      <c r="B35" s="44"/>
      <c r="C35" s="45" t="s">
        <v>33</v>
      </c>
      <c r="D35" s="46"/>
      <c r="E35" s="38"/>
      <c r="G35" s="6"/>
      <c r="H35" s="6"/>
      <c r="I35" s="6"/>
      <c r="J35" s="6"/>
      <c r="K35" s="6"/>
    </row>
    <row r="36" spans="1:11" ht="13.5" customHeight="1" thickBot="1">
      <c r="A36" s="48"/>
      <c r="B36" s="49"/>
      <c r="C36" s="50" t="s">
        <v>34</v>
      </c>
      <c r="D36" s="32"/>
      <c r="E36" s="38"/>
      <c r="G36" s="6"/>
      <c r="H36" s="6"/>
      <c r="I36" s="6"/>
      <c r="J36" s="6"/>
      <c r="K36" s="6"/>
    </row>
    <row r="37" spans="1:11" ht="13.5" thickTop="1">
      <c r="G37" s="6"/>
      <c r="H37" s="6"/>
      <c r="I37" s="6"/>
      <c r="J37" s="6"/>
      <c r="K37" s="6"/>
    </row>
    <row r="38" spans="1:11">
      <c r="G38" s="6"/>
      <c r="H38" s="6"/>
      <c r="I38" s="6"/>
      <c r="J38" s="6"/>
      <c r="K38" s="6"/>
    </row>
    <row r="39" spans="1:11">
      <c r="G39" s="6"/>
      <c r="H39" s="6"/>
      <c r="I39" s="6"/>
      <c r="J39" s="6"/>
      <c r="K39" s="6"/>
    </row>
    <row r="40" spans="1:11">
      <c r="G40" s="6"/>
      <c r="H40" s="6"/>
      <c r="I40" s="6"/>
      <c r="J40" s="6"/>
      <c r="K40" s="6"/>
    </row>
  </sheetData>
  <sheetProtection password="DFF4" sheet="1" objects="1" scenarios="1" formatCells="0" formatColumns="0" formatRows="0" insertRows="0"/>
  <protectedRanges>
    <protectedRange password="DDF4" sqref="A2 D7 E8 D12 C13 A17:K29 D32:D36" name="one"/>
  </protectedRanges>
  <mergeCells count="12">
    <mergeCell ref="K15:K16"/>
    <mergeCell ref="A1:K1"/>
    <mergeCell ref="A2:K2"/>
    <mergeCell ref="A3:K3"/>
    <mergeCell ref="A5:K5"/>
    <mergeCell ref="A15:A16"/>
    <mergeCell ref="B15:B16"/>
    <mergeCell ref="C15:C16"/>
    <mergeCell ref="D15:D16"/>
    <mergeCell ref="E15:E16"/>
    <mergeCell ref="F15:I15"/>
    <mergeCell ref="J15:J16"/>
  </mergeCells>
  <phoneticPr fontId="18" type="noConversion"/>
  <pageMargins left="0.75" right="0.75" top="1" bottom="1" header="0.5" footer="0.5"/>
  <pageSetup scale="8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G91"/>
  <sheetViews>
    <sheetView zoomScaleNormal="100" workbookViewId="0">
      <selection activeCell="B22" sqref="B22"/>
    </sheetView>
  </sheetViews>
  <sheetFormatPr defaultRowHeight="12.75"/>
  <cols>
    <col min="1" max="1" width="40" style="6" customWidth="1"/>
    <col min="2" max="2" width="19.7109375" style="6" customWidth="1"/>
    <col min="3" max="3" width="19.7109375" style="125" customWidth="1"/>
    <col min="4" max="4" width="20.140625" style="125" customWidth="1"/>
    <col min="5" max="5" width="19" style="6" customWidth="1"/>
    <col min="6" max="6" width="18.42578125" style="6" customWidth="1"/>
    <col min="7" max="7" width="17.28515625" style="6" customWidth="1"/>
    <col min="8" max="16384" width="9.140625" style="6"/>
  </cols>
  <sheetData>
    <row r="1" spans="1:7" ht="15">
      <c r="A1" s="457" t="s">
        <v>302</v>
      </c>
      <c r="B1" s="457"/>
      <c r="C1" s="457"/>
      <c r="D1" s="457"/>
      <c r="E1" s="457"/>
      <c r="F1" s="457"/>
      <c r="G1" s="457"/>
    </row>
    <row r="2" spans="1:7">
      <c r="A2" s="223"/>
      <c r="B2" s="51"/>
      <c r="C2" s="51"/>
      <c r="D2" s="51"/>
      <c r="E2" s="51"/>
      <c r="F2" s="51"/>
      <c r="G2" s="51"/>
    </row>
    <row r="3" spans="1:7">
      <c r="A3" s="52" t="s">
        <v>35</v>
      </c>
      <c r="B3" s="458"/>
      <c r="C3" s="458"/>
      <c r="D3" s="458"/>
      <c r="E3" s="458"/>
      <c r="F3" s="458"/>
      <c r="G3" s="458"/>
    </row>
    <row r="4" spans="1:7" s="12" customFormat="1">
      <c r="A4" s="53"/>
      <c r="B4" s="54" t="s">
        <v>36</v>
      </c>
      <c r="C4" s="55" t="s">
        <v>37</v>
      </c>
      <c r="D4" s="56" t="s">
        <v>38</v>
      </c>
      <c r="E4" s="57"/>
      <c r="F4" s="57"/>
      <c r="G4" s="57"/>
    </row>
    <row r="5" spans="1:7">
      <c r="A5" s="52" t="s">
        <v>39</v>
      </c>
      <c r="B5" s="289"/>
      <c r="C5" s="289"/>
      <c r="D5" s="290"/>
      <c r="E5" s="58"/>
      <c r="F5" s="58"/>
    </row>
    <row r="6" spans="1:7">
      <c r="A6" s="52" t="s">
        <v>40</v>
      </c>
      <c r="B6" s="59"/>
      <c r="C6" s="59"/>
      <c r="D6" s="59"/>
      <c r="E6" s="58"/>
      <c r="F6" s="58"/>
    </row>
    <row r="7" spans="1:7">
      <c r="A7" s="52" t="s">
        <v>41</v>
      </c>
      <c r="B7" s="59"/>
      <c r="C7" s="59"/>
      <c r="D7" s="59"/>
      <c r="E7" s="58"/>
      <c r="F7" s="58"/>
    </row>
    <row r="8" spans="1:7" ht="13.5" thickBot="1">
      <c r="A8" s="60" t="s">
        <v>42</v>
      </c>
      <c r="B8" s="61"/>
      <c r="C8" s="61"/>
      <c r="D8" s="61"/>
      <c r="E8" s="62"/>
      <c r="F8" s="62"/>
    </row>
    <row r="9" spans="1:7">
      <c r="A9" s="44"/>
      <c r="B9" s="44"/>
      <c r="C9" s="63"/>
      <c r="D9" s="63"/>
      <c r="E9" s="44"/>
      <c r="F9" s="44"/>
      <c r="G9" s="44"/>
    </row>
    <row r="10" spans="1:7" ht="15" customHeight="1">
      <c r="A10" s="284" t="s">
        <v>233</v>
      </c>
      <c r="B10" s="64" t="s">
        <v>43</v>
      </c>
      <c r="C10" s="65" t="s">
        <v>37</v>
      </c>
      <c r="D10" s="66" t="s">
        <v>38</v>
      </c>
      <c r="E10" s="238" t="s">
        <v>202</v>
      </c>
      <c r="F10" s="459" t="s">
        <v>44</v>
      </c>
      <c r="G10" s="460"/>
    </row>
    <row r="11" spans="1:7" ht="26.25" customHeight="1">
      <c r="A11" s="67" t="s">
        <v>45</v>
      </c>
      <c r="B11" s="68" t="s">
        <v>46</v>
      </c>
      <c r="C11" s="68" t="s">
        <v>47</v>
      </c>
      <c r="D11" s="68" t="s">
        <v>47</v>
      </c>
      <c r="E11" s="69" t="s">
        <v>48</v>
      </c>
      <c r="F11" s="70" t="s">
        <v>257</v>
      </c>
      <c r="G11" s="68" t="s">
        <v>49</v>
      </c>
    </row>
    <row r="12" spans="1:7">
      <c r="A12" s="71" t="s">
        <v>222</v>
      </c>
      <c r="B12" s="72"/>
      <c r="C12" s="72"/>
      <c r="D12" s="72"/>
      <c r="E12" s="73"/>
      <c r="F12" s="74"/>
      <c r="G12" s="72"/>
    </row>
    <row r="13" spans="1:7">
      <c r="A13" s="75" t="s">
        <v>50</v>
      </c>
      <c r="B13" s="72">
        <f>SUM(C13:E13)</f>
        <v>0</v>
      </c>
      <c r="C13" s="76"/>
      <c r="D13" s="76"/>
      <c r="E13" s="77"/>
      <c r="F13" s="78"/>
      <c r="G13" s="76"/>
    </row>
    <row r="14" spans="1:7">
      <c r="A14" s="75" t="s">
        <v>215</v>
      </c>
      <c r="B14" s="72">
        <f>SUM(C14:E14)</f>
        <v>0</v>
      </c>
      <c r="C14" s="76"/>
      <c r="D14" s="76"/>
      <c r="E14" s="77"/>
      <c r="F14" s="78"/>
      <c r="G14" s="76"/>
    </row>
    <row r="15" spans="1:7" ht="13.5" customHeight="1">
      <c r="A15" s="79" t="s">
        <v>51</v>
      </c>
      <c r="B15" s="80">
        <f t="shared" ref="B15:G15" si="0">SUM(B13:B14)</f>
        <v>0</v>
      </c>
      <c r="C15" s="80">
        <f t="shared" si="0"/>
        <v>0</v>
      </c>
      <c r="D15" s="80">
        <f t="shared" si="0"/>
        <v>0</v>
      </c>
      <c r="E15" s="81">
        <f t="shared" si="0"/>
        <v>0</v>
      </c>
      <c r="F15" s="82">
        <f t="shared" si="0"/>
        <v>0</v>
      </c>
      <c r="G15" s="80">
        <f t="shared" si="0"/>
        <v>0</v>
      </c>
    </row>
    <row r="16" spans="1:7" s="75" customFormat="1" ht="13.5" customHeight="1">
      <c r="A16" s="83"/>
      <c r="B16" s="72"/>
      <c r="C16" s="72"/>
      <c r="D16" s="72"/>
      <c r="E16" s="73"/>
      <c r="F16" s="74"/>
      <c r="G16" s="72"/>
    </row>
    <row r="17" spans="1:7">
      <c r="A17" s="71" t="s">
        <v>220</v>
      </c>
      <c r="B17" s="72">
        <f>SUM(C17:E17)</f>
        <v>0</v>
      </c>
      <c r="C17" s="76"/>
      <c r="D17" s="76"/>
      <c r="E17" s="77"/>
      <c r="F17" s="84"/>
      <c r="G17" s="76"/>
    </row>
    <row r="18" spans="1:7">
      <c r="A18" s="71"/>
      <c r="B18" s="72"/>
      <c r="C18" s="72"/>
      <c r="D18" s="72"/>
      <c r="E18" s="73"/>
      <c r="F18" s="74"/>
      <c r="G18" s="72"/>
    </row>
    <row r="19" spans="1:7">
      <c r="A19" s="85" t="s">
        <v>52</v>
      </c>
      <c r="B19" s="86"/>
      <c r="C19" s="86"/>
      <c r="D19" s="86"/>
      <c r="E19" s="87"/>
      <c r="F19" s="88"/>
      <c r="G19" s="86"/>
    </row>
    <row r="20" spans="1:7">
      <c r="A20" s="75" t="s">
        <v>53</v>
      </c>
      <c r="B20" s="72">
        <f>SUM(C20:E20)</f>
        <v>0</v>
      </c>
      <c r="C20" s="76"/>
      <c r="D20" s="76"/>
      <c r="E20" s="77"/>
      <c r="F20" s="78"/>
      <c r="G20" s="76"/>
    </row>
    <row r="21" spans="1:7">
      <c r="A21" s="75" t="s">
        <v>54</v>
      </c>
      <c r="B21" s="72">
        <f>SUM(C21:E21)</f>
        <v>0</v>
      </c>
      <c r="C21" s="76"/>
      <c r="D21" s="76"/>
      <c r="E21" s="77"/>
      <c r="F21" s="78"/>
      <c r="G21" s="76"/>
    </row>
    <row r="22" spans="1:7">
      <c r="A22" s="75" t="s">
        <v>55</v>
      </c>
      <c r="B22" s="72">
        <f>SUM(C22:E22)</f>
        <v>0</v>
      </c>
      <c r="C22" s="76"/>
      <c r="D22" s="76"/>
      <c r="E22" s="77"/>
      <c r="F22" s="78"/>
      <c r="G22" s="76"/>
    </row>
    <row r="23" spans="1:7">
      <c r="A23" s="89" t="s">
        <v>56</v>
      </c>
      <c r="B23" s="72">
        <f>SUM(C23:E23)</f>
        <v>0</v>
      </c>
      <c r="C23" s="76"/>
      <c r="D23" s="76"/>
      <c r="E23" s="77"/>
      <c r="F23" s="78"/>
      <c r="G23" s="76"/>
    </row>
    <row r="24" spans="1:7">
      <c r="A24" s="89" t="s">
        <v>56</v>
      </c>
      <c r="B24" s="72">
        <f>SUM(C24:E24)</f>
        <v>0</v>
      </c>
      <c r="C24" s="76"/>
      <c r="D24" s="76"/>
      <c r="E24" s="77"/>
      <c r="F24" s="78"/>
      <c r="G24" s="76"/>
    </row>
    <row r="25" spans="1:7">
      <c r="A25" s="79" t="s">
        <v>57</v>
      </c>
      <c r="B25" s="80">
        <f t="shared" ref="B25:G25" si="1">SUM(B20:B24)</f>
        <v>0</v>
      </c>
      <c r="C25" s="80">
        <f t="shared" si="1"/>
        <v>0</v>
      </c>
      <c r="D25" s="80">
        <f t="shared" si="1"/>
        <v>0</v>
      </c>
      <c r="E25" s="81">
        <f t="shared" si="1"/>
        <v>0</v>
      </c>
      <c r="F25" s="82">
        <f t="shared" si="1"/>
        <v>0</v>
      </c>
      <c r="G25" s="80">
        <f t="shared" si="1"/>
        <v>0</v>
      </c>
    </row>
    <row r="26" spans="1:7">
      <c r="A26" s="83"/>
      <c r="B26" s="72"/>
      <c r="C26" s="72"/>
      <c r="D26" s="72"/>
      <c r="E26" s="73"/>
      <c r="F26" s="74"/>
      <c r="G26" s="72"/>
    </row>
    <row r="27" spans="1:7">
      <c r="A27" s="71" t="s">
        <v>58</v>
      </c>
      <c r="B27" s="72"/>
      <c r="C27" s="72"/>
      <c r="D27" s="72"/>
      <c r="E27" s="73"/>
      <c r="F27" s="74"/>
      <c r="G27" s="72"/>
    </row>
    <row r="28" spans="1:7">
      <c r="A28" s="75" t="s">
        <v>59</v>
      </c>
      <c r="B28" s="72">
        <f t="shared" ref="B28:B47" si="2">SUM(C28:E28)</f>
        <v>0</v>
      </c>
      <c r="C28" s="76"/>
      <c r="D28" s="76"/>
      <c r="E28" s="77"/>
      <c r="F28" s="78"/>
      <c r="G28" s="76"/>
    </row>
    <row r="29" spans="1:7">
      <c r="A29" s="75" t="s">
        <v>60</v>
      </c>
      <c r="B29" s="72">
        <f t="shared" si="2"/>
        <v>0</v>
      </c>
      <c r="C29" s="76"/>
      <c r="D29" s="76"/>
      <c r="E29" s="77"/>
      <c r="F29" s="78"/>
      <c r="G29" s="76"/>
    </row>
    <row r="30" spans="1:7">
      <c r="A30" s="75" t="s">
        <v>61</v>
      </c>
      <c r="B30" s="72">
        <f t="shared" si="2"/>
        <v>0</v>
      </c>
      <c r="C30" s="76"/>
      <c r="D30" s="76"/>
      <c r="E30" s="77"/>
      <c r="F30" s="78"/>
      <c r="G30" s="76"/>
    </row>
    <row r="31" spans="1:7">
      <c r="A31" s="75" t="s">
        <v>62</v>
      </c>
      <c r="B31" s="72">
        <f t="shared" si="2"/>
        <v>0</v>
      </c>
      <c r="C31" s="76"/>
      <c r="D31" s="76"/>
      <c r="E31" s="77"/>
      <c r="F31" s="78"/>
      <c r="G31" s="76"/>
    </row>
    <row r="32" spans="1:7">
      <c r="A32" s="75" t="s">
        <v>63</v>
      </c>
      <c r="B32" s="72">
        <f t="shared" si="2"/>
        <v>0</v>
      </c>
      <c r="C32" s="76"/>
      <c r="D32" s="76"/>
      <c r="E32" s="77"/>
      <c r="F32" s="78"/>
      <c r="G32" s="76"/>
    </row>
    <row r="33" spans="1:7">
      <c r="A33" s="75" t="s">
        <v>64</v>
      </c>
      <c r="B33" s="72">
        <f t="shared" si="2"/>
        <v>0</v>
      </c>
      <c r="C33" s="76"/>
      <c r="D33" s="76"/>
      <c r="E33" s="77"/>
      <c r="F33" s="78"/>
      <c r="G33" s="76"/>
    </row>
    <row r="34" spans="1:7">
      <c r="A34" s="75" t="s">
        <v>65</v>
      </c>
      <c r="B34" s="72">
        <f t="shared" si="2"/>
        <v>0</v>
      </c>
      <c r="C34" s="76"/>
      <c r="D34" s="76"/>
      <c r="E34" s="77"/>
      <c r="F34" s="78"/>
      <c r="G34" s="76"/>
    </row>
    <row r="35" spans="1:7">
      <c r="A35" s="231" t="s">
        <v>198</v>
      </c>
      <c r="B35" s="72">
        <f t="shared" si="2"/>
        <v>0</v>
      </c>
      <c r="C35" s="76"/>
      <c r="D35" s="76"/>
      <c r="E35" s="77"/>
      <c r="F35" s="78"/>
      <c r="G35" s="76"/>
    </row>
    <row r="36" spans="1:7">
      <c r="A36" s="75" t="s">
        <v>66</v>
      </c>
      <c r="B36" s="72">
        <f t="shared" si="2"/>
        <v>0</v>
      </c>
      <c r="C36" s="76"/>
      <c r="D36" s="76"/>
      <c r="E36" s="77"/>
      <c r="F36" s="78"/>
      <c r="G36" s="76"/>
    </row>
    <row r="37" spans="1:7">
      <c r="A37" s="75" t="s">
        <v>67</v>
      </c>
      <c r="B37" s="72">
        <f t="shared" si="2"/>
        <v>0</v>
      </c>
      <c r="C37" s="76"/>
      <c r="D37" s="76"/>
      <c r="E37" s="77"/>
      <c r="F37" s="78"/>
      <c r="G37" s="76"/>
    </row>
    <row r="38" spans="1:7">
      <c r="A38" s="75" t="s">
        <v>68</v>
      </c>
      <c r="B38" s="72">
        <f t="shared" si="2"/>
        <v>0</v>
      </c>
      <c r="C38" s="76"/>
      <c r="D38" s="76"/>
      <c r="E38" s="77"/>
      <c r="F38" s="78"/>
      <c r="G38" s="76"/>
    </row>
    <row r="39" spans="1:7">
      <c r="A39" s="75" t="s">
        <v>69</v>
      </c>
      <c r="B39" s="72">
        <f t="shared" si="2"/>
        <v>0</v>
      </c>
      <c r="C39" s="76"/>
      <c r="D39" s="76"/>
      <c r="E39" s="77"/>
      <c r="F39" s="78"/>
      <c r="G39" s="76"/>
    </row>
    <row r="40" spans="1:7">
      <c r="A40" s="75" t="s">
        <v>70</v>
      </c>
      <c r="B40" s="72">
        <f t="shared" si="2"/>
        <v>0</v>
      </c>
      <c r="C40" s="76"/>
      <c r="D40" s="76"/>
      <c r="E40" s="77"/>
      <c r="F40" s="78"/>
      <c r="G40" s="76"/>
    </row>
    <row r="41" spans="1:7">
      <c r="A41" s="75" t="s">
        <v>71</v>
      </c>
      <c r="B41" s="72">
        <f t="shared" si="2"/>
        <v>0</v>
      </c>
      <c r="C41" s="76"/>
      <c r="D41" s="76"/>
      <c r="E41" s="77"/>
      <c r="F41" s="78"/>
      <c r="G41" s="76"/>
    </row>
    <row r="42" spans="1:7">
      <c r="A42" s="75" t="s">
        <v>72</v>
      </c>
      <c r="B42" s="72">
        <f t="shared" si="2"/>
        <v>0</v>
      </c>
      <c r="C42" s="76"/>
      <c r="D42" s="76"/>
      <c r="E42" s="77"/>
      <c r="F42" s="78"/>
      <c r="G42" s="76"/>
    </row>
    <row r="43" spans="1:7" ht="25.5">
      <c r="A43" s="90" t="s">
        <v>73</v>
      </c>
      <c r="B43" s="72">
        <f t="shared" si="2"/>
        <v>0</v>
      </c>
      <c r="C43" s="76"/>
      <c r="D43" s="76"/>
      <c r="E43" s="77"/>
      <c r="F43" s="78"/>
      <c r="G43" s="76"/>
    </row>
    <row r="44" spans="1:7" ht="25.5">
      <c r="A44" s="90" t="s">
        <v>74</v>
      </c>
      <c r="B44" s="72">
        <f t="shared" si="2"/>
        <v>0</v>
      </c>
      <c r="C44" s="76"/>
      <c r="D44" s="76"/>
      <c r="E44" s="77"/>
      <c r="F44" s="78"/>
      <c r="G44" s="76"/>
    </row>
    <row r="45" spans="1:7">
      <c r="A45" s="75" t="s">
        <v>75</v>
      </c>
      <c r="B45" s="72">
        <f t="shared" si="2"/>
        <v>0</v>
      </c>
      <c r="C45" s="76"/>
      <c r="D45" s="76"/>
      <c r="E45" s="77"/>
      <c r="F45" s="78"/>
      <c r="G45" s="76"/>
    </row>
    <row r="46" spans="1:7">
      <c r="A46" s="89" t="s">
        <v>56</v>
      </c>
      <c r="B46" s="72">
        <f t="shared" si="2"/>
        <v>0</v>
      </c>
      <c r="C46" s="76"/>
      <c r="D46" s="76"/>
      <c r="E46" s="77"/>
      <c r="F46" s="78"/>
      <c r="G46" s="76"/>
    </row>
    <row r="47" spans="1:7">
      <c r="A47" s="89" t="s">
        <v>56</v>
      </c>
      <c r="B47" s="72">
        <f t="shared" si="2"/>
        <v>0</v>
      </c>
      <c r="C47" s="76"/>
      <c r="D47" s="76"/>
      <c r="E47" s="77"/>
      <c r="F47" s="78"/>
      <c r="G47" s="76"/>
    </row>
    <row r="48" spans="1:7">
      <c r="A48" s="79" t="s">
        <v>76</v>
      </c>
      <c r="B48" s="80">
        <f t="shared" ref="B48:G48" si="3">SUM(B28:B47)</f>
        <v>0</v>
      </c>
      <c r="C48" s="80">
        <f t="shared" si="3"/>
        <v>0</v>
      </c>
      <c r="D48" s="80">
        <f t="shared" si="3"/>
        <v>0</v>
      </c>
      <c r="E48" s="81">
        <f t="shared" si="3"/>
        <v>0</v>
      </c>
      <c r="F48" s="82">
        <f t="shared" si="3"/>
        <v>0</v>
      </c>
      <c r="G48" s="80">
        <f t="shared" si="3"/>
        <v>0</v>
      </c>
    </row>
    <row r="49" spans="1:7">
      <c r="A49" s="83"/>
      <c r="B49" s="72"/>
      <c r="C49" s="72"/>
      <c r="D49" s="72"/>
      <c r="E49" s="73"/>
      <c r="F49" s="74"/>
      <c r="G49" s="72"/>
    </row>
    <row r="50" spans="1:7">
      <c r="A50" s="91" t="s">
        <v>77</v>
      </c>
      <c r="B50" s="72"/>
      <c r="C50" s="72"/>
      <c r="D50" s="72"/>
      <c r="E50" s="73"/>
      <c r="F50" s="88"/>
      <c r="G50" s="72"/>
    </row>
    <row r="51" spans="1:7">
      <c r="A51" s="75" t="s">
        <v>78</v>
      </c>
      <c r="B51" s="72">
        <f>SUM(C51:E51)</f>
        <v>0</v>
      </c>
      <c r="C51" s="76"/>
      <c r="D51" s="76"/>
      <c r="E51" s="77"/>
      <c r="F51" s="78"/>
      <c r="G51" s="76"/>
    </row>
    <row r="52" spans="1:7">
      <c r="A52" s="75" t="s">
        <v>79</v>
      </c>
      <c r="B52" s="72">
        <f>SUM(C52:E52)</f>
        <v>0</v>
      </c>
      <c r="C52" s="76"/>
      <c r="D52" s="76"/>
      <c r="E52" s="77"/>
      <c r="F52" s="78"/>
      <c r="G52" s="76"/>
    </row>
    <row r="53" spans="1:7">
      <c r="A53" s="442" t="s">
        <v>318</v>
      </c>
      <c r="B53" s="72">
        <f>IF(F84=0,F83*0.02,F85*0.02)</f>
        <v>0</v>
      </c>
      <c r="C53" s="76"/>
      <c r="D53" s="76"/>
      <c r="E53" s="77"/>
      <c r="F53" s="78"/>
      <c r="G53" s="76"/>
    </row>
    <row r="54" spans="1:7">
      <c r="A54" s="75" t="s">
        <v>317</v>
      </c>
      <c r="B54" s="72">
        <f>0.01*F84</f>
        <v>0</v>
      </c>
      <c r="C54" s="76"/>
      <c r="D54" s="76"/>
      <c r="E54" s="77"/>
      <c r="F54" s="78"/>
      <c r="G54" s="76"/>
    </row>
    <row r="55" spans="1:7">
      <c r="A55" s="75" t="s">
        <v>80</v>
      </c>
      <c r="B55" s="72">
        <f>SUM(C55:E55)</f>
        <v>0</v>
      </c>
      <c r="C55" s="76"/>
      <c r="D55" s="76"/>
      <c r="E55" s="77"/>
      <c r="F55" s="78"/>
      <c r="G55" s="76"/>
    </row>
    <row r="56" spans="1:7">
      <c r="A56" s="75" t="s">
        <v>81</v>
      </c>
      <c r="B56" s="72">
        <f>SUM(C56:E56)</f>
        <v>0</v>
      </c>
      <c r="C56" s="76"/>
      <c r="D56" s="76"/>
      <c r="E56" s="77"/>
      <c r="F56" s="78"/>
      <c r="G56" s="76"/>
    </row>
    <row r="57" spans="1:7">
      <c r="A57" s="75" t="s">
        <v>82</v>
      </c>
      <c r="B57" s="72">
        <f>SUM(C57:E57)</f>
        <v>0</v>
      </c>
      <c r="C57" s="76"/>
      <c r="D57" s="76"/>
      <c r="E57" s="77"/>
      <c r="F57" s="78"/>
      <c r="G57" s="76"/>
    </row>
    <row r="58" spans="1:7">
      <c r="A58" s="89" t="s">
        <v>56</v>
      </c>
      <c r="B58" s="72">
        <f>SUM(C58:E58)</f>
        <v>0</v>
      </c>
      <c r="C58" s="76"/>
      <c r="D58" s="76"/>
      <c r="E58" s="77"/>
      <c r="F58" s="78"/>
      <c r="G58" s="76"/>
    </row>
    <row r="59" spans="1:7">
      <c r="A59" s="89" t="s">
        <v>56</v>
      </c>
      <c r="B59" s="72">
        <f>SUM(C59:E59)</f>
        <v>0</v>
      </c>
      <c r="C59" s="76"/>
      <c r="D59" s="76"/>
      <c r="E59" s="77"/>
      <c r="F59" s="78"/>
      <c r="G59" s="76"/>
    </row>
    <row r="60" spans="1:7">
      <c r="A60" s="79" t="s">
        <v>83</v>
      </c>
      <c r="B60" s="92">
        <f t="shared" ref="B60:G60" si="4">SUM(B51:B59)</f>
        <v>0</v>
      </c>
      <c r="C60" s="92">
        <f t="shared" si="4"/>
        <v>0</v>
      </c>
      <c r="D60" s="92">
        <f t="shared" si="4"/>
        <v>0</v>
      </c>
      <c r="E60" s="93">
        <f t="shared" si="4"/>
        <v>0</v>
      </c>
      <c r="F60" s="94">
        <f t="shared" si="4"/>
        <v>0</v>
      </c>
      <c r="G60" s="92">
        <f t="shared" si="4"/>
        <v>0</v>
      </c>
    </row>
    <row r="61" spans="1:7">
      <c r="A61" s="83"/>
      <c r="B61" s="95"/>
      <c r="C61" s="95"/>
      <c r="D61" s="95"/>
      <c r="E61" s="96"/>
      <c r="F61" s="97"/>
      <c r="G61" s="95"/>
    </row>
    <row r="62" spans="1:7">
      <c r="A62" s="71" t="s">
        <v>84</v>
      </c>
      <c r="B62" s="72"/>
      <c r="C62" s="72"/>
      <c r="D62" s="72"/>
      <c r="E62" s="73"/>
      <c r="F62" s="74"/>
      <c r="G62" s="72"/>
    </row>
    <row r="63" spans="1:7">
      <c r="A63" s="71" t="s">
        <v>85</v>
      </c>
      <c r="B63" s="72">
        <f t="shared" ref="B63:B68" si="5">SUM(C63:E63)</f>
        <v>0</v>
      </c>
      <c r="C63" s="76"/>
      <c r="D63" s="76"/>
      <c r="E63" s="77"/>
      <c r="F63" s="78"/>
      <c r="G63" s="76"/>
    </row>
    <row r="64" spans="1:7">
      <c r="A64" s="71" t="s">
        <v>86</v>
      </c>
      <c r="B64" s="72">
        <f t="shared" si="5"/>
        <v>0</v>
      </c>
      <c r="C64" s="76"/>
      <c r="D64" s="76"/>
      <c r="E64" s="77"/>
      <c r="F64" s="78"/>
      <c r="G64" s="76"/>
    </row>
    <row r="65" spans="1:7">
      <c r="A65" s="75" t="s">
        <v>87</v>
      </c>
      <c r="B65" s="72">
        <f t="shared" si="5"/>
        <v>0</v>
      </c>
      <c r="C65" s="76"/>
      <c r="D65" s="76"/>
      <c r="E65" s="77"/>
      <c r="F65" s="78"/>
      <c r="G65" s="76"/>
    </row>
    <row r="66" spans="1:7">
      <c r="A66" s="98" t="s">
        <v>88</v>
      </c>
      <c r="B66" s="72">
        <f t="shared" si="5"/>
        <v>0</v>
      </c>
      <c r="C66" s="76"/>
      <c r="D66" s="76"/>
      <c r="E66" s="77"/>
      <c r="F66" s="78"/>
      <c r="G66" s="76"/>
    </row>
    <row r="67" spans="1:7">
      <c r="A67" s="89" t="s">
        <v>56</v>
      </c>
      <c r="B67" s="72">
        <f t="shared" si="5"/>
        <v>0</v>
      </c>
      <c r="C67" s="76"/>
      <c r="D67" s="76"/>
      <c r="E67" s="77"/>
      <c r="F67" s="78"/>
      <c r="G67" s="76"/>
    </row>
    <row r="68" spans="1:7">
      <c r="A68" s="89" t="s">
        <v>56</v>
      </c>
      <c r="B68" s="72">
        <f t="shared" si="5"/>
        <v>0</v>
      </c>
      <c r="C68" s="76"/>
      <c r="D68" s="76"/>
      <c r="E68" s="77"/>
      <c r="F68" s="78"/>
      <c r="G68" s="76"/>
    </row>
    <row r="69" spans="1:7">
      <c r="A69" s="99" t="s">
        <v>89</v>
      </c>
      <c r="B69" s="100">
        <f t="shared" ref="B69:G69" si="6">SUM(B63:B68)</f>
        <v>0</v>
      </c>
      <c r="C69" s="100">
        <f t="shared" si="6"/>
        <v>0</v>
      </c>
      <c r="D69" s="100">
        <f t="shared" si="6"/>
        <v>0</v>
      </c>
      <c r="E69" s="101">
        <f t="shared" si="6"/>
        <v>0</v>
      </c>
      <c r="F69" s="102">
        <f t="shared" si="6"/>
        <v>0</v>
      </c>
      <c r="G69" s="100">
        <f t="shared" si="6"/>
        <v>0</v>
      </c>
    </row>
    <row r="70" spans="1:7">
      <c r="A70" s="103"/>
      <c r="B70" s="86"/>
      <c r="C70" s="86"/>
      <c r="D70" s="86"/>
      <c r="E70" s="87"/>
      <c r="F70" s="88"/>
      <c r="G70" s="86"/>
    </row>
    <row r="71" spans="1:7">
      <c r="A71" s="71" t="s">
        <v>90</v>
      </c>
      <c r="B71" s="72"/>
      <c r="C71" s="72"/>
      <c r="D71" s="72"/>
      <c r="E71" s="73"/>
      <c r="F71" s="74"/>
      <c r="G71" s="72"/>
    </row>
    <row r="72" spans="1:7">
      <c r="A72" s="75" t="s">
        <v>91</v>
      </c>
      <c r="B72" s="72">
        <f>SUM(C72:E72)</f>
        <v>0</v>
      </c>
      <c r="C72" s="76"/>
      <c r="D72" s="76"/>
      <c r="E72" s="77"/>
      <c r="F72" s="78"/>
      <c r="G72" s="76"/>
    </row>
    <row r="73" spans="1:7">
      <c r="A73" s="75" t="s">
        <v>218</v>
      </c>
      <c r="B73" s="72">
        <f>SUM(C73:E73)</f>
        <v>0</v>
      </c>
      <c r="C73" s="76"/>
      <c r="D73" s="76"/>
      <c r="E73" s="77"/>
      <c r="F73" s="84"/>
      <c r="G73" s="76"/>
    </row>
    <row r="74" spans="1:7">
      <c r="A74" s="75" t="s">
        <v>217</v>
      </c>
      <c r="B74" s="72">
        <f>SUM(C74:E74)</f>
        <v>0</v>
      </c>
      <c r="C74" s="76"/>
      <c r="D74" s="76"/>
      <c r="E74" s="77"/>
      <c r="F74" s="84"/>
      <c r="G74" s="76"/>
    </row>
    <row r="75" spans="1:7">
      <c r="A75" s="89" t="s">
        <v>92</v>
      </c>
      <c r="B75" s="72">
        <f>SUM(C75:E75)</f>
        <v>0</v>
      </c>
      <c r="C75" s="76"/>
      <c r="D75" s="76"/>
      <c r="E75" s="77"/>
      <c r="F75" s="109"/>
      <c r="G75" s="76"/>
    </row>
    <row r="76" spans="1:7">
      <c r="A76" s="104" t="s">
        <v>92</v>
      </c>
      <c r="B76" s="105">
        <f>SUM(C76:E76)</f>
        <v>0</v>
      </c>
      <c r="C76" s="106"/>
      <c r="D76" s="107"/>
      <c r="E76" s="108"/>
      <c r="F76" s="109"/>
      <c r="G76" s="107"/>
    </row>
    <row r="77" spans="1:7">
      <c r="A77" s="83" t="s">
        <v>93</v>
      </c>
      <c r="B77" s="72">
        <f>SUM(B72:B76)</f>
        <v>0</v>
      </c>
      <c r="C77" s="72">
        <f>SUM(C72:C76)</f>
        <v>0</v>
      </c>
      <c r="D77" s="72">
        <f>SUM(D72:D76)</f>
        <v>0</v>
      </c>
      <c r="E77" s="73">
        <f>SUM(E72:E76)</f>
        <v>0</v>
      </c>
      <c r="F77" s="74">
        <f>SUM(F72:F72,F76)</f>
        <v>0</v>
      </c>
      <c r="G77" s="72">
        <f>SUM(G72:G76)</f>
        <v>0</v>
      </c>
    </row>
    <row r="78" spans="1:7">
      <c r="A78" s="83"/>
      <c r="B78" s="72"/>
      <c r="C78" s="72"/>
      <c r="D78" s="72"/>
      <c r="E78" s="73"/>
      <c r="F78" s="74"/>
      <c r="G78" s="72"/>
    </row>
    <row r="79" spans="1:7" ht="13.5" customHeight="1">
      <c r="A79" s="91" t="s">
        <v>94</v>
      </c>
      <c r="B79" s="72">
        <f>SUM(C79:E79)</f>
        <v>0</v>
      </c>
      <c r="C79" s="111"/>
      <c r="D79" s="111"/>
      <c r="E79" s="112"/>
      <c r="F79" s="113"/>
      <c r="G79" s="111"/>
    </row>
    <row r="80" spans="1:7" ht="14.25" customHeight="1">
      <c r="A80" s="91"/>
      <c r="B80" s="72"/>
      <c r="C80" s="86"/>
      <c r="D80" s="326"/>
      <c r="E80" s="87"/>
      <c r="F80" s="74"/>
      <c r="G80" s="72"/>
    </row>
    <row r="81" spans="1:7" ht="13.5" customHeight="1">
      <c r="A81" s="114" t="s">
        <v>219</v>
      </c>
      <c r="B81" s="72">
        <f>SUM(C81:E81)</f>
        <v>0</v>
      </c>
      <c r="C81" s="111"/>
      <c r="D81" s="111"/>
      <c r="E81" s="112"/>
      <c r="F81" s="110"/>
      <c r="G81" s="111"/>
    </row>
    <row r="82" spans="1:7" ht="19.5" customHeight="1">
      <c r="A82" s="71"/>
      <c r="B82" s="72"/>
      <c r="C82" s="72"/>
      <c r="D82" s="72"/>
      <c r="E82" s="73"/>
      <c r="F82" s="74"/>
      <c r="G82" s="72"/>
    </row>
    <row r="83" spans="1:7" ht="19.5" customHeight="1">
      <c r="A83" s="115" t="s">
        <v>95</v>
      </c>
      <c r="B83" s="116">
        <f t="shared" ref="B83:G83" si="7">(B81+B79+B77+B69+B60+B48+B25+B17+B15)</f>
        <v>0</v>
      </c>
      <c r="C83" s="116">
        <f t="shared" si="7"/>
        <v>0</v>
      </c>
      <c r="D83" s="116">
        <f t="shared" si="7"/>
        <v>0</v>
      </c>
      <c r="E83" s="117">
        <f t="shared" si="7"/>
        <v>0</v>
      </c>
      <c r="F83" s="117">
        <f t="shared" si="7"/>
        <v>0</v>
      </c>
      <c r="G83" s="116">
        <f t="shared" si="7"/>
        <v>0</v>
      </c>
    </row>
    <row r="84" spans="1:7" ht="19.5" customHeight="1">
      <c r="A84" s="439" t="s">
        <v>315</v>
      </c>
      <c r="B84" s="119"/>
      <c r="C84" s="119"/>
      <c r="D84" s="119"/>
      <c r="E84" s="120"/>
      <c r="F84" s="443"/>
      <c r="G84" s="119"/>
    </row>
    <row r="85" spans="1:7" ht="19.5" customHeight="1">
      <c r="A85" s="440" t="s">
        <v>293</v>
      </c>
      <c r="B85" s="119"/>
      <c r="C85" s="119"/>
      <c r="D85" s="119"/>
      <c r="E85" s="120"/>
      <c r="F85" s="121">
        <f>F83-F84</f>
        <v>0</v>
      </c>
      <c r="G85" s="119"/>
    </row>
    <row r="86" spans="1:7" ht="19.5" customHeight="1">
      <c r="A86" s="118" t="s">
        <v>96</v>
      </c>
      <c r="B86" s="119" t="e">
        <f>B83/B6</f>
        <v>#DIV/0!</v>
      </c>
      <c r="C86" s="119" t="e">
        <f>C83/C6</f>
        <v>#DIV/0!</v>
      </c>
      <c r="D86" s="119" t="e">
        <f>D83/D6</f>
        <v>#DIV/0!</v>
      </c>
      <c r="E86" s="120" t="e">
        <f>E83/B6</f>
        <v>#DIV/0!</v>
      </c>
      <c r="F86" s="121" t="e">
        <f>F83/C6</f>
        <v>#DIV/0!</v>
      </c>
      <c r="G86" s="119" t="e">
        <f>G83/C6</f>
        <v>#DIV/0!</v>
      </c>
    </row>
    <row r="87" spans="1:7" ht="15.75">
      <c r="A87" s="122" t="s">
        <v>97</v>
      </c>
      <c r="B87" s="123" t="e">
        <f>B83/B5</f>
        <v>#DIV/0!</v>
      </c>
      <c r="C87" s="123" t="e">
        <f>C83/C5</f>
        <v>#DIV/0!</v>
      </c>
      <c r="D87" s="123" t="e">
        <f>D83/D5</f>
        <v>#DIV/0!</v>
      </c>
      <c r="E87" s="124" t="e">
        <f>E83/B5</f>
        <v>#DIV/0!</v>
      </c>
      <c r="F87" s="441" t="e">
        <f>F83/C5</f>
        <v>#DIV/0!</v>
      </c>
      <c r="G87" s="123" t="e">
        <f>G83/C5</f>
        <v>#DIV/0!</v>
      </c>
    </row>
    <row r="89" spans="1:7">
      <c r="A89" s="461" t="s">
        <v>221</v>
      </c>
      <c r="B89" s="461"/>
      <c r="C89" s="461"/>
      <c r="D89" s="461"/>
      <c r="E89" s="461"/>
    </row>
    <row r="90" spans="1:7">
      <c r="A90" s="461" t="s">
        <v>216</v>
      </c>
      <c r="B90" s="461"/>
      <c r="C90" s="461"/>
      <c r="D90" s="461"/>
      <c r="E90" s="461"/>
    </row>
    <row r="91" spans="1:7">
      <c r="A91" s="6" t="s">
        <v>316</v>
      </c>
    </row>
  </sheetData>
  <sheetProtection password="DFF4" sheet="1" objects="1" scenarios="1" formatCells="0" formatColumns="0" formatRows="0"/>
  <protectedRanges>
    <protectedRange password="DDF4" sqref="B3 B5:D8 C17:E17 G17 A23:A24 A46:A47 A58:A59 A67:A68 A75:A76 C72:E76 G73:G74 A81 C81:E81 G81 C79:G79 F75:G76 F72:G72 C63:G68 C51:G59 C28:G47 C20:G24 C13:G14" name="one"/>
  </protectedRanges>
  <mergeCells count="5">
    <mergeCell ref="A1:G1"/>
    <mergeCell ref="B3:G3"/>
    <mergeCell ref="F10:G10"/>
    <mergeCell ref="A90:E90"/>
    <mergeCell ref="A89:E89"/>
  </mergeCells>
  <phoneticPr fontId="18" type="noConversion"/>
  <pageMargins left="0.25" right="0.25" top="0.75" bottom="0.75" header="0.3" footer="0.3"/>
  <pageSetup scale="86" fitToHeight="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99"/>
  <sheetViews>
    <sheetView zoomScaleNormal="100" workbookViewId="0">
      <selection activeCell="B26" sqref="B26"/>
    </sheetView>
  </sheetViews>
  <sheetFormatPr defaultRowHeight="12.75"/>
  <cols>
    <col min="1" max="1" width="39.5703125" style="6" customWidth="1"/>
    <col min="2" max="2" width="9" style="148" customWidth="1"/>
    <col min="3" max="3" width="15.140625" style="246" customWidth="1"/>
    <col min="4" max="4" width="12.7109375" style="246" bestFit="1" customWidth="1"/>
    <col min="5" max="5" width="19.140625" style="6" customWidth="1"/>
    <col min="6" max="6" width="35.42578125" style="6" customWidth="1"/>
    <col min="7" max="7" width="12.5703125" style="6" bestFit="1" customWidth="1"/>
    <col min="8" max="8" width="12.7109375" style="6" bestFit="1" customWidth="1"/>
    <col min="9" max="16384" width="9.140625" style="6"/>
  </cols>
  <sheetData>
    <row r="1" spans="1:6" ht="15.75">
      <c r="A1" s="462" t="s">
        <v>303</v>
      </c>
      <c r="B1" s="463"/>
      <c r="C1" s="463"/>
      <c r="D1" s="239"/>
      <c r="E1" s="126"/>
      <c r="F1" s="126"/>
    </row>
    <row r="2" spans="1:6">
      <c r="A2" s="51"/>
      <c r="B2" s="51"/>
      <c r="C2" s="240"/>
      <c r="D2" s="241"/>
      <c r="E2" s="127"/>
      <c r="F2" s="127"/>
    </row>
    <row r="3" spans="1:6" ht="12.75" customHeight="1">
      <c r="A3" s="52" t="s">
        <v>35</v>
      </c>
      <c r="B3" s="458"/>
      <c r="C3" s="458"/>
      <c r="D3" s="458"/>
      <c r="E3" s="128"/>
      <c r="F3" s="75"/>
    </row>
    <row r="4" spans="1:6">
      <c r="A4" s="52" t="s">
        <v>39</v>
      </c>
      <c r="B4" s="283"/>
      <c r="C4" s="242"/>
      <c r="D4" s="243"/>
      <c r="E4" s="75"/>
      <c r="F4" s="75"/>
    </row>
    <row r="5" spans="1:6">
      <c r="A5" s="52" t="s">
        <v>40</v>
      </c>
      <c r="B5" s="283"/>
      <c r="C5" s="242"/>
      <c r="D5" s="243"/>
      <c r="E5" s="75"/>
      <c r="F5" s="75"/>
    </row>
    <row r="6" spans="1:6">
      <c r="A6" s="130" t="s">
        <v>41</v>
      </c>
      <c r="B6" s="283"/>
      <c r="C6" s="244"/>
      <c r="D6" s="245"/>
      <c r="E6" s="75"/>
      <c r="F6" s="75"/>
    </row>
    <row r="7" spans="1:6" ht="26.25">
      <c r="A7" s="282" t="s">
        <v>226</v>
      </c>
      <c r="B7" s="131" t="s">
        <v>98</v>
      </c>
      <c r="C7" s="247" t="s">
        <v>99</v>
      </c>
      <c r="D7" s="248" t="s">
        <v>100</v>
      </c>
    </row>
    <row r="8" spans="1:6">
      <c r="A8" s="132" t="s">
        <v>101</v>
      </c>
      <c r="B8" s="133"/>
      <c r="C8" s="249"/>
      <c r="D8" s="250"/>
    </row>
    <row r="9" spans="1:6">
      <c r="A9" s="225" t="s">
        <v>149</v>
      </c>
      <c r="B9" s="134">
        <v>6320</v>
      </c>
      <c r="C9" s="251"/>
      <c r="D9" s="327" t="e">
        <f>C9/$B$5</f>
        <v>#DIV/0!</v>
      </c>
    </row>
    <row r="10" spans="1:6">
      <c r="A10" s="226" t="s">
        <v>150</v>
      </c>
      <c r="B10" s="127">
        <v>6331</v>
      </c>
      <c r="C10" s="253"/>
      <c r="D10" s="327" t="e">
        <f>C10/$B$5</f>
        <v>#DIV/0!</v>
      </c>
    </row>
    <row r="11" spans="1:6">
      <c r="A11" s="135" t="s">
        <v>102</v>
      </c>
      <c r="B11" s="134"/>
      <c r="C11" s="254">
        <f>SUM(C9:C10)</f>
        <v>0</v>
      </c>
      <c r="D11" s="254" t="e">
        <f>SUM(D9:D10)</f>
        <v>#DIV/0!</v>
      </c>
    </row>
    <row r="12" spans="1:6">
      <c r="A12" s="136" t="s">
        <v>103</v>
      </c>
      <c r="B12" s="137"/>
      <c r="C12" s="255"/>
      <c r="D12" s="256"/>
    </row>
    <row r="13" spans="1:6">
      <c r="A13" s="227" t="s">
        <v>151</v>
      </c>
      <c r="B13" s="127">
        <v>6203</v>
      </c>
      <c r="C13" s="253"/>
      <c r="D13" s="327" t="e">
        <f>C13/$B$5</f>
        <v>#DIV/0!</v>
      </c>
    </row>
    <row r="14" spans="1:6">
      <c r="A14" s="228" t="s">
        <v>152</v>
      </c>
      <c r="B14" s="134">
        <v>6210</v>
      </c>
      <c r="C14" s="251"/>
      <c r="D14" s="327" t="e">
        <f t="shared" ref="D14:D28" si="0">C14/$B$5</f>
        <v>#DIV/0!</v>
      </c>
    </row>
    <row r="15" spans="1:6">
      <c r="A15" s="228" t="s">
        <v>153</v>
      </c>
      <c r="B15" s="134">
        <v>6311</v>
      </c>
      <c r="C15" s="251"/>
      <c r="D15" s="327" t="e">
        <f t="shared" si="0"/>
        <v>#DIV/0!</v>
      </c>
    </row>
    <row r="16" spans="1:6" ht="13.5" customHeight="1">
      <c r="A16" s="228" t="s">
        <v>154</v>
      </c>
      <c r="B16" s="134">
        <v>6312</v>
      </c>
      <c r="C16" s="251"/>
      <c r="D16" s="327" t="e">
        <f t="shared" si="0"/>
        <v>#DIV/0!</v>
      </c>
    </row>
    <row r="17" spans="1:8" s="12" customFormat="1" ht="13.5" customHeight="1">
      <c r="A17" s="228" t="s">
        <v>155</v>
      </c>
      <c r="B17" s="134">
        <v>6314</v>
      </c>
      <c r="C17" s="251"/>
      <c r="D17" s="327" t="e">
        <f t="shared" si="0"/>
        <v>#DIV/0!</v>
      </c>
    </row>
    <row r="18" spans="1:8">
      <c r="A18" s="228" t="s">
        <v>156</v>
      </c>
      <c r="B18" s="134">
        <v>6210</v>
      </c>
      <c r="C18" s="251"/>
      <c r="D18" s="327" t="e">
        <f t="shared" si="0"/>
        <v>#DIV/0!</v>
      </c>
    </row>
    <row r="19" spans="1:8">
      <c r="A19" s="228" t="s">
        <v>157</v>
      </c>
      <c r="B19" s="134">
        <v>6349</v>
      </c>
      <c r="C19" s="251"/>
      <c r="D19" s="327" t="e">
        <f t="shared" si="0"/>
        <v>#DIV/0!</v>
      </c>
    </row>
    <row r="20" spans="1:8">
      <c r="A20" s="228" t="s">
        <v>158</v>
      </c>
      <c r="B20" s="134">
        <v>6350</v>
      </c>
      <c r="C20" s="251"/>
      <c r="D20" s="327" t="e">
        <f t="shared" si="0"/>
        <v>#DIV/0!</v>
      </c>
    </row>
    <row r="21" spans="1:8">
      <c r="A21" s="228" t="s">
        <v>159</v>
      </c>
      <c r="B21" s="134">
        <v>6351</v>
      </c>
      <c r="C21" s="251"/>
      <c r="D21" s="327" t="e">
        <f t="shared" si="0"/>
        <v>#DIV/0!</v>
      </c>
      <c r="F21" s="225"/>
      <c r="G21" s="281"/>
      <c r="H21" s="252"/>
    </row>
    <row r="22" spans="1:8">
      <c r="A22" s="228" t="s">
        <v>160</v>
      </c>
      <c r="B22" s="134">
        <v>6360</v>
      </c>
      <c r="C22" s="251"/>
      <c r="D22" s="327" t="e">
        <f t="shared" si="0"/>
        <v>#DIV/0!</v>
      </c>
    </row>
    <row r="23" spans="1:8">
      <c r="A23" s="228" t="s">
        <v>161</v>
      </c>
      <c r="B23" s="134">
        <v>6370</v>
      </c>
      <c r="C23" s="251"/>
      <c r="D23" s="327" t="e">
        <f t="shared" si="0"/>
        <v>#DIV/0!</v>
      </c>
    </row>
    <row r="24" spans="1:8">
      <c r="A24" s="228" t="s">
        <v>162</v>
      </c>
      <c r="B24" s="134">
        <v>6390</v>
      </c>
      <c r="C24" s="251"/>
      <c r="D24" s="327" t="e">
        <f t="shared" si="0"/>
        <v>#DIV/0!</v>
      </c>
    </row>
    <row r="25" spans="1:8">
      <c r="A25" s="228" t="s">
        <v>163</v>
      </c>
      <c r="B25" s="134">
        <v>6394</v>
      </c>
      <c r="C25" s="251"/>
      <c r="D25" s="327" t="e">
        <f t="shared" si="0"/>
        <v>#DIV/0!</v>
      </c>
    </row>
    <row r="26" spans="1:8">
      <c r="A26" s="227" t="s">
        <v>165</v>
      </c>
      <c r="B26" s="127">
        <v>6395</v>
      </c>
      <c r="C26" s="253"/>
      <c r="D26" s="327" t="e">
        <f t="shared" si="0"/>
        <v>#DIV/0!</v>
      </c>
    </row>
    <row r="27" spans="1:8">
      <c r="A27" s="228" t="s">
        <v>164</v>
      </c>
      <c r="B27" s="134">
        <v>6396</v>
      </c>
      <c r="C27" s="251"/>
      <c r="D27" s="327" t="e">
        <f t="shared" si="0"/>
        <v>#DIV/0!</v>
      </c>
    </row>
    <row r="28" spans="1:8" ht="13.5" customHeight="1">
      <c r="A28" s="89" t="s">
        <v>203</v>
      </c>
      <c r="B28" s="134">
        <v>6390</v>
      </c>
      <c r="C28" s="251"/>
      <c r="D28" s="327" t="e">
        <f t="shared" si="0"/>
        <v>#DIV/0!</v>
      </c>
    </row>
    <row r="29" spans="1:8">
      <c r="A29" s="135" t="s">
        <v>104</v>
      </c>
      <c r="B29" s="134"/>
      <c r="C29" s="254">
        <f>SUM(C13:C28)</f>
        <v>0</v>
      </c>
      <c r="D29" s="254" t="e">
        <f>SUM(D13:D28)</f>
        <v>#DIV/0!</v>
      </c>
    </row>
    <row r="30" spans="1:8">
      <c r="A30" s="138" t="s">
        <v>105</v>
      </c>
      <c r="B30" s="137"/>
      <c r="C30" s="255"/>
      <c r="D30" s="256"/>
    </row>
    <row r="31" spans="1:8">
      <c r="A31" s="227" t="s">
        <v>166</v>
      </c>
      <c r="B31" s="127">
        <v>6330</v>
      </c>
      <c r="C31" s="253"/>
      <c r="D31" s="327" t="e">
        <f>C31/$B$5</f>
        <v>#DIV/0!</v>
      </c>
    </row>
    <row r="32" spans="1:8">
      <c r="A32" s="228" t="s">
        <v>167</v>
      </c>
      <c r="B32" s="134">
        <v>6530</v>
      </c>
      <c r="C32" s="251"/>
      <c r="D32" s="327" t="e">
        <f t="shared" ref="D32:D39" si="1">C32/$B$5</f>
        <v>#DIV/0!</v>
      </c>
    </row>
    <row r="33" spans="1:4" ht="25.5">
      <c r="A33" s="224" t="s">
        <v>168</v>
      </c>
      <c r="B33" s="134">
        <v>6540</v>
      </c>
      <c r="C33" s="251"/>
      <c r="D33" s="327" t="e">
        <f t="shared" si="1"/>
        <v>#DIV/0!</v>
      </c>
    </row>
    <row r="34" spans="1:4">
      <c r="A34" s="228" t="s">
        <v>169</v>
      </c>
      <c r="B34" s="134">
        <v>6711</v>
      </c>
      <c r="C34" s="251"/>
      <c r="D34" s="327" t="e">
        <f t="shared" si="1"/>
        <v>#DIV/0!</v>
      </c>
    </row>
    <row r="35" spans="1:4">
      <c r="A35" s="228" t="s">
        <v>170</v>
      </c>
      <c r="B35" s="134">
        <v>6722</v>
      </c>
      <c r="C35" s="251"/>
      <c r="D35" s="327" t="e">
        <f t="shared" si="1"/>
        <v>#DIV/0!</v>
      </c>
    </row>
    <row r="36" spans="1:4" ht="13.5" customHeight="1">
      <c r="A36" s="228" t="s">
        <v>171</v>
      </c>
      <c r="B36" s="134">
        <v>6723</v>
      </c>
      <c r="C36" s="251"/>
      <c r="D36" s="327" t="e">
        <f t="shared" si="1"/>
        <v>#DIV/0!</v>
      </c>
    </row>
    <row r="37" spans="1:4">
      <c r="A37" s="228" t="s">
        <v>172</v>
      </c>
      <c r="B37" s="134"/>
      <c r="C37" s="251"/>
      <c r="D37" s="327" t="e">
        <f t="shared" si="1"/>
        <v>#DIV/0!</v>
      </c>
    </row>
    <row r="38" spans="1:4">
      <c r="A38" s="228" t="s">
        <v>173</v>
      </c>
      <c r="B38" s="134"/>
      <c r="C38" s="251"/>
      <c r="D38" s="327" t="e">
        <f t="shared" si="1"/>
        <v>#DIV/0!</v>
      </c>
    </row>
    <row r="39" spans="1:4">
      <c r="A39" s="225" t="s">
        <v>174</v>
      </c>
      <c r="B39" s="134">
        <v>6540</v>
      </c>
      <c r="C39" s="251"/>
      <c r="D39" s="327" t="e">
        <f t="shared" si="1"/>
        <v>#DIV/0!</v>
      </c>
    </row>
    <row r="40" spans="1:4">
      <c r="A40" s="83" t="s">
        <v>106</v>
      </c>
      <c r="B40" s="134"/>
      <c r="C40" s="254">
        <f>SUM(C31:C39)</f>
        <v>0</v>
      </c>
      <c r="D40" s="254" t="e">
        <f>SUM(D31:D39)</f>
        <v>#DIV/0!</v>
      </c>
    </row>
    <row r="41" spans="1:4">
      <c r="A41" s="139" t="s">
        <v>107</v>
      </c>
      <c r="B41" s="137"/>
      <c r="C41" s="255"/>
      <c r="D41" s="256"/>
    </row>
    <row r="42" spans="1:4">
      <c r="A42" s="225" t="s">
        <v>175</v>
      </c>
      <c r="B42" s="134">
        <v>6710</v>
      </c>
      <c r="C42" s="251"/>
      <c r="D42" s="327" t="e">
        <f>C42/$B$5</f>
        <v>#DIV/0!</v>
      </c>
    </row>
    <row r="43" spans="1:4">
      <c r="A43" s="225" t="s">
        <v>176</v>
      </c>
      <c r="B43" s="134">
        <v>6719</v>
      </c>
      <c r="C43" s="251"/>
      <c r="D43" s="327" t="e">
        <f>C43/$B$5</f>
        <v>#DIV/0!</v>
      </c>
    </row>
    <row r="44" spans="1:4" ht="13.5" customHeight="1">
      <c r="A44" s="140" t="s">
        <v>108</v>
      </c>
      <c r="B44" s="134"/>
      <c r="C44" s="254">
        <f>SUM(C42:C43)</f>
        <v>0</v>
      </c>
      <c r="D44" s="254" t="e">
        <f>SUM(D42:D43)</f>
        <v>#DIV/0!</v>
      </c>
    </row>
    <row r="45" spans="1:4">
      <c r="A45" s="139" t="s">
        <v>109</v>
      </c>
      <c r="B45" s="137"/>
      <c r="C45" s="255"/>
      <c r="D45" s="256"/>
    </row>
    <row r="46" spans="1:4" ht="13.5" customHeight="1">
      <c r="A46" s="225" t="s">
        <v>177</v>
      </c>
      <c r="B46" s="134">
        <v>6720</v>
      </c>
      <c r="C46" s="251"/>
      <c r="D46" s="327" t="e">
        <f>C46/$B$5</f>
        <v>#DIV/0!</v>
      </c>
    </row>
    <row r="47" spans="1:4">
      <c r="A47" s="225" t="s">
        <v>178</v>
      </c>
      <c r="B47" s="134">
        <v>6721</v>
      </c>
      <c r="C47" s="251"/>
      <c r="D47" s="327" t="e">
        <f>C47/$B$5</f>
        <v>#DIV/0!</v>
      </c>
    </row>
    <row r="48" spans="1:4">
      <c r="A48" s="225" t="s">
        <v>179</v>
      </c>
      <c r="B48" s="134">
        <v>6729</v>
      </c>
      <c r="C48" s="251"/>
      <c r="D48" s="327" t="e">
        <f>C48/$B$5</f>
        <v>#DIV/0!</v>
      </c>
    </row>
    <row r="49" spans="1:4">
      <c r="A49" s="135" t="s">
        <v>110</v>
      </c>
      <c r="B49" s="134"/>
      <c r="C49" s="254">
        <f>SUM(C46:C48)</f>
        <v>0</v>
      </c>
      <c r="D49" s="254" t="e">
        <f>SUM(D46:D48)</f>
        <v>#DIV/0!</v>
      </c>
    </row>
    <row r="50" spans="1:4" ht="13.5" customHeight="1">
      <c r="A50" s="141" t="s">
        <v>111</v>
      </c>
      <c r="B50" s="142"/>
      <c r="C50" s="257"/>
      <c r="D50" s="256"/>
    </row>
    <row r="51" spans="1:4">
      <c r="A51" s="226" t="s">
        <v>180</v>
      </c>
      <c r="B51" s="127">
        <v>6450</v>
      </c>
      <c r="C51" s="253"/>
      <c r="D51" s="327" t="e">
        <f>C51/$B$5</f>
        <v>#DIV/0!</v>
      </c>
    </row>
    <row r="52" spans="1:4">
      <c r="A52" s="225" t="s">
        <v>146</v>
      </c>
      <c r="B52" s="134">
        <v>6451</v>
      </c>
      <c r="C52" s="251"/>
      <c r="D52" s="327" t="e">
        <f>C52/$B$5</f>
        <v>#DIV/0!</v>
      </c>
    </row>
    <row r="53" spans="1:4">
      <c r="A53" s="229" t="s">
        <v>145</v>
      </c>
      <c r="B53" s="143">
        <v>6452</v>
      </c>
      <c r="C53" s="258"/>
      <c r="D53" s="327" t="e">
        <f>C53/$B$5</f>
        <v>#DIV/0!</v>
      </c>
    </row>
    <row r="54" spans="1:4">
      <c r="A54" s="225" t="s">
        <v>181</v>
      </c>
      <c r="B54" s="134">
        <v>6453</v>
      </c>
      <c r="C54" s="251"/>
      <c r="D54" s="327" t="e">
        <f>C54/$B$5</f>
        <v>#DIV/0!</v>
      </c>
    </row>
    <row r="55" spans="1:4">
      <c r="A55" s="225" t="s">
        <v>182</v>
      </c>
      <c r="B55" s="134">
        <v>6525</v>
      </c>
      <c r="C55" s="251"/>
      <c r="D55" s="327" t="e">
        <f>C55/$B$5</f>
        <v>#DIV/0!</v>
      </c>
    </row>
    <row r="56" spans="1:4">
      <c r="A56" s="135" t="s">
        <v>112</v>
      </c>
      <c r="B56" s="134"/>
      <c r="C56" s="254">
        <f>SUM(C51:C55)</f>
        <v>0</v>
      </c>
      <c r="D56" s="254" t="e">
        <f>SUM(D51:D55)</f>
        <v>#DIV/0!</v>
      </c>
    </row>
    <row r="57" spans="1:4">
      <c r="A57" s="141" t="s">
        <v>113</v>
      </c>
      <c r="B57" s="144"/>
      <c r="C57" s="259"/>
      <c r="D57" s="256"/>
    </row>
    <row r="58" spans="1:4">
      <c r="A58" s="227" t="s">
        <v>183</v>
      </c>
      <c r="B58" s="127">
        <v>6515</v>
      </c>
      <c r="C58" s="253"/>
      <c r="D58" s="327" t="e">
        <f t="shared" ref="D58:D73" si="2">C58/$B$5</f>
        <v>#DIV/0!</v>
      </c>
    </row>
    <row r="59" spans="1:4">
      <c r="A59" s="228" t="s">
        <v>184</v>
      </c>
      <c r="B59" s="134">
        <v>6517</v>
      </c>
      <c r="C59" s="251"/>
      <c r="D59" s="327" t="e">
        <f t="shared" si="2"/>
        <v>#DIV/0!</v>
      </c>
    </row>
    <row r="60" spans="1:4">
      <c r="A60" s="228" t="s">
        <v>185</v>
      </c>
      <c r="B60" s="134">
        <v>6519</v>
      </c>
      <c r="C60" s="260"/>
      <c r="D60" s="327" t="e">
        <f t="shared" si="2"/>
        <v>#DIV/0!</v>
      </c>
    </row>
    <row r="61" spans="1:4">
      <c r="A61" s="228" t="s">
        <v>186</v>
      </c>
      <c r="B61" s="134">
        <v>6533</v>
      </c>
      <c r="C61" s="251"/>
      <c r="D61" s="327" t="e">
        <f t="shared" si="2"/>
        <v>#DIV/0!</v>
      </c>
    </row>
    <row r="62" spans="1:4">
      <c r="A62" s="228" t="s">
        <v>187</v>
      </c>
      <c r="B62" s="134">
        <v>6534</v>
      </c>
      <c r="C62" s="251"/>
      <c r="D62" s="327" t="e">
        <f t="shared" si="2"/>
        <v>#DIV/0!</v>
      </c>
    </row>
    <row r="63" spans="1:4">
      <c r="A63" s="228" t="s">
        <v>188</v>
      </c>
      <c r="B63" s="134">
        <v>6537</v>
      </c>
      <c r="C63" s="260"/>
      <c r="D63" s="327" t="e">
        <f t="shared" si="2"/>
        <v>#DIV/0!</v>
      </c>
    </row>
    <row r="64" spans="1:4">
      <c r="A64" s="228" t="s">
        <v>189</v>
      </c>
      <c r="B64" s="145">
        <v>6541</v>
      </c>
      <c r="C64" s="251"/>
      <c r="D64" s="327" t="e">
        <f t="shared" si="2"/>
        <v>#DIV/0!</v>
      </c>
    </row>
    <row r="65" spans="1:5">
      <c r="A65" s="228" t="s">
        <v>190</v>
      </c>
      <c r="B65" s="134">
        <v>6545</v>
      </c>
      <c r="C65" s="251"/>
      <c r="D65" s="327" t="e">
        <f t="shared" si="2"/>
        <v>#DIV/0!</v>
      </c>
    </row>
    <row r="66" spans="1:5">
      <c r="A66" s="224" t="s">
        <v>191</v>
      </c>
      <c r="B66" s="134">
        <v>6546</v>
      </c>
      <c r="C66" s="260"/>
      <c r="D66" s="327" t="e">
        <f t="shared" si="2"/>
        <v>#DIV/0!</v>
      </c>
    </row>
    <row r="67" spans="1:5">
      <c r="A67" s="230" t="s">
        <v>192</v>
      </c>
      <c r="B67" s="146">
        <v>6561</v>
      </c>
      <c r="C67" s="261"/>
      <c r="D67" s="327" t="e">
        <f t="shared" si="2"/>
        <v>#DIV/0!</v>
      </c>
    </row>
    <row r="68" spans="1:5">
      <c r="A68" s="230" t="s">
        <v>193</v>
      </c>
      <c r="B68" s="146">
        <v>6565</v>
      </c>
      <c r="C68" s="261"/>
      <c r="D68" s="327" t="e">
        <f t="shared" si="2"/>
        <v>#DIV/0!</v>
      </c>
    </row>
    <row r="69" spans="1:5">
      <c r="A69" s="230" t="s">
        <v>194</v>
      </c>
      <c r="B69" s="146"/>
      <c r="C69" s="261"/>
      <c r="D69" s="327" t="e">
        <f t="shared" si="2"/>
        <v>#DIV/0!</v>
      </c>
    </row>
    <row r="70" spans="1:5">
      <c r="A70" s="230" t="s">
        <v>195</v>
      </c>
      <c r="B70" s="146">
        <v>6566</v>
      </c>
      <c r="C70" s="261"/>
      <c r="D70" s="327" t="e">
        <f t="shared" si="2"/>
        <v>#DIV/0!</v>
      </c>
    </row>
    <row r="71" spans="1:5" ht="26.25" customHeight="1">
      <c r="A71" s="224" t="s">
        <v>148</v>
      </c>
      <c r="B71" s="134">
        <v>6571</v>
      </c>
      <c r="C71" s="251"/>
      <c r="D71" s="327" t="e">
        <f t="shared" si="2"/>
        <v>#DIV/0!</v>
      </c>
    </row>
    <row r="72" spans="1:5">
      <c r="A72" s="224" t="s">
        <v>196</v>
      </c>
      <c r="B72" s="134"/>
      <c r="C72" s="251"/>
      <c r="D72" s="327" t="e">
        <f t="shared" si="2"/>
        <v>#DIV/0!</v>
      </c>
    </row>
    <row r="73" spans="1:5">
      <c r="A73" s="228" t="s">
        <v>197</v>
      </c>
      <c r="B73" s="134">
        <v>6590</v>
      </c>
      <c r="C73" s="251"/>
      <c r="D73" s="327" t="e">
        <f t="shared" si="2"/>
        <v>#DIV/0!</v>
      </c>
    </row>
    <row r="74" spans="1:5" ht="12.75" customHeight="1">
      <c r="A74" s="135" t="s">
        <v>114</v>
      </c>
      <c r="B74" s="147"/>
      <c r="C74" s="254">
        <f>SUM(C58:C73)</f>
        <v>0</v>
      </c>
      <c r="D74" s="254" t="e">
        <f>SUM(D58:D73)</f>
        <v>#DIV/0!</v>
      </c>
    </row>
    <row r="75" spans="1:5">
      <c r="A75" s="139" t="s">
        <v>204</v>
      </c>
      <c r="B75" s="137"/>
      <c r="C75" s="255"/>
      <c r="D75" s="256"/>
    </row>
    <row r="76" spans="1:5" ht="13.5" customHeight="1">
      <c r="A76" s="225" t="s">
        <v>206</v>
      </c>
      <c r="B76" s="134"/>
      <c r="C76" s="251"/>
      <c r="D76" s="327" t="e">
        <f>C76/$B$5</f>
        <v>#DIV/0!</v>
      </c>
      <c r="E76" s="246"/>
    </row>
    <row r="77" spans="1:5" ht="12.75" customHeight="1">
      <c r="A77" s="135" t="s">
        <v>205</v>
      </c>
      <c r="B77" s="147"/>
      <c r="C77" s="254">
        <f>SUM(C76)</f>
        <v>0</v>
      </c>
      <c r="D77" s="254" t="e">
        <f>SUM(D76)</f>
        <v>#DIV/0!</v>
      </c>
      <c r="E77" s="246"/>
    </row>
    <row r="78" spans="1:5" ht="15.75">
      <c r="A78" s="149" t="s">
        <v>115</v>
      </c>
      <c r="B78" s="150"/>
      <c r="C78" s="262">
        <f>SUM(C74,C56,C49,C44,C40,C29,C11,C77)</f>
        <v>0</v>
      </c>
      <c r="D78" s="262" t="e">
        <f>SUM(D74,D56,D49,D44,D40,D29,D11,D77)</f>
        <v>#DIV/0!</v>
      </c>
    </row>
    <row r="79" spans="1:5" ht="15.75">
      <c r="A79" s="118"/>
      <c r="B79" s="279"/>
      <c r="C79" s="280"/>
      <c r="D79" s="280"/>
    </row>
    <row r="81" spans="1:4" s="275" customFormat="1" ht="15.75">
      <c r="A81" s="282" t="s">
        <v>232</v>
      </c>
      <c r="B81" s="248"/>
      <c r="C81" s="247" t="s">
        <v>99</v>
      </c>
      <c r="D81" s="248" t="s">
        <v>100</v>
      </c>
    </row>
    <row r="82" spans="1:4" s="275" customFormat="1">
      <c r="A82" s="272" t="s">
        <v>207</v>
      </c>
      <c r="B82" s="274"/>
      <c r="C82" s="273"/>
      <c r="D82" s="274"/>
    </row>
    <row r="83" spans="1:4" s="275" customFormat="1">
      <c r="A83" s="226" t="s">
        <v>223</v>
      </c>
      <c r="B83" s="327"/>
      <c r="C83" s="253"/>
      <c r="D83" s="327" t="e">
        <f>C83/$B$5</f>
        <v>#DIV/0!</v>
      </c>
    </row>
    <row r="84" spans="1:4">
      <c r="A84" s="226" t="s">
        <v>224</v>
      </c>
      <c r="B84" s="327"/>
      <c r="C84" s="251"/>
      <c r="D84" s="327" t="e">
        <f>C84/$B$5</f>
        <v>#DIV/0!</v>
      </c>
    </row>
    <row r="85" spans="1:4">
      <c r="A85" s="89" t="s">
        <v>214</v>
      </c>
      <c r="B85" s="327"/>
      <c r="C85" s="258"/>
      <c r="D85" s="327" t="e">
        <f>C85/$B$5</f>
        <v>#DIV/0!</v>
      </c>
    </row>
    <row r="86" spans="1:4">
      <c r="A86" s="135" t="s">
        <v>208</v>
      </c>
      <c r="B86" s="254"/>
      <c r="C86" s="254">
        <f>SUM(C83:C85)</f>
        <v>0</v>
      </c>
      <c r="D86" s="254" t="e">
        <f>SUM(D83:D85)</f>
        <v>#DIV/0!</v>
      </c>
    </row>
    <row r="87" spans="1:4">
      <c r="A87" s="272" t="s">
        <v>225</v>
      </c>
      <c r="B87" s="274"/>
      <c r="C87" s="273"/>
      <c r="D87" s="274"/>
    </row>
    <row r="88" spans="1:4">
      <c r="A88" s="89" t="s">
        <v>209</v>
      </c>
      <c r="B88" s="327"/>
      <c r="C88" s="251"/>
      <c r="D88" s="327" t="e">
        <f>C88/$B$5</f>
        <v>#DIV/0!</v>
      </c>
    </row>
    <row r="89" spans="1:4">
      <c r="A89" s="89" t="s">
        <v>209</v>
      </c>
      <c r="B89" s="327"/>
      <c r="C89" s="251"/>
      <c r="D89" s="327" t="e">
        <f>C89/$B$5</f>
        <v>#DIV/0!</v>
      </c>
    </row>
    <row r="90" spans="1:4">
      <c r="A90" s="89" t="s">
        <v>209</v>
      </c>
      <c r="B90" s="327"/>
      <c r="C90" s="251"/>
      <c r="D90" s="327" t="e">
        <f>C90/$B$5</f>
        <v>#DIV/0!</v>
      </c>
    </row>
    <row r="91" spans="1:4">
      <c r="A91" s="135" t="s">
        <v>210</v>
      </c>
      <c r="B91" s="254"/>
      <c r="C91" s="254">
        <f>SUM(C88:C90)</f>
        <v>0</v>
      </c>
      <c r="D91" s="254" t="e">
        <f>SUM(D88:D90)</f>
        <v>#DIV/0!</v>
      </c>
    </row>
    <row r="92" spans="1:4">
      <c r="A92" s="272" t="s">
        <v>211</v>
      </c>
      <c r="B92" s="274"/>
      <c r="C92" s="273"/>
      <c r="D92" s="274"/>
    </row>
    <row r="93" spans="1:4">
      <c r="A93" s="225" t="s">
        <v>231</v>
      </c>
      <c r="B93" s="327"/>
      <c r="C93" s="251"/>
      <c r="D93" s="327" t="e">
        <f>C93/$B$5</f>
        <v>#DIV/0!</v>
      </c>
    </row>
    <row r="94" spans="1:4">
      <c r="A94" s="225" t="s">
        <v>212</v>
      </c>
      <c r="B94" s="327"/>
      <c r="C94" s="251"/>
      <c r="D94" s="327" t="e">
        <f>C94/$B$5</f>
        <v>#DIV/0!</v>
      </c>
    </row>
    <row r="95" spans="1:4">
      <c r="A95" s="226" t="s">
        <v>310</v>
      </c>
      <c r="B95" s="327"/>
      <c r="C95" s="422">
        <f>B5*100</f>
        <v>0</v>
      </c>
      <c r="D95" s="327" t="e">
        <f>C95/$B$5</f>
        <v>#DIV/0!</v>
      </c>
    </row>
    <row r="96" spans="1:4">
      <c r="A96" s="135" t="s">
        <v>213</v>
      </c>
      <c r="B96" s="254"/>
      <c r="C96" s="254">
        <f>SUM(C93:C94)</f>
        <v>0</v>
      </c>
      <c r="D96" s="254" t="e">
        <f>SUM(D93:D95)</f>
        <v>#DIV/0!</v>
      </c>
    </row>
    <row r="97" spans="1:7" ht="27" customHeight="1">
      <c r="A97" s="464" t="s">
        <v>311</v>
      </c>
      <c r="B97" s="464"/>
      <c r="C97" s="464"/>
      <c r="D97" s="464"/>
      <c r="E97" s="152"/>
      <c r="F97" s="152"/>
      <c r="G97" s="152"/>
    </row>
    <row r="98" spans="1:7">
      <c r="A98" s="419" t="s">
        <v>290</v>
      </c>
      <c r="B98" s="276"/>
      <c r="C98" s="277"/>
    </row>
    <row r="99" spans="1:7">
      <c r="A99" s="278"/>
      <c r="B99" s="276"/>
      <c r="C99" s="277"/>
    </row>
  </sheetData>
  <sheetProtection password="DFF4" sheet="1" objects="1" scenarios="1" formatColumns="0" formatRows="0"/>
  <protectedRanges>
    <protectedRange password="DDF4" sqref="B3:B6 C9:C10 C13:C28 A28 C31:C39 C42:C43 C46:C48 C58:C73 C76 A85 A88:A90 C88:C90 C93:C95 C83:C84 C85" name="one"/>
  </protectedRanges>
  <mergeCells count="3">
    <mergeCell ref="A1:C1"/>
    <mergeCell ref="B3:D3"/>
    <mergeCell ref="A97:D97"/>
  </mergeCells>
  <phoneticPr fontId="18" type="noConversion"/>
  <pageMargins left="0.75" right="0.75" top="1" bottom="1" header="0.5" footer="0.5"/>
  <pageSetup scale="95" fitToHeight="2"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O239"/>
  <sheetViews>
    <sheetView tabSelected="1" topLeftCell="A19" zoomScaleNormal="100" workbookViewId="0">
      <selection activeCell="A31" sqref="A31"/>
    </sheetView>
  </sheetViews>
  <sheetFormatPr defaultRowHeight="12.75"/>
  <cols>
    <col min="1" max="1" width="56.42578125" customWidth="1"/>
    <col min="2" max="2" width="17.140625" customWidth="1"/>
    <col min="3" max="7" width="11" bestFit="1" customWidth="1"/>
    <col min="8" max="32" width="13.140625" customWidth="1"/>
  </cols>
  <sheetData>
    <row r="1" spans="1:41" ht="15.75">
      <c r="A1" s="324" t="s">
        <v>304</v>
      </c>
      <c r="B1" s="325"/>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row>
    <row r="2" spans="1:41" ht="13.5" thickBot="1">
      <c r="A2" s="127"/>
      <c r="B2" s="127"/>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row>
    <row r="3" spans="1:41" ht="15.75" thickBot="1">
      <c r="A3" s="328" t="s">
        <v>35</v>
      </c>
      <c r="B3" s="465"/>
      <c r="C3" s="466"/>
      <c r="D3" s="467"/>
      <c r="E3" s="329"/>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6"/>
      <c r="AI3" s="6"/>
      <c r="AJ3" s="6"/>
      <c r="AK3" s="6"/>
      <c r="AL3" s="6"/>
      <c r="AM3" s="6"/>
      <c r="AN3" s="6"/>
      <c r="AO3" s="6"/>
    </row>
    <row r="4" spans="1:41" ht="15.75" thickBot="1">
      <c r="A4" s="330" t="s">
        <v>40</v>
      </c>
      <c r="B4" s="318"/>
      <c r="C4" s="359"/>
      <c r="D4" s="359"/>
      <c r="E4" s="329"/>
      <c r="F4" s="329"/>
      <c r="G4" s="329"/>
      <c r="H4" s="329"/>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6"/>
      <c r="AI4" s="6"/>
      <c r="AJ4" s="6"/>
      <c r="AK4" s="6"/>
      <c r="AL4" s="6"/>
      <c r="AM4" s="6"/>
      <c r="AN4" s="6"/>
      <c r="AO4" s="6"/>
    </row>
    <row r="5" spans="1:41" ht="15.75" thickBot="1">
      <c r="A5" s="331" t="s">
        <v>41</v>
      </c>
      <c r="B5" s="319"/>
      <c r="C5" s="359"/>
      <c r="D5" s="359"/>
      <c r="E5" s="329"/>
      <c r="F5" s="329"/>
      <c r="G5" s="329"/>
      <c r="H5" s="329"/>
      <c r="I5" s="329"/>
      <c r="J5" s="329"/>
      <c r="K5" s="329"/>
      <c r="L5" s="329"/>
      <c r="M5" s="329"/>
      <c r="N5" s="329"/>
      <c r="O5" s="329"/>
      <c r="P5" s="329"/>
      <c r="Q5" s="329"/>
      <c r="R5" s="329"/>
      <c r="S5" s="329"/>
      <c r="T5" s="329"/>
      <c r="U5" s="329"/>
      <c r="V5" s="329"/>
      <c r="W5" s="329"/>
      <c r="X5" s="329"/>
      <c r="Y5" s="329"/>
      <c r="Z5" s="329"/>
      <c r="AA5" s="329"/>
      <c r="AB5" s="329"/>
      <c r="AC5" s="329"/>
      <c r="AD5" s="329"/>
      <c r="AE5" s="329"/>
      <c r="AF5" s="329"/>
      <c r="AG5" s="329"/>
      <c r="AH5" s="6"/>
      <c r="AI5" s="6"/>
      <c r="AJ5" s="6"/>
      <c r="AK5" s="6"/>
      <c r="AL5" s="6"/>
      <c r="AM5" s="6"/>
      <c r="AN5" s="6"/>
      <c r="AO5" s="6"/>
    </row>
    <row r="6" spans="1:41">
      <c r="A6" s="329"/>
      <c r="B6" s="329"/>
      <c r="C6" s="329"/>
      <c r="D6" s="329"/>
      <c r="E6" s="329"/>
      <c r="F6" s="329"/>
      <c r="G6" s="329"/>
      <c r="H6" s="329"/>
      <c r="I6" s="329"/>
      <c r="J6" s="329"/>
      <c r="K6" s="329"/>
      <c r="L6" s="329"/>
      <c r="M6" s="329"/>
      <c r="N6" s="329"/>
      <c r="O6" s="329"/>
      <c r="P6" s="329"/>
      <c r="Q6" s="329"/>
      <c r="R6" s="329"/>
      <c r="S6" s="329"/>
      <c r="T6" s="329"/>
      <c r="U6" s="329"/>
      <c r="V6" s="329"/>
      <c r="W6" s="329"/>
      <c r="X6" s="329"/>
      <c r="Y6" s="329"/>
      <c r="Z6" s="329"/>
      <c r="AA6" s="329"/>
      <c r="AB6" s="329"/>
      <c r="AC6" s="329"/>
      <c r="AD6" s="329"/>
      <c r="AE6" s="329"/>
      <c r="AF6" s="329"/>
      <c r="AG6" s="329"/>
      <c r="AH6" s="6"/>
      <c r="AI6" s="6"/>
      <c r="AJ6" s="6"/>
      <c r="AK6" s="6"/>
      <c r="AL6" s="6"/>
      <c r="AM6" s="6"/>
      <c r="AN6" s="6"/>
      <c r="AO6" s="6"/>
    </row>
    <row r="7" spans="1:41">
      <c r="A7" s="329"/>
      <c r="B7" s="329"/>
      <c r="C7" s="329"/>
      <c r="D7" s="329"/>
      <c r="E7" s="329"/>
      <c r="F7" s="329"/>
      <c r="G7" s="329"/>
      <c r="H7" s="329"/>
      <c r="I7" s="329"/>
      <c r="J7" s="329"/>
      <c r="K7" s="329"/>
      <c r="L7" s="329"/>
      <c r="M7" s="329"/>
      <c r="N7" s="329"/>
      <c r="O7" s="329"/>
      <c r="P7" s="329"/>
      <c r="Q7" s="329"/>
      <c r="R7" s="329"/>
      <c r="S7" s="329"/>
      <c r="T7" s="329"/>
      <c r="U7" s="329"/>
      <c r="V7" s="329"/>
      <c r="W7" s="329"/>
      <c r="X7" s="329"/>
      <c r="Y7" s="329"/>
      <c r="Z7" s="329"/>
      <c r="AA7" s="329"/>
      <c r="AB7" s="329"/>
      <c r="AC7" s="329"/>
      <c r="AD7" s="329"/>
      <c r="AE7" s="329"/>
      <c r="AF7" s="329"/>
      <c r="AG7" s="329"/>
      <c r="AH7" s="6"/>
      <c r="AI7" s="6"/>
      <c r="AJ7" s="6"/>
      <c r="AK7" s="6"/>
      <c r="AL7" s="6"/>
      <c r="AM7" s="6"/>
      <c r="AN7" s="6"/>
      <c r="AO7" s="6"/>
    </row>
    <row r="8" spans="1:41">
      <c r="A8" s="329"/>
      <c r="B8" s="329"/>
      <c r="C8" s="329"/>
      <c r="D8" s="329"/>
      <c r="E8" s="329"/>
      <c r="F8" s="329"/>
      <c r="G8" s="329"/>
      <c r="H8" s="329"/>
      <c r="I8" s="329"/>
      <c r="J8" s="329"/>
      <c r="K8" s="329"/>
      <c r="L8" s="329"/>
      <c r="M8" s="329"/>
      <c r="N8" s="329"/>
      <c r="O8" s="329"/>
      <c r="P8" s="329"/>
      <c r="Q8" s="329"/>
      <c r="R8" s="329"/>
      <c r="S8" s="329"/>
      <c r="T8" s="329"/>
      <c r="U8" s="329"/>
      <c r="V8" s="329"/>
      <c r="W8" s="329"/>
      <c r="X8" s="329"/>
      <c r="Y8" s="329"/>
      <c r="Z8" s="329"/>
      <c r="AA8" s="329"/>
      <c r="AB8" s="329"/>
      <c r="AC8" s="329"/>
      <c r="AD8" s="329"/>
      <c r="AE8" s="329"/>
      <c r="AF8" s="329"/>
      <c r="AG8" s="329"/>
      <c r="AH8" s="6"/>
      <c r="AI8" s="6"/>
      <c r="AJ8" s="6"/>
      <c r="AK8" s="6"/>
      <c r="AL8" s="6"/>
      <c r="AM8" s="6"/>
      <c r="AN8" s="6"/>
      <c r="AO8" s="6"/>
    </row>
    <row r="9" spans="1:41">
      <c r="A9" s="329"/>
      <c r="B9" s="329"/>
      <c r="C9" s="329"/>
      <c r="D9" s="329"/>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6"/>
      <c r="AI9" s="6"/>
      <c r="AJ9" s="6"/>
      <c r="AK9" s="6"/>
      <c r="AL9" s="6"/>
      <c r="AM9" s="6"/>
      <c r="AN9" s="6"/>
      <c r="AO9" s="6"/>
    </row>
    <row r="10" spans="1:41" ht="14.25">
      <c r="A10" s="332"/>
      <c r="B10" s="333"/>
      <c r="C10" s="399">
        <v>2016</v>
      </c>
      <c r="D10" s="333">
        <f>C10+1</f>
        <v>2017</v>
      </c>
      <c r="E10" s="333">
        <f t="shared" ref="E10:AF10" si="0">D10+1</f>
        <v>2018</v>
      </c>
      <c r="F10" s="333">
        <f t="shared" si="0"/>
        <v>2019</v>
      </c>
      <c r="G10" s="333">
        <f t="shared" si="0"/>
        <v>2020</v>
      </c>
      <c r="H10" s="333">
        <f t="shared" si="0"/>
        <v>2021</v>
      </c>
      <c r="I10" s="333">
        <f t="shared" si="0"/>
        <v>2022</v>
      </c>
      <c r="J10" s="333">
        <f t="shared" si="0"/>
        <v>2023</v>
      </c>
      <c r="K10" s="333">
        <f t="shared" si="0"/>
        <v>2024</v>
      </c>
      <c r="L10" s="333">
        <f t="shared" si="0"/>
        <v>2025</v>
      </c>
      <c r="M10" s="333">
        <f t="shared" si="0"/>
        <v>2026</v>
      </c>
      <c r="N10" s="333">
        <f t="shared" si="0"/>
        <v>2027</v>
      </c>
      <c r="O10" s="333">
        <f t="shared" si="0"/>
        <v>2028</v>
      </c>
      <c r="P10" s="333">
        <f t="shared" si="0"/>
        <v>2029</v>
      </c>
      <c r="Q10" s="333">
        <f t="shared" si="0"/>
        <v>2030</v>
      </c>
      <c r="R10" s="333">
        <f t="shared" si="0"/>
        <v>2031</v>
      </c>
      <c r="S10" s="333">
        <f t="shared" si="0"/>
        <v>2032</v>
      </c>
      <c r="T10" s="333">
        <f t="shared" si="0"/>
        <v>2033</v>
      </c>
      <c r="U10" s="333">
        <f t="shared" si="0"/>
        <v>2034</v>
      </c>
      <c r="V10" s="333">
        <f t="shared" si="0"/>
        <v>2035</v>
      </c>
      <c r="W10" s="333">
        <f t="shared" si="0"/>
        <v>2036</v>
      </c>
      <c r="X10" s="333">
        <f t="shared" si="0"/>
        <v>2037</v>
      </c>
      <c r="Y10" s="333">
        <f t="shared" si="0"/>
        <v>2038</v>
      </c>
      <c r="Z10" s="333">
        <f t="shared" si="0"/>
        <v>2039</v>
      </c>
      <c r="AA10" s="333">
        <f t="shared" si="0"/>
        <v>2040</v>
      </c>
      <c r="AB10" s="333">
        <f t="shared" si="0"/>
        <v>2041</v>
      </c>
      <c r="AC10" s="333">
        <f t="shared" si="0"/>
        <v>2042</v>
      </c>
      <c r="AD10" s="333">
        <f t="shared" si="0"/>
        <v>2043</v>
      </c>
      <c r="AE10" s="333">
        <f t="shared" si="0"/>
        <v>2044</v>
      </c>
      <c r="AF10" s="333">
        <f t="shared" si="0"/>
        <v>2045</v>
      </c>
      <c r="AG10" s="334"/>
      <c r="AH10" s="6"/>
      <c r="AI10" s="6"/>
      <c r="AJ10" s="6"/>
      <c r="AK10" s="6"/>
      <c r="AL10" s="6"/>
      <c r="AM10" s="6"/>
      <c r="AN10" s="6"/>
      <c r="AO10" s="6"/>
    </row>
    <row r="11" spans="1:41" ht="15">
      <c r="A11" s="335"/>
      <c r="B11" s="336" t="s">
        <v>240</v>
      </c>
      <c r="C11" s="337">
        <v>1</v>
      </c>
      <c r="D11" s="337">
        <f t="shared" ref="D11:AF11" si="1">C11+1</f>
        <v>2</v>
      </c>
      <c r="E11" s="337">
        <f t="shared" si="1"/>
        <v>3</v>
      </c>
      <c r="F11" s="337">
        <f t="shared" si="1"/>
        <v>4</v>
      </c>
      <c r="G11" s="337">
        <f t="shared" si="1"/>
        <v>5</v>
      </c>
      <c r="H11" s="337">
        <f t="shared" si="1"/>
        <v>6</v>
      </c>
      <c r="I11" s="337">
        <f t="shared" si="1"/>
        <v>7</v>
      </c>
      <c r="J11" s="337">
        <f t="shared" si="1"/>
        <v>8</v>
      </c>
      <c r="K11" s="337">
        <f t="shared" si="1"/>
        <v>9</v>
      </c>
      <c r="L11" s="337">
        <f t="shared" si="1"/>
        <v>10</v>
      </c>
      <c r="M11" s="337">
        <f t="shared" si="1"/>
        <v>11</v>
      </c>
      <c r="N11" s="337">
        <f t="shared" si="1"/>
        <v>12</v>
      </c>
      <c r="O11" s="337">
        <f t="shared" si="1"/>
        <v>13</v>
      </c>
      <c r="P11" s="337">
        <f t="shared" si="1"/>
        <v>14</v>
      </c>
      <c r="Q11" s="337">
        <f t="shared" si="1"/>
        <v>15</v>
      </c>
      <c r="R11" s="337">
        <f t="shared" si="1"/>
        <v>16</v>
      </c>
      <c r="S11" s="337">
        <f t="shared" si="1"/>
        <v>17</v>
      </c>
      <c r="T11" s="337">
        <f t="shared" si="1"/>
        <v>18</v>
      </c>
      <c r="U11" s="337">
        <f t="shared" si="1"/>
        <v>19</v>
      </c>
      <c r="V11" s="337">
        <f t="shared" si="1"/>
        <v>20</v>
      </c>
      <c r="W11" s="337">
        <f t="shared" si="1"/>
        <v>21</v>
      </c>
      <c r="X11" s="337">
        <f t="shared" si="1"/>
        <v>22</v>
      </c>
      <c r="Y11" s="337">
        <f t="shared" si="1"/>
        <v>23</v>
      </c>
      <c r="Z11" s="337">
        <f t="shared" si="1"/>
        <v>24</v>
      </c>
      <c r="AA11" s="337">
        <f t="shared" si="1"/>
        <v>25</v>
      </c>
      <c r="AB11" s="337">
        <f t="shared" si="1"/>
        <v>26</v>
      </c>
      <c r="AC11" s="337">
        <f t="shared" si="1"/>
        <v>27</v>
      </c>
      <c r="AD11" s="337">
        <f t="shared" si="1"/>
        <v>28</v>
      </c>
      <c r="AE11" s="337">
        <f t="shared" si="1"/>
        <v>29</v>
      </c>
      <c r="AF11" s="337">
        <f t="shared" si="1"/>
        <v>30</v>
      </c>
      <c r="AG11" s="329"/>
      <c r="AH11" s="6"/>
      <c r="AI11" s="6"/>
      <c r="AJ11" s="6"/>
      <c r="AK11" s="6"/>
      <c r="AL11" s="6"/>
      <c r="AM11" s="6"/>
      <c r="AN11" s="6"/>
      <c r="AO11" s="6"/>
    </row>
    <row r="12" spans="1:41" ht="15">
      <c r="A12" s="332" t="s">
        <v>241</v>
      </c>
      <c r="B12" s="338">
        <v>2.5000000000000001E-2</v>
      </c>
      <c r="C12" s="339">
        <f>'Ex 26 - Unit Affordability'!M42</f>
        <v>0</v>
      </c>
      <c r="D12" s="339">
        <f>$C$12*(1+$B$12)</f>
        <v>0</v>
      </c>
      <c r="E12" s="339">
        <f>D12*(1+$B$12)</f>
        <v>0</v>
      </c>
      <c r="F12" s="339">
        <f t="shared" ref="F12:AF12" si="2">E12*(1+$B$12)</f>
        <v>0</v>
      </c>
      <c r="G12" s="339">
        <f t="shared" si="2"/>
        <v>0</v>
      </c>
      <c r="H12" s="339">
        <f t="shared" si="2"/>
        <v>0</v>
      </c>
      <c r="I12" s="339">
        <f t="shared" si="2"/>
        <v>0</v>
      </c>
      <c r="J12" s="339">
        <f t="shared" si="2"/>
        <v>0</v>
      </c>
      <c r="K12" s="339">
        <f t="shared" si="2"/>
        <v>0</v>
      </c>
      <c r="L12" s="339">
        <f t="shared" si="2"/>
        <v>0</v>
      </c>
      <c r="M12" s="339">
        <f t="shared" si="2"/>
        <v>0</v>
      </c>
      <c r="N12" s="339">
        <f t="shared" si="2"/>
        <v>0</v>
      </c>
      <c r="O12" s="339">
        <f t="shared" si="2"/>
        <v>0</v>
      </c>
      <c r="P12" s="339">
        <f t="shared" si="2"/>
        <v>0</v>
      </c>
      <c r="Q12" s="339">
        <f t="shared" si="2"/>
        <v>0</v>
      </c>
      <c r="R12" s="339">
        <f t="shared" si="2"/>
        <v>0</v>
      </c>
      <c r="S12" s="339">
        <f t="shared" si="2"/>
        <v>0</v>
      </c>
      <c r="T12" s="339">
        <f t="shared" si="2"/>
        <v>0</v>
      </c>
      <c r="U12" s="339">
        <f t="shared" si="2"/>
        <v>0</v>
      </c>
      <c r="V12" s="339">
        <f t="shared" si="2"/>
        <v>0</v>
      </c>
      <c r="W12" s="339">
        <f t="shared" si="2"/>
        <v>0</v>
      </c>
      <c r="X12" s="339">
        <f t="shared" si="2"/>
        <v>0</v>
      </c>
      <c r="Y12" s="339">
        <f t="shared" si="2"/>
        <v>0</v>
      </c>
      <c r="Z12" s="339">
        <f t="shared" si="2"/>
        <v>0</v>
      </c>
      <c r="AA12" s="339">
        <f t="shared" si="2"/>
        <v>0</v>
      </c>
      <c r="AB12" s="339">
        <f t="shared" si="2"/>
        <v>0</v>
      </c>
      <c r="AC12" s="339">
        <f t="shared" si="2"/>
        <v>0</v>
      </c>
      <c r="AD12" s="339">
        <f t="shared" si="2"/>
        <v>0</v>
      </c>
      <c r="AE12" s="339">
        <f t="shared" si="2"/>
        <v>0</v>
      </c>
      <c r="AF12" s="339">
        <f t="shared" si="2"/>
        <v>0</v>
      </c>
      <c r="AG12" s="329"/>
      <c r="AH12" s="6"/>
      <c r="AI12" s="6"/>
      <c r="AJ12" s="6"/>
      <c r="AK12" s="6"/>
      <c r="AL12" s="6"/>
      <c r="AM12" s="6"/>
      <c r="AN12" s="6"/>
      <c r="AO12" s="6"/>
    </row>
    <row r="13" spans="1:41" ht="15">
      <c r="A13" s="340" t="s">
        <v>242</v>
      </c>
      <c r="B13" s="360">
        <v>0</v>
      </c>
      <c r="C13" s="320"/>
      <c r="D13" s="342">
        <f>$C$13*(1+$B$13)</f>
        <v>0</v>
      </c>
      <c r="E13" s="342">
        <f t="shared" ref="E13:AF13" si="3">$C$13*(1+$B$13)</f>
        <v>0</v>
      </c>
      <c r="F13" s="342">
        <f t="shared" si="3"/>
        <v>0</v>
      </c>
      <c r="G13" s="342">
        <f t="shared" si="3"/>
        <v>0</v>
      </c>
      <c r="H13" s="342">
        <f t="shared" si="3"/>
        <v>0</v>
      </c>
      <c r="I13" s="342">
        <f t="shared" si="3"/>
        <v>0</v>
      </c>
      <c r="J13" s="342">
        <f t="shared" si="3"/>
        <v>0</v>
      </c>
      <c r="K13" s="342">
        <f t="shared" si="3"/>
        <v>0</v>
      </c>
      <c r="L13" s="342">
        <f t="shared" si="3"/>
        <v>0</v>
      </c>
      <c r="M13" s="342">
        <f t="shared" si="3"/>
        <v>0</v>
      </c>
      <c r="N13" s="342">
        <f t="shared" si="3"/>
        <v>0</v>
      </c>
      <c r="O13" s="342">
        <f t="shared" si="3"/>
        <v>0</v>
      </c>
      <c r="P13" s="342">
        <f t="shared" si="3"/>
        <v>0</v>
      </c>
      <c r="Q13" s="342">
        <f t="shared" si="3"/>
        <v>0</v>
      </c>
      <c r="R13" s="342">
        <f t="shared" si="3"/>
        <v>0</v>
      </c>
      <c r="S13" s="342">
        <f t="shared" si="3"/>
        <v>0</v>
      </c>
      <c r="T13" s="342">
        <f t="shared" si="3"/>
        <v>0</v>
      </c>
      <c r="U13" s="342">
        <f t="shared" si="3"/>
        <v>0</v>
      </c>
      <c r="V13" s="342">
        <f t="shared" si="3"/>
        <v>0</v>
      </c>
      <c r="W13" s="342">
        <f t="shared" si="3"/>
        <v>0</v>
      </c>
      <c r="X13" s="342">
        <f t="shared" si="3"/>
        <v>0</v>
      </c>
      <c r="Y13" s="342">
        <f t="shared" si="3"/>
        <v>0</v>
      </c>
      <c r="Z13" s="342">
        <f t="shared" si="3"/>
        <v>0</v>
      </c>
      <c r="AA13" s="342">
        <f t="shared" si="3"/>
        <v>0</v>
      </c>
      <c r="AB13" s="342">
        <f t="shared" si="3"/>
        <v>0</v>
      </c>
      <c r="AC13" s="342">
        <f t="shared" si="3"/>
        <v>0</v>
      </c>
      <c r="AD13" s="342">
        <f t="shared" si="3"/>
        <v>0</v>
      </c>
      <c r="AE13" s="342">
        <f t="shared" si="3"/>
        <v>0</v>
      </c>
      <c r="AF13" s="342">
        <f t="shared" si="3"/>
        <v>0</v>
      </c>
      <c r="AG13" s="334"/>
      <c r="AH13" s="6"/>
      <c r="AI13" s="6"/>
      <c r="AJ13" s="6"/>
      <c r="AK13" s="6"/>
      <c r="AL13" s="6"/>
      <c r="AM13" s="6"/>
      <c r="AN13" s="6"/>
      <c r="AO13" s="6"/>
    </row>
    <row r="14" spans="1:41" ht="15">
      <c r="A14" s="321" t="s">
        <v>269</v>
      </c>
      <c r="B14" s="322"/>
      <c r="C14" s="320"/>
      <c r="D14" s="342">
        <f>$C$14*(1+$B$14)</f>
        <v>0</v>
      </c>
      <c r="E14" s="339">
        <f>D14*(1+$B$14)</f>
        <v>0</v>
      </c>
      <c r="F14" s="339">
        <f t="shared" ref="F14:AF14" si="4">E14*(1+$B$14)</f>
        <v>0</v>
      </c>
      <c r="G14" s="339">
        <f t="shared" si="4"/>
        <v>0</v>
      </c>
      <c r="H14" s="339">
        <f t="shared" si="4"/>
        <v>0</v>
      </c>
      <c r="I14" s="339">
        <f t="shared" si="4"/>
        <v>0</v>
      </c>
      <c r="J14" s="339">
        <f t="shared" si="4"/>
        <v>0</v>
      </c>
      <c r="K14" s="339">
        <f t="shared" si="4"/>
        <v>0</v>
      </c>
      <c r="L14" s="339">
        <f t="shared" si="4"/>
        <v>0</v>
      </c>
      <c r="M14" s="339">
        <f t="shared" si="4"/>
        <v>0</v>
      </c>
      <c r="N14" s="339">
        <f t="shared" si="4"/>
        <v>0</v>
      </c>
      <c r="O14" s="339">
        <f t="shared" si="4"/>
        <v>0</v>
      </c>
      <c r="P14" s="339">
        <f t="shared" si="4"/>
        <v>0</v>
      </c>
      <c r="Q14" s="339">
        <f t="shared" si="4"/>
        <v>0</v>
      </c>
      <c r="R14" s="339">
        <f t="shared" si="4"/>
        <v>0</v>
      </c>
      <c r="S14" s="339">
        <f t="shared" si="4"/>
        <v>0</v>
      </c>
      <c r="T14" s="339">
        <f t="shared" si="4"/>
        <v>0</v>
      </c>
      <c r="U14" s="339">
        <f t="shared" si="4"/>
        <v>0</v>
      </c>
      <c r="V14" s="339">
        <f t="shared" si="4"/>
        <v>0</v>
      </c>
      <c r="W14" s="339">
        <f t="shared" si="4"/>
        <v>0</v>
      </c>
      <c r="X14" s="339">
        <f t="shared" si="4"/>
        <v>0</v>
      </c>
      <c r="Y14" s="339">
        <f t="shared" si="4"/>
        <v>0</v>
      </c>
      <c r="Z14" s="339">
        <f t="shared" si="4"/>
        <v>0</v>
      </c>
      <c r="AA14" s="339">
        <f t="shared" si="4"/>
        <v>0</v>
      </c>
      <c r="AB14" s="339">
        <f t="shared" si="4"/>
        <v>0</v>
      </c>
      <c r="AC14" s="339">
        <f t="shared" si="4"/>
        <v>0</v>
      </c>
      <c r="AD14" s="339">
        <f t="shared" si="4"/>
        <v>0</v>
      </c>
      <c r="AE14" s="339">
        <f t="shared" si="4"/>
        <v>0</v>
      </c>
      <c r="AF14" s="339">
        <f t="shared" si="4"/>
        <v>0</v>
      </c>
      <c r="AG14" s="329"/>
      <c r="AH14" s="6"/>
      <c r="AI14" s="6"/>
      <c r="AJ14" s="6"/>
      <c r="AK14" s="6"/>
      <c r="AL14" s="6"/>
      <c r="AM14" s="6"/>
      <c r="AN14" s="6"/>
      <c r="AO14" s="6"/>
    </row>
    <row r="15" spans="1:41" ht="15">
      <c r="A15" s="321" t="s">
        <v>243</v>
      </c>
      <c r="B15" s="322"/>
      <c r="C15" s="320"/>
      <c r="D15" s="342">
        <f>$C$15*(1+$B$15)</f>
        <v>0</v>
      </c>
      <c r="E15" s="339">
        <f>D15*(1+$B$15)</f>
        <v>0</v>
      </c>
      <c r="F15" s="339">
        <f t="shared" ref="F15:AF15" si="5">E15*(1+$B$15)</f>
        <v>0</v>
      </c>
      <c r="G15" s="339">
        <f t="shared" si="5"/>
        <v>0</v>
      </c>
      <c r="H15" s="339">
        <f t="shared" si="5"/>
        <v>0</v>
      </c>
      <c r="I15" s="339">
        <f t="shared" si="5"/>
        <v>0</v>
      </c>
      <c r="J15" s="339">
        <f t="shared" si="5"/>
        <v>0</v>
      </c>
      <c r="K15" s="339">
        <f t="shared" si="5"/>
        <v>0</v>
      </c>
      <c r="L15" s="339">
        <f t="shared" si="5"/>
        <v>0</v>
      </c>
      <c r="M15" s="339">
        <f t="shared" si="5"/>
        <v>0</v>
      </c>
      <c r="N15" s="339">
        <f t="shared" si="5"/>
        <v>0</v>
      </c>
      <c r="O15" s="339">
        <f t="shared" si="5"/>
        <v>0</v>
      </c>
      <c r="P15" s="339">
        <f t="shared" si="5"/>
        <v>0</v>
      </c>
      <c r="Q15" s="339">
        <f t="shared" si="5"/>
        <v>0</v>
      </c>
      <c r="R15" s="339">
        <f t="shared" si="5"/>
        <v>0</v>
      </c>
      <c r="S15" s="339">
        <f t="shared" si="5"/>
        <v>0</v>
      </c>
      <c r="T15" s="339">
        <f t="shared" si="5"/>
        <v>0</v>
      </c>
      <c r="U15" s="339">
        <f t="shared" si="5"/>
        <v>0</v>
      </c>
      <c r="V15" s="339">
        <f t="shared" si="5"/>
        <v>0</v>
      </c>
      <c r="W15" s="339">
        <f t="shared" si="5"/>
        <v>0</v>
      </c>
      <c r="X15" s="339">
        <f t="shared" si="5"/>
        <v>0</v>
      </c>
      <c r="Y15" s="339">
        <f t="shared" si="5"/>
        <v>0</v>
      </c>
      <c r="Z15" s="339">
        <f t="shared" si="5"/>
        <v>0</v>
      </c>
      <c r="AA15" s="339">
        <f t="shared" si="5"/>
        <v>0</v>
      </c>
      <c r="AB15" s="339">
        <f t="shared" si="5"/>
        <v>0</v>
      </c>
      <c r="AC15" s="339">
        <f t="shared" si="5"/>
        <v>0</v>
      </c>
      <c r="AD15" s="339">
        <f t="shared" si="5"/>
        <v>0</v>
      </c>
      <c r="AE15" s="339">
        <f t="shared" si="5"/>
        <v>0</v>
      </c>
      <c r="AF15" s="339">
        <f t="shared" si="5"/>
        <v>0</v>
      </c>
      <c r="AG15" s="329"/>
      <c r="AH15" s="6"/>
      <c r="AI15" s="6"/>
      <c r="AJ15" s="6"/>
      <c r="AK15" s="6"/>
      <c r="AL15" s="6"/>
      <c r="AM15" s="6"/>
      <c r="AN15" s="6"/>
      <c r="AO15" s="6"/>
    </row>
    <row r="16" spans="1:41" ht="15">
      <c r="A16" s="321" t="s">
        <v>243</v>
      </c>
      <c r="B16" s="322"/>
      <c r="C16" s="320"/>
      <c r="D16" s="342">
        <f>$C$16*(1+$B$16)</f>
        <v>0</v>
      </c>
      <c r="E16" s="339">
        <f>D16*(1+$B$16)</f>
        <v>0</v>
      </c>
      <c r="F16" s="339">
        <f t="shared" ref="F16:AF16" si="6">E16*(1+$B$16)</f>
        <v>0</v>
      </c>
      <c r="G16" s="339">
        <f t="shared" si="6"/>
        <v>0</v>
      </c>
      <c r="H16" s="339">
        <f t="shared" si="6"/>
        <v>0</v>
      </c>
      <c r="I16" s="339">
        <f t="shared" si="6"/>
        <v>0</v>
      </c>
      <c r="J16" s="339">
        <f t="shared" si="6"/>
        <v>0</v>
      </c>
      <c r="K16" s="339">
        <f t="shared" si="6"/>
        <v>0</v>
      </c>
      <c r="L16" s="339">
        <f t="shared" si="6"/>
        <v>0</v>
      </c>
      <c r="M16" s="339">
        <f t="shared" si="6"/>
        <v>0</v>
      </c>
      <c r="N16" s="339">
        <f t="shared" si="6"/>
        <v>0</v>
      </c>
      <c r="O16" s="339">
        <f t="shared" si="6"/>
        <v>0</v>
      </c>
      <c r="P16" s="339">
        <f t="shared" si="6"/>
        <v>0</v>
      </c>
      <c r="Q16" s="339">
        <f t="shared" si="6"/>
        <v>0</v>
      </c>
      <c r="R16" s="339">
        <f t="shared" si="6"/>
        <v>0</v>
      </c>
      <c r="S16" s="339">
        <f t="shared" si="6"/>
        <v>0</v>
      </c>
      <c r="T16" s="339">
        <f t="shared" si="6"/>
        <v>0</v>
      </c>
      <c r="U16" s="339">
        <f t="shared" si="6"/>
        <v>0</v>
      </c>
      <c r="V16" s="339">
        <f t="shared" si="6"/>
        <v>0</v>
      </c>
      <c r="W16" s="339">
        <f t="shared" si="6"/>
        <v>0</v>
      </c>
      <c r="X16" s="339">
        <f t="shared" si="6"/>
        <v>0</v>
      </c>
      <c r="Y16" s="339">
        <f t="shared" si="6"/>
        <v>0</v>
      </c>
      <c r="Z16" s="339">
        <f t="shared" si="6"/>
        <v>0</v>
      </c>
      <c r="AA16" s="339">
        <f t="shared" si="6"/>
        <v>0</v>
      </c>
      <c r="AB16" s="339">
        <f t="shared" si="6"/>
        <v>0</v>
      </c>
      <c r="AC16" s="339">
        <f t="shared" si="6"/>
        <v>0</v>
      </c>
      <c r="AD16" s="339">
        <f t="shared" si="6"/>
        <v>0</v>
      </c>
      <c r="AE16" s="339">
        <f t="shared" si="6"/>
        <v>0</v>
      </c>
      <c r="AF16" s="339">
        <f t="shared" si="6"/>
        <v>0</v>
      </c>
      <c r="AG16" s="329"/>
      <c r="AH16" s="6"/>
      <c r="AI16" s="6"/>
      <c r="AJ16" s="6"/>
      <c r="AK16" s="6"/>
      <c r="AL16" s="6"/>
      <c r="AM16" s="6"/>
      <c r="AN16" s="6"/>
      <c r="AO16" s="6"/>
    </row>
    <row r="17" spans="1:41" ht="15">
      <c r="A17" s="343" t="s">
        <v>244</v>
      </c>
      <c r="B17" s="341"/>
      <c r="C17" s="344">
        <f>SUM(C12:C16)</f>
        <v>0</v>
      </c>
      <c r="D17" s="344">
        <f t="shared" ref="D17:AF17" si="7">SUM(D12:D16)</f>
        <v>0</v>
      </c>
      <c r="E17" s="344">
        <f t="shared" si="7"/>
        <v>0</v>
      </c>
      <c r="F17" s="344">
        <f t="shared" si="7"/>
        <v>0</v>
      </c>
      <c r="G17" s="344">
        <f t="shared" si="7"/>
        <v>0</v>
      </c>
      <c r="H17" s="344">
        <f t="shared" si="7"/>
        <v>0</v>
      </c>
      <c r="I17" s="344">
        <f t="shared" si="7"/>
        <v>0</v>
      </c>
      <c r="J17" s="344">
        <f t="shared" si="7"/>
        <v>0</v>
      </c>
      <c r="K17" s="344">
        <f t="shared" si="7"/>
        <v>0</v>
      </c>
      <c r="L17" s="344">
        <f t="shared" si="7"/>
        <v>0</v>
      </c>
      <c r="M17" s="344">
        <f t="shared" si="7"/>
        <v>0</v>
      </c>
      <c r="N17" s="344">
        <f t="shared" si="7"/>
        <v>0</v>
      </c>
      <c r="O17" s="344">
        <f t="shared" si="7"/>
        <v>0</v>
      </c>
      <c r="P17" s="344">
        <f t="shared" si="7"/>
        <v>0</v>
      </c>
      <c r="Q17" s="344">
        <f t="shared" si="7"/>
        <v>0</v>
      </c>
      <c r="R17" s="344">
        <f t="shared" si="7"/>
        <v>0</v>
      </c>
      <c r="S17" s="344">
        <f t="shared" si="7"/>
        <v>0</v>
      </c>
      <c r="T17" s="344">
        <f t="shared" si="7"/>
        <v>0</v>
      </c>
      <c r="U17" s="344">
        <f t="shared" si="7"/>
        <v>0</v>
      </c>
      <c r="V17" s="344">
        <f t="shared" si="7"/>
        <v>0</v>
      </c>
      <c r="W17" s="344">
        <f t="shared" si="7"/>
        <v>0</v>
      </c>
      <c r="X17" s="344">
        <f t="shared" si="7"/>
        <v>0</v>
      </c>
      <c r="Y17" s="344">
        <f t="shared" si="7"/>
        <v>0</v>
      </c>
      <c r="Z17" s="344">
        <f t="shared" si="7"/>
        <v>0</v>
      </c>
      <c r="AA17" s="344">
        <f t="shared" si="7"/>
        <v>0</v>
      </c>
      <c r="AB17" s="344">
        <f t="shared" si="7"/>
        <v>0</v>
      </c>
      <c r="AC17" s="344">
        <f t="shared" si="7"/>
        <v>0</v>
      </c>
      <c r="AD17" s="344">
        <f t="shared" si="7"/>
        <v>0</v>
      </c>
      <c r="AE17" s="344">
        <f t="shared" si="7"/>
        <v>0</v>
      </c>
      <c r="AF17" s="344">
        <f t="shared" si="7"/>
        <v>0</v>
      </c>
      <c r="AG17" s="329"/>
      <c r="AH17" s="6"/>
      <c r="AI17" s="6"/>
      <c r="AJ17" s="6"/>
      <c r="AK17" s="6"/>
      <c r="AL17" s="6"/>
      <c r="AM17" s="6"/>
      <c r="AN17" s="6"/>
      <c r="AO17" s="6"/>
    </row>
    <row r="18" spans="1:41" ht="15">
      <c r="A18" s="332"/>
      <c r="B18" s="341"/>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29"/>
      <c r="AH18" s="6"/>
      <c r="AI18" s="6"/>
      <c r="AJ18" s="6"/>
      <c r="AK18" s="6"/>
      <c r="AL18" s="6"/>
      <c r="AM18" s="6"/>
      <c r="AN18" s="6"/>
      <c r="AO18" s="6"/>
    </row>
    <row r="19" spans="1:41" ht="15">
      <c r="A19" s="345" t="s">
        <v>258</v>
      </c>
      <c r="B19" s="322">
        <v>0.05</v>
      </c>
      <c r="C19" s="344">
        <f>C12*$B$19</f>
        <v>0</v>
      </c>
      <c r="D19" s="344">
        <f t="shared" ref="D19:AF19" si="8">D12*$B$19</f>
        <v>0</v>
      </c>
      <c r="E19" s="344">
        <f t="shared" si="8"/>
        <v>0</v>
      </c>
      <c r="F19" s="344">
        <f t="shared" si="8"/>
        <v>0</v>
      </c>
      <c r="G19" s="344">
        <f t="shared" si="8"/>
        <v>0</v>
      </c>
      <c r="H19" s="344">
        <f t="shared" si="8"/>
        <v>0</v>
      </c>
      <c r="I19" s="344">
        <f t="shared" si="8"/>
        <v>0</v>
      </c>
      <c r="J19" s="344">
        <f t="shared" si="8"/>
        <v>0</v>
      </c>
      <c r="K19" s="344">
        <f t="shared" si="8"/>
        <v>0</v>
      </c>
      <c r="L19" s="344">
        <f t="shared" si="8"/>
        <v>0</v>
      </c>
      <c r="M19" s="344">
        <f t="shared" si="8"/>
        <v>0</v>
      </c>
      <c r="N19" s="344">
        <f t="shared" si="8"/>
        <v>0</v>
      </c>
      <c r="O19" s="344">
        <f t="shared" si="8"/>
        <v>0</v>
      </c>
      <c r="P19" s="344">
        <f t="shared" si="8"/>
        <v>0</v>
      </c>
      <c r="Q19" s="344">
        <f t="shared" si="8"/>
        <v>0</v>
      </c>
      <c r="R19" s="344">
        <f t="shared" si="8"/>
        <v>0</v>
      </c>
      <c r="S19" s="344">
        <f t="shared" si="8"/>
        <v>0</v>
      </c>
      <c r="T19" s="344">
        <f t="shared" si="8"/>
        <v>0</v>
      </c>
      <c r="U19" s="344">
        <f t="shared" si="8"/>
        <v>0</v>
      </c>
      <c r="V19" s="344">
        <f t="shared" si="8"/>
        <v>0</v>
      </c>
      <c r="W19" s="344">
        <f t="shared" si="8"/>
        <v>0</v>
      </c>
      <c r="X19" s="344">
        <f t="shared" si="8"/>
        <v>0</v>
      </c>
      <c r="Y19" s="344">
        <f t="shared" si="8"/>
        <v>0</v>
      </c>
      <c r="Z19" s="344">
        <f t="shared" si="8"/>
        <v>0</v>
      </c>
      <c r="AA19" s="344">
        <f t="shared" si="8"/>
        <v>0</v>
      </c>
      <c r="AB19" s="344">
        <f t="shared" si="8"/>
        <v>0</v>
      </c>
      <c r="AC19" s="344">
        <f t="shared" si="8"/>
        <v>0</v>
      </c>
      <c r="AD19" s="344">
        <f t="shared" si="8"/>
        <v>0</v>
      </c>
      <c r="AE19" s="344">
        <f t="shared" si="8"/>
        <v>0</v>
      </c>
      <c r="AF19" s="344">
        <f t="shared" si="8"/>
        <v>0</v>
      </c>
      <c r="AG19" s="329"/>
      <c r="AH19" s="6"/>
      <c r="AI19" s="6"/>
      <c r="AJ19" s="6"/>
      <c r="AK19" s="6"/>
      <c r="AL19" s="6"/>
      <c r="AM19" s="6"/>
      <c r="AN19" s="6"/>
      <c r="AO19" s="6"/>
    </row>
    <row r="20" spans="1:41" ht="15">
      <c r="A20" s="332"/>
      <c r="B20" s="341"/>
      <c r="C20" s="344"/>
      <c r="D20" s="344"/>
      <c r="E20" s="344"/>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344"/>
      <c r="AE20" s="344"/>
      <c r="AF20" s="344"/>
      <c r="AG20" s="329"/>
      <c r="AH20" s="6"/>
      <c r="AI20" s="6"/>
      <c r="AJ20" s="6"/>
      <c r="AK20" s="6"/>
      <c r="AL20" s="6"/>
      <c r="AM20" s="6"/>
      <c r="AN20" s="6"/>
      <c r="AO20" s="6"/>
    </row>
    <row r="21" spans="1:41" ht="15">
      <c r="A21" s="343" t="s">
        <v>245</v>
      </c>
      <c r="B21" s="341"/>
      <c r="C21" s="344">
        <f>C17-C19</f>
        <v>0</v>
      </c>
      <c r="D21" s="344">
        <f t="shared" ref="D21:AF21" si="9">D17-D19</f>
        <v>0</v>
      </c>
      <c r="E21" s="344">
        <f t="shared" si="9"/>
        <v>0</v>
      </c>
      <c r="F21" s="344">
        <f t="shared" si="9"/>
        <v>0</v>
      </c>
      <c r="G21" s="344">
        <f t="shared" si="9"/>
        <v>0</v>
      </c>
      <c r="H21" s="344">
        <f t="shared" si="9"/>
        <v>0</v>
      </c>
      <c r="I21" s="344">
        <f t="shared" si="9"/>
        <v>0</v>
      </c>
      <c r="J21" s="344">
        <f t="shared" si="9"/>
        <v>0</v>
      </c>
      <c r="K21" s="344">
        <f t="shared" si="9"/>
        <v>0</v>
      </c>
      <c r="L21" s="344">
        <f t="shared" si="9"/>
        <v>0</v>
      </c>
      <c r="M21" s="344">
        <f t="shared" si="9"/>
        <v>0</v>
      </c>
      <c r="N21" s="344">
        <f t="shared" si="9"/>
        <v>0</v>
      </c>
      <c r="O21" s="344">
        <f t="shared" si="9"/>
        <v>0</v>
      </c>
      <c r="P21" s="344">
        <f t="shared" si="9"/>
        <v>0</v>
      </c>
      <c r="Q21" s="344">
        <f t="shared" si="9"/>
        <v>0</v>
      </c>
      <c r="R21" s="344">
        <f t="shared" si="9"/>
        <v>0</v>
      </c>
      <c r="S21" s="344">
        <f t="shared" si="9"/>
        <v>0</v>
      </c>
      <c r="T21" s="344">
        <f t="shared" si="9"/>
        <v>0</v>
      </c>
      <c r="U21" s="344">
        <f t="shared" si="9"/>
        <v>0</v>
      </c>
      <c r="V21" s="344">
        <f t="shared" si="9"/>
        <v>0</v>
      </c>
      <c r="W21" s="344">
        <f t="shared" si="9"/>
        <v>0</v>
      </c>
      <c r="X21" s="344">
        <f t="shared" si="9"/>
        <v>0</v>
      </c>
      <c r="Y21" s="344">
        <f t="shared" si="9"/>
        <v>0</v>
      </c>
      <c r="Z21" s="344">
        <f t="shared" si="9"/>
        <v>0</v>
      </c>
      <c r="AA21" s="344">
        <f t="shared" si="9"/>
        <v>0</v>
      </c>
      <c r="AB21" s="344">
        <f t="shared" si="9"/>
        <v>0</v>
      </c>
      <c r="AC21" s="344">
        <f t="shared" si="9"/>
        <v>0</v>
      </c>
      <c r="AD21" s="344">
        <f t="shared" si="9"/>
        <v>0</v>
      </c>
      <c r="AE21" s="344">
        <f t="shared" si="9"/>
        <v>0</v>
      </c>
      <c r="AF21" s="344">
        <f t="shared" si="9"/>
        <v>0</v>
      </c>
      <c r="AG21" s="329"/>
      <c r="AH21" s="6"/>
      <c r="AI21" s="6"/>
      <c r="AJ21" s="6"/>
      <c r="AK21" s="6"/>
      <c r="AL21" s="6"/>
      <c r="AM21" s="6"/>
      <c r="AN21" s="6"/>
      <c r="AO21" s="6"/>
    </row>
    <row r="22" spans="1:41" ht="15">
      <c r="A22" s="332"/>
      <c r="B22" s="341"/>
      <c r="C22" s="344"/>
      <c r="D22" s="344"/>
      <c r="E22" s="344"/>
      <c r="F22" s="344"/>
      <c r="G22" s="344"/>
      <c r="H22" s="344"/>
      <c r="I22" s="344"/>
      <c r="J22" s="344"/>
      <c r="K22" s="344"/>
      <c r="L22" s="344"/>
      <c r="M22" s="344"/>
      <c r="N22" s="344"/>
      <c r="O22" s="344"/>
      <c r="P22" s="344"/>
      <c r="Q22" s="344"/>
      <c r="R22" s="344"/>
      <c r="S22" s="344"/>
      <c r="T22" s="344"/>
      <c r="U22" s="344"/>
      <c r="V22" s="344"/>
      <c r="W22" s="344"/>
      <c r="X22" s="344"/>
      <c r="Y22" s="344"/>
      <c r="Z22" s="344"/>
      <c r="AA22" s="344"/>
      <c r="AB22" s="344"/>
      <c r="AC22" s="344"/>
      <c r="AD22" s="344"/>
      <c r="AE22" s="344"/>
      <c r="AF22" s="344"/>
      <c r="AG22" s="329"/>
      <c r="AH22" s="6"/>
      <c r="AI22" s="6"/>
      <c r="AJ22" s="6"/>
      <c r="AK22" s="6"/>
      <c r="AL22" s="6"/>
      <c r="AM22" s="6"/>
      <c r="AN22" s="6"/>
      <c r="AO22" s="6"/>
    </row>
    <row r="23" spans="1:41" ht="15">
      <c r="A23" s="340" t="s">
        <v>226</v>
      </c>
      <c r="B23" s="341">
        <v>3.5000000000000003E-2</v>
      </c>
      <c r="C23" s="344">
        <f>'Ex. 23 - Operating Budget'!C78</f>
        <v>0</v>
      </c>
      <c r="D23" s="344">
        <f>C23*(1+$B$23)</f>
        <v>0</v>
      </c>
      <c r="E23" s="344">
        <f t="shared" ref="E23:AF23" si="10">D23*(1+$B$23)</f>
        <v>0</v>
      </c>
      <c r="F23" s="344">
        <f t="shared" si="10"/>
        <v>0</v>
      </c>
      <c r="G23" s="344">
        <f t="shared" si="10"/>
        <v>0</v>
      </c>
      <c r="H23" s="344">
        <f t="shared" si="10"/>
        <v>0</v>
      </c>
      <c r="I23" s="344">
        <f t="shared" si="10"/>
        <v>0</v>
      </c>
      <c r="J23" s="344">
        <f t="shared" si="10"/>
        <v>0</v>
      </c>
      <c r="K23" s="344">
        <f t="shared" si="10"/>
        <v>0</v>
      </c>
      <c r="L23" s="344">
        <f t="shared" si="10"/>
        <v>0</v>
      </c>
      <c r="M23" s="344">
        <f t="shared" si="10"/>
        <v>0</v>
      </c>
      <c r="N23" s="344">
        <f t="shared" si="10"/>
        <v>0</v>
      </c>
      <c r="O23" s="344">
        <f t="shared" si="10"/>
        <v>0</v>
      </c>
      <c r="P23" s="344">
        <f t="shared" si="10"/>
        <v>0</v>
      </c>
      <c r="Q23" s="344">
        <f t="shared" si="10"/>
        <v>0</v>
      </c>
      <c r="R23" s="344">
        <f t="shared" si="10"/>
        <v>0</v>
      </c>
      <c r="S23" s="344">
        <f t="shared" si="10"/>
        <v>0</v>
      </c>
      <c r="T23" s="344">
        <f t="shared" si="10"/>
        <v>0</v>
      </c>
      <c r="U23" s="344">
        <f t="shared" si="10"/>
        <v>0</v>
      </c>
      <c r="V23" s="344">
        <f t="shared" si="10"/>
        <v>0</v>
      </c>
      <c r="W23" s="344">
        <f t="shared" si="10"/>
        <v>0</v>
      </c>
      <c r="X23" s="344">
        <f t="shared" si="10"/>
        <v>0</v>
      </c>
      <c r="Y23" s="344">
        <f t="shared" si="10"/>
        <v>0</v>
      </c>
      <c r="Z23" s="344">
        <f t="shared" si="10"/>
        <v>0</v>
      </c>
      <c r="AA23" s="344">
        <f t="shared" si="10"/>
        <v>0</v>
      </c>
      <c r="AB23" s="344">
        <f t="shared" si="10"/>
        <v>0</v>
      </c>
      <c r="AC23" s="344">
        <f t="shared" si="10"/>
        <v>0</v>
      </c>
      <c r="AD23" s="344">
        <f t="shared" si="10"/>
        <v>0</v>
      </c>
      <c r="AE23" s="344">
        <f t="shared" si="10"/>
        <v>0</v>
      </c>
      <c r="AF23" s="344">
        <f t="shared" si="10"/>
        <v>0</v>
      </c>
      <c r="AG23" s="329"/>
      <c r="AH23" s="6"/>
      <c r="AI23" s="6"/>
      <c r="AJ23" s="6"/>
      <c r="AK23" s="6"/>
      <c r="AL23" s="6"/>
      <c r="AM23" s="6"/>
      <c r="AN23" s="6"/>
      <c r="AO23" s="6"/>
    </row>
    <row r="24" spans="1:41" ht="15">
      <c r="A24" s="321" t="s">
        <v>243</v>
      </c>
      <c r="B24" s="323"/>
      <c r="C24" s="320">
        <v>0</v>
      </c>
      <c r="D24" s="342">
        <f>$C$24*(1+$B$24)</f>
        <v>0</v>
      </c>
      <c r="E24" s="339">
        <f>D24*(1+$B$24)</f>
        <v>0</v>
      </c>
      <c r="F24" s="339">
        <f>E24*(1+$B$24)</f>
        <v>0</v>
      </c>
      <c r="G24" s="339">
        <f t="shared" ref="G24:AF24" si="11">F24*(1+$B$24)</f>
        <v>0</v>
      </c>
      <c r="H24" s="339">
        <f t="shared" si="11"/>
        <v>0</v>
      </c>
      <c r="I24" s="339">
        <f t="shared" si="11"/>
        <v>0</v>
      </c>
      <c r="J24" s="339">
        <f t="shared" si="11"/>
        <v>0</v>
      </c>
      <c r="K24" s="339">
        <f t="shared" si="11"/>
        <v>0</v>
      </c>
      <c r="L24" s="339">
        <f t="shared" si="11"/>
        <v>0</v>
      </c>
      <c r="M24" s="339">
        <f t="shared" si="11"/>
        <v>0</v>
      </c>
      <c r="N24" s="339">
        <f t="shared" si="11"/>
        <v>0</v>
      </c>
      <c r="O24" s="339">
        <f t="shared" si="11"/>
        <v>0</v>
      </c>
      <c r="P24" s="339">
        <f t="shared" si="11"/>
        <v>0</v>
      </c>
      <c r="Q24" s="339">
        <f t="shared" si="11"/>
        <v>0</v>
      </c>
      <c r="R24" s="339">
        <f t="shared" si="11"/>
        <v>0</v>
      </c>
      <c r="S24" s="339">
        <f t="shared" si="11"/>
        <v>0</v>
      </c>
      <c r="T24" s="339">
        <f t="shared" si="11"/>
        <v>0</v>
      </c>
      <c r="U24" s="339">
        <f t="shared" si="11"/>
        <v>0</v>
      </c>
      <c r="V24" s="339">
        <f t="shared" si="11"/>
        <v>0</v>
      </c>
      <c r="W24" s="339">
        <f t="shared" si="11"/>
        <v>0</v>
      </c>
      <c r="X24" s="339">
        <f t="shared" si="11"/>
        <v>0</v>
      </c>
      <c r="Y24" s="339">
        <f t="shared" si="11"/>
        <v>0</v>
      </c>
      <c r="Z24" s="339">
        <f t="shared" si="11"/>
        <v>0</v>
      </c>
      <c r="AA24" s="339">
        <f t="shared" si="11"/>
        <v>0</v>
      </c>
      <c r="AB24" s="339">
        <f t="shared" si="11"/>
        <v>0</v>
      </c>
      <c r="AC24" s="339">
        <f t="shared" si="11"/>
        <v>0</v>
      </c>
      <c r="AD24" s="339">
        <f t="shared" si="11"/>
        <v>0</v>
      </c>
      <c r="AE24" s="339">
        <f t="shared" si="11"/>
        <v>0</v>
      </c>
      <c r="AF24" s="339">
        <f t="shared" si="11"/>
        <v>0</v>
      </c>
      <c r="AG24" s="329"/>
      <c r="AH24" s="6"/>
      <c r="AI24" s="6"/>
      <c r="AJ24" s="6"/>
      <c r="AK24" s="6"/>
      <c r="AL24" s="6"/>
      <c r="AM24" s="6"/>
      <c r="AN24" s="6"/>
      <c r="AO24" s="6"/>
    </row>
    <row r="25" spans="1:41" ht="15">
      <c r="A25" s="321" t="s">
        <v>243</v>
      </c>
      <c r="B25" s="323"/>
      <c r="C25" s="320">
        <v>0</v>
      </c>
      <c r="D25" s="342">
        <f>$C$25*(1+$B$25)</f>
        <v>0</v>
      </c>
      <c r="E25" s="339">
        <f>D25*(1+$B$25)</f>
        <v>0</v>
      </c>
      <c r="F25" s="339">
        <f t="shared" ref="F25:AF25" si="12">E25*(1+$B$25)</f>
        <v>0</v>
      </c>
      <c r="G25" s="339">
        <f t="shared" si="12"/>
        <v>0</v>
      </c>
      <c r="H25" s="339">
        <f t="shared" si="12"/>
        <v>0</v>
      </c>
      <c r="I25" s="339">
        <f t="shared" si="12"/>
        <v>0</v>
      </c>
      <c r="J25" s="339">
        <f t="shared" si="12"/>
        <v>0</v>
      </c>
      <c r="K25" s="339">
        <f t="shared" si="12"/>
        <v>0</v>
      </c>
      <c r="L25" s="339">
        <f t="shared" si="12"/>
        <v>0</v>
      </c>
      <c r="M25" s="339">
        <f t="shared" si="12"/>
        <v>0</v>
      </c>
      <c r="N25" s="339">
        <f t="shared" si="12"/>
        <v>0</v>
      </c>
      <c r="O25" s="339">
        <f t="shared" si="12"/>
        <v>0</v>
      </c>
      <c r="P25" s="339">
        <f t="shared" si="12"/>
        <v>0</v>
      </c>
      <c r="Q25" s="339">
        <f t="shared" si="12"/>
        <v>0</v>
      </c>
      <c r="R25" s="339">
        <f t="shared" si="12"/>
        <v>0</v>
      </c>
      <c r="S25" s="339">
        <f t="shared" si="12"/>
        <v>0</v>
      </c>
      <c r="T25" s="339">
        <f t="shared" si="12"/>
        <v>0</v>
      </c>
      <c r="U25" s="339">
        <f t="shared" si="12"/>
        <v>0</v>
      </c>
      <c r="V25" s="339">
        <f t="shared" si="12"/>
        <v>0</v>
      </c>
      <c r="W25" s="339">
        <f t="shared" si="12"/>
        <v>0</v>
      </c>
      <c r="X25" s="339">
        <f t="shared" si="12"/>
        <v>0</v>
      </c>
      <c r="Y25" s="339">
        <f t="shared" si="12"/>
        <v>0</v>
      </c>
      <c r="Z25" s="339">
        <f t="shared" si="12"/>
        <v>0</v>
      </c>
      <c r="AA25" s="339">
        <f t="shared" si="12"/>
        <v>0</v>
      </c>
      <c r="AB25" s="339">
        <f t="shared" si="12"/>
        <v>0</v>
      </c>
      <c r="AC25" s="339">
        <f t="shared" si="12"/>
        <v>0</v>
      </c>
      <c r="AD25" s="339">
        <f t="shared" si="12"/>
        <v>0</v>
      </c>
      <c r="AE25" s="339">
        <f t="shared" si="12"/>
        <v>0</v>
      </c>
      <c r="AF25" s="339">
        <f t="shared" si="12"/>
        <v>0</v>
      </c>
      <c r="AG25" s="329"/>
      <c r="AH25" s="6"/>
      <c r="AI25" s="6"/>
      <c r="AJ25" s="6"/>
      <c r="AK25" s="6"/>
      <c r="AL25" s="6"/>
      <c r="AM25" s="6"/>
      <c r="AN25" s="6"/>
      <c r="AO25" s="6"/>
    </row>
    <row r="26" spans="1:41" ht="15">
      <c r="A26" s="321" t="s">
        <v>243</v>
      </c>
      <c r="B26" s="323"/>
      <c r="C26" s="320">
        <v>0</v>
      </c>
      <c r="D26" s="342">
        <f>$C$26*(1+$B$26)</f>
        <v>0</v>
      </c>
      <c r="E26" s="339">
        <f>D26*(1+$B$26)</f>
        <v>0</v>
      </c>
      <c r="F26" s="339">
        <f t="shared" ref="F26:AF26" si="13">E26*(1+$B$26)</f>
        <v>0</v>
      </c>
      <c r="G26" s="339">
        <f t="shared" si="13"/>
        <v>0</v>
      </c>
      <c r="H26" s="339">
        <f t="shared" si="13"/>
        <v>0</v>
      </c>
      <c r="I26" s="339">
        <f t="shared" si="13"/>
        <v>0</v>
      </c>
      <c r="J26" s="339">
        <f t="shared" si="13"/>
        <v>0</v>
      </c>
      <c r="K26" s="339">
        <f t="shared" si="13"/>
        <v>0</v>
      </c>
      <c r="L26" s="339">
        <f t="shared" si="13"/>
        <v>0</v>
      </c>
      <c r="M26" s="339">
        <f t="shared" si="13"/>
        <v>0</v>
      </c>
      <c r="N26" s="339">
        <f t="shared" si="13"/>
        <v>0</v>
      </c>
      <c r="O26" s="339">
        <f t="shared" si="13"/>
        <v>0</v>
      </c>
      <c r="P26" s="339">
        <f t="shared" si="13"/>
        <v>0</v>
      </c>
      <c r="Q26" s="339">
        <f t="shared" si="13"/>
        <v>0</v>
      </c>
      <c r="R26" s="339">
        <f t="shared" si="13"/>
        <v>0</v>
      </c>
      <c r="S26" s="339">
        <f t="shared" si="13"/>
        <v>0</v>
      </c>
      <c r="T26" s="339">
        <f t="shared" si="13"/>
        <v>0</v>
      </c>
      <c r="U26" s="339">
        <f t="shared" si="13"/>
        <v>0</v>
      </c>
      <c r="V26" s="339">
        <f t="shared" si="13"/>
        <v>0</v>
      </c>
      <c r="W26" s="339">
        <f t="shared" si="13"/>
        <v>0</v>
      </c>
      <c r="X26" s="339">
        <f t="shared" si="13"/>
        <v>0</v>
      </c>
      <c r="Y26" s="339">
        <f t="shared" si="13"/>
        <v>0</v>
      </c>
      <c r="Z26" s="339">
        <f t="shared" si="13"/>
        <v>0</v>
      </c>
      <c r="AA26" s="339">
        <f t="shared" si="13"/>
        <v>0</v>
      </c>
      <c r="AB26" s="339">
        <f t="shared" si="13"/>
        <v>0</v>
      </c>
      <c r="AC26" s="339">
        <f t="shared" si="13"/>
        <v>0</v>
      </c>
      <c r="AD26" s="339">
        <f t="shared" si="13"/>
        <v>0</v>
      </c>
      <c r="AE26" s="339">
        <f t="shared" si="13"/>
        <v>0</v>
      </c>
      <c r="AF26" s="339">
        <f t="shared" si="13"/>
        <v>0</v>
      </c>
      <c r="AG26" s="329"/>
      <c r="AH26" s="6"/>
      <c r="AI26" s="6"/>
      <c r="AJ26" s="6"/>
      <c r="AK26" s="6"/>
      <c r="AL26" s="6"/>
      <c r="AM26" s="6"/>
      <c r="AN26" s="6"/>
      <c r="AO26" s="6"/>
    </row>
    <row r="27" spans="1:41" ht="15">
      <c r="A27" s="343" t="s">
        <v>246</v>
      </c>
      <c r="B27" s="346"/>
      <c r="C27" s="344">
        <f>C21-(C23+C24+C25+C26)</f>
        <v>0</v>
      </c>
      <c r="D27" s="344">
        <f t="shared" ref="D27:AF27" si="14">D21-(D23+D24+D25+D26)</f>
        <v>0</v>
      </c>
      <c r="E27" s="344">
        <f t="shared" si="14"/>
        <v>0</v>
      </c>
      <c r="F27" s="344">
        <f t="shared" si="14"/>
        <v>0</v>
      </c>
      <c r="G27" s="344">
        <f t="shared" si="14"/>
        <v>0</v>
      </c>
      <c r="H27" s="344">
        <f t="shared" si="14"/>
        <v>0</v>
      </c>
      <c r="I27" s="344">
        <f t="shared" si="14"/>
        <v>0</v>
      </c>
      <c r="J27" s="344">
        <f t="shared" si="14"/>
        <v>0</v>
      </c>
      <c r="K27" s="344">
        <f t="shared" si="14"/>
        <v>0</v>
      </c>
      <c r="L27" s="344">
        <f t="shared" si="14"/>
        <v>0</v>
      </c>
      <c r="M27" s="344">
        <f t="shared" si="14"/>
        <v>0</v>
      </c>
      <c r="N27" s="344">
        <f t="shared" si="14"/>
        <v>0</v>
      </c>
      <c r="O27" s="344">
        <f t="shared" si="14"/>
        <v>0</v>
      </c>
      <c r="P27" s="344">
        <f t="shared" si="14"/>
        <v>0</v>
      </c>
      <c r="Q27" s="344">
        <f t="shared" si="14"/>
        <v>0</v>
      </c>
      <c r="R27" s="344">
        <f t="shared" si="14"/>
        <v>0</v>
      </c>
      <c r="S27" s="344">
        <f t="shared" si="14"/>
        <v>0</v>
      </c>
      <c r="T27" s="344">
        <f t="shared" si="14"/>
        <v>0</v>
      </c>
      <c r="U27" s="344">
        <f t="shared" si="14"/>
        <v>0</v>
      </c>
      <c r="V27" s="344">
        <f t="shared" si="14"/>
        <v>0</v>
      </c>
      <c r="W27" s="344">
        <f t="shared" si="14"/>
        <v>0</v>
      </c>
      <c r="X27" s="344">
        <f t="shared" si="14"/>
        <v>0</v>
      </c>
      <c r="Y27" s="344">
        <f t="shared" si="14"/>
        <v>0</v>
      </c>
      <c r="Z27" s="344">
        <f t="shared" si="14"/>
        <v>0</v>
      </c>
      <c r="AA27" s="344">
        <f t="shared" si="14"/>
        <v>0</v>
      </c>
      <c r="AB27" s="344">
        <f t="shared" si="14"/>
        <v>0</v>
      </c>
      <c r="AC27" s="344">
        <f t="shared" si="14"/>
        <v>0</v>
      </c>
      <c r="AD27" s="344">
        <f t="shared" si="14"/>
        <v>0</v>
      </c>
      <c r="AE27" s="344">
        <f t="shared" si="14"/>
        <v>0</v>
      </c>
      <c r="AF27" s="344">
        <f t="shared" si="14"/>
        <v>0</v>
      </c>
      <c r="AG27" s="329"/>
      <c r="AH27" s="6"/>
      <c r="AI27" s="6"/>
      <c r="AJ27" s="6"/>
      <c r="AK27" s="6"/>
      <c r="AL27" s="6"/>
      <c r="AM27" s="6"/>
      <c r="AN27" s="6"/>
      <c r="AO27" s="6"/>
    </row>
    <row r="28" spans="1:41" ht="14.25">
      <c r="A28" s="347"/>
      <c r="B28" s="346"/>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29"/>
      <c r="AH28" s="6"/>
      <c r="AI28" s="6"/>
      <c r="AJ28" s="6"/>
      <c r="AK28" s="6"/>
      <c r="AL28" s="6"/>
      <c r="AM28" s="6"/>
      <c r="AN28" s="6"/>
      <c r="AO28" s="6"/>
    </row>
    <row r="29" spans="1:41" ht="15">
      <c r="A29" s="332" t="s">
        <v>247</v>
      </c>
      <c r="B29" s="341"/>
      <c r="C29" s="344">
        <f>'Ex. 23 - Operating Budget'!C91</f>
        <v>0</v>
      </c>
      <c r="D29" s="344">
        <f>$C$29</f>
        <v>0</v>
      </c>
      <c r="E29" s="344">
        <f t="shared" ref="E29:AF29" si="15">$C$29</f>
        <v>0</v>
      </c>
      <c r="F29" s="344">
        <f t="shared" si="15"/>
        <v>0</v>
      </c>
      <c r="G29" s="344">
        <f t="shared" si="15"/>
        <v>0</v>
      </c>
      <c r="H29" s="344">
        <f t="shared" si="15"/>
        <v>0</v>
      </c>
      <c r="I29" s="344">
        <f t="shared" si="15"/>
        <v>0</v>
      </c>
      <c r="J29" s="344">
        <f t="shared" si="15"/>
        <v>0</v>
      </c>
      <c r="K29" s="344">
        <f t="shared" si="15"/>
        <v>0</v>
      </c>
      <c r="L29" s="344">
        <f t="shared" si="15"/>
        <v>0</v>
      </c>
      <c r="M29" s="344">
        <f t="shared" si="15"/>
        <v>0</v>
      </c>
      <c r="N29" s="344">
        <f t="shared" si="15"/>
        <v>0</v>
      </c>
      <c r="O29" s="344">
        <f t="shared" si="15"/>
        <v>0</v>
      </c>
      <c r="P29" s="344">
        <f t="shared" si="15"/>
        <v>0</v>
      </c>
      <c r="Q29" s="344">
        <f t="shared" si="15"/>
        <v>0</v>
      </c>
      <c r="R29" s="344">
        <f t="shared" si="15"/>
        <v>0</v>
      </c>
      <c r="S29" s="344">
        <f t="shared" si="15"/>
        <v>0</v>
      </c>
      <c r="T29" s="344">
        <f t="shared" si="15"/>
        <v>0</v>
      </c>
      <c r="U29" s="344">
        <f t="shared" si="15"/>
        <v>0</v>
      </c>
      <c r="V29" s="344">
        <f t="shared" si="15"/>
        <v>0</v>
      </c>
      <c r="W29" s="344">
        <f t="shared" si="15"/>
        <v>0</v>
      </c>
      <c r="X29" s="344">
        <f t="shared" si="15"/>
        <v>0</v>
      </c>
      <c r="Y29" s="344">
        <f t="shared" si="15"/>
        <v>0</v>
      </c>
      <c r="Z29" s="344">
        <f t="shared" si="15"/>
        <v>0</v>
      </c>
      <c r="AA29" s="344">
        <f t="shared" si="15"/>
        <v>0</v>
      </c>
      <c r="AB29" s="344">
        <f t="shared" si="15"/>
        <v>0</v>
      </c>
      <c r="AC29" s="344">
        <f t="shared" si="15"/>
        <v>0</v>
      </c>
      <c r="AD29" s="344">
        <f t="shared" si="15"/>
        <v>0</v>
      </c>
      <c r="AE29" s="344">
        <f t="shared" si="15"/>
        <v>0</v>
      </c>
      <c r="AF29" s="344">
        <f t="shared" si="15"/>
        <v>0</v>
      </c>
      <c r="AG29" s="329"/>
      <c r="AH29" s="6"/>
      <c r="AI29" s="6"/>
      <c r="AJ29" s="6"/>
      <c r="AK29" s="6"/>
      <c r="AL29" s="6"/>
      <c r="AM29" s="6"/>
      <c r="AN29" s="6"/>
      <c r="AO29" s="6"/>
    </row>
    <row r="30" spans="1:41" ht="14.25">
      <c r="A30" s="332" t="s">
        <v>248</v>
      </c>
      <c r="B30" s="346"/>
      <c r="C30" s="344">
        <f>'Ex. 23 - Operating Budget'!C83</f>
        <v>0</v>
      </c>
      <c r="D30" s="344">
        <f>$C$30</f>
        <v>0</v>
      </c>
      <c r="E30" s="344">
        <f t="shared" ref="E30:AF30" si="16">$C$30</f>
        <v>0</v>
      </c>
      <c r="F30" s="344">
        <f t="shared" si="16"/>
        <v>0</v>
      </c>
      <c r="G30" s="344">
        <f t="shared" si="16"/>
        <v>0</v>
      </c>
      <c r="H30" s="344">
        <f t="shared" si="16"/>
        <v>0</v>
      </c>
      <c r="I30" s="344">
        <f t="shared" si="16"/>
        <v>0</v>
      </c>
      <c r="J30" s="344">
        <f t="shared" si="16"/>
        <v>0</v>
      </c>
      <c r="K30" s="344">
        <f t="shared" si="16"/>
        <v>0</v>
      </c>
      <c r="L30" s="344">
        <f t="shared" si="16"/>
        <v>0</v>
      </c>
      <c r="M30" s="344">
        <f t="shared" si="16"/>
        <v>0</v>
      </c>
      <c r="N30" s="344">
        <f t="shared" si="16"/>
        <v>0</v>
      </c>
      <c r="O30" s="344">
        <f t="shared" si="16"/>
        <v>0</v>
      </c>
      <c r="P30" s="344">
        <f t="shared" si="16"/>
        <v>0</v>
      </c>
      <c r="Q30" s="344">
        <f t="shared" si="16"/>
        <v>0</v>
      </c>
      <c r="R30" s="344">
        <f t="shared" si="16"/>
        <v>0</v>
      </c>
      <c r="S30" s="344">
        <f t="shared" si="16"/>
        <v>0</v>
      </c>
      <c r="T30" s="344">
        <f t="shared" si="16"/>
        <v>0</v>
      </c>
      <c r="U30" s="344">
        <f t="shared" si="16"/>
        <v>0</v>
      </c>
      <c r="V30" s="344">
        <f t="shared" si="16"/>
        <v>0</v>
      </c>
      <c r="W30" s="344">
        <f t="shared" si="16"/>
        <v>0</v>
      </c>
      <c r="X30" s="344">
        <f t="shared" si="16"/>
        <v>0</v>
      </c>
      <c r="Y30" s="344">
        <f t="shared" si="16"/>
        <v>0</v>
      </c>
      <c r="Z30" s="344">
        <f t="shared" si="16"/>
        <v>0</v>
      </c>
      <c r="AA30" s="344">
        <f t="shared" si="16"/>
        <v>0</v>
      </c>
      <c r="AB30" s="344">
        <f t="shared" si="16"/>
        <v>0</v>
      </c>
      <c r="AC30" s="344">
        <f t="shared" si="16"/>
        <v>0</v>
      </c>
      <c r="AD30" s="344">
        <f t="shared" si="16"/>
        <v>0</v>
      </c>
      <c r="AE30" s="344">
        <f t="shared" si="16"/>
        <v>0</v>
      </c>
      <c r="AF30" s="344">
        <f t="shared" si="16"/>
        <v>0</v>
      </c>
      <c r="AG30" s="329"/>
      <c r="AH30" s="6"/>
      <c r="AI30" s="6"/>
      <c r="AJ30" s="6"/>
      <c r="AK30" s="6"/>
      <c r="AL30" s="6"/>
      <c r="AM30" s="6"/>
      <c r="AN30" s="6"/>
      <c r="AO30" s="6"/>
    </row>
    <row r="31" spans="1:41" ht="14.25">
      <c r="A31" s="332" t="s">
        <v>249</v>
      </c>
      <c r="B31" s="346"/>
      <c r="C31" s="344">
        <f>'Ex. 23 - Operating Budget'!C84</f>
        <v>0</v>
      </c>
      <c r="D31" s="344">
        <f>$C$31</f>
        <v>0</v>
      </c>
      <c r="E31" s="344">
        <f t="shared" ref="E31:AF31" si="17">$C$31</f>
        <v>0</v>
      </c>
      <c r="F31" s="344">
        <f t="shared" si="17"/>
        <v>0</v>
      </c>
      <c r="G31" s="344">
        <f t="shared" si="17"/>
        <v>0</v>
      </c>
      <c r="H31" s="344">
        <f t="shared" si="17"/>
        <v>0</v>
      </c>
      <c r="I31" s="344">
        <f t="shared" si="17"/>
        <v>0</v>
      </c>
      <c r="J31" s="344">
        <f t="shared" si="17"/>
        <v>0</v>
      </c>
      <c r="K31" s="344">
        <f t="shared" si="17"/>
        <v>0</v>
      </c>
      <c r="L31" s="344">
        <f t="shared" si="17"/>
        <v>0</v>
      </c>
      <c r="M31" s="344">
        <f t="shared" si="17"/>
        <v>0</v>
      </c>
      <c r="N31" s="344">
        <f t="shared" si="17"/>
        <v>0</v>
      </c>
      <c r="O31" s="344">
        <f t="shared" si="17"/>
        <v>0</v>
      </c>
      <c r="P31" s="344">
        <f t="shared" si="17"/>
        <v>0</v>
      </c>
      <c r="Q31" s="344">
        <f t="shared" si="17"/>
        <v>0</v>
      </c>
      <c r="R31" s="344">
        <f t="shared" si="17"/>
        <v>0</v>
      </c>
      <c r="S31" s="344">
        <f t="shared" si="17"/>
        <v>0</v>
      </c>
      <c r="T31" s="344">
        <f t="shared" si="17"/>
        <v>0</v>
      </c>
      <c r="U31" s="344">
        <f t="shared" si="17"/>
        <v>0</v>
      </c>
      <c r="V31" s="344">
        <f t="shared" si="17"/>
        <v>0</v>
      </c>
      <c r="W31" s="344">
        <f t="shared" si="17"/>
        <v>0</v>
      </c>
      <c r="X31" s="344">
        <f t="shared" si="17"/>
        <v>0</v>
      </c>
      <c r="Y31" s="344">
        <f t="shared" si="17"/>
        <v>0</v>
      </c>
      <c r="Z31" s="344">
        <f t="shared" si="17"/>
        <v>0</v>
      </c>
      <c r="AA31" s="344">
        <f t="shared" si="17"/>
        <v>0</v>
      </c>
      <c r="AB31" s="344">
        <f t="shared" si="17"/>
        <v>0</v>
      </c>
      <c r="AC31" s="344">
        <f t="shared" si="17"/>
        <v>0</v>
      </c>
      <c r="AD31" s="344">
        <f t="shared" si="17"/>
        <v>0</v>
      </c>
      <c r="AE31" s="344">
        <f t="shared" si="17"/>
        <v>0</v>
      </c>
      <c r="AF31" s="344">
        <f t="shared" si="17"/>
        <v>0</v>
      </c>
      <c r="AG31" s="329"/>
      <c r="AH31" s="6"/>
      <c r="AI31" s="6"/>
      <c r="AJ31" s="6"/>
      <c r="AK31" s="6"/>
      <c r="AL31" s="6"/>
      <c r="AM31" s="6"/>
      <c r="AN31" s="6"/>
      <c r="AO31" s="6"/>
    </row>
    <row r="32" spans="1:41" ht="15">
      <c r="A32" s="332" t="s">
        <v>250</v>
      </c>
      <c r="B32" s="400">
        <v>0.03</v>
      </c>
      <c r="C32" s="348">
        <f>'Ex. 23 - Operating Budget'!C94</f>
        <v>0</v>
      </c>
      <c r="D32" s="342">
        <f>$C$32*(1+$B$32)</f>
        <v>0</v>
      </c>
      <c r="E32" s="342">
        <f>$D$32*(1+$B$32)</f>
        <v>0</v>
      </c>
      <c r="F32" s="342">
        <f>$E$32*(1+$B$32)</f>
        <v>0</v>
      </c>
      <c r="G32" s="342">
        <f>$F$32*(1+$B$32)</f>
        <v>0</v>
      </c>
      <c r="H32" s="342">
        <f>$G$32*(1+$B$32)</f>
        <v>0</v>
      </c>
      <c r="I32" s="342">
        <f>$H$32*(1+$B$32)</f>
        <v>0</v>
      </c>
      <c r="J32" s="342">
        <f>$I$32*(1+$B$32)</f>
        <v>0</v>
      </c>
      <c r="K32" s="342">
        <f>$J$32*(1+$B$32)</f>
        <v>0</v>
      </c>
      <c r="L32" s="342">
        <f>$K$32*(1+$B$32)</f>
        <v>0</v>
      </c>
      <c r="M32" s="342">
        <f>$L$32*(1+$B$32)</f>
        <v>0</v>
      </c>
      <c r="N32" s="342">
        <f>$M$32*(1+$B$32)</f>
        <v>0</v>
      </c>
      <c r="O32" s="342">
        <f>$N$32*(1+$B$32)</f>
        <v>0</v>
      </c>
      <c r="P32" s="342">
        <f>$O$32*(1+$B$32)</f>
        <v>0</v>
      </c>
      <c r="Q32" s="342">
        <f>$P$32*(1+$B$32)</f>
        <v>0</v>
      </c>
      <c r="R32" s="342">
        <f>$Q$32*(1+$B$32)</f>
        <v>0</v>
      </c>
      <c r="S32" s="342">
        <f>$R$32*(1+$B$32)</f>
        <v>0</v>
      </c>
      <c r="T32" s="342">
        <f>$S$32*(1+$B$32)</f>
        <v>0</v>
      </c>
      <c r="U32" s="342">
        <f>$T$32*(1+$B$32)</f>
        <v>0</v>
      </c>
      <c r="V32" s="342">
        <f>$U$32*(1+$B$32)</f>
        <v>0</v>
      </c>
      <c r="W32" s="342">
        <f>$V$32*(1+$B$32)</f>
        <v>0</v>
      </c>
      <c r="X32" s="342">
        <f>$W$32*(1+$B$32)</f>
        <v>0</v>
      </c>
      <c r="Y32" s="342">
        <f>$X$32*(1+$B$32)</f>
        <v>0</v>
      </c>
      <c r="Z32" s="342">
        <f>$Y$32*(1+$B$32)</f>
        <v>0</v>
      </c>
      <c r="AA32" s="342">
        <f>$Z$32*(1+$B$32)</f>
        <v>0</v>
      </c>
      <c r="AB32" s="342">
        <f>$AA$32*(1+$B$32)</f>
        <v>0</v>
      </c>
      <c r="AC32" s="342">
        <f>$AB$32*(1+$B$32)</f>
        <v>0</v>
      </c>
      <c r="AD32" s="342">
        <f>$AC$32*(1+$B$32)</f>
        <v>0</v>
      </c>
      <c r="AE32" s="342">
        <f>$AD$32*(1+$B$32)</f>
        <v>0</v>
      </c>
      <c r="AF32" s="342">
        <f>$AE$32*(1+$B$32)</f>
        <v>0</v>
      </c>
      <c r="AG32" s="329"/>
      <c r="AH32" s="6"/>
      <c r="AI32" s="6"/>
      <c r="AJ32" s="6"/>
      <c r="AK32" s="6"/>
      <c r="AL32" s="6"/>
      <c r="AM32" s="6"/>
      <c r="AN32" s="6"/>
      <c r="AO32" s="6"/>
    </row>
    <row r="33" spans="1:41" ht="15">
      <c r="A33" s="332" t="s">
        <v>312</v>
      </c>
      <c r="B33" s="400"/>
      <c r="C33" s="348">
        <f>B4*100</f>
        <v>0</v>
      </c>
      <c r="D33" s="348">
        <f>B4*100</f>
        <v>0</v>
      </c>
      <c r="E33" s="348">
        <f>B4*100</f>
        <v>0</v>
      </c>
      <c r="F33" s="348">
        <f>B4*100</f>
        <v>0</v>
      </c>
      <c r="G33" s="348">
        <f>B4*100</f>
        <v>0</v>
      </c>
      <c r="H33" s="348">
        <f>B4*100</f>
        <v>0</v>
      </c>
      <c r="I33" s="348">
        <f>B4*100</f>
        <v>0</v>
      </c>
      <c r="J33" s="348">
        <f>B4*100</f>
        <v>0</v>
      </c>
      <c r="K33" s="348">
        <f>B4*100</f>
        <v>0</v>
      </c>
      <c r="L33" s="348">
        <f>B4*100</f>
        <v>0</v>
      </c>
      <c r="M33" s="348">
        <f>B4*100</f>
        <v>0</v>
      </c>
      <c r="N33" s="348">
        <f>B4*100</f>
        <v>0</v>
      </c>
      <c r="O33" s="348">
        <f>B4*100</f>
        <v>0</v>
      </c>
      <c r="P33" s="348">
        <f>B4*100</f>
        <v>0</v>
      </c>
      <c r="Q33" s="348">
        <f>B4*100</f>
        <v>0</v>
      </c>
      <c r="R33" s="348">
        <f>B4*100</f>
        <v>0</v>
      </c>
      <c r="S33" s="348">
        <f>B4*100</f>
        <v>0</v>
      </c>
      <c r="T33" s="348">
        <f>B4*100</f>
        <v>0</v>
      </c>
      <c r="U33" s="348">
        <f>B4*100</f>
        <v>0</v>
      </c>
      <c r="V33" s="348">
        <f>B4*100</f>
        <v>0</v>
      </c>
      <c r="W33" s="348">
        <f>B4*100</f>
        <v>0</v>
      </c>
      <c r="X33" s="348">
        <f>B4*100</f>
        <v>0</v>
      </c>
      <c r="Y33" s="348">
        <f>B4*100</f>
        <v>0</v>
      </c>
      <c r="Z33" s="348">
        <f>B4*100</f>
        <v>0</v>
      </c>
      <c r="AA33" s="348">
        <f>B4*100</f>
        <v>0</v>
      </c>
      <c r="AB33" s="348">
        <f>B4*100</f>
        <v>0</v>
      </c>
      <c r="AC33" s="348">
        <f>B4*100</f>
        <v>0</v>
      </c>
      <c r="AD33" s="348">
        <f>B4*100</f>
        <v>0</v>
      </c>
      <c r="AE33" s="348">
        <f>B4*100</f>
        <v>0</v>
      </c>
      <c r="AF33" s="348">
        <f>B4*100</f>
        <v>0</v>
      </c>
      <c r="AG33" s="329"/>
      <c r="AH33" s="6"/>
      <c r="AI33" s="6"/>
      <c r="AJ33" s="6"/>
      <c r="AK33" s="6"/>
      <c r="AL33" s="6"/>
      <c r="AM33" s="6"/>
      <c r="AN33" s="6"/>
      <c r="AO33" s="6"/>
    </row>
    <row r="34" spans="1:41" ht="15">
      <c r="A34" s="321" t="s">
        <v>243</v>
      </c>
      <c r="B34" s="323"/>
      <c r="C34" s="320"/>
      <c r="D34" s="342">
        <f>$C$34*(1+$B$34)</f>
        <v>0</v>
      </c>
      <c r="E34" s="339">
        <f>D34*(1+$B$34)</f>
        <v>0</v>
      </c>
      <c r="F34" s="339">
        <f>E34*(1+$B$34)</f>
        <v>0</v>
      </c>
      <c r="G34" s="339">
        <f t="shared" ref="G34:AF34" si="18">F34*(1+$B$34)</f>
        <v>0</v>
      </c>
      <c r="H34" s="339">
        <f t="shared" si="18"/>
        <v>0</v>
      </c>
      <c r="I34" s="339">
        <f t="shared" si="18"/>
        <v>0</v>
      </c>
      <c r="J34" s="339">
        <f t="shared" si="18"/>
        <v>0</v>
      </c>
      <c r="K34" s="339">
        <f t="shared" si="18"/>
        <v>0</v>
      </c>
      <c r="L34" s="339">
        <f t="shared" si="18"/>
        <v>0</v>
      </c>
      <c r="M34" s="339">
        <f t="shared" si="18"/>
        <v>0</v>
      </c>
      <c r="N34" s="339">
        <f t="shared" si="18"/>
        <v>0</v>
      </c>
      <c r="O34" s="339">
        <f t="shared" si="18"/>
        <v>0</v>
      </c>
      <c r="P34" s="339">
        <f t="shared" si="18"/>
        <v>0</v>
      </c>
      <c r="Q34" s="339">
        <f t="shared" si="18"/>
        <v>0</v>
      </c>
      <c r="R34" s="339">
        <f t="shared" si="18"/>
        <v>0</v>
      </c>
      <c r="S34" s="339">
        <f t="shared" si="18"/>
        <v>0</v>
      </c>
      <c r="T34" s="339">
        <f t="shared" si="18"/>
        <v>0</v>
      </c>
      <c r="U34" s="339">
        <f t="shared" si="18"/>
        <v>0</v>
      </c>
      <c r="V34" s="339">
        <f t="shared" si="18"/>
        <v>0</v>
      </c>
      <c r="W34" s="339">
        <f t="shared" si="18"/>
        <v>0</v>
      </c>
      <c r="X34" s="339">
        <f t="shared" si="18"/>
        <v>0</v>
      </c>
      <c r="Y34" s="339">
        <f t="shared" si="18"/>
        <v>0</v>
      </c>
      <c r="Z34" s="339">
        <f t="shared" si="18"/>
        <v>0</v>
      </c>
      <c r="AA34" s="339">
        <f t="shared" si="18"/>
        <v>0</v>
      </c>
      <c r="AB34" s="339">
        <f t="shared" si="18"/>
        <v>0</v>
      </c>
      <c r="AC34" s="339">
        <f t="shared" si="18"/>
        <v>0</v>
      </c>
      <c r="AD34" s="339">
        <f t="shared" si="18"/>
        <v>0</v>
      </c>
      <c r="AE34" s="339">
        <f t="shared" si="18"/>
        <v>0</v>
      </c>
      <c r="AF34" s="339">
        <f t="shared" si="18"/>
        <v>0</v>
      </c>
      <c r="AG34" s="329"/>
      <c r="AH34" s="6"/>
      <c r="AI34" s="6"/>
      <c r="AJ34" s="6"/>
      <c r="AK34" s="6"/>
      <c r="AL34" s="6"/>
      <c r="AM34" s="6"/>
      <c r="AN34" s="6"/>
      <c r="AO34" s="6"/>
    </row>
    <row r="35" spans="1:41" ht="15">
      <c r="A35" s="321" t="s">
        <v>243</v>
      </c>
      <c r="B35" s="323"/>
      <c r="C35" s="320"/>
      <c r="D35" s="342">
        <f>$C$35*(1+$B$35)</f>
        <v>0</v>
      </c>
      <c r="E35" s="339">
        <f>D35*(1+$B$35)</f>
        <v>0</v>
      </c>
      <c r="F35" s="339">
        <f t="shared" ref="F35:AF35" si="19">E35*(1+$B$35)</f>
        <v>0</v>
      </c>
      <c r="G35" s="339">
        <f t="shared" si="19"/>
        <v>0</v>
      </c>
      <c r="H35" s="339">
        <f t="shared" si="19"/>
        <v>0</v>
      </c>
      <c r="I35" s="339">
        <f t="shared" si="19"/>
        <v>0</v>
      </c>
      <c r="J35" s="339">
        <f t="shared" si="19"/>
        <v>0</v>
      </c>
      <c r="K35" s="339">
        <f t="shared" si="19"/>
        <v>0</v>
      </c>
      <c r="L35" s="339">
        <f t="shared" si="19"/>
        <v>0</v>
      </c>
      <c r="M35" s="339">
        <f t="shared" si="19"/>
        <v>0</v>
      </c>
      <c r="N35" s="339">
        <f t="shared" si="19"/>
        <v>0</v>
      </c>
      <c r="O35" s="339">
        <f t="shared" si="19"/>
        <v>0</v>
      </c>
      <c r="P35" s="339">
        <f t="shared" si="19"/>
        <v>0</v>
      </c>
      <c r="Q35" s="339">
        <f t="shared" si="19"/>
        <v>0</v>
      </c>
      <c r="R35" s="339">
        <f t="shared" si="19"/>
        <v>0</v>
      </c>
      <c r="S35" s="339">
        <f t="shared" si="19"/>
        <v>0</v>
      </c>
      <c r="T35" s="339">
        <f t="shared" si="19"/>
        <v>0</v>
      </c>
      <c r="U35" s="339">
        <f t="shared" si="19"/>
        <v>0</v>
      </c>
      <c r="V35" s="339">
        <f t="shared" si="19"/>
        <v>0</v>
      </c>
      <c r="W35" s="339">
        <f t="shared" si="19"/>
        <v>0</v>
      </c>
      <c r="X35" s="339">
        <f t="shared" si="19"/>
        <v>0</v>
      </c>
      <c r="Y35" s="339">
        <f t="shared" si="19"/>
        <v>0</v>
      </c>
      <c r="Z35" s="339">
        <f t="shared" si="19"/>
        <v>0</v>
      </c>
      <c r="AA35" s="339">
        <f t="shared" si="19"/>
        <v>0</v>
      </c>
      <c r="AB35" s="339">
        <f t="shared" si="19"/>
        <v>0</v>
      </c>
      <c r="AC35" s="339">
        <f t="shared" si="19"/>
        <v>0</v>
      </c>
      <c r="AD35" s="339">
        <f t="shared" si="19"/>
        <v>0</v>
      </c>
      <c r="AE35" s="339">
        <f t="shared" si="19"/>
        <v>0</v>
      </c>
      <c r="AF35" s="339">
        <f t="shared" si="19"/>
        <v>0</v>
      </c>
      <c r="AG35" s="329"/>
      <c r="AH35" s="6"/>
      <c r="AI35" s="6"/>
      <c r="AJ35" s="6"/>
      <c r="AK35" s="6"/>
      <c r="AL35" s="6"/>
      <c r="AM35" s="6"/>
      <c r="AN35" s="6"/>
      <c r="AO35" s="6"/>
    </row>
    <row r="36" spans="1:41" ht="15">
      <c r="A36" s="321" t="s">
        <v>243</v>
      </c>
      <c r="B36" s="323"/>
      <c r="C36" s="320"/>
      <c r="D36" s="342">
        <f>$C$36*(1+$B$36)</f>
        <v>0</v>
      </c>
      <c r="E36" s="339">
        <f>D36*(1+$B$36)</f>
        <v>0</v>
      </c>
      <c r="F36" s="339">
        <f>E36*(1+$B$36)</f>
        <v>0</v>
      </c>
      <c r="G36" s="339">
        <f t="shared" ref="G36:AF36" si="20">F36*(1+$B$36)</f>
        <v>0</v>
      </c>
      <c r="H36" s="339">
        <f t="shared" si="20"/>
        <v>0</v>
      </c>
      <c r="I36" s="339">
        <f t="shared" si="20"/>
        <v>0</v>
      </c>
      <c r="J36" s="339">
        <f t="shared" si="20"/>
        <v>0</v>
      </c>
      <c r="K36" s="339">
        <f t="shared" si="20"/>
        <v>0</v>
      </c>
      <c r="L36" s="339">
        <f t="shared" si="20"/>
        <v>0</v>
      </c>
      <c r="M36" s="339">
        <f t="shared" si="20"/>
        <v>0</v>
      </c>
      <c r="N36" s="339">
        <f t="shared" si="20"/>
        <v>0</v>
      </c>
      <c r="O36" s="339">
        <f t="shared" si="20"/>
        <v>0</v>
      </c>
      <c r="P36" s="339">
        <f t="shared" si="20"/>
        <v>0</v>
      </c>
      <c r="Q36" s="339">
        <f t="shared" si="20"/>
        <v>0</v>
      </c>
      <c r="R36" s="339">
        <f t="shared" si="20"/>
        <v>0</v>
      </c>
      <c r="S36" s="339">
        <f t="shared" si="20"/>
        <v>0</v>
      </c>
      <c r="T36" s="339">
        <f t="shared" si="20"/>
        <v>0</v>
      </c>
      <c r="U36" s="339">
        <f t="shared" si="20"/>
        <v>0</v>
      </c>
      <c r="V36" s="339">
        <f t="shared" si="20"/>
        <v>0</v>
      </c>
      <c r="W36" s="339">
        <f t="shared" si="20"/>
        <v>0</v>
      </c>
      <c r="X36" s="339">
        <f t="shared" si="20"/>
        <v>0</v>
      </c>
      <c r="Y36" s="339">
        <f t="shared" si="20"/>
        <v>0</v>
      </c>
      <c r="Z36" s="339">
        <f t="shared" si="20"/>
        <v>0</v>
      </c>
      <c r="AA36" s="339">
        <f t="shared" si="20"/>
        <v>0</v>
      </c>
      <c r="AB36" s="339">
        <f t="shared" si="20"/>
        <v>0</v>
      </c>
      <c r="AC36" s="339">
        <f t="shared" si="20"/>
        <v>0</v>
      </c>
      <c r="AD36" s="339">
        <f t="shared" si="20"/>
        <v>0</v>
      </c>
      <c r="AE36" s="339">
        <f t="shared" si="20"/>
        <v>0</v>
      </c>
      <c r="AF36" s="339">
        <f t="shared" si="20"/>
        <v>0</v>
      </c>
      <c r="AG36" s="329"/>
      <c r="AH36" s="6"/>
      <c r="AI36" s="6"/>
      <c r="AJ36" s="6"/>
      <c r="AK36" s="6"/>
      <c r="AL36" s="6"/>
      <c r="AM36" s="6"/>
      <c r="AN36" s="6"/>
      <c r="AO36" s="6"/>
    </row>
    <row r="37" spans="1:41" ht="15">
      <c r="A37" s="349" t="s">
        <v>251</v>
      </c>
      <c r="B37" s="350"/>
      <c r="C37" s="351">
        <f>C27-(C29+C30+C31+C32+C34+C35+C36+C33)</f>
        <v>0</v>
      </c>
      <c r="D37" s="351">
        <f t="shared" ref="D37:AF37" si="21">D27-(D29+D30+D31+D32+D34+D35+D36+D33)</f>
        <v>0</v>
      </c>
      <c r="E37" s="351">
        <f t="shared" si="21"/>
        <v>0</v>
      </c>
      <c r="F37" s="351">
        <f t="shared" si="21"/>
        <v>0</v>
      </c>
      <c r="G37" s="351">
        <f t="shared" si="21"/>
        <v>0</v>
      </c>
      <c r="H37" s="351">
        <f t="shared" si="21"/>
        <v>0</v>
      </c>
      <c r="I37" s="351">
        <f t="shared" si="21"/>
        <v>0</v>
      </c>
      <c r="J37" s="351">
        <f t="shared" si="21"/>
        <v>0</v>
      </c>
      <c r="K37" s="351">
        <f t="shared" si="21"/>
        <v>0</v>
      </c>
      <c r="L37" s="351">
        <f t="shared" si="21"/>
        <v>0</v>
      </c>
      <c r="M37" s="351">
        <f t="shared" si="21"/>
        <v>0</v>
      </c>
      <c r="N37" s="351">
        <f t="shared" si="21"/>
        <v>0</v>
      </c>
      <c r="O37" s="351">
        <f t="shared" si="21"/>
        <v>0</v>
      </c>
      <c r="P37" s="351">
        <f t="shared" si="21"/>
        <v>0</v>
      </c>
      <c r="Q37" s="351">
        <f t="shared" si="21"/>
        <v>0</v>
      </c>
      <c r="R37" s="351">
        <f t="shared" si="21"/>
        <v>0</v>
      </c>
      <c r="S37" s="351">
        <f t="shared" si="21"/>
        <v>0</v>
      </c>
      <c r="T37" s="351">
        <f t="shared" si="21"/>
        <v>0</v>
      </c>
      <c r="U37" s="351">
        <f t="shared" si="21"/>
        <v>0</v>
      </c>
      <c r="V37" s="351">
        <f t="shared" si="21"/>
        <v>0</v>
      </c>
      <c r="W37" s="351">
        <f t="shared" si="21"/>
        <v>0</v>
      </c>
      <c r="X37" s="351">
        <f t="shared" si="21"/>
        <v>0</v>
      </c>
      <c r="Y37" s="351">
        <f t="shared" si="21"/>
        <v>0</v>
      </c>
      <c r="Z37" s="351">
        <f t="shared" si="21"/>
        <v>0</v>
      </c>
      <c r="AA37" s="351">
        <f t="shared" si="21"/>
        <v>0</v>
      </c>
      <c r="AB37" s="351">
        <f t="shared" si="21"/>
        <v>0</v>
      </c>
      <c r="AC37" s="351">
        <f t="shared" si="21"/>
        <v>0</v>
      </c>
      <c r="AD37" s="351">
        <f t="shared" si="21"/>
        <v>0</v>
      </c>
      <c r="AE37" s="351">
        <f t="shared" si="21"/>
        <v>0</v>
      </c>
      <c r="AF37" s="351">
        <f t="shared" si="21"/>
        <v>0</v>
      </c>
      <c r="AG37" s="329"/>
      <c r="AH37" s="6"/>
      <c r="AI37" s="6"/>
      <c r="AJ37" s="6"/>
      <c r="AK37" s="6"/>
      <c r="AL37" s="6"/>
      <c r="AM37" s="6"/>
      <c r="AN37" s="6"/>
      <c r="AO37" s="6"/>
    </row>
    <row r="38" spans="1:41">
      <c r="A38" s="329"/>
      <c r="B38" s="329"/>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c r="AA38" s="329"/>
      <c r="AB38" s="329"/>
      <c r="AC38" s="329"/>
      <c r="AD38" s="329"/>
      <c r="AE38" s="329"/>
      <c r="AF38" s="329"/>
      <c r="AG38" s="329"/>
      <c r="AH38" s="6"/>
      <c r="AI38" s="6"/>
      <c r="AJ38" s="6"/>
      <c r="AK38" s="6"/>
      <c r="AL38" s="6"/>
      <c r="AM38" s="6"/>
      <c r="AN38" s="6"/>
      <c r="AO38" s="6"/>
    </row>
    <row r="39" spans="1:4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c r="A40" s="10" t="s">
        <v>252</v>
      </c>
      <c r="B40" s="352" t="str">
        <f>IF(COUNTIF(C37:AF37,"&lt;0"),"YES","NO")</f>
        <v>NO</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6"/>
      <c r="AI40" s="6"/>
      <c r="AJ40" s="6"/>
      <c r="AK40" s="6"/>
      <c r="AL40" s="6"/>
      <c r="AM40" s="6"/>
      <c r="AN40" s="6"/>
      <c r="AO40" s="6"/>
    </row>
    <row r="41" spans="1:41">
      <c r="A41" s="10" t="s">
        <v>253</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6"/>
      <c r="AI41" s="6"/>
      <c r="AJ41" s="6"/>
      <c r="AK41" s="6"/>
      <c r="AL41" s="6"/>
      <c r="AM41" s="6"/>
      <c r="AN41" s="6"/>
      <c r="AO41" s="6"/>
    </row>
    <row r="42" spans="1:4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row>
    <row r="43" spans="1:4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row>
    <row r="44" spans="1:4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row>
    <row r="45" spans="1:4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row>
    <row r="46" spans="1:4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row>
    <row r="47" spans="1:4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row>
    <row r="48" spans="1:4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row>
    <row r="49" spans="1:4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4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row>
    <row r="51" spans="1:4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row>
    <row r="52" spans="1:4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row>
    <row r="53" spans="1:4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row>
    <row r="54" spans="1:4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row>
    <row r="55" spans="1:4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row>
    <row r="56" spans="1:4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row>
    <row r="57" spans="1:4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row>
    <row r="58" spans="1:4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row>
    <row r="59" spans="1:4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row>
    <row r="60" spans="1:4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row>
    <row r="61" spans="1:4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row>
    <row r="62" spans="1:4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row>
    <row r="63" spans="1:4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row>
    <row r="64" spans="1:4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row>
    <row r="65" spans="1:4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row>
    <row r="66" spans="1:4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row>
    <row r="67" spans="1:4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row>
    <row r="68" spans="1:4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row>
    <row r="69" spans="1:4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row>
    <row r="70" spans="1:4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row>
    <row r="71" spans="1:4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row>
    <row r="72" spans="1:4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row>
    <row r="73" spans="1:4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row>
    <row r="74" spans="1:4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row>
    <row r="75" spans="1:4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row>
    <row r="76" spans="1:4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row>
    <row r="77" spans="1:4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row>
    <row r="78" spans="1:4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row>
    <row r="79" spans="1:4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row>
    <row r="80" spans="1:4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row>
    <row r="81" spans="1:4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row>
    <row r="82" spans="1:4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row>
    <row r="83" spans="1:4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row>
    <row r="84" spans="1:4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row>
    <row r="85" spans="1:4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row>
    <row r="86" spans="1:4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row>
    <row r="87" spans="1:4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row>
    <row r="88" spans="1:4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row>
    <row r="89" spans="1:4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row>
    <row r="90" spans="1:4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row>
    <row r="91" spans="1:4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row>
    <row r="92" spans="1:4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row>
    <row r="93" spans="1:4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row>
    <row r="94" spans="1:4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row>
    <row r="95" spans="1:4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row>
    <row r="96" spans="1:4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row>
    <row r="97" spans="1:4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row>
    <row r="98" spans="1:4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row>
    <row r="99" spans="1:4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row>
    <row r="100" spans="1:4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row>
    <row r="101" spans="1:4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row>
    <row r="102" spans="1:4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row>
    <row r="103" spans="1:4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row>
    <row r="104" spans="1:4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row>
    <row r="105" spans="1:4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row>
    <row r="106" spans="1:4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row>
    <row r="107" spans="1:4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row>
    <row r="108" spans="1:4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row>
    <row r="109" spans="1:4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row>
    <row r="110" spans="1:4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row>
    <row r="111" spans="1:4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row>
    <row r="112" spans="1:4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row>
    <row r="113" spans="1:4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row>
    <row r="114" spans="1:4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row>
    <row r="115" spans="1:4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row>
    <row r="116" spans="1:4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row>
    <row r="117" spans="1:4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row>
    <row r="118" spans="1:4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row>
    <row r="119" spans="1:4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row>
    <row r="120" spans="1:4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row>
    <row r="121" spans="1:4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row>
    <row r="122" spans="1:4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row>
    <row r="123" spans="1:4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row>
    <row r="124" spans="1:4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row>
    <row r="125" spans="1:4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row>
    <row r="126" spans="1:4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row>
    <row r="127" spans="1:4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row>
    <row r="128" spans="1:4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row>
    <row r="129" spans="1:4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row>
    <row r="130" spans="1:4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row>
    <row r="131" spans="1:4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row>
    <row r="132" spans="1:4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row>
    <row r="133" spans="1:4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row>
    <row r="134" spans="1:4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row>
    <row r="135" spans="1:4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row>
    <row r="136" spans="1:4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row>
    <row r="137" spans="1:4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row>
    <row r="138" spans="1:4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row>
    <row r="139" spans="1:4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row>
    <row r="140" spans="1:4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row>
    <row r="141" spans="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row>
    <row r="142" spans="1:4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row>
    <row r="143" spans="1:4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row>
    <row r="144" spans="1:4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row>
    <row r="145" spans="1:4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row>
    <row r="146" spans="1:4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row>
    <row r="147" spans="1:4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row>
    <row r="148" spans="1:4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row>
    <row r="149" spans="1:4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row>
    <row r="150" spans="1:4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row>
    <row r="151" spans="1:4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row>
    <row r="152" spans="1:4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row>
    <row r="153" spans="1:4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row>
    <row r="154" spans="1:4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row>
    <row r="155" spans="1:4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row>
    <row r="156" spans="1:4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row>
    <row r="157" spans="1:4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row>
    <row r="158" spans="1:4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row>
    <row r="159" spans="1:4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row>
    <row r="160" spans="1:4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row>
    <row r="161" spans="1:4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row>
    <row r="162" spans="1:4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row>
    <row r="163" spans="1:4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row>
    <row r="164" spans="1:4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row>
    <row r="165" spans="1:4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row>
    <row r="166" spans="1:4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row>
    <row r="167" spans="1:4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row>
    <row r="168" spans="1:4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row>
    <row r="169" spans="1:4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row>
    <row r="170" spans="1:4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row>
    <row r="171" spans="1:4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row>
    <row r="172" spans="1:4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row>
    <row r="173" spans="1:4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row>
    <row r="174" spans="1:4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row>
    <row r="175" spans="1:4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row>
    <row r="176" spans="1:4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row>
    <row r="177" spans="1:4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row>
    <row r="178" spans="1:4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row>
    <row r="179" spans="1:4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row>
    <row r="180" spans="1:4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row>
    <row r="181" spans="1:4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row>
    <row r="182" spans="1:4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row>
    <row r="183" spans="1:4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row>
    <row r="184" spans="1:4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row>
    <row r="185" spans="1:4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row>
    <row r="186" spans="1:4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row>
    <row r="187" spans="1:4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row>
    <row r="188" spans="1:4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row>
    <row r="189" spans="1:4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row>
    <row r="190" spans="1:4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row>
    <row r="191" spans="1:4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row>
    <row r="192" spans="1:4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row>
    <row r="193" spans="1:4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row>
    <row r="194" spans="1:4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row>
    <row r="195" spans="1:4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row>
    <row r="196" spans="1:4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row>
    <row r="197" spans="1:4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row>
    <row r="198" spans="1:4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row>
    <row r="199" spans="1:4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row>
    <row r="200" spans="1:4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row>
    <row r="201" spans="1:4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row>
    <row r="202" spans="1:4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row>
    <row r="203" spans="1:4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row>
    <row r="204" spans="1:4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row>
    <row r="205" spans="1:4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row>
    <row r="206" spans="1:4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row>
    <row r="207" spans="1:4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row>
    <row r="208" spans="1:4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row>
    <row r="209" spans="1:4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row>
    <row r="210" spans="1:4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row>
    <row r="211" spans="1:4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row>
    <row r="212" spans="1:4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row>
    <row r="213" spans="1:4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row>
    <row r="214" spans="1:4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row>
    <row r="215" spans="1:4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row>
    <row r="216" spans="1:4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row>
    <row r="217" spans="1:4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row>
    <row r="218" spans="1:4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row>
    <row r="219" spans="1:4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row>
    <row r="220" spans="1:4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row>
    <row r="221" spans="1:4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row>
    <row r="222" spans="1:4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row>
    <row r="223" spans="1:4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row>
    <row r="224" spans="1:4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row>
    <row r="225" spans="1:4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row>
    <row r="226" spans="1:4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row>
    <row r="227" spans="1:4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row>
    <row r="228" spans="1:4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row>
    <row r="229" spans="1:4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row>
    <row r="230" spans="1:4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row>
    <row r="231" spans="1:4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row>
    <row r="232" spans="1:4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row>
    <row r="233" spans="1:4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row>
    <row r="234" spans="1:4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row>
    <row r="235" spans="1:4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row>
    <row r="236" spans="1:4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row>
    <row r="237" spans="1:4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row>
    <row r="238" spans="1:4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row>
    <row r="239" spans="1:4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row>
  </sheetData>
  <sheetProtection password="DFF4" sheet="1" objects="1" scenarios="1" formatColumns="0" formatRows="0" insertRows="0"/>
  <protectedRanges>
    <protectedRange password="DD74" sqref="B3:B5 A14:C16 C13 A24:C26 A34:C36" name="Range1_1"/>
  </protectedRanges>
  <mergeCells count="1">
    <mergeCell ref="B3:D3"/>
  </mergeCells>
  <phoneticPr fontId="18" type="noConversion"/>
  <pageMargins left="0.25" right="0.25" top="0.75" bottom="0.75" header="0.3" footer="0.3"/>
  <pageSetup paperSize="5" scale="38" orientation="landscape" r:id="rId1"/>
  <headerFooter alignWithMargins="0"/>
  <ignoredErrors>
    <ignoredError sqref="D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B28"/>
  <sheetViews>
    <sheetView topLeftCell="A4" zoomScaleNormal="100" workbookViewId="0">
      <selection activeCell="A10" sqref="A10:A11"/>
    </sheetView>
  </sheetViews>
  <sheetFormatPr defaultRowHeight="12.75"/>
  <cols>
    <col min="1" max="1" width="31.42578125" style="152" customWidth="1"/>
    <col min="2" max="2" width="17.7109375" style="12" customWidth="1"/>
    <col min="3" max="5" width="17.7109375" style="6" customWidth="1"/>
    <col min="6" max="7" width="15.7109375" style="246" customWidth="1"/>
    <col min="8" max="8" width="13.28515625" style="75" customWidth="1"/>
    <col min="9" max="16384" width="9.140625" style="6"/>
  </cols>
  <sheetData>
    <row r="1" spans="1:28" ht="15">
      <c r="A1" s="446" t="s">
        <v>305</v>
      </c>
      <c r="B1" s="446"/>
      <c r="C1" s="446"/>
      <c r="D1" s="446"/>
      <c r="E1" s="446"/>
      <c r="F1" s="446"/>
      <c r="G1" s="446"/>
      <c r="H1" s="5"/>
      <c r="I1" s="5"/>
      <c r="J1" s="5"/>
      <c r="K1" s="5"/>
      <c r="L1" s="5"/>
    </row>
    <row r="2" spans="1:28" ht="15">
      <c r="A2" s="447" t="str">
        <f>'Ex. 10 - Repl. Unit Analysis'!A2:K2</f>
        <v>[Project Name]</v>
      </c>
      <c r="B2" s="447"/>
      <c r="C2" s="447"/>
      <c r="D2" s="447"/>
      <c r="E2" s="447"/>
      <c r="F2" s="447"/>
      <c r="G2" s="447"/>
      <c r="H2" s="151"/>
      <c r="I2" s="151"/>
      <c r="J2" s="151"/>
      <c r="K2" s="151"/>
      <c r="L2" s="151"/>
      <c r="M2" s="12"/>
      <c r="N2" s="12"/>
      <c r="O2" s="12"/>
      <c r="P2" s="12"/>
      <c r="Q2" s="12"/>
      <c r="R2" s="12"/>
      <c r="S2" s="12"/>
      <c r="T2" s="12"/>
      <c r="U2" s="12"/>
      <c r="V2" s="12"/>
      <c r="W2" s="12"/>
      <c r="X2" s="12"/>
      <c r="Y2" s="12"/>
      <c r="Z2" s="12"/>
      <c r="AA2" s="12"/>
      <c r="AB2" s="12"/>
    </row>
    <row r="3" spans="1:28" ht="15">
      <c r="A3" s="448" t="s">
        <v>309</v>
      </c>
      <c r="B3" s="448"/>
      <c r="C3" s="448"/>
      <c r="D3" s="448"/>
      <c r="E3" s="448"/>
      <c r="F3" s="448"/>
      <c r="G3" s="448"/>
      <c r="H3" s="5"/>
      <c r="I3" s="5"/>
      <c r="J3" s="5"/>
      <c r="K3" s="5"/>
      <c r="L3" s="5"/>
    </row>
    <row r="4" spans="1:28" ht="15">
      <c r="A4" s="5"/>
      <c r="B4" s="151"/>
      <c r="C4" s="5"/>
      <c r="D4" s="5"/>
      <c r="E4" s="5"/>
      <c r="F4" s="263"/>
      <c r="G4" s="263"/>
      <c r="H4" s="5"/>
      <c r="I4" s="5"/>
      <c r="J4" s="5"/>
      <c r="K4" s="5"/>
      <c r="L4" s="5"/>
    </row>
    <row r="5" spans="1:28">
      <c r="B5" s="153" t="s">
        <v>43</v>
      </c>
      <c r="C5" s="154" t="s">
        <v>37</v>
      </c>
      <c r="D5" s="155" t="s">
        <v>38</v>
      </c>
      <c r="E5" s="293" t="s">
        <v>202</v>
      </c>
    </row>
    <row r="6" spans="1:28" ht="25.5">
      <c r="A6" s="156" t="s">
        <v>116</v>
      </c>
      <c r="B6" s="157">
        <f>C6+D6</f>
        <v>0</v>
      </c>
      <c r="C6" s="158"/>
      <c r="D6" s="158"/>
      <c r="E6" s="171"/>
    </row>
    <row r="7" spans="1:28">
      <c r="A7" s="159" t="s">
        <v>117</v>
      </c>
      <c r="B7" s="157">
        <f>C7+D7</f>
        <v>0</v>
      </c>
      <c r="C7" s="158"/>
      <c r="D7" s="158"/>
      <c r="E7" s="171"/>
    </row>
    <row r="8" spans="1:28" ht="13.5" thickBot="1"/>
    <row r="9" spans="1:28" ht="26.25" thickTop="1">
      <c r="A9" s="160" t="s">
        <v>118</v>
      </c>
      <c r="B9" s="161" t="s">
        <v>36</v>
      </c>
      <c r="C9" s="162" t="s">
        <v>119</v>
      </c>
      <c r="D9" s="163" t="s">
        <v>120</v>
      </c>
      <c r="E9" s="294" t="s">
        <v>236</v>
      </c>
      <c r="F9" s="264" t="s">
        <v>121</v>
      </c>
      <c r="G9" s="265" t="s">
        <v>122</v>
      </c>
      <c r="H9" s="129"/>
    </row>
    <row r="10" spans="1:28" ht="15.75" customHeight="1">
      <c r="A10" s="168" t="s">
        <v>292</v>
      </c>
      <c r="B10" s="169">
        <f>C10</f>
        <v>0</v>
      </c>
      <c r="C10" s="170"/>
      <c r="D10" s="171"/>
      <c r="E10" s="171"/>
      <c r="F10" s="266" t="e">
        <f t="shared" ref="F10:F21" si="0">B10/$C$6</f>
        <v>#DIV/0!</v>
      </c>
      <c r="G10" s="267" t="e">
        <f t="shared" ref="G10:G21" si="1">B10/$C$7</f>
        <v>#DIV/0!</v>
      </c>
      <c r="H10" s="167"/>
    </row>
    <row r="11" spans="1:28">
      <c r="A11" s="168" t="s">
        <v>293</v>
      </c>
      <c r="B11" s="172">
        <f>C11</f>
        <v>0</v>
      </c>
      <c r="C11" s="170"/>
      <c r="D11" s="171"/>
      <c r="E11" s="171"/>
      <c r="F11" s="266" t="e">
        <f t="shared" si="0"/>
        <v>#DIV/0!</v>
      </c>
      <c r="G11" s="267" t="e">
        <f t="shared" si="1"/>
        <v>#DIV/0!</v>
      </c>
      <c r="H11" s="167"/>
    </row>
    <row r="12" spans="1:28" ht="15.75" customHeight="1">
      <c r="A12" s="173" t="s">
        <v>294</v>
      </c>
      <c r="B12" s="174">
        <f>SUM(B10:B11)</f>
        <v>0</v>
      </c>
      <c r="C12" s="174">
        <f>SUM(C10:C11)</f>
        <v>0</v>
      </c>
      <c r="D12" s="175"/>
      <c r="E12" s="175"/>
      <c r="F12" s="266" t="e">
        <f t="shared" si="0"/>
        <v>#DIV/0!</v>
      </c>
      <c r="G12" s="267" t="e">
        <f t="shared" si="1"/>
        <v>#DIV/0!</v>
      </c>
      <c r="H12" s="167"/>
    </row>
    <row r="13" spans="1:28" ht="15.75" customHeight="1">
      <c r="A13" s="176" t="s">
        <v>123</v>
      </c>
      <c r="B13" s="165">
        <f t="shared" ref="B13:B19" si="2">SUM(C13:E13)</f>
        <v>0</v>
      </c>
      <c r="C13" s="170"/>
      <c r="D13" s="170"/>
      <c r="E13" s="291"/>
      <c r="F13" s="266" t="e">
        <f t="shared" si="0"/>
        <v>#DIV/0!</v>
      </c>
      <c r="G13" s="267" t="e">
        <f t="shared" si="1"/>
        <v>#DIV/0!</v>
      </c>
      <c r="H13" s="167"/>
    </row>
    <row r="14" spans="1:28" ht="15.75" customHeight="1">
      <c r="A14" s="176" t="s">
        <v>123</v>
      </c>
      <c r="B14" s="165">
        <f t="shared" si="2"/>
        <v>0</v>
      </c>
      <c r="C14" s="170"/>
      <c r="D14" s="170"/>
      <c r="E14" s="291"/>
      <c r="F14" s="266" t="e">
        <f t="shared" si="0"/>
        <v>#DIV/0!</v>
      </c>
      <c r="G14" s="267" t="e">
        <f t="shared" si="1"/>
        <v>#DIV/0!</v>
      </c>
      <c r="H14" s="167"/>
    </row>
    <row r="15" spans="1:28" ht="15.75" customHeight="1">
      <c r="A15" s="176" t="s">
        <v>123</v>
      </c>
      <c r="B15" s="165">
        <f t="shared" si="2"/>
        <v>0</v>
      </c>
      <c r="C15" s="170"/>
      <c r="D15" s="170"/>
      <c r="E15" s="291"/>
      <c r="F15" s="266" t="e">
        <f>B15/$C$6</f>
        <v>#DIV/0!</v>
      </c>
      <c r="G15" s="267" t="e">
        <f>B15/$C$7</f>
        <v>#DIV/0!</v>
      </c>
      <c r="H15" s="167"/>
    </row>
    <row r="16" spans="1:28" ht="15.75" customHeight="1">
      <c r="A16" s="176" t="s">
        <v>123</v>
      </c>
      <c r="B16" s="165">
        <f t="shared" si="2"/>
        <v>0</v>
      </c>
      <c r="C16" s="170"/>
      <c r="D16" s="170"/>
      <c r="E16" s="291"/>
      <c r="F16" s="266" t="e">
        <f>B16/$C$6</f>
        <v>#DIV/0!</v>
      </c>
      <c r="G16" s="267" t="e">
        <f>B16/$C$7</f>
        <v>#DIV/0!</v>
      </c>
      <c r="H16" s="167"/>
    </row>
    <row r="17" spans="1:8" ht="15.75" customHeight="1">
      <c r="A17" s="176" t="s">
        <v>123</v>
      </c>
      <c r="B17" s="165">
        <f t="shared" si="2"/>
        <v>0</v>
      </c>
      <c r="C17" s="170"/>
      <c r="D17" s="170"/>
      <c r="E17" s="291"/>
      <c r="F17" s="266" t="e">
        <f t="shared" si="0"/>
        <v>#DIV/0!</v>
      </c>
      <c r="G17" s="267" t="e">
        <f t="shared" si="1"/>
        <v>#DIV/0!</v>
      </c>
      <c r="H17" s="167"/>
    </row>
    <row r="18" spans="1:8" ht="15.75" customHeight="1">
      <c r="A18" s="176" t="s">
        <v>123</v>
      </c>
      <c r="B18" s="165">
        <f t="shared" si="2"/>
        <v>0</v>
      </c>
      <c r="C18" s="170"/>
      <c r="D18" s="170"/>
      <c r="E18" s="291"/>
      <c r="F18" s="266" t="e">
        <f t="shared" si="0"/>
        <v>#DIV/0!</v>
      </c>
      <c r="G18" s="267" t="e">
        <f t="shared" si="1"/>
        <v>#DIV/0!</v>
      </c>
      <c r="H18" s="167"/>
    </row>
    <row r="19" spans="1:8" ht="15.75" customHeight="1">
      <c r="A19" s="176" t="s">
        <v>123</v>
      </c>
      <c r="B19" s="165">
        <f t="shared" si="2"/>
        <v>0</v>
      </c>
      <c r="C19" s="170"/>
      <c r="D19" s="170"/>
      <c r="E19" s="291"/>
      <c r="F19" s="266" t="e">
        <f t="shared" si="0"/>
        <v>#DIV/0!</v>
      </c>
      <c r="G19" s="267" t="e">
        <f t="shared" si="1"/>
        <v>#DIV/0!</v>
      </c>
      <c r="H19" s="167"/>
    </row>
    <row r="20" spans="1:8" ht="16.5" customHeight="1">
      <c r="A20" s="173" t="s">
        <v>295</v>
      </c>
      <c r="B20" s="174">
        <f>SUM(B13:B19)</f>
        <v>0</v>
      </c>
      <c r="C20" s="174">
        <f>SUM(C13:C19)</f>
        <v>0</v>
      </c>
      <c r="D20" s="174">
        <f>SUM(D13:D19)</f>
        <v>0</v>
      </c>
      <c r="E20" s="174">
        <f>SUM(E13:E19)</f>
        <v>0</v>
      </c>
      <c r="F20" s="266" t="e">
        <f t="shared" si="0"/>
        <v>#DIV/0!</v>
      </c>
      <c r="G20" s="267" t="e">
        <f t="shared" si="1"/>
        <v>#DIV/0!</v>
      </c>
      <c r="H20" s="167"/>
    </row>
    <row r="21" spans="1:8" ht="30" customHeight="1">
      <c r="A21" s="295" t="s">
        <v>235</v>
      </c>
      <c r="B21" s="177">
        <f>B12+B20</f>
        <v>0</v>
      </c>
      <c r="C21" s="177">
        <f>C12+C20</f>
        <v>0</v>
      </c>
      <c r="D21" s="177">
        <f>D20</f>
        <v>0</v>
      </c>
      <c r="E21" s="177">
        <f>E20</f>
        <v>0</v>
      </c>
      <c r="F21" s="266" t="e">
        <f t="shared" si="0"/>
        <v>#DIV/0!</v>
      </c>
      <c r="G21" s="267" t="e">
        <f t="shared" si="1"/>
        <v>#DIV/0!</v>
      </c>
      <c r="H21" s="178"/>
    </row>
    <row r="22" spans="1:8" ht="30" customHeight="1">
      <c r="A22" s="179" t="s">
        <v>296</v>
      </c>
      <c r="B22" s="181"/>
      <c r="C22" s="180" t="e">
        <f>C12/C21</f>
        <v>#DIV/0!</v>
      </c>
      <c r="D22" s="181"/>
      <c r="E22" s="292"/>
      <c r="F22" s="268"/>
      <c r="G22" s="269"/>
      <c r="H22" s="178"/>
    </row>
    <row r="23" spans="1:8" ht="32.25" customHeight="1">
      <c r="A23" s="164" t="s">
        <v>126</v>
      </c>
      <c r="B23" s="165">
        <f>SUM(C23:D23)</f>
        <v>0</v>
      </c>
      <c r="C23" s="166"/>
      <c r="D23" s="166"/>
      <c r="E23" s="291"/>
      <c r="F23" s="266" t="e">
        <f>B23/$C$6</f>
        <v>#DIV/0!</v>
      </c>
      <c r="G23" s="270" t="e">
        <f>B23/$C$7</f>
        <v>#DIV/0!</v>
      </c>
      <c r="H23" s="167"/>
    </row>
    <row r="24" spans="1:8" ht="15.75" customHeight="1" thickBot="1">
      <c r="A24" s="182" t="s">
        <v>124</v>
      </c>
      <c r="B24" s="183">
        <f>B21-B23</f>
        <v>0</v>
      </c>
      <c r="C24" s="183">
        <f>C21-C23</f>
        <v>0</v>
      </c>
      <c r="D24" s="183">
        <f>D21-D23</f>
        <v>0</v>
      </c>
      <c r="E24" s="183">
        <f>E21-E23</f>
        <v>0</v>
      </c>
      <c r="F24" s="271" t="e">
        <f>B24/$C$6</f>
        <v>#DIV/0!</v>
      </c>
      <c r="G24" s="271" t="e">
        <f>B24/$C$7</f>
        <v>#DIV/0!</v>
      </c>
      <c r="H24" s="167"/>
    </row>
    <row r="25" spans="1:8" ht="13.5" thickTop="1"/>
    <row r="26" spans="1:8" ht="15.75" customHeight="1">
      <c r="A26" s="184" t="s">
        <v>125</v>
      </c>
      <c r="B26" s="185"/>
    </row>
    <row r="27" spans="1:8" ht="14.25">
      <c r="A27" s="186" t="s">
        <v>227</v>
      </c>
    </row>
    <row r="28" spans="1:8" ht="14.25" customHeight="1">
      <c r="A28" s="468" t="s">
        <v>297</v>
      </c>
      <c r="B28" s="468"/>
      <c r="C28" s="468"/>
    </row>
  </sheetData>
  <sheetProtection password="DFF4" sheet="1" objects="1" scenarios="1"/>
  <protectedRanges>
    <protectedRange password="DDF4" sqref="A2" name="Range2"/>
    <protectedRange sqref="C6:E7 C23:E23 C10:C11 A13:A19 C13:E19" name="Range1"/>
  </protectedRanges>
  <mergeCells count="4">
    <mergeCell ref="A1:G1"/>
    <mergeCell ref="A2:G2"/>
    <mergeCell ref="A3:G3"/>
    <mergeCell ref="A28:C28"/>
  </mergeCells>
  <phoneticPr fontId="18" type="noConversion"/>
  <pageMargins left="0.75" right="0.75" top="1" bottom="1" header="0.5" footer="0.5"/>
  <pageSetup scale="6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P222"/>
  <sheetViews>
    <sheetView topLeftCell="A43" zoomScaleNormal="100" workbookViewId="0">
      <selection activeCell="J18" sqref="J18"/>
    </sheetView>
  </sheetViews>
  <sheetFormatPr defaultRowHeight="12.75"/>
  <cols>
    <col min="1" max="1" width="22.85546875" customWidth="1"/>
    <col min="6" max="6" width="11.28515625" customWidth="1"/>
    <col min="7" max="7" width="10.7109375" customWidth="1"/>
    <col min="8" max="8" width="10.28515625" customWidth="1"/>
    <col min="9" max="9" width="9.7109375" customWidth="1"/>
    <col min="10" max="10" width="10" customWidth="1"/>
    <col min="11" max="11" width="11.42578125" customWidth="1"/>
    <col min="12" max="12" width="11.5703125" customWidth="1"/>
    <col min="13" max="13" width="11" customWidth="1"/>
  </cols>
  <sheetData>
    <row r="1" spans="1:13" ht="14.25">
      <c r="A1" s="474" t="s">
        <v>306</v>
      </c>
      <c r="B1" s="474"/>
      <c r="C1" s="474"/>
      <c r="D1" s="474"/>
      <c r="E1" s="474"/>
      <c r="F1" s="474"/>
      <c r="G1" s="474"/>
      <c r="H1" s="474"/>
      <c r="I1" s="474"/>
      <c r="J1" s="474"/>
      <c r="K1" s="34"/>
      <c r="L1" s="34"/>
      <c r="M1" s="34"/>
    </row>
    <row r="2" spans="1:13" ht="15">
      <c r="A2" s="475" t="s">
        <v>9</v>
      </c>
      <c r="B2" s="475"/>
      <c r="C2" s="475"/>
      <c r="D2" s="475"/>
      <c r="E2" s="475"/>
      <c r="F2" s="475"/>
      <c r="G2" s="475"/>
      <c r="H2" s="475"/>
      <c r="I2" s="475"/>
      <c r="J2" s="475"/>
      <c r="K2" s="34"/>
      <c r="L2" s="34"/>
      <c r="M2" s="34"/>
    </row>
    <row r="3" spans="1:13" ht="15">
      <c r="A3" s="476" t="s">
        <v>309</v>
      </c>
      <c r="B3" s="476"/>
      <c r="C3" s="476"/>
      <c r="D3" s="476"/>
      <c r="E3" s="476"/>
      <c r="F3" s="476"/>
      <c r="G3" s="476"/>
      <c r="H3" s="476"/>
      <c r="I3" s="476"/>
      <c r="J3" s="476"/>
      <c r="K3" s="187"/>
      <c r="L3" s="187"/>
      <c r="M3" s="187"/>
    </row>
    <row r="4" spans="1:13" ht="15">
      <c r="A4" s="188" t="s">
        <v>127</v>
      </c>
      <c r="B4" s="189"/>
      <c r="C4" s="190"/>
      <c r="D4" s="190"/>
      <c r="E4" s="190"/>
      <c r="F4" s="190"/>
      <c r="G4" s="190"/>
      <c r="H4" s="190"/>
      <c r="I4" s="190"/>
      <c r="J4" s="190"/>
      <c r="K4" s="187"/>
      <c r="L4" s="187"/>
      <c r="M4" s="187"/>
    </row>
    <row r="5" spans="1:13" ht="15">
      <c r="A5" s="188"/>
      <c r="B5" s="189"/>
      <c r="C5" s="190"/>
      <c r="D5" s="190"/>
      <c r="E5" s="190"/>
      <c r="F5" s="190"/>
      <c r="G5" s="190"/>
      <c r="H5" s="190"/>
      <c r="I5" s="190"/>
      <c r="J5" s="190"/>
      <c r="K5" s="187"/>
      <c r="L5" s="187"/>
      <c r="M5" s="187"/>
    </row>
    <row r="6" spans="1:13" ht="15.75" thickBot="1">
      <c r="A6" s="191" t="s">
        <v>234</v>
      </c>
      <c r="B6" s="34"/>
      <c r="C6" s="34"/>
      <c r="D6" s="34"/>
      <c r="E6" s="34"/>
      <c r="F6" s="34"/>
      <c r="G6" s="34"/>
      <c r="H6" s="34"/>
      <c r="I6" s="34"/>
      <c r="J6" s="34"/>
      <c r="K6" s="34"/>
      <c r="L6" s="34"/>
      <c r="M6" s="34"/>
    </row>
    <row r="7" spans="1:13" ht="78" customHeight="1" thickTop="1" thickBot="1">
      <c r="A7" s="193" t="s">
        <v>132</v>
      </c>
      <c r="B7" s="192" t="s">
        <v>128</v>
      </c>
      <c r="C7" s="192" t="s">
        <v>129</v>
      </c>
      <c r="D7" s="192" t="s">
        <v>130</v>
      </c>
      <c r="E7" s="193" t="s">
        <v>131</v>
      </c>
      <c r="F7" s="192" t="s">
        <v>254</v>
      </c>
      <c r="G7" s="192" t="s">
        <v>237</v>
      </c>
      <c r="H7" s="192" t="s">
        <v>238</v>
      </c>
      <c r="I7" s="192" t="s">
        <v>289</v>
      </c>
      <c r="J7" s="192" t="s">
        <v>288</v>
      </c>
      <c r="K7" s="193" t="s">
        <v>255</v>
      </c>
      <c r="L7" s="192" t="s">
        <v>267</v>
      </c>
      <c r="M7" s="192" t="s">
        <v>259</v>
      </c>
    </row>
    <row r="8" spans="1:13">
      <c r="A8" s="362"/>
      <c r="B8" s="20"/>
      <c r="C8" s="377"/>
      <c r="D8" s="363"/>
      <c r="E8" s="380"/>
      <c r="F8" s="21"/>
      <c r="G8" s="364"/>
      <c r="H8" s="364"/>
      <c r="I8" s="398">
        <f>F8+H8</f>
        <v>0</v>
      </c>
      <c r="J8" s="383">
        <f t="shared" ref="J8:J20" si="0">(F8+H8)*B8</f>
        <v>0</v>
      </c>
      <c r="K8" s="365"/>
      <c r="L8" s="385">
        <f t="shared" ref="L8:L20" si="1">F8+H8+K8</f>
        <v>0</v>
      </c>
      <c r="M8" s="358"/>
    </row>
    <row r="9" spans="1:13">
      <c r="A9" s="366"/>
      <c r="B9" s="19"/>
      <c r="C9" s="378"/>
      <c r="D9" s="367"/>
      <c r="E9" s="381"/>
      <c r="F9" s="368"/>
      <c r="G9" s="25"/>
      <c r="H9" s="25"/>
      <c r="I9" s="396">
        <f t="shared" ref="I9:I20" si="2">F9+H9</f>
        <v>0</v>
      </c>
      <c r="J9" s="383">
        <f t="shared" si="0"/>
        <v>0</v>
      </c>
      <c r="K9" s="365"/>
      <c r="L9" s="385">
        <f t="shared" si="1"/>
        <v>0</v>
      </c>
      <c r="M9" s="358"/>
    </row>
    <row r="10" spans="1:13">
      <c r="A10" s="366"/>
      <c r="B10" s="19"/>
      <c r="C10" s="378"/>
      <c r="D10" s="367"/>
      <c r="E10" s="381"/>
      <c r="F10" s="368"/>
      <c r="G10" s="25"/>
      <c r="H10" s="25"/>
      <c r="I10" s="396">
        <f t="shared" si="2"/>
        <v>0</v>
      </c>
      <c r="J10" s="383">
        <f t="shared" si="0"/>
        <v>0</v>
      </c>
      <c r="K10" s="365"/>
      <c r="L10" s="385">
        <f t="shared" si="1"/>
        <v>0</v>
      </c>
      <c r="M10" s="194"/>
    </row>
    <row r="11" spans="1:13">
      <c r="A11" s="366"/>
      <c r="B11" s="19"/>
      <c r="C11" s="378"/>
      <c r="D11" s="367"/>
      <c r="E11" s="381"/>
      <c r="F11" s="368"/>
      <c r="G11" s="25"/>
      <c r="H11" s="25"/>
      <c r="I11" s="396">
        <f t="shared" si="2"/>
        <v>0</v>
      </c>
      <c r="J11" s="383">
        <f t="shared" si="0"/>
        <v>0</v>
      </c>
      <c r="K11" s="365"/>
      <c r="L11" s="385">
        <f t="shared" si="1"/>
        <v>0</v>
      </c>
      <c r="M11" s="194"/>
    </row>
    <row r="12" spans="1:13">
      <c r="A12" s="366"/>
      <c r="B12" s="19"/>
      <c r="C12" s="378"/>
      <c r="D12" s="367"/>
      <c r="E12" s="381"/>
      <c r="F12" s="368"/>
      <c r="G12" s="25"/>
      <c r="H12" s="25"/>
      <c r="I12" s="396">
        <f t="shared" si="2"/>
        <v>0</v>
      </c>
      <c r="J12" s="383">
        <f t="shared" si="0"/>
        <v>0</v>
      </c>
      <c r="K12" s="365"/>
      <c r="L12" s="385">
        <f t="shared" si="1"/>
        <v>0</v>
      </c>
      <c r="M12" s="194"/>
    </row>
    <row r="13" spans="1:13">
      <c r="A13" s="366"/>
      <c r="B13" s="19"/>
      <c r="C13" s="378"/>
      <c r="D13" s="367"/>
      <c r="E13" s="381"/>
      <c r="F13" s="368"/>
      <c r="G13" s="25"/>
      <c r="H13" s="25"/>
      <c r="I13" s="396">
        <f t="shared" si="2"/>
        <v>0</v>
      </c>
      <c r="J13" s="383">
        <f t="shared" si="0"/>
        <v>0</v>
      </c>
      <c r="K13" s="365"/>
      <c r="L13" s="385">
        <f t="shared" si="1"/>
        <v>0</v>
      </c>
      <c r="M13" s="194"/>
    </row>
    <row r="14" spans="1:13">
      <c r="A14" s="366"/>
      <c r="B14" s="19"/>
      <c r="C14" s="378"/>
      <c r="D14" s="367"/>
      <c r="E14" s="381"/>
      <c r="F14" s="368"/>
      <c r="G14" s="25"/>
      <c r="H14" s="25"/>
      <c r="I14" s="396">
        <f t="shared" si="2"/>
        <v>0</v>
      </c>
      <c r="J14" s="383">
        <f t="shared" si="0"/>
        <v>0</v>
      </c>
      <c r="K14" s="365"/>
      <c r="L14" s="385">
        <f t="shared" si="1"/>
        <v>0</v>
      </c>
      <c r="M14" s="194"/>
    </row>
    <row r="15" spans="1:13">
      <c r="A15" s="366"/>
      <c r="B15" s="19"/>
      <c r="C15" s="378"/>
      <c r="D15" s="367"/>
      <c r="E15" s="381"/>
      <c r="F15" s="368"/>
      <c r="G15" s="25"/>
      <c r="H15" s="25"/>
      <c r="I15" s="396">
        <f t="shared" si="2"/>
        <v>0</v>
      </c>
      <c r="J15" s="383">
        <f t="shared" si="0"/>
        <v>0</v>
      </c>
      <c r="K15" s="365"/>
      <c r="L15" s="385">
        <f t="shared" si="1"/>
        <v>0</v>
      </c>
      <c r="M15" s="194"/>
    </row>
    <row r="16" spans="1:13">
      <c r="A16" s="366"/>
      <c r="B16" s="19"/>
      <c r="C16" s="378"/>
      <c r="D16" s="367"/>
      <c r="E16" s="381"/>
      <c r="F16" s="368"/>
      <c r="G16" s="25"/>
      <c r="H16" s="25"/>
      <c r="I16" s="396">
        <f t="shared" si="2"/>
        <v>0</v>
      </c>
      <c r="J16" s="383">
        <f t="shared" si="0"/>
        <v>0</v>
      </c>
      <c r="K16" s="365"/>
      <c r="L16" s="385">
        <f t="shared" si="1"/>
        <v>0</v>
      </c>
      <c r="M16" s="194"/>
    </row>
    <row r="17" spans="1:13">
      <c r="A17" s="369"/>
      <c r="B17" s="25"/>
      <c r="C17" s="378"/>
      <c r="D17" s="367"/>
      <c r="E17" s="381"/>
      <c r="F17" s="368"/>
      <c r="G17" s="25"/>
      <c r="H17" s="25"/>
      <c r="I17" s="396">
        <f t="shared" si="2"/>
        <v>0</v>
      </c>
      <c r="J17" s="383">
        <f t="shared" si="0"/>
        <v>0</v>
      </c>
      <c r="K17" s="365"/>
      <c r="L17" s="385">
        <f t="shared" si="1"/>
        <v>0</v>
      </c>
      <c r="M17" s="194"/>
    </row>
    <row r="18" spans="1:13">
      <c r="A18" s="370"/>
      <c r="B18" s="25"/>
      <c r="C18" s="378"/>
      <c r="D18" s="367"/>
      <c r="E18" s="381"/>
      <c r="F18" s="368"/>
      <c r="G18" s="19"/>
      <c r="H18" s="19"/>
      <c r="I18" s="396">
        <f t="shared" si="2"/>
        <v>0</v>
      </c>
      <c r="J18" s="383">
        <f t="shared" si="0"/>
        <v>0</v>
      </c>
      <c r="K18" s="365"/>
      <c r="L18" s="385">
        <f t="shared" si="1"/>
        <v>0</v>
      </c>
      <c r="M18" s="194"/>
    </row>
    <row r="19" spans="1:13">
      <c r="A19" s="369"/>
      <c r="B19" s="25"/>
      <c r="C19" s="378"/>
      <c r="D19" s="367"/>
      <c r="E19" s="381"/>
      <c r="F19" s="368"/>
      <c r="G19" s="19"/>
      <c r="H19" s="19"/>
      <c r="I19" s="396">
        <f t="shared" si="2"/>
        <v>0</v>
      </c>
      <c r="J19" s="383">
        <f t="shared" si="0"/>
        <v>0</v>
      </c>
      <c r="K19" s="365"/>
      <c r="L19" s="385">
        <f t="shared" si="1"/>
        <v>0</v>
      </c>
      <c r="M19" s="194"/>
    </row>
    <row r="20" spans="1:13" ht="13.5" thickBot="1">
      <c r="A20" s="371"/>
      <c r="B20" s="372"/>
      <c r="C20" s="379"/>
      <c r="D20" s="373"/>
      <c r="E20" s="382"/>
      <c r="F20" s="374"/>
      <c r="G20" s="372"/>
      <c r="H20" s="372"/>
      <c r="I20" s="397">
        <f t="shared" si="2"/>
        <v>0</v>
      </c>
      <c r="J20" s="386">
        <f t="shared" si="0"/>
        <v>0</v>
      </c>
      <c r="K20" s="372"/>
      <c r="L20" s="387">
        <f t="shared" si="1"/>
        <v>0</v>
      </c>
      <c r="M20" s="195"/>
    </row>
    <row r="21" spans="1:13" ht="15.75" customHeight="1" thickBot="1">
      <c r="A21" s="353" t="s">
        <v>134</v>
      </c>
      <c r="B21" s="354">
        <f>SUM(B8:B20)</f>
        <v>0</v>
      </c>
      <c r="C21" s="355"/>
      <c r="D21" s="355"/>
      <c r="E21" s="356"/>
      <c r="F21" s="357"/>
      <c r="G21" s="209"/>
      <c r="H21" s="395"/>
      <c r="I21" s="211" t="s">
        <v>135</v>
      </c>
      <c r="J21" s="384">
        <f>SUM(J8:J20)</f>
        <v>0</v>
      </c>
      <c r="K21" s="477"/>
      <c r="L21" s="477" t="s">
        <v>256</v>
      </c>
      <c r="M21" s="196"/>
    </row>
    <row r="22" spans="1:13" ht="13.5" thickTop="1">
      <c r="A22" s="187"/>
      <c r="B22" s="197"/>
      <c r="C22" s="187"/>
      <c r="D22" s="187"/>
      <c r="E22" s="198"/>
      <c r="F22" s="199"/>
      <c r="G22" s="199"/>
      <c r="H22" s="199"/>
      <c r="I22" s="199"/>
      <c r="J22" s="199"/>
      <c r="K22" s="478"/>
      <c r="L22" s="478"/>
      <c r="M22" s="34"/>
    </row>
    <row r="23" spans="1:13" ht="15.75" thickBot="1">
      <c r="A23" s="191" t="s">
        <v>229</v>
      </c>
      <c r="B23" s="197"/>
      <c r="C23" s="187"/>
      <c r="D23" s="187"/>
      <c r="E23" s="198"/>
      <c r="F23" s="199"/>
      <c r="G23" s="199"/>
      <c r="H23" s="199"/>
      <c r="I23" s="199"/>
      <c r="J23" s="199"/>
      <c r="K23" s="478"/>
      <c r="L23" s="478"/>
      <c r="M23" s="34"/>
    </row>
    <row r="24" spans="1:13" ht="49.5" thickTop="1" thickBot="1">
      <c r="A24" s="193" t="s">
        <v>132</v>
      </c>
      <c r="B24" s="299" t="s">
        <v>40</v>
      </c>
      <c r="C24" s="16" t="s">
        <v>129</v>
      </c>
      <c r="D24" s="16" t="s">
        <v>130</v>
      </c>
      <c r="E24" s="300"/>
      <c r="F24" s="301"/>
      <c r="G24" s="302"/>
      <c r="H24" s="302"/>
      <c r="I24" s="303" t="s">
        <v>136</v>
      </c>
      <c r="J24" s="403" t="s">
        <v>133</v>
      </c>
      <c r="K24" s="472"/>
      <c r="L24" s="472" t="s">
        <v>268</v>
      </c>
      <c r="M24" s="34"/>
    </row>
    <row r="25" spans="1:13">
      <c r="A25" s="200"/>
      <c r="B25" s="201"/>
      <c r="C25" s="388"/>
      <c r="D25" s="201"/>
      <c r="E25" s="212"/>
      <c r="F25" s="202"/>
      <c r="G25" s="202"/>
      <c r="H25" s="202"/>
      <c r="I25" s="389"/>
      <c r="J25" s="402">
        <f>I25*B25</f>
        <v>0</v>
      </c>
      <c r="K25" s="472"/>
      <c r="L25" s="472"/>
      <c r="M25" s="34"/>
    </row>
    <row r="26" spans="1:13">
      <c r="A26" s="204"/>
      <c r="B26" s="194"/>
      <c r="C26" s="375"/>
      <c r="D26" s="194"/>
      <c r="E26" s="212"/>
      <c r="F26" s="202"/>
      <c r="G26" s="202"/>
      <c r="H26" s="202"/>
      <c r="I26" s="390"/>
      <c r="J26" s="394">
        <f>I26*B26</f>
        <v>0</v>
      </c>
      <c r="K26" s="472"/>
      <c r="L26" s="472"/>
      <c r="M26" s="34"/>
    </row>
    <row r="27" spans="1:13" ht="13.5" thickBot="1">
      <c r="A27" s="205"/>
      <c r="B27" s="195"/>
      <c r="C27" s="376"/>
      <c r="D27" s="195"/>
      <c r="E27" s="304"/>
      <c r="F27" s="305"/>
      <c r="G27" s="305"/>
      <c r="H27" s="305"/>
      <c r="I27" s="391"/>
      <c r="J27" s="373">
        <f>I27*B27</f>
        <v>0</v>
      </c>
      <c r="K27" s="472"/>
      <c r="L27" s="472"/>
      <c r="M27" s="34"/>
    </row>
    <row r="28" spans="1:13" ht="15.75" thickBot="1">
      <c r="A28" s="206" t="s">
        <v>134</v>
      </c>
      <c r="B28" s="207">
        <f>SUM(B25:B27)</f>
        <v>0</v>
      </c>
      <c r="C28" s="208"/>
      <c r="D28" s="209"/>
      <c r="E28" s="306"/>
      <c r="F28" s="210"/>
      <c r="G28" s="307"/>
      <c r="H28" s="308"/>
      <c r="I28" s="392" t="s">
        <v>135</v>
      </c>
      <c r="J28" s="393">
        <f>SUM(J25:J27)</f>
        <v>0</v>
      </c>
      <c r="K28" s="472"/>
      <c r="L28" s="472"/>
      <c r="M28" s="34"/>
    </row>
    <row r="29" spans="1:13" ht="13.5" thickTop="1">
      <c r="A29" s="187"/>
      <c r="B29" s="34"/>
      <c r="C29" s="34"/>
      <c r="D29" s="34"/>
      <c r="E29" s="34"/>
      <c r="F29" s="34"/>
      <c r="G29" s="34"/>
      <c r="H29" s="34"/>
      <c r="I29" s="34"/>
      <c r="J29" s="34"/>
      <c r="K29" s="472"/>
      <c r="L29" s="472"/>
      <c r="M29" s="34"/>
    </row>
    <row r="30" spans="1:13" ht="15.75" thickBot="1">
      <c r="A30" s="191" t="s">
        <v>137</v>
      </c>
      <c r="B30" s="34"/>
      <c r="C30" s="34"/>
      <c r="D30" s="34"/>
      <c r="E30" s="34"/>
      <c r="F30" s="34"/>
      <c r="G30" s="34"/>
      <c r="H30" s="34"/>
      <c r="I30" s="34"/>
      <c r="J30" s="34"/>
      <c r="K30" s="472"/>
      <c r="L30" s="472"/>
      <c r="M30" s="34"/>
    </row>
    <row r="31" spans="1:13" ht="37.5" thickTop="1" thickBot="1">
      <c r="A31" s="193"/>
      <c r="B31" s="299" t="s">
        <v>40</v>
      </c>
      <c r="C31" s="16" t="s">
        <v>129</v>
      </c>
      <c r="D31" s="309" t="s">
        <v>130</v>
      </c>
      <c r="E31" s="300"/>
      <c r="F31" s="301"/>
      <c r="G31" s="302"/>
      <c r="H31" s="310"/>
      <c r="I31" s="303" t="s">
        <v>136</v>
      </c>
      <c r="J31" s="403" t="s">
        <v>138</v>
      </c>
      <c r="K31" s="473"/>
      <c r="L31" s="473"/>
      <c r="M31" s="34"/>
    </row>
    <row r="32" spans="1:13">
      <c r="A32" s="200"/>
      <c r="B32" s="201"/>
      <c r="C32" s="404"/>
      <c r="D32" s="311"/>
      <c r="E32" s="212"/>
      <c r="F32" s="202"/>
      <c r="G32" s="202"/>
      <c r="H32" s="203"/>
      <c r="I32" s="389"/>
      <c r="J32" s="402">
        <f>I32*B32</f>
        <v>0</v>
      </c>
      <c r="K32" s="34"/>
      <c r="L32" s="34"/>
      <c r="M32" s="34"/>
    </row>
    <row r="33" spans="1:16">
      <c r="A33" s="204"/>
      <c r="B33" s="194"/>
      <c r="C33" s="375"/>
      <c r="D33" s="312"/>
      <c r="E33" s="212"/>
      <c r="F33" s="202"/>
      <c r="G33" s="202"/>
      <c r="H33" s="203"/>
      <c r="I33" s="390"/>
      <c r="J33" s="394">
        <f>I33*B33</f>
        <v>0</v>
      </c>
      <c r="K33" s="34"/>
      <c r="L33" s="34"/>
      <c r="M33" s="34"/>
    </row>
    <row r="34" spans="1:16" ht="13.5" thickBot="1">
      <c r="A34" s="205"/>
      <c r="B34" s="195"/>
      <c r="C34" s="376"/>
      <c r="D34" s="313"/>
      <c r="E34" s="314"/>
      <c r="F34" s="315"/>
      <c r="G34" s="315"/>
      <c r="H34" s="316"/>
      <c r="I34" s="391"/>
      <c r="J34" s="373">
        <f>I34*B34</f>
        <v>0</v>
      </c>
      <c r="K34" s="34"/>
      <c r="L34" s="34"/>
      <c r="M34" s="34"/>
    </row>
    <row r="35" spans="1:16" ht="15.75" thickBot="1">
      <c r="A35" s="213" t="s">
        <v>134</v>
      </c>
      <c r="B35" s="207">
        <f>SUM(B32:B34)</f>
        <v>0</v>
      </c>
      <c r="C35" s="210"/>
      <c r="D35" s="208"/>
      <c r="E35" s="210"/>
      <c r="F35" s="210"/>
      <c r="G35" s="307"/>
      <c r="H35" s="308"/>
      <c r="I35" s="392" t="s">
        <v>135</v>
      </c>
      <c r="J35" s="393">
        <f>SUM(J32:J34)</f>
        <v>0</v>
      </c>
      <c r="K35" s="34"/>
      <c r="L35" s="34"/>
      <c r="M35" s="34"/>
    </row>
    <row r="36" spans="1:16" ht="15.75" thickTop="1">
      <c r="A36" s="214"/>
      <c r="B36" s="215"/>
      <c r="C36" s="196"/>
      <c r="D36" s="196"/>
      <c r="E36" s="196"/>
      <c r="F36" s="196"/>
      <c r="G36" s="214"/>
      <c r="H36" s="34"/>
      <c r="I36" s="216"/>
      <c r="J36" s="216"/>
      <c r="K36" s="34"/>
      <c r="L36" s="34"/>
      <c r="M36" s="34"/>
    </row>
    <row r="37" spans="1:16" ht="15.75" thickBot="1">
      <c r="A37" s="191" t="s">
        <v>199</v>
      </c>
      <c r="B37" s="34"/>
      <c r="C37" s="34"/>
      <c r="D37" s="34"/>
      <c r="E37" s="34"/>
      <c r="F37" s="34"/>
      <c r="G37" s="34"/>
      <c r="H37" s="34"/>
      <c r="I37" s="34"/>
      <c r="J37" s="34"/>
      <c r="K37" s="34"/>
      <c r="L37" s="297" t="s">
        <v>139</v>
      </c>
      <c r="M37" s="297"/>
      <c r="N37" s="34"/>
      <c r="O37" s="34"/>
      <c r="P37" s="34"/>
    </row>
    <row r="38" spans="1:16" ht="42" customHeight="1" thickTop="1">
      <c r="A38" s="486" t="s">
        <v>201</v>
      </c>
      <c r="B38" s="487"/>
      <c r="C38" s="487"/>
      <c r="D38" s="487"/>
      <c r="E38" s="487"/>
      <c r="F38" s="152"/>
      <c r="G38" s="90"/>
      <c r="H38" s="90"/>
      <c r="I38" s="90"/>
      <c r="J38" s="90"/>
      <c r="K38" s="34"/>
      <c r="L38" s="296" t="s">
        <v>142</v>
      </c>
      <c r="M38" s="217">
        <f>J35+J28+J21</f>
        <v>0</v>
      </c>
      <c r="N38" s="34"/>
      <c r="O38" s="34"/>
      <c r="P38" s="34"/>
    </row>
    <row r="39" spans="1:16" ht="15">
      <c r="A39" s="232">
        <f>SUM(B35,B28,B21)</f>
        <v>0</v>
      </c>
      <c r="B39" s="233" t="s">
        <v>140</v>
      </c>
      <c r="C39" s="234"/>
      <c r="D39" s="234"/>
      <c r="E39" s="405" t="s">
        <v>141</v>
      </c>
      <c r="F39" s="34"/>
      <c r="G39" s="34"/>
      <c r="H39" s="34"/>
      <c r="I39" s="34"/>
      <c r="J39" s="34"/>
      <c r="K39" s="34"/>
      <c r="L39" s="298"/>
      <c r="M39" s="218"/>
      <c r="N39" s="34"/>
      <c r="O39" s="34"/>
      <c r="P39" s="34"/>
    </row>
    <row r="40" spans="1:16">
      <c r="A40" s="361"/>
      <c r="B40" s="234"/>
      <c r="C40" s="235"/>
      <c r="D40" s="236" t="s">
        <v>270</v>
      </c>
      <c r="E40" s="406"/>
      <c r="F40" s="34"/>
      <c r="G40" s="34"/>
      <c r="H40" s="34"/>
      <c r="I40" s="34"/>
      <c r="J40" s="34"/>
      <c r="K40" s="34"/>
      <c r="L40" s="219"/>
      <c r="M40" s="220" t="s">
        <v>143</v>
      </c>
      <c r="N40" s="34"/>
      <c r="O40" s="34"/>
      <c r="P40" s="34"/>
    </row>
    <row r="41" spans="1:16" ht="15">
      <c r="A41" s="361"/>
      <c r="B41" s="234"/>
      <c r="C41" s="234"/>
      <c r="D41" s="236" t="s">
        <v>271</v>
      </c>
      <c r="E41" s="406"/>
      <c r="F41" s="34"/>
      <c r="G41" s="34"/>
      <c r="H41" s="34"/>
      <c r="I41" s="34"/>
      <c r="J41" s="34"/>
      <c r="K41" s="34"/>
      <c r="L41" s="234"/>
      <c r="M41" s="317"/>
      <c r="N41" s="34"/>
      <c r="O41" s="34"/>
      <c r="P41" s="34"/>
    </row>
    <row r="42" spans="1:16" ht="17.25" customHeight="1">
      <c r="A42" s="196"/>
      <c r="B42" s="196"/>
      <c r="C42" s="196"/>
      <c r="D42" s="196"/>
      <c r="E42" s="237"/>
      <c r="F42" s="34"/>
      <c r="G42" s="401"/>
      <c r="H42" s="401"/>
      <c r="I42" s="401"/>
      <c r="J42" s="401"/>
      <c r="K42" s="2"/>
      <c r="L42" s="488" t="s">
        <v>144</v>
      </c>
      <c r="M42" s="469">
        <f>M38*12</f>
        <v>0</v>
      </c>
      <c r="N42" s="34"/>
      <c r="O42" s="34"/>
      <c r="P42" s="34"/>
    </row>
    <row r="43" spans="1:16" ht="15">
      <c r="A43" s="191" t="s">
        <v>286</v>
      </c>
      <c r="B43" s="34"/>
      <c r="C43" s="34"/>
      <c r="D43" s="196"/>
      <c r="E43" s="237"/>
      <c r="F43" s="485" t="s">
        <v>287</v>
      </c>
      <c r="G43" s="485"/>
      <c r="H43" s="485"/>
      <c r="I43" s="485"/>
      <c r="J43" s="191"/>
      <c r="K43" s="2"/>
      <c r="L43" s="489"/>
      <c r="M43" s="470"/>
      <c r="N43" s="34"/>
      <c r="O43" s="34"/>
      <c r="P43" s="34"/>
    </row>
    <row r="44" spans="1:16" ht="27.75" customHeight="1" thickBot="1">
      <c r="A44" s="483" t="s">
        <v>272</v>
      </c>
      <c r="B44" s="484"/>
      <c r="C44" s="484"/>
      <c r="D44" s="196"/>
      <c r="E44" s="237"/>
      <c r="H44" s="433"/>
      <c r="I44" s="433"/>
      <c r="K44" s="2"/>
      <c r="L44" s="489"/>
      <c r="M44" s="470"/>
      <c r="N44" s="34"/>
      <c r="O44" s="34"/>
      <c r="P44" s="34"/>
    </row>
    <row r="45" spans="1:16" ht="43.5" customHeight="1" thickTop="1" thickBot="1">
      <c r="A45" s="408"/>
      <c r="B45" s="409" t="s">
        <v>145</v>
      </c>
      <c r="C45" s="410" t="s">
        <v>273</v>
      </c>
      <c r="D45" s="196"/>
      <c r="E45" s="237"/>
      <c r="F45" s="413" t="s">
        <v>279</v>
      </c>
      <c r="G45" s="413" t="s">
        <v>40</v>
      </c>
      <c r="H45" s="424" t="s">
        <v>313</v>
      </c>
      <c r="I45" s="424" t="s">
        <v>314</v>
      </c>
      <c r="J45" s="413"/>
      <c r="K45" s="2"/>
      <c r="L45" s="489"/>
      <c r="M45" s="470"/>
      <c r="N45" s="34"/>
      <c r="O45" s="34"/>
      <c r="P45" s="34"/>
    </row>
    <row r="46" spans="1:16" ht="14.25" thickTop="1" thickBot="1">
      <c r="A46" s="411" t="s">
        <v>274</v>
      </c>
      <c r="B46" s="19"/>
      <c r="C46" s="28"/>
      <c r="D46" s="196"/>
      <c r="E46" s="237"/>
      <c r="F46" s="414" t="s">
        <v>280</v>
      </c>
      <c r="G46" s="427"/>
      <c r="H46" s="428"/>
      <c r="I46" s="429"/>
      <c r="J46" s="423"/>
      <c r="K46" s="2"/>
      <c r="L46" s="490"/>
      <c r="M46" s="471"/>
      <c r="N46" s="34"/>
      <c r="O46" s="34"/>
      <c r="P46" s="34"/>
    </row>
    <row r="47" spans="1:16" ht="15.75" thickTop="1">
      <c r="A47" s="411" t="s">
        <v>275</v>
      </c>
      <c r="B47" s="19"/>
      <c r="C47" s="28"/>
      <c r="D47" s="196"/>
      <c r="E47" s="237"/>
      <c r="F47" s="411" t="s">
        <v>281</v>
      </c>
      <c r="G47" s="420"/>
      <c r="H47" s="437"/>
      <c r="I47" s="438"/>
      <c r="J47" s="407"/>
      <c r="K47" s="34"/>
      <c r="L47" s="34"/>
      <c r="M47" s="34"/>
    </row>
    <row r="48" spans="1:16" ht="15">
      <c r="A48" s="411" t="s">
        <v>276</v>
      </c>
      <c r="B48" s="19"/>
      <c r="C48" s="28"/>
      <c r="D48" s="196"/>
      <c r="E48" s="237"/>
      <c r="F48" s="411" t="s">
        <v>282</v>
      </c>
      <c r="G48" s="425"/>
      <c r="H48" s="437"/>
      <c r="I48" s="438"/>
      <c r="J48" s="407"/>
      <c r="K48" s="34"/>
      <c r="L48" s="34"/>
      <c r="M48" s="34"/>
    </row>
    <row r="49" spans="1:13" ht="15">
      <c r="A49" s="411" t="s">
        <v>277</v>
      </c>
      <c r="B49" s="19"/>
      <c r="C49" s="28"/>
      <c r="D49" s="196"/>
      <c r="E49" s="237"/>
      <c r="F49" s="411" t="s">
        <v>283</v>
      </c>
      <c r="G49" s="425"/>
      <c r="H49" s="437"/>
      <c r="I49" s="438"/>
      <c r="J49" s="407"/>
      <c r="K49" s="34"/>
      <c r="L49" s="34"/>
      <c r="M49" s="34"/>
    </row>
    <row r="50" spans="1:13" ht="15">
      <c r="A50" s="411" t="s">
        <v>146</v>
      </c>
      <c r="B50" s="479"/>
      <c r="C50" s="480"/>
      <c r="D50" s="196"/>
      <c r="E50" s="237"/>
      <c r="F50" s="411" t="s">
        <v>284</v>
      </c>
      <c r="G50" s="425"/>
      <c r="H50" s="437"/>
      <c r="I50" s="438"/>
      <c r="J50" s="407"/>
      <c r="K50" s="34"/>
      <c r="L50" s="34"/>
      <c r="M50" s="34"/>
    </row>
    <row r="51" spans="1:13" ht="13.5" thickBot="1">
      <c r="A51" s="412" t="s">
        <v>278</v>
      </c>
      <c r="B51" s="481"/>
      <c r="C51" s="482"/>
      <c r="D51" s="34"/>
      <c r="E51" s="34"/>
      <c r="F51" s="412" t="s">
        <v>285</v>
      </c>
      <c r="G51" s="421"/>
      <c r="H51" s="435"/>
      <c r="I51" s="436"/>
      <c r="J51" s="34"/>
      <c r="K51" s="34"/>
      <c r="L51" s="34"/>
      <c r="M51" s="34"/>
    </row>
    <row r="52" spans="1:13" ht="13.5" thickTop="1">
      <c r="A52" s="417"/>
      <c r="B52" s="418"/>
      <c r="C52" s="418"/>
      <c r="D52" s="34"/>
      <c r="E52" s="34"/>
      <c r="F52" s="417"/>
      <c r="G52" s="418"/>
      <c r="H52" s="34"/>
      <c r="I52" s="34"/>
      <c r="J52" s="34"/>
      <c r="K52" s="34"/>
      <c r="L52" s="34"/>
      <c r="M52" s="34"/>
    </row>
    <row r="53" spans="1:13">
      <c r="A53" s="222" t="s">
        <v>230</v>
      </c>
      <c r="B53" s="34"/>
      <c r="C53" s="34"/>
      <c r="D53" s="34"/>
      <c r="E53" s="34"/>
      <c r="F53" s="34"/>
      <c r="G53" s="34"/>
      <c r="H53" s="34"/>
      <c r="I53" s="34"/>
      <c r="J53" s="34"/>
      <c r="K53" s="34"/>
      <c r="L53" s="34"/>
      <c r="M53" s="34"/>
    </row>
    <row r="54" spans="1:13">
      <c r="A54" s="221" t="s">
        <v>147</v>
      </c>
      <c r="B54" s="34"/>
      <c r="C54" s="34"/>
      <c r="D54" s="34"/>
      <c r="E54" s="34"/>
      <c r="F54" s="34"/>
      <c r="G54" s="34"/>
      <c r="H54" s="34"/>
      <c r="I54" s="34"/>
      <c r="J54" s="34"/>
      <c r="K54" s="34"/>
      <c r="L54" s="34"/>
      <c r="M54" s="34"/>
    </row>
    <row r="55" spans="1:13">
      <c r="A55" s="222" t="s">
        <v>228</v>
      </c>
      <c r="B55" s="34"/>
      <c r="C55" s="34"/>
      <c r="D55" s="34"/>
      <c r="E55" s="34"/>
      <c r="F55" s="34"/>
      <c r="G55" s="34"/>
      <c r="H55" s="34"/>
      <c r="I55" s="34"/>
      <c r="J55" s="34"/>
      <c r="K55" s="34"/>
      <c r="L55" s="34"/>
      <c r="M55" s="34"/>
    </row>
    <row r="56" spans="1:13">
      <c r="A56" s="187"/>
      <c r="B56" s="34"/>
      <c r="C56" s="34"/>
      <c r="D56" s="34"/>
      <c r="E56" s="34"/>
      <c r="F56" s="34"/>
      <c r="G56" s="34"/>
      <c r="H56" s="34"/>
      <c r="I56" s="34"/>
      <c r="J56" s="34"/>
      <c r="K56" s="34"/>
      <c r="L56" s="34"/>
      <c r="M56" s="34"/>
    </row>
    <row r="57" spans="1:13">
      <c r="A57" s="187"/>
      <c r="B57" s="34"/>
      <c r="C57" s="34"/>
      <c r="D57" s="34"/>
      <c r="E57" s="34"/>
      <c r="F57" s="34"/>
      <c r="G57" s="34"/>
      <c r="H57" s="34"/>
      <c r="I57" s="34"/>
      <c r="J57" s="34"/>
      <c r="K57" s="34"/>
      <c r="L57" s="34"/>
      <c r="M57" s="34"/>
    </row>
    <row r="58" spans="1:13">
      <c r="A58" s="187"/>
      <c r="B58" s="34"/>
      <c r="C58" s="34"/>
      <c r="D58" s="34"/>
      <c r="E58" s="34"/>
      <c r="F58" s="34"/>
      <c r="G58" s="34"/>
      <c r="H58" s="34"/>
      <c r="I58" s="34"/>
      <c r="J58" s="34"/>
      <c r="K58" s="34"/>
      <c r="L58" s="34"/>
      <c r="M58" s="34"/>
    </row>
    <row r="59" spans="1:13">
      <c r="A59" s="187"/>
      <c r="B59" s="34"/>
      <c r="C59" s="34"/>
      <c r="D59" s="34"/>
      <c r="E59" s="34"/>
      <c r="F59" s="34"/>
      <c r="G59" s="34"/>
      <c r="H59" s="34"/>
      <c r="I59" s="34"/>
      <c r="J59" s="34"/>
      <c r="K59" s="34"/>
      <c r="L59" s="34"/>
      <c r="M59" s="34"/>
    </row>
    <row r="60" spans="1:13">
      <c r="A60" s="187"/>
      <c r="B60" s="34"/>
      <c r="C60" s="34"/>
      <c r="D60" s="34"/>
      <c r="E60" s="34"/>
      <c r="F60" s="34"/>
      <c r="G60" s="34"/>
      <c r="H60" s="34"/>
      <c r="I60" s="34"/>
      <c r="J60" s="34"/>
      <c r="K60" s="34"/>
      <c r="L60" s="34"/>
      <c r="M60" s="34"/>
    </row>
    <row r="61" spans="1:13">
      <c r="A61" s="187"/>
      <c r="B61" s="34"/>
      <c r="C61" s="34"/>
      <c r="D61" s="34"/>
      <c r="E61" s="34"/>
      <c r="F61" s="34"/>
      <c r="G61" s="34"/>
      <c r="H61" s="34"/>
      <c r="I61" s="34"/>
      <c r="J61" s="34"/>
      <c r="K61" s="34"/>
      <c r="L61" s="34"/>
      <c r="M61" s="34"/>
    </row>
    <row r="62" spans="1:13">
      <c r="A62" s="187"/>
      <c r="B62" s="34"/>
      <c r="C62" s="34"/>
      <c r="D62" s="34"/>
      <c r="E62" s="34"/>
      <c r="F62" s="34"/>
      <c r="G62" s="34"/>
      <c r="H62" s="34"/>
      <c r="I62" s="34"/>
      <c r="J62" s="34"/>
      <c r="K62" s="34"/>
      <c r="L62" s="34"/>
      <c r="M62" s="34"/>
    </row>
    <row r="63" spans="1:13">
      <c r="A63" s="187"/>
      <c r="B63" s="34"/>
      <c r="C63" s="34"/>
      <c r="D63" s="34"/>
      <c r="E63" s="34"/>
      <c r="F63" s="34"/>
      <c r="G63" s="34"/>
      <c r="H63" s="34"/>
      <c r="I63" s="34"/>
      <c r="J63" s="34"/>
      <c r="K63" s="34"/>
      <c r="L63" s="34"/>
      <c r="M63" s="34"/>
    </row>
    <row r="64" spans="1:13">
      <c r="A64" s="187"/>
      <c r="B64" s="34"/>
      <c r="C64" s="34"/>
      <c r="D64" s="34"/>
      <c r="E64" s="34"/>
      <c r="F64" s="34"/>
      <c r="G64" s="34"/>
      <c r="H64" s="34"/>
      <c r="I64" s="34"/>
      <c r="J64" s="34"/>
      <c r="K64" s="34"/>
      <c r="L64" s="34"/>
      <c r="M64" s="34"/>
    </row>
    <row r="65" spans="1:13">
      <c r="A65" s="187"/>
      <c r="B65" s="34"/>
      <c r="C65" s="34"/>
      <c r="D65" s="34"/>
      <c r="E65" s="34"/>
      <c r="F65" s="34"/>
      <c r="G65" s="34"/>
      <c r="H65" s="34"/>
      <c r="I65" s="34"/>
      <c r="J65" s="34"/>
      <c r="K65" s="34"/>
      <c r="L65" s="34"/>
      <c r="M65" s="34"/>
    </row>
    <row r="66" spans="1:13">
      <c r="A66" s="187"/>
      <c r="B66" s="34"/>
      <c r="C66" s="34"/>
      <c r="D66" s="34"/>
      <c r="E66" s="34"/>
      <c r="F66" s="34"/>
      <c r="G66" s="34"/>
      <c r="H66" s="34"/>
      <c r="I66" s="34"/>
      <c r="J66" s="34"/>
      <c r="K66" s="34"/>
      <c r="L66" s="34"/>
      <c r="M66" s="34"/>
    </row>
    <row r="67" spans="1:13">
      <c r="A67" s="187"/>
      <c r="B67" s="34"/>
      <c r="C67" s="34"/>
      <c r="D67" s="34"/>
      <c r="E67" s="34"/>
      <c r="F67" s="34"/>
      <c r="G67" s="34"/>
      <c r="H67" s="34"/>
      <c r="I67" s="34"/>
      <c r="J67" s="34"/>
      <c r="K67" s="34"/>
      <c r="L67" s="34"/>
      <c r="M67" s="34"/>
    </row>
    <row r="68" spans="1:13">
      <c r="A68" s="187"/>
      <c r="B68" s="34"/>
      <c r="C68" s="34"/>
      <c r="D68" s="34"/>
      <c r="E68" s="34"/>
      <c r="F68" s="34"/>
      <c r="G68" s="34"/>
      <c r="H68" s="34"/>
      <c r="I68" s="34"/>
      <c r="J68" s="34"/>
      <c r="K68" s="34"/>
      <c r="L68" s="34"/>
      <c r="M68" s="34"/>
    </row>
    <row r="69" spans="1:13">
      <c r="A69" s="187"/>
      <c r="B69" s="34"/>
      <c r="C69" s="34"/>
      <c r="D69" s="34"/>
      <c r="E69" s="34"/>
      <c r="F69" s="34"/>
      <c r="G69" s="34"/>
      <c r="H69" s="34"/>
      <c r="I69" s="34"/>
      <c r="J69" s="34"/>
      <c r="K69" s="34"/>
      <c r="L69" s="34"/>
      <c r="M69" s="34"/>
    </row>
    <row r="70" spans="1:13">
      <c r="A70" s="187"/>
      <c r="B70" s="34"/>
      <c r="C70" s="34"/>
      <c r="D70" s="34"/>
      <c r="E70" s="34"/>
      <c r="F70" s="34"/>
      <c r="G70" s="34"/>
      <c r="H70" s="34"/>
      <c r="I70" s="34"/>
      <c r="J70" s="34"/>
      <c r="K70" s="34"/>
      <c r="L70" s="34"/>
      <c r="M70" s="34"/>
    </row>
    <row r="71" spans="1:13">
      <c r="A71" s="187"/>
      <c r="B71" s="34"/>
      <c r="C71" s="34"/>
      <c r="D71" s="34"/>
      <c r="E71" s="34"/>
      <c r="F71" s="34"/>
      <c r="G71" s="34"/>
      <c r="H71" s="34"/>
      <c r="I71" s="34"/>
      <c r="J71" s="34"/>
      <c r="K71" s="34"/>
      <c r="L71" s="34"/>
      <c r="M71" s="34"/>
    </row>
    <row r="72" spans="1:13">
      <c r="A72" s="187"/>
      <c r="B72" s="34"/>
      <c r="C72" s="34"/>
      <c r="D72" s="34"/>
      <c r="E72" s="34"/>
      <c r="F72" s="34"/>
      <c r="G72" s="34"/>
      <c r="H72" s="34"/>
      <c r="I72" s="34"/>
      <c r="J72" s="34"/>
      <c r="K72" s="34"/>
      <c r="L72" s="34"/>
      <c r="M72" s="34"/>
    </row>
    <row r="73" spans="1:13">
      <c r="A73" s="187"/>
      <c r="B73" s="34"/>
      <c r="C73" s="34"/>
      <c r="D73" s="34"/>
      <c r="E73" s="34"/>
      <c r="F73" s="34"/>
      <c r="G73" s="34"/>
      <c r="H73" s="34"/>
      <c r="I73" s="34"/>
      <c r="J73" s="34"/>
      <c r="K73" s="34"/>
      <c r="L73" s="34"/>
      <c r="M73" s="34"/>
    </row>
    <row r="74" spans="1:13">
      <c r="A74" s="187"/>
      <c r="B74" s="34"/>
      <c r="C74" s="34"/>
      <c r="D74" s="34"/>
      <c r="E74" s="34"/>
      <c r="F74" s="34"/>
      <c r="G74" s="34"/>
      <c r="H74" s="34"/>
      <c r="I74" s="34"/>
      <c r="J74" s="34"/>
      <c r="K74" s="34"/>
      <c r="L74" s="34"/>
      <c r="M74" s="34"/>
    </row>
    <row r="75" spans="1:13">
      <c r="A75" s="187"/>
      <c r="B75" s="34"/>
      <c r="C75" s="34"/>
      <c r="D75" s="34"/>
      <c r="E75" s="34"/>
      <c r="F75" s="34"/>
      <c r="G75" s="34"/>
      <c r="H75" s="34"/>
      <c r="I75" s="34"/>
      <c r="J75" s="34"/>
      <c r="K75" s="34"/>
      <c r="L75" s="34"/>
      <c r="M75" s="34"/>
    </row>
    <row r="76" spans="1:13">
      <c r="A76" s="187"/>
      <c r="B76" s="34"/>
      <c r="C76" s="34"/>
      <c r="D76" s="34"/>
      <c r="E76" s="34"/>
      <c r="F76" s="34"/>
      <c r="G76" s="34"/>
      <c r="H76" s="34"/>
      <c r="I76" s="34"/>
      <c r="J76" s="34"/>
      <c r="K76" s="34"/>
      <c r="L76" s="34"/>
      <c r="M76" s="34"/>
    </row>
    <row r="77" spans="1:13">
      <c r="A77" s="187"/>
      <c r="B77" s="34"/>
      <c r="C77" s="34"/>
      <c r="D77" s="34"/>
      <c r="E77" s="34"/>
      <c r="F77" s="34"/>
      <c r="G77" s="34"/>
      <c r="H77" s="34"/>
      <c r="I77" s="34"/>
      <c r="J77" s="34"/>
      <c r="K77" s="34"/>
      <c r="L77" s="34"/>
      <c r="M77" s="34"/>
    </row>
    <row r="78" spans="1:13">
      <c r="A78" s="187"/>
      <c r="B78" s="34"/>
      <c r="C78" s="34"/>
      <c r="D78" s="34"/>
      <c r="E78" s="34"/>
      <c r="F78" s="34"/>
      <c r="G78" s="34"/>
      <c r="H78" s="34"/>
      <c r="I78" s="34"/>
      <c r="J78" s="34"/>
      <c r="K78" s="34"/>
      <c r="L78" s="34"/>
      <c r="M78" s="34"/>
    </row>
    <row r="79" spans="1:13">
      <c r="A79" s="187"/>
      <c r="B79" s="34"/>
      <c r="C79" s="34"/>
      <c r="D79" s="34"/>
      <c r="E79" s="34"/>
      <c r="F79" s="34"/>
      <c r="G79" s="34"/>
      <c r="H79" s="34"/>
      <c r="I79" s="34"/>
      <c r="J79" s="34"/>
      <c r="K79" s="34"/>
      <c r="L79" s="34"/>
      <c r="M79" s="34"/>
    </row>
    <row r="80" spans="1:13">
      <c r="A80" s="187"/>
      <c r="B80" s="34"/>
      <c r="C80" s="34"/>
      <c r="D80" s="34"/>
      <c r="E80" s="34"/>
      <c r="F80" s="34"/>
      <c r="G80" s="34"/>
      <c r="H80" s="34"/>
      <c r="I80" s="34"/>
      <c r="J80" s="34"/>
      <c r="K80" s="34"/>
      <c r="L80" s="34"/>
      <c r="M80" s="34"/>
    </row>
    <row r="81" spans="1:13">
      <c r="A81" s="187"/>
      <c r="B81" s="34"/>
      <c r="C81" s="34"/>
      <c r="D81" s="34"/>
      <c r="E81" s="34"/>
      <c r="F81" s="34"/>
      <c r="G81" s="34"/>
      <c r="H81" s="34"/>
      <c r="I81" s="34"/>
      <c r="J81" s="34"/>
      <c r="K81" s="34"/>
      <c r="L81" s="34"/>
      <c r="M81" s="34"/>
    </row>
    <row r="82" spans="1:13">
      <c r="A82" s="187"/>
      <c r="B82" s="34"/>
      <c r="C82" s="34"/>
      <c r="D82" s="34"/>
      <c r="E82" s="34"/>
      <c r="F82" s="34"/>
      <c r="G82" s="34"/>
      <c r="H82" s="34"/>
      <c r="I82" s="34"/>
      <c r="J82" s="34"/>
      <c r="K82" s="34"/>
      <c r="L82" s="34"/>
      <c r="M82" s="34"/>
    </row>
    <row r="83" spans="1:13">
      <c r="A83" s="187"/>
      <c r="B83" s="34"/>
      <c r="C83" s="34"/>
      <c r="D83" s="34"/>
      <c r="E83" s="34"/>
      <c r="F83" s="34"/>
      <c r="G83" s="34"/>
      <c r="H83" s="34"/>
      <c r="I83" s="34"/>
      <c r="J83" s="34"/>
      <c r="K83" s="34"/>
      <c r="L83" s="34"/>
      <c r="M83" s="34"/>
    </row>
    <row r="84" spans="1:13">
      <c r="A84" s="187"/>
      <c r="B84" s="34"/>
      <c r="C84" s="34"/>
      <c r="D84" s="34"/>
      <c r="E84" s="34"/>
      <c r="F84" s="34"/>
      <c r="G84" s="34"/>
      <c r="H84" s="34"/>
      <c r="I84" s="34"/>
      <c r="J84" s="34"/>
      <c r="K84" s="34"/>
      <c r="L84" s="34"/>
      <c r="M84" s="34"/>
    </row>
    <row r="85" spans="1:13">
      <c r="A85" s="187"/>
      <c r="B85" s="34"/>
      <c r="C85" s="34"/>
      <c r="D85" s="34"/>
      <c r="E85" s="34"/>
      <c r="F85" s="34"/>
      <c r="G85" s="34"/>
      <c r="H85" s="34"/>
      <c r="I85" s="34"/>
      <c r="J85" s="34"/>
      <c r="K85" s="34"/>
      <c r="L85" s="34"/>
      <c r="M85" s="34"/>
    </row>
    <row r="86" spans="1:13">
      <c r="A86" s="187"/>
      <c r="B86" s="34"/>
      <c r="C86" s="34"/>
      <c r="D86" s="34"/>
      <c r="E86" s="34"/>
      <c r="F86" s="34"/>
      <c r="G86" s="34"/>
      <c r="H86" s="34"/>
      <c r="I86" s="34"/>
      <c r="J86" s="34"/>
      <c r="K86" s="34"/>
      <c r="L86" s="34"/>
      <c r="M86" s="34"/>
    </row>
    <row r="87" spans="1:13">
      <c r="A87" s="187"/>
      <c r="B87" s="34"/>
      <c r="C87" s="34"/>
      <c r="D87" s="34"/>
      <c r="E87" s="34"/>
      <c r="F87" s="34"/>
      <c r="G87" s="34"/>
      <c r="H87" s="34"/>
      <c r="I87" s="34"/>
      <c r="J87" s="34"/>
      <c r="K87" s="34"/>
      <c r="L87" s="34"/>
      <c r="M87" s="34"/>
    </row>
    <row r="88" spans="1:13">
      <c r="A88" s="187"/>
      <c r="B88" s="34"/>
      <c r="C88" s="34"/>
      <c r="D88" s="34"/>
      <c r="E88" s="34"/>
      <c r="F88" s="34"/>
      <c r="G88" s="34"/>
      <c r="H88" s="34"/>
      <c r="I88" s="34"/>
      <c r="J88" s="34"/>
      <c r="K88" s="34"/>
      <c r="L88" s="34"/>
      <c r="M88" s="34"/>
    </row>
    <row r="89" spans="1:13">
      <c r="A89" s="187"/>
      <c r="B89" s="34"/>
      <c r="C89" s="34"/>
      <c r="D89" s="34"/>
      <c r="E89" s="34"/>
      <c r="F89" s="34"/>
      <c r="G89" s="34"/>
      <c r="H89" s="34"/>
      <c r="I89" s="34"/>
      <c r="J89" s="34"/>
      <c r="K89" s="34"/>
      <c r="L89" s="34"/>
      <c r="M89" s="34"/>
    </row>
    <row r="90" spans="1:13">
      <c r="A90" s="187"/>
      <c r="B90" s="34"/>
      <c r="C90" s="34"/>
      <c r="D90" s="34"/>
      <c r="E90" s="34"/>
      <c r="F90" s="34"/>
      <c r="G90" s="34"/>
      <c r="H90" s="34"/>
      <c r="I90" s="34"/>
      <c r="J90" s="34"/>
      <c r="K90" s="34"/>
      <c r="L90" s="34"/>
      <c r="M90" s="34"/>
    </row>
    <row r="91" spans="1:13">
      <c r="A91" s="187"/>
      <c r="B91" s="34"/>
      <c r="C91" s="34"/>
      <c r="D91" s="34"/>
      <c r="E91" s="34"/>
      <c r="F91" s="34"/>
      <c r="G91" s="34"/>
      <c r="H91" s="34"/>
      <c r="I91" s="34"/>
      <c r="J91" s="34"/>
      <c r="K91" s="34"/>
      <c r="L91" s="34"/>
      <c r="M91" s="34"/>
    </row>
    <row r="92" spans="1:13">
      <c r="A92" s="187"/>
      <c r="B92" s="34"/>
      <c r="C92" s="34"/>
      <c r="D92" s="34"/>
      <c r="E92" s="34"/>
      <c r="F92" s="34"/>
      <c r="G92" s="34"/>
      <c r="H92" s="34"/>
      <c r="I92" s="34"/>
      <c r="J92" s="34"/>
      <c r="K92" s="34"/>
      <c r="L92" s="34"/>
      <c r="M92" s="34"/>
    </row>
    <row r="93" spans="1:13">
      <c r="A93" s="187"/>
      <c r="B93" s="34"/>
      <c r="C93" s="34"/>
      <c r="D93" s="34"/>
      <c r="E93" s="34"/>
      <c r="F93" s="34"/>
      <c r="G93" s="34"/>
      <c r="H93" s="34"/>
      <c r="I93" s="34"/>
      <c r="J93" s="34"/>
      <c r="K93" s="34"/>
      <c r="L93" s="34"/>
      <c r="M93" s="34"/>
    </row>
    <row r="94" spans="1:13">
      <c r="A94" s="187"/>
      <c r="B94" s="34"/>
      <c r="C94" s="34"/>
      <c r="D94" s="34"/>
      <c r="E94" s="34"/>
      <c r="F94" s="34"/>
      <c r="G94" s="34"/>
      <c r="H94" s="34"/>
      <c r="I94" s="34"/>
      <c r="J94" s="34"/>
      <c r="K94" s="34"/>
      <c r="L94" s="34"/>
      <c r="M94" s="34"/>
    </row>
    <row r="95" spans="1:13">
      <c r="A95" s="187"/>
      <c r="B95" s="34"/>
      <c r="C95" s="34"/>
      <c r="D95" s="34"/>
      <c r="E95" s="34"/>
      <c r="F95" s="34"/>
      <c r="G95" s="34"/>
      <c r="H95" s="34"/>
      <c r="I95" s="34"/>
      <c r="J95" s="34"/>
      <c r="K95" s="34"/>
      <c r="L95" s="34"/>
      <c r="M95" s="34"/>
    </row>
    <row r="96" spans="1:13">
      <c r="A96" s="187"/>
      <c r="B96" s="34"/>
      <c r="C96" s="34"/>
      <c r="D96" s="34"/>
      <c r="E96" s="34"/>
      <c r="F96" s="34"/>
      <c r="G96" s="34"/>
      <c r="H96" s="34"/>
      <c r="I96" s="34"/>
      <c r="J96" s="34"/>
      <c r="K96" s="34"/>
      <c r="L96" s="34"/>
      <c r="M96" s="34"/>
    </row>
    <row r="97" spans="1:13">
      <c r="A97" s="187"/>
      <c r="B97" s="34"/>
      <c r="C97" s="34"/>
      <c r="D97" s="34"/>
      <c r="E97" s="34"/>
      <c r="F97" s="34"/>
      <c r="G97" s="34"/>
      <c r="H97" s="34"/>
      <c r="I97" s="34"/>
      <c r="J97" s="34"/>
      <c r="K97" s="34"/>
      <c r="L97" s="34"/>
      <c r="M97" s="34"/>
    </row>
    <row r="98" spans="1:13">
      <c r="A98" s="187"/>
      <c r="B98" s="34"/>
      <c r="C98" s="34"/>
      <c r="D98" s="34"/>
      <c r="E98" s="34"/>
      <c r="F98" s="34"/>
      <c r="G98" s="34"/>
      <c r="H98" s="34"/>
      <c r="I98" s="34"/>
      <c r="J98" s="34"/>
      <c r="K98" s="34"/>
      <c r="L98" s="34"/>
      <c r="M98" s="34"/>
    </row>
    <row r="99" spans="1:13">
      <c r="A99" s="187"/>
      <c r="B99" s="34"/>
      <c r="C99" s="34"/>
      <c r="D99" s="34"/>
      <c r="E99" s="34"/>
      <c r="F99" s="34"/>
      <c r="G99" s="34"/>
      <c r="H99" s="34"/>
      <c r="I99" s="34"/>
      <c r="J99" s="34"/>
      <c r="K99" s="34"/>
      <c r="L99" s="34"/>
      <c r="M99" s="34"/>
    </row>
    <row r="100" spans="1:13">
      <c r="A100" s="187"/>
      <c r="B100" s="34"/>
      <c r="C100" s="34"/>
      <c r="D100" s="34"/>
      <c r="E100" s="34"/>
      <c r="F100" s="34"/>
      <c r="G100" s="34"/>
      <c r="H100" s="34"/>
      <c r="I100" s="34"/>
      <c r="J100" s="34"/>
      <c r="K100" s="34"/>
      <c r="L100" s="34"/>
      <c r="M100" s="34"/>
    </row>
    <row r="101" spans="1:13">
      <c r="A101" s="187"/>
      <c r="B101" s="34"/>
      <c r="C101" s="34"/>
      <c r="D101" s="34"/>
      <c r="E101" s="34"/>
      <c r="F101" s="34"/>
      <c r="G101" s="34"/>
      <c r="H101" s="34"/>
      <c r="I101" s="34"/>
      <c r="J101" s="34"/>
      <c r="K101" s="34"/>
      <c r="L101" s="34"/>
      <c r="M101" s="34"/>
    </row>
    <row r="102" spans="1:13">
      <c r="A102" s="187"/>
      <c r="B102" s="34"/>
      <c r="C102" s="34"/>
      <c r="D102" s="34"/>
      <c r="E102" s="34"/>
      <c r="F102" s="34"/>
      <c r="G102" s="34"/>
      <c r="H102" s="34"/>
      <c r="I102" s="34"/>
      <c r="J102" s="34"/>
      <c r="K102" s="34"/>
      <c r="L102" s="34"/>
      <c r="M102" s="34"/>
    </row>
    <row r="103" spans="1:13">
      <c r="A103" s="187"/>
      <c r="B103" s="6"/>
      <c r="C103" s="6"/>
      <c r="D103" s="6"/>
      <c r="E103" s="6"/>
      <c r="F103" s="6"/>
      <c r="G103" s="6"/>
      <c r="H103" s="6"/>
      <c r="I103" s="6"/>
      <c r="J103" s="6"/>
      <c r="K103" s="6"/>
      <c r="L103" s="6"/>
      <c r="M103" s="6"/>
    </row>
    <row r="104" spans="1:13">
      <c r="A104" s="187"/>
      <c r="B104" s="6"/>
      <c r="C104" s="6"/>
      <c r="D104" s="6"/>
      <c r="E104" s="6"/>
      <c r="F104" s="6"/>
      <c r="G104" s="6"/>
      <c r="H104" s="6"/>
      <c r="I104" s="6"/>
      <c r="J104" s="6"/>
      <c r="K104" s="6"/>
      <c r="L104" s="6"/>
      <c r="M104" s="6"/>
    </row>
    <row r="105" spans="1:13">
      <c r="A105" s="6"/>
      <c r="B105" s="6"/>
      <c r="C105" s="6"/>
      <c r="D105" s="6"/>
      <c r="E105" s="6"/>
      <c r="F105" s="6"/>
      <c r="G105" s="6"/>
      <c r="H105" s="6"/>
      <c r="I105" s="6"/>
      <c r="J105" s="6"/>
      <c r="K105" s="6"/>
      <c r="L105" s="6"/>
      <c r="M105" s="6"/>
    </row>
    <row r="106" spans="1:13">
      <c r="A106" s="6"/>
      <c r="B106" s="6"/>
      <c r="C106" s="6"/>
      <c r="D106" s="6"/>
      <c r="E106" s="6"/>
      <c r="F106" s="6"/>
      <c r="G106" s="6"/>
      <c r="H106" s="6"/>
      <c r="I106" s="6"/>
      <c r="J106" s="6"/>
      <c r="K106" s="6"/>
      <c r="L106" s="6"/>
      <c r="M106" s="6"/>
    </row>
    <row r="107" spans="1:13">
      <c r="A107" s="6"/>
      <c r="B107" s="6"/>
      <c r="C107" s="6"/>
      <c r="D107" s="6"/>
      <c r="E107" s="6"/>
      <c r="F107" s="6"/>
      <c r="G107" s="6"/>
      <c r="H107" s="6"/>
      <c r="I107" s="6"/>
      <c r="J107" s="6"/>
      <c r="K107" s="6"/>
      <c r="L107" s="6"/>
      <c r="M107" s="6"/>
    </row>
    <row r="108" spans="1:13">
      <c r="A108" s="6"/>
      <c r="B108" s="6"/>
      <c r="C108" s="6"/>
      <c r="D108" s="6"/>
      <c r="E108" s="6"/>
      <c r="F108" s="6"/>
      <c r="G108" s="6"/>
      <c r="H108" s="6"/>
      <c r="I108" s="6"/>
      <c r="J108" s="6"/>
      <c r="K108" s="6"/>
      <c r="L108" s="6"/>
      <c r="M108" s="6"/>
    </row>
    <row r="109" spans="1:13">
      <c r="A109" s="6"/>
      <c r="B109" s="6"/>
      <c r="C109" s="6"/>
      <c r="D109" s="6"/>
      <c r="E109" s="6"/>
      <c r="F109" s="6"/>
      <c r="G109" s="6"/>
      <c r="H109" s="6"/>
      <c r="I109" s="6"/>
      <c r="J109" s="6"/>
      <c r="K109" s="6"/>
      <c r="L109" s="6"/>
      <c r="M109" s="6"/>
    </row>
    <row r="110" spans="1:13">
      <c r="A110" s="6"/>
      <c r="B110" s="6"/>
      <c r="C110" s="6"/>
      <c r="D110" s="6"/>
      <c r="E110" s="6"/>
      <c r="F110" s="6"/>
      <c r="G110" s="6"/>
      <c r="H110" s="6"/>
      <c r="I110" s="6"/>
      <c r="J110" s="6"/>
      <c r="K110" s="6"/>
      <c r="L110" s="6"/>
      <c r="M110" s="6"/>
    </row>
    <row r="111" spans="1:13">
      <c r="A111" s="6"/>
      <c r="B111" s="6"/>
      <c r="C111" s="6"/>
      <c r="D111" s="6"/>
      <c r="E111" s="6"/>
      <c r="F111" s="6"/>
      <c r="G111" s="6"/>
      <c r="H111" s="6"/>
      <c r="I111" s="6"/>
      <c r="J111" s="6"/>
      <c r="K111" s="6"/>
      <c r="L111" s="6"/>
      <c r="M111" s="6"/>
    </row>
    <row r="112" spans="1:13">
      <c r="A112" s="6"/>
      <c r="B112" s="6"/>
      <c r="C112" s="6"/>
      <c r="D112" s="6"/>
      <c r="E112" s="6"/>
      <c r="F112" s="6"/>
      <c r="G112" s="6"/>
      <c r="H112" s="6"/>
      <c r="I112" s="6"/>
      <c r="J112" s="6"/>
      <c r="K112" s="6"/>
      <c r="L112" s="6"/>
      <c r="M112" s="6"/>
    </row>
    <row r="113" spans="1:13">
      <c r="A113" s="6"/>
      <c r="B113" s="6"/>
      <c r="C113" s="6"/>
      <c r="D113" s="6"/>
      <c r="E113" s="6"/>
      <c r="F113" s="6"/>
      <c r="G113" s="6"/>
      <c r="H113" s="6"/>
      <c r="I113" s="6"/>
      <c r="J113" s="6"/>
      <c r="K113" s="6"/>
      <c r="L113" s="6"/>
      <c r="M113" s="6"/>
    </row>
    <row r="114" spans="1:13">
      <c r="A114" s="6"/>
      <c r="B114" s="6"/>
      <c r="C114" s="6"/>
      <c r="D114" s="6"/>
      <c r="E114" s="6"/>
      <c r="F114" s="6"/>
      <c r="G114" s="6"/>
      <c r="H114" s="6"/>
      <c r="I114" s="6"/>
      <c r="J114" s="6"/>
      <c r="K114" s="6"/>
      <c r="L114" s="6"/>
      <c r="M114" s="6"/>
    </row>
    <row r="115" spans="1:13">
      <c r="A115" s="6"/>
      <c r="B115" s="6"/>
      <c r="C115" s="6"/>
      <c r="D115" s="6"/>
      <c r="E115" s="6"/>
      <c r="F115" s="6"/>
      <c r="G115" s="6"/>
      <c r="H115" s="6"/>
      <c r="I115" s="6"/>
      <c r="J115" s="6"/>
      <c r="K115" s="6"/>
      <c r="L115" s="6"/>
      <c r="M115" s="6"/>
    </row>
    <row r="116" spans="1:13">
      <c r="A116" s="6"/>
      <c r="B116" s="6"/>
      <c r="C116" s="6"/>
      <c r="D116" s="6"/>
      <c r="E116" s="6"/>
      <c r="F116" s="6"/>
      <c r="G116" s="6"/>
      <c r="H116" s="6"/>
      <c r="I116" s="6"/>
      <c r="J116" s="6"/>
      <c r="K116" s="6"/>
      <c r="L116" s="6"/>
      <c r="M116" s="6"/>
    </row>
    <row r="117" spans="1:13">
      <c r="A117" s="6"/>
      <c r="B117" s="6"/>
      <c r="C117" s="6"/>
      <c r="D117" s="6"/>
      <c r="E117" s="6"/>
      <c r="F117" s="6"/>
      <c r="G117" s="6"/>
      <c r="H117" s="6"/>
      <c r="I117" s="6"/>
      <c r="J117" s="6"/>
      <c r="K117" s="6"/>
      <c r="L117" s="6"/>
      <c r="M117" s="6"/>
    </row>
    <row r="118" spans="1:13">
      <c r="A118" s="6"/>
      <c r="B118" s="6"/>
      <c r="C118" s="6"/>
      <c r="D118" s="6"/>
      <c r="E118" s="6"/>
      <c r="F118" s="6"/>
      <c r="G118" s="6"/>
      <c r="H118" s="6"/>
      <c r="I118" s="6"/>
      <c r="J118" s="6"/>
      <c r="K118" s="6"/>
      <c r="L118" s="6"/>
      <c r="M118" s="6"/>
    </row>
    <row r="119" spans="1:13">
      <c r="A119" s="6"/>
      <c r="B119" s="6"/>
      <c r="C119" s="6"/>
      <c r="D119" s="6"/>
      <c r="E119" s="6"/>
      <c r="F119" s="6"/>
      <c r="G119" s="6"/>
      <c r="H119" s="6"/>
      <c r="I119" s="6"/>
      <c r="J119" s="6"/>
      <c r="K119" s="6"/>
      <c r="L119" s="6"/>
      <c r="M119" s="6"/>
    </row>
    <row r="120" spans="1:13">
      <c r="A120" s="6"/>
      <c r="B120" s="6"/>
      <c r="C120" s="6"/>
      <c r="D120" s="6"/>
      <c r="E120" s="6"/>
      <c r="F120" s="6"/>
      <c r="G120" s="6"/>
      <c r="H120" s="6"/>
      <c r="I120" s="6"/>
      <c r="J120" s="6"/>
      <c r="K120" s="6"/>
      <c r="L120" s="6"/>
      <c r="M120" s="6"/>
    </row>
    <row r="121" spans="1:13">
      <c r="A121" s="6"/>
      <c r="B121" s="6"/>
      <c r="C121" s="6"/>
      <c r="D121" s="6"/>
      <c r="E121" s="6"/>
      <c r="F121" s="6"/>
      <c r="G121" s="6"/>
      <c r="H121" s="6"/>
      <c r="I121" s="6"/>
      <c r="J121" s="6"/>
      <c r="K121" s="6"/>
      <c r="L121" s="6"/>
      <c r="M121" s="6"/>
    </row>
    <row r="122" spans="1:13">
      <c r="A122" s="6"/>
      <c r="B122" s="6"/>
      <c r="C122" s="6"/>
      <c r="D122" s="6"/>
      <c r="E122" s="6"/>
      <c r="F122" s="6"/>
      <c r="G122" s="6"/>
      <c r="H122" s="6"/>
      <c r="I122" s="6"/>
      <c r="J122" s="6"/>
      <c r="K122" s="6"/>
      <c r="L122" s="6"/>
      <c r="M122" s="6"/>
    </row>
    <row r="123" spans="1:13">
      <c r="A123" s="6"/>
      <c r="B123" s="6"/>
      <c r="C123" s="6"/>
      <c r="D123" s="6"/>
      <c r="E123" s="6"/>
      <c r="F123" s="6"/>
      <c r="G123" s="6"/>
      <c r="H123" s="6"/>
      <c r="I123" s="6"/>
      <c r="J123" s="6"/>
      <c r="K123" s="6"/>
      <c r="L123" s="6"/>
      <c r="M123" s="6"/>
    </row>
    <row r="124" spans="1:13">
      <c r="A124" s="6"/>
      <c r="B124" s="6"/>
      <c r="C124" s="6"/>
      <c r="D124" s="6"/>
      <c r="E124" s="6"/>
      <c r="F124" s="6"/>
      <c r="G124" s="6"/>
      <c r="H124" s="6"/>
      <c r="I124" s="6"/>
      <c r="J124" s="6"/>
      <c r="K124" s="6"/>
      <c r="L124" s="6"/>
      <c r="M124" s="6"/>
    </row>
    <row r="125" spans="1:13">
      <c r="A125" s="6"/>
      <c r="B125" s="6"/>
      <c r="C125" s="6"/>
      <c r="D125" s="6"/>
      <c r="E125" s="6"/>
      <c r="F125" s="6"/>
      <c r="G125" s="6"/>
      <c r="H125" s="6"/>
      <c r="I125" s="6"/>
      <c r="J125" s="6"/>
      <c r="K125" s="6"/>
      <c r="L125" s="6"/>
      <c r="M125" s="6"/>
    </row>
    <row r="126" spans="1:13">
      <c r="A126" s="6"/>
      <c r="B126" s="6"/>
      <c r="C126" s="6"/>
      <c r="D126" s="6"/>
      <c r="E126" s="6"/>
      <c r="F126" s="6"/>
      <c r="G126" s="6"/>
      <c r="H126" s="6"/>
      <c r="I126" s="6"/>
      <c r="J126" s="6"/>
      <c r="K126" s="6"/>
      <c r="L126" s="6"/>
      <c r="M126" s="6"/>
    </row>
    <row r="127" spans="1:13">
      <c r="A127" s="6"/>
      <c r="B127" s="6"/>
      <c r="C127" s="6"/>
      <c r="D127" s="6"/>
      <c r="E127" s="6"/>
      <c r="F127" s="6"/>
      <c r="G127" s="6"/>
      <c r="H127" s="6"/>
      <c r="I127" s="6"/>
      <c r="J127" s="6"/>
      <c r="K127" s="6"/>
      <c r="L127" s="6"/>
      <c r="M127" s="6"/>
    </row>
    <row r="128" spans="1:13">
      <c r="A128" s="6"/>
      <c r="B128" s="6"/>
      <c r="C128" s="6"/>
      <c r="D128" s="6"/>
      <c r="E128" s="6"/>
      <c r="F128" s="6"/>
      <c r="G128" s="6"/>
      <c r="H128" s="6"/>
      <c r="I128" s="6"/>
      <c r="J128" s="6"/>
      <c r="K128" s="6"/>
      <c r="L128" s="6"/>
      <c r="M128" s="6"/>
    </row>
    <row r="129" spans="1:13">
      <c r="A129" s="6"/>
      <c r="B129" s="6"/>
      <c r="C129" s="6"/>
      <c r="D129" s="6"/>
      <c r="E129" s="6"/>
      <c r="F129" s="6"/>
      <c r="G129" s="6"/>
      <c r="H129" s="6"/>
      <c r="I129" s="6"/>
      <c r="J129" s="6"/>
      <c r="K129" s="6"/>
      <c r="L129" s="6"/>
      <c r="M129" s="6"/>
    </row>
    <row r="130" spans="1:13">
      <c r="A130" s="6"/>
      <c r="B130" s="6"/>
      <c r="C130" s="6"/>
      <c r="D130" s="6"/>
      <c r="E130" s="6"/>
      <c r="F130" s="6"/>
      <c r="G130" s="6"/>
      <c r="H130" s="6"/>
      <c r="I130" s="6"/>
      <c r="J130" s="6"/>
      <c r="K130" s="6"/>
      <c r="L130" s="6"/>
      <c r="M130" s="6"/>
    </row>
    <row r="131" spans="1:13">
      <c r="A131" s="6"/>
      <c r="B131" s="6"/>
      <c r="C131" s="6"/>
      <c r="D131" s="6"/>
      <c r="E131" s="6"/>
      <c r="F131" s="6"/>
      <c r="G131" s="6"/>
      <c r="H131" s="6"/>
      <c r="I131" s="6"/>
      <c r="J131" s="6"/>
      <c r="K131" s="6"/>
      <c r="L131" s="6"/>
      <c r="M131" s="6"/>
    </row>
    <row r="132" spans="1:13">
      <c r="A132" s="6"/>
      <c r="B132" s="6"/>
      <c r="C132" s="6"/>
      <c r="D132" s="6"/>
      <c r="E132" s="6"/>
      <c r="F132" s="6"/>
      <c r="G132" s="6"/>
      <c r="H132" s="6"/>
      <c r="I132" s="6"/>
      <c r="J132" s="6"/>
      <c r="K132" s="6"/>
      <c r="L132" s="6"/>
      <c r="M132" s="6"/>
    </row>
    <row r="133" spans="1:13">
      <c r="A133" s="6"/>
      <c r="B133" s="6"/>
      <c r="C133" s="6"/>
      <c r="D133" s="6"/>
      <c r="E133" s="6"/>
      <c r="F133" s="6"/>
      <c r="G133" s="6"/>
      <c r="H133" s="6"/>
      <c r="I133" s="6"/>
      <c r="J133" s="6"/>
      <c r="K133" s="6"/>
      <c r="L133" s="6"/>
      <c r="M133" s="6"/>
    </row>
    <row r="134" spans="1:13">
      <c r="A134" s="6"/>
      <c r="B134" s="6"/>
      <c r="C134" s="6"/>
      <c r="D134" s="6"/>
      <c r="E134" s="6"/>
      <c r="F134" s="6"/>
      <c r="G134" s="6"/>
      <c r="H134" s="6"/>
      <c r="I134" s="6"/>
      <c r="J134" s="6"/>
      <c r="K134" s="6"/>
      <c r="L134" s="6"/>
      <c r="M134" s="6"/>
    </row>
    <row r="135" spans="1:13">
      <c r="A135" s="6"/>
      <c r="B135" s="6"/>
      <c r="C135" s="6"/>
      <c r="D135" s="6"/>
      <c r="E135" s="6"/>
      <c r="F135" s="6"/>
      <c r="G135" s="6"/>
      <c r="H135" s="6"/>
      <c r="I135" s="6"/>
      <c r="J135" s="6"/>
      <c r="K135" s="6"/>
      <c r="L135" s="6"/>
      <c r="M135" s="6"/>
    </row>
    <row r="136" spans="1:13">
      <c r="A136" s="6"/>
      <c r="B136" s="6"/>
      <c r="C136" s="6"/>
      <c r="D136" s="6"/>
      <c r="E136" s="6"/>
      <c r="F136" s="6"/>
      <c r="G136" s="6"/>
      <c r="H136" s="6"/>
      <c r="I136" s="6"/>
      <c r="J136" s="6"/>
      <c r="K136" s="6"/>
      <c r="L136" s="6"/>
      <c r="M136" s="6"/>
    </row>
    <row r="137" spans="1:13">
      <c r="A137" s="6"/>
      <c r="B137" s="6"/>
      <c r="C137" s="6"/>
      <c r="D137" s="6"/>
      <c r="E137" s="6"/>
      <c r="F137" s="6"/>
      <c r="G137" s="6"/>
      <c r="H137" s="6"/>
      <c r="I137" s="6"/>
      <c r="J137" s="6"/>
      <c r="K137" s="6"/>
      <c r="L137" s="6"/>
      <c r="M137" s="6"/>
    </row>
    <row r="138" spans="1:13">
      <c r="A138" s="6"/>
      <c r="B138" s="6"/>
      <c r="C138" s="6"/>
      <c r="D138" s="6"/>
      <c r="E138" s="6"/>
      <c r="F138" s="6"/>
      <c r="G138" s="6"/>
      <c r="H138" s="6"/>
      <c r="I138" s="6"/>
      <c r="J138" s="6"/>
      <c r="K138" s="6"/>
      <c r="L138" s="6"/>
      <c r="M138" s="6"/>
    </row>
    <row r="139" spans="1:13">
      <c r="A139" s="6"/>
      <c r="B139" s="6"/>
      <c r="C139" s="6"/>
      <c r="D139" s="6"/>
      <c r="E139" s="6"/>
      <c r="F139" s="6"/>
      <c r="G139" s="6"/>
      <c r="H139" s="6"/>
      <c r="I139" s="6"/>
      <c r="J139" s="6"/>
      <c r="K139" s="6"/>
      <c r="L139" s="6"/>
      <c r="M139" s="6"/>
    </row>
    <row r="140" spans="1:13">
      <c r="A140" s="6"/>
      <c r="B140" s="6"/>
      <c r="C140" s="6"/>
      <c r="D140" s="6"/>
      <c r="E140" s="6"/>
      <c r="F140" s="6"/>
      <c r="G140" s="6"/>
      <c r="H140" s="6"/>
      <c r="I140" s="6"/>
      <c r="J140" s="6"/>
      <c r="K140" s="6"/>
      <c r="L140" s="6"/>
      <c r="M140" s="6"/>
    </row>
    <row r="141" spans="1:13">
      <c r="A141" s="6"/>
      <c r="B141" s="6"/>
      <c r="C141" s="6"/>
      <c r="D141" s="6"/>
      <c r="E141" s="6"/>
      <c r="F141" s="6"/>
      <c r="G141" s="6"/>
      <c r="H141" s="6"/>
      <c r="I141" s="6"/>
      <c r="J141" s="6"/>
      <c r="K141" s="6"/>
      <c r="L141" s="6"/>
      <c r="M141" s="6"/>
    </row>
    <row r="142" spans="1:13">
      <c r="A142" s="6"/>
      <c r="B142" s="6"/>
      <c r="C142" s="6"/>
      <c r="D142" s="6"/>
      <c r="E142" s="6"/>
      <c r="F142" s="6"/>
      <c r="G142" s="6"/>
      <c r="H142" s="6"/>
      <c r="I142" s="6"/>
      <c r="J142" s="6"/>
      <c r="K142" s="6"/>
      <c r="L142" s="6"/>
      <c r="M142" s="6"/>
    </row>
    <row r="143" spans="1:13">
      <c r="A143" s="6"/>
      <c r="B143" s="6"/>
      <c r="C143" s="6"/>
      <c r="D143" s="6"/>
      <c r="E143" s="6"/>
      <c r="F143" s="6"/>
      <c r="G143" s="6"/>
      <c r="H143" s="6"/>
      <c r="I143" s="6"/>
      <c r="J143" s="6"/>
      <c r="K143" s="6"/>
      <c r="L143" s="6"/>
      <c r="M143" s="6"/>
    </row>
    <row r="144" spans="1:13">
      <c r="A144" s="6"/>
      <c r="B144" s="6"/>
      <c r="C144" s="6"/>
      <c r="D144" s="6"/>
      <c r="E144" s="6"/>
      <c r="F144" s="6"/>
      <c r="G144" s="6"/>
      <c r="H144" s="6"/>
      <c r="I144" s="6"/>
      <c r="J144" s="6"/>
      <c r="K144" s="6"/>
      <c r="L144" s="6"/>
      <c r="M144" s="6"/>
    </row>
    <row r="145" spans="1:13">
      <c r="A145" s="6"/>
      <c r="B145" s="6"/>
      <c r="C145" s="6"/>
      <c r="D145" s="6"/>
      <c r="E145" s="6"/>
      <c r="F145" s="6"/>
      <c r="G145" s="6"/>
      <c r="H145" s="6"/>
      <c r="I145" s="6"/>
      <c r="J145" s="6"/>
      <c r="K145" s="6"/>
      <c r="L145" s="6"/>
      <c r="M145" s="6"/>
    </row>
    <row r="146" spans="1:13">
      <c r="A146" s="6"/>
      <c r="B146" s="6"/>
      <c r="C146" s="6"/>
      <c r="D146" s="6"/>
      <c r="E146" s="6"/>
      <c r="F146" s="6"/>
      <c r="G146" s="6"/>
      <c r="H146" s="6"/>
      <c r="I146" s="6"/>
      <c r="J146" s="6"/>
      <c r="K146" s="6"/>
      <c r="L146" s="6"/>
      <c r="M146" s="6"/>
    </row>
    <row r="147" spans="1:13">
      <c r="A147" s="6"/>
      <c r="B147" s="6"/>
      <c r="C147" s="6"/>
      <c r="D147" s="6"/>
      <c r="E147" s="6"/>
      <c r="F147" s="6"/>
      <c r="G147" s="6"/>
      <c r="H147" s="6"/>
      <c r="I147" s="6"/>
      <c r="J147" s="6"/>
      <c r="K147" s="6"/>
      <c r="L147" s="6"/>
      <c r="M147" s="6"/>
    </row>
    <row r="148" spans="1:13">
      <c r="A148" s="6"/>
      <c r="B148" s="6"/>
      <c r="C148" s="6"/>
      <c r="D148" s="6"/>
      <c r="E148" s="6"/>
      <c r="F148" s="6"/>
      <c r="G148" s="6"/>
      <c r="H148" s="6"/>
      <c r="I148" s="6"/>
      <c r="J148" s="6"/>
      <c r="K148" s="6"/>
      <c r="L148" s="6"/>
      <c r="M148" s="6"/>
    </row>
    <row r="149" spans="1:13">
      <c r="A149" s="6"/>
      <c r="B149" s="6"/>
      <c r="C149" s="6"/>
      <c r="D149" s="6"/>
      <c r="E149" s="6"/>
      <c r="F149" s="6"/>
      <c r="G149" s="6"/>
      <c r="H149" s="6"/>
      <c r="I149" s="6"/>
      <c r="J149" s="6"/>
      <c r="K149" s="6"/>
      <c r="L149" s="6"/>
      <c r="M149" s="6"/>
    </row>
    <row r="150" spans="1:13">
      <c r="A150" s="6"/>
      <c r="B150" s="6"/>
      <c r="C150" s="6"/>
      <c r="D150" s="6"/>
      <c r="E150" s="6"/>
      <c r="F150" s="6"/>
      <c r="G150" s="6"/>
      <c r="H150" s="6"/>
      <c r="I150" s="6"/>
      <c r="J150" s="6"/>
      <c r="K150" s="6"/>
      <c r="L150" s="6"/>
      <c r="M150" s="6"/>
    </row>
    <row r="151" spans="1:13">
      <c r="A151" s="6"/>
      <c r="B151" s="6"/>
      <c r="C151" s="6"/>
      <c r="D151" s="6"/>
      <c r="E151" s="6"/>
      <c r="F151" s="6"/>
      <c r="G151" s="6"/>
      <c r="H151" s="6"/>
      <c r="I151" s="6"/>
      <c r="J151" s="6"/>
      <c r="K151" s="6"/>
      <c r="L151" s="6"/>
      <c r="M151" s="6"/>
    </row>
    <row r="152" spans="1:13">
      <c r="A152" s="6"/>
      <c r="B152" s="6"/>
      <c r="C152" s="6"/>
      <c r="D152" s="6"/>
      <c r="E152" s="6"/>
      <c r="F152" s="6"/>
      <c r="G152" s="6"/>
      <c r="H152" s="6"/>
      <c r="I152" s="6"/>
      <c r="J152" s="6"/>
      <c r="K152" s="6"/>
      <c r="L152" s="6"/>
      <c r="M152" s="6"/>
    </row>
    <row r="153" spans="1:13">
      <c r="A153" s="6"/>
      <c r="B153" s="6"/>
      <c r="C153" s="6"/>
      <c r="D153" s="6"/>
      <c r="E153" s="6"/>
      <c r="F153" s="6"/>
      <c r="G153" s="6"/>
      <c r="H153" s="6"/>
      <c r="I153" s="6"/>
      <c r="J153" s="6"/>
      <c r="K153" s="6"/>
      <c r="L153" s="6"/>
      <c r="M153" s="6"/>
    </row>
    <row r="154" spans="1:13">
      <c r="A154" s="6"/>
      <c r="B154" s="6"/>
      <c r="C154" s="6"/>
      <c r="D154" s="6"/>
      <c r="E154" s="6"/>
      <c r="F154" s="6"/>
      <c r="G154" s="6"/>
      <c r="H154" s="6"/>
      <c r="I154" s="6"/>
      <c r="J154" s="6"/>
      <c r="K154" s="6"/>
      <c r="L154" s="6"/>
      <c r="M154" s="6"/>
    </row>
    <row r="155" spans="1:13">
      <c r="A155" s="6"/>
      <c r="B155" s="6"/>
      <c r="C155" s="6"/>
      <c r="D155" s="6"/>
      <c r="E155" s="6"/>
      <c r="F155" s="6"/>
      <c r="G155" s="6"/>
      <c r="H155" s="6"/>
      <c r="I155" s="6"/>
      <c r="J155" s="6"/>
      <c r="K155" s="6"/>
      <c r="L155" s="6"/>
      <c r="M155" s="6"/>
    </row>
    <row r="156" spans="1:13">
      <c r="A156" s="6"/>
      <c r="B156" s="6"/>
      <c r="C156" s="6"/>
      <c r="D156" s="6"/>
      <c r="E156" s="6"/>
      <c r="F156" s="6"/>
      <c r="G156" s="6"/>
      <c r="H156" s="6"/>
      <c r="I156" s="6"/>
      <c r="J156" s="6"/>
      <c r="K156" s="6"/>
      <c r="L156" s="6"/>
      <c r="M156" s="6"/>
    </row>
    <row r="157" spans="1:13">
      <c r="A157" s="6"/>
      <c r="B157" s="6"/>
      <c r="C157" s="6"/>
      <c r="D157" s="6"/>
      <c r="E157" s="6"/>
      <c r="F157" s="6"/>
      <c r="G157" s="6"/>
      <c r="H157" s="6"/>
      <c r="I157" s="6"/>
      <c r="J157" s="6"/>
      <c r="K157" s="6"/>
      <c r="L157" s="6"/>
      <c r="M157" s="6"/>
    </row>
    <row r="158" spans="1:13">
      <c r="A158" s="6"/>
      <c r="B158" s="6"/>
      <c r="C158" s="6"/>
      <c r="D158" s="6"/>
      <c r="E158" s="6"/>
      <c r="F158" s="6"/>
      <c r="G158" s="6"/>
      <c r="H158" s="6"/>
      <c r="I158" s="6"/>
      <c r="J158" s="6"/>
      <c r="K158" s="6"/>
      <c r="L158" s="6"/>
      <c r="M158" s="6"/>
    </row>
    <row r="159" spans="1:13">
      <c r="A159" s="6"/>
      <c r="B159" s="6"/>
      <c r="C159" s="6"/>
      <c r="D159" s="6"/>
      <c r="E159" s="6"/>
      <c r="F159" s="6"/>
      <c r="G159" s="6"/>
      <c r="H159" s="6"/>
      <c r="I159" s="6"/>
      <c r="J159" s="6"/>
      <c r="K159" s="6"/>
      <c r="L159" s="6"/>
      <c r="M159" s="6"/>
    </row>
    <row r="160" spans="1:13">
      <c r="A160" s="6"/>
      <c r="B160" s="6"/>
      <c r="C160" s="6"/>
      <c r="D160" s="6"/>
      <c r="E160" s="6"/>
      <c r="F160" s="6"/>
      <c r="G160" s="6"/>
      <c r="H160" s="6"/>
      <c r="I160" s="6"/>
      <c r="J160" s="6"/>
      <c r="K160" s="6"/>
      <c r="L160" s="6"/>
      <c r="M160" s="6"/>
    </row>
    <row r="161" spans="1:13">
      <c r="A161" s="6"/>
      <c r="B161" s="6"/>
      <c r="C161" s="6"/>
      <c r="D161" s="6"/>
      <c r="E161" s="6"/>
      <c r="F161" s="6"/>
      <c r="G161" s="6"/>
      <c r="H161" s="6"/>
      <c r="I161" s="6"/>
      <c r="J161" s="6"/>
      <c r="K161" s="6"/>
      <c r="L161" s="6"/>
      <c r="M161" s="6"/>
    </row>
    <row r="162" spans="1:13">
      <c r="A162" s="6"/>
      <c r="B162" s="6"/>
      <c r="C162" s="6"/>
      <c r="D162" s="6"/>
      <c r="E162" s="6"/>
      <c r="F162" s="6"/>
      <c r="G162" s="6"/>
      <c r="H162" s="6"/>
      <c r="I162" s="6"/>
      <c r="J162" s="6"/>
      <c r="K162" s="6"/>
      <c r="L162" s="6"/>
      <c r="M162" s="6"/>
    </row>
    <row r="163" spans="1:13">
      <c r="A163" s="6"/>
      <c r="B163" s="6"/>
      <c r="C163" s="6"/>
      <c r="D163" s="6"/>
      <c r="E163" s="6"/>
      <c r="F163" s="6"/>
      <c r="G163" s="6"/>
      <c r="H163" s="6"/>
      <c r="I163" s="6"/>
      <c r="J163" s="6"/>
      <c r="K163" s="6"/>
      <c r="L163" s="6"/>
      <c r="M163" s="6"/>
    </row>
    <row r="164" spans="1:13">
      <c r="A164" s="6"/>
      <c r="B164" s="6"/>
      <c r="C164" s="6"/>
      <c r="D164" s="6"/>
      <c r="E164" s="6"/>
      <c r="F164" s="6"/>
      <c r="G164" s="6"/>
      <c r="H164" s="6"/>
      <c r="I164" s="6"/>
      <c r="J164" s="6"/>
      <c r="K164" s="6"/>
      <c r="L164" s="6"/>
      <c r="M164" s="6"/>
    </row>
    <row r="165" spans="1:13">
      <c r="A165" s="6"/>
      <c r="B165" s="6"/>
      <c r="C165" s="6"/>
      <c r="D165" s="6"/>
      <c r="E165" s="6"/>
      <c r="F165" s="6"/>
      <c r="G165" s="6"/>
      <c r="H165" s="6"/>
      <c r="I165" s="6"/>
      <c r="J165" s="6"/>
      <c r="K165" s="6"/>
      <c r="L165" s="6"/>
      <c r="M165" s="6"/>
    </row>
    <row r="166" spans="1:13">
      <c r="A166" s="6"/>
      <c r="B166" s="6"/>
      <c r="C166" s="6"/>
      <c r="D166" s="6"/>
      <c r="E166" s="6"/>
      <c r="F166" s="6"/>
      <c r="G166" s="6"/>
      <c r="H166" s="6"/>
      <c r="I166" s="6"/>
      <c r="J166" s="6"/>
      <c r="K166" s="6"/>
      <c r="L166" s="6"/>
      <c r="M166" s="6"/>
    </row>
    <row r="167" spans="1:13">
      <c r="A167" s="6"/>
      <c r="B167" s="6"/>
      <c r="C167" s="6"/>
      <c r="D167" s="6"/>
      <c r="E167" s="6"/>
      <c r="F167" s="6"/>
      <c r="G167" s="6"/>
      <c r="H167" s="6"/>
      <c r="I167" s="6"/>
      <c r="J167" s="6"/>
      <c r="K167" s="6"/>
      <c r="L167" s="6"/>
      <c r="M167" s="6"/>
    </row>
    <row r="168" spans="1:13">
      <c r="A168" s="6"/>
      <c r="B168" s="6"/>
      <c r="C168" s="6"/>
      <c r="D168" s="6"/>
      <c r="E168" s="6"/>
      <c r="F168" s="6"/>
      <c r="G168" s="6"/>
      <c r="H168" s="6"/>
      <c r="I168" s="6"/>
      <c r="J168" s="6"/>
      <c r="K168" s="6"/>
      <c r="L168" s="6"/>
      <c r="M168" s="6"/>
    </row>
    <row r="169" spans="1:13">
      <c r="A169" s="6"/>
      <c r="B169" s="6"/>
      <c r="C169" s="6"/>
      <c r="D169" s="6"/>
      <c r="E169" s="6"/>
      <c r="F169" s="6"/>
      <c r="G169" s="6"/>
      <c r="H169" s="6"/>
      <c r="I169" s="6"/>
      <c r="J169" s="6"/>
      <c r="K169" s="6"/>
      <c r="L169" s="6"/>
      <c r="M169" s="6"/>
    </row>
    <row r="170" spans="1:13">
      <c r="A170" s="6"/>
      <c r="B170" s="6"/>
      <c r="C170" s="6"/>
      <c r="D170" s="6"/>
      <c r="E170" s="6"/>
      <c r="F170" s="6"/>
      <c r="G170" s="6"/>
      <c r="H170" s="6"/>
      <c r="I170" s="6"/>
      <c r="J170" s="6"/>
      <c r="K170" s="6"/>
      <c r="L170" s="6"/>
      <c r="M170" s="6"/>
    </row>
    <row r="171" spans="1:13">
      <c r="A171" s="6"/>
      <c r="B171" s="6"/>
      <c r="C171" s="6"/>
      <c r="D171" s="6"/>
      <c r="E171" s="6"/>
      <c r="F171" s="6"/>
      <c r="G171" s="6"/>
      <c r="H171" s="6"/>
      <c r="I171" s="6"/>
      <c r="J171" s="6"/>
      <c r="K171" s="6"/>
      <c r="L171" s="6"/>
      <c r="M171" s="6"/>
    </row>
    <row r="172" spans="1:13">
      <c r="A172" s="6"/>
      <c r="B172" s="6"/>
      <c r="C172" s="6"/>
      <c r="D172" s="6"/>
      <c r="E172" s="6"/>
      <c r="F172" s="6"/>
      <c r="G172" s="6"/>
      <c r="H172" s="6"/>
      <c r="I172" s="6"/>
      <c r="J172" s="6"/>
      <c r="K172" s="6"/>
      <c r="L172" s="6"/>
      <c r="M172" s="6"/>
    </row>
    <row r="173" spans="1:13">
      <c r="A173" s="6"/>
      <c r="B173" s="6"/>
      <c r="C173" s="6"/>
      <c r="D173" s="6"/>
      <c r="E173" s="6"/>
      <c r="F173" s="6"/>
      <c r="G173" s="6"/>
      <c r="H173" s="6"/>
      <c r="I173" s="6"/>
      <c r="J173" s="6"/>
      <c r="K173" s="6"/>
      <c r="L173" s="6"/>
      <c r="M173" s="6"/>
    </row>
    <row r="174" spans="1:13">
      <c r="A174" s="6"/>
      <c r="B174" s="6"/>
      <c r="C174" s="6"/>
      <c r="D174" s="6"/>
      <c r="E174" s="6"/>
      <c r="F174" s="6"/>
      <c r="G174" s="6"/>
      <c r="H174" s="6"/>
      <c r="I174" s="6"/>
      <c r="J174" s="6"/>
      <c r="K174" s="6"/>
      <c r="L174" s="6"/>
      <c r="M174" s="6"/>
    </row>
    <row r="175" spans="1:13">
      <c r="A175" s="6"/>
      <c r="B175" s="6"/>
      <c r="C175" s="6"/>
      <c r="D175" s="6"/>
      <c r="E175" s="6"/>
      <c r="F175" s="6"/>
      <c r="G175" s="6"/>
      <c r="H175" s="6"/>
      <c r="I175" s="6"/>
      <c r="J175" s="6"/>
      <c r="K175" s="6"/>
      <c r="L175" s="6"/>
      <c r="M175" s="6"/>
    </row>
    <row r="176" spans="1:13">
      <c r="A176" s="6"/>
      <c r="B176" s="6"/>
      <c r="C176" s="6"/>
      <c r="D176" s="6"/>
      <c r="E176" s="6"/>
      <c r="F176" s="6"/>
      <c r="G176" s="6"/>
      <c r="H176" s="6"/>
      <c r="I176" s="6"/>
      <c r="J176" s="6"/>
      <c r="K176" s="6"/>
      <c r="L176" s="6"/>
      <c r="M176" s="6"/>
    </row>
    <row r="177" spans="1:13">
      <c r="A177" s="6"/>
      <c r="B177" s="6"/>
      <c r="C177" s="6"/>
      <c r="D177" s="6"/>
      <c r="E177" s="6"/>
      <c r="F177" s="6"/>
      <c r="G177" s="6"/>
      <c r="H177" s="6"/>
      <c r="I177" s="6"/>
      <c r="J177" s="6"/>
      <c r="K177" s="6"/>
      <c r="L177" s="6"/>
      <c r="M177" s="6"/>
    </row>
    <row r="178" spans="1:13">
      <c r="A178" s="6"/>
      <c r="B178" s="6"/>
      <c r="C178" s="6"/>
      <c r="D178" s="6"/>
      <c r="E178" s="6"/>
      <c r="F178" s="6"/>
      <c r="G178" s="6"/>
      <c r="H178" s="6"/>
      <c r="I178" s="6"/>
      <c r="J178" s="6"/>
      <c r="K178" s="6"/>
      <c r="L178" s="6"/>
      <c r="M178" s="6"/>
    </row>
    <row r="179" spans="1:13">
      <c r="A179" s="6"/>
      <c r="B179" s="6"/>
      <c r="C179" s="6"/>
      <c r="D179" s="6"/>
      <c r="E179" s="6"/>
      <c r="F179" s="6"/>
      <c r="G179" s="6"/>
      <c r="H179" s="6"/>
      <c r="I179" s="6"/>
      <c r="J179" s="6"/>
      <c r="K179" s="6"/>
      <c r="L179" s="6"/>
      <c r="M179" s="6"/>
    </row>
    <row r="180" spans="1:13">
      <c r="A180" s="6"/>
      <c r="B180" s="6"/>
      <c r="C180" s="6"/>
      <c r="D180" s="6"/>
      <c r="E180" s="6"/>
      <c r="F180" s="6"/>
      <c r="G180" s="6"/>
      <c r="H180" s="6"/>
      <c r="I180" s="6"/>
      <c r="J180" s="6"/>
      <c r="K180" s="6"/>
      <c r="L180" s="6"/>
      <c r="M180" s="6"/>
    </row>
    <row r="181" spans="1:13">
      <c r="A181" s="6"/>
      <c r="B181" s="6"/>
      <c r="C181" s="6"/>
      <c r="D181" s="6"/>
      <c r="E181" s="6"/>
      <c r="F181" s="6"/>
      <c r="G181" s="6"/>
      <c r="H181" s="6"/>
      <c r="I181" s="6"/>
      <c r="J181" s="6"/>
      <c r="K181" s="6"/>
      <c r="L181" s="6"/>
      <c r="M181" s="6"/>
    </row>
    <row r="182" spans="1:13">
      <c r="A182" s="6"/>
      <c r="B182" s="6"/>
      <c r="C182" s="6"/>
      <c r="D182" s="6"/>
      <c r="E182" s="6"/>
      <c r="F182" s="6"/>
      <c r="G182" s="6"/>
      <c r="H182" s="6"/>
      <c r="I182" s="6"/>
      <c r="J182" s="6"/>
      <c r="K182" s="6"/>
      <c r="L182" s="6"/>
      <c r="M182" s="6"/>
    </row>
    <row r="183" spans="1:13">
      <c r="A183" s="6"/>
      <c r="B183" s="6"/>
      <c r="C183" s="6"/>
      <c r="D183" s="6"/>
      <c r="E183" s="6"/>
      <c r="F183" s="6"/>
      <c r="G183" s="6"/>
      <c r="H183" s="6"/>
      <c r="I183" s="6"/>
      <c r="J183" s="6"/>
      <c r="K183" s="6"/>
      <c r="L183" s="6"/>
      <c r="M183" s="6"/>
    </row>
    <row r="184" spans="1:13">
      <c r="A184" s="6"/>
      <c r="B184" s="6"/>
      <c r="C184" s="6"/>
      <c r="D184" s="6"/>
      <c r="E184" s="6"/>
      <c r="F184" s="6"/>
      <c r="G184" s="6"/>
      <c r="H184" s="6"/>
      <c r="I184" s="6"/>
      <c r="J184" s="6"/>
      <c r="K184" s="6"/>
      <c r="L184" s="6"/>
      <c r="M184" s="6"/>
    </row>
    <row r="185" spans="1:13">
      <c r="A185" s="6"/>
      <c r="B185" s="6"/>
      <c r="C185" s="6"/>
      <c r="D185" s="6"/>
      <c r="E185" s="6"/>
      <c r="F185" s="6"/>
      <c r="G185" s="6"/>
      <c r="H185" s="6"/>
      <c r="I185" s="6"/>
      <c r="J185" s="6"/>
      <c r="K185" s="6"/>
      <c r="L185" s="6"/>
      <c r="M185" s="6"/>
    </row>
    <row r="186" spans="1:13">
      <c r="A186" s="6"/>
      <c r="B186" s="6"/>
      <c r="C186" s="6"/>
      <c r="D186" s="6"/>
      <c r="E186" s="6"/>
      <c r="F186" s="6"/>
      <c r="G186" s="6"/>
      <c r="H186" s="6"/>
      <c r="I186" s="6"/>
      <c r="J186" s="6"/>
      <c r="K186" s="6"/>
      <c r="L186" s="6"/>
      <c r="M186" s="6"/>
    </row>
    <row r="187" spans="1:13">
      <c r="A187" s="6"/>
      <c r="B187" s="6"/>
      <c r="C187" s="6"/>
      <c r="D187" s="6"/>
      <c r="E187" s="6"/>
      <c r="F187" s="6"/>
      <c r="G187" s="6"/>
      <c r="H187" s="6"/>
      <c r="I187" s="6"/>
      <c r="J187" s="6"/>
      <c r="K187" s="6"/>
      <c r="L187" s="6"/>
      <c r="M187" s="6"/>
    </row>
    <row r="188" spans="1:13">
      <c r="A188" s="6"/>
      <c r="B188" s="6"/>
      <c r="C188" s="6"/>
      <c r="D188" s="6"/>
      <c r="E188" s="6"/>
      <c r="F188" s="6"/>
      <c r="G188" s="6"/>
      <c r="H188" s="6"/>
      <c r="I188" s="6"/>
      <c r="J188" s="6"/>
      <c r="K188" s="6"/>
      <c r="L188" s="6"/>
      <c r="M188" s="6"/>
    </row>
    <row r="189" spans="1:13">
      <c r="A189" s="6"/>
      <c r="B189" s="6"/>
      <c r="C189" s="6"/>
      <c r="D189" s="6"/>
      <c r="E189" s="6"/>
      <c r="F189" s="6"/>
      <c r="G189" s="6"/>
      <c r="H189" s="6"/>
      <c r="I189" s="6"/>
      <c r="J189" s="6"/>
      <c r="K189" s="6"/>
      <c r="L189" s="6"/>
      <c r="M189" s="6"/>
    </row>
    <row r="190" spans="1:13">
      <c r="A190" s="6"/>
      <c r="B190" s="6"/>
      <c r="C190" s="6"/>
      <c r="D190" s="6"/>
      <c r="E190" s="6"/>
      <c r="F190" s="6"/>
      <c r="G190" s="6"/>
      <c r="H190" s="6"/>
      <c r="I190" s="6"/>
      <c r="J190" s="6"/>
      <c r="K190" s="6"/>
      <c r="L190" s="6"/>
      <c r="M190" s="6"/>
    </row>
    <row r="191" spans="1:13">
      <c r="A191" s="6"/>
      <c r="B191" s="6"/>
      <c r="C191" s="6"/>
      <c r="D191" s="6"/>
      <c r="E191" s="6"/>
      <c r="F191" s="6"/>
      <c r="G191" s="6"/>
      <c r="H191" s="6"/>
      <c r="I191" s="6"/>
      <c r="J191" s="6"/>
      <c r="K191" s="6"/>
      <c r="L191" s="6"/>
      <c r="M191" s="6"/>
    </row>
    <row r="192" spans="1:13">
      <c r="A192" s="6"/>
      <c r="B192" s="6"/>
      <c r="C192" s="6"/>
      <c r="D192" s="6"/>
      <c r="E192" s="6"/>
      <c r="F192" s="6"/>
      <c r="G192" s="6"/>
      <c r="H192" s="6"/>
      <c r="I192" s="6"/>
      <c r="J192" s="6"/>
      <c r="K192" s="6"/>
      <c r="L192" s="6"/>
      <c r="M192" s="6"/>
    </row>
    <row r="193" spans="1:13">
      <c r="A193" s="6"/>
      <c r="B193" s="6"/>
      <c r="C193" s="6"/>
      <c r="D193" s="6"/>
      <c r="E193" s="6"/>
      <c r="F193" s="6"/>
      <c r="G193" s="6"/>
      <c r="H193" s="6"/>
      <c r="I193" s="6"/>
      <c r="J193" s="6"/>
      <c r="K193" s="6"/>
      <c r="L193" s="6"/>
      <c r="M193" s="6"/>
    </row>
    <row r="194" spans="1:13">
      <c r="A194" s="6"/>
      <c r="B194" s="6"/>
      <c r="C194" s="6"/>
      <c r="D194" s="6"/>
      <c r="E194" s="6"/>
      <c r="F194" s="6"/>
      <c r="G194" s="6"/>
      <c r="H194" s="6"/>
      <c r="I194" s="6"/>
      <c r="J194" s="6"/>
      <c r="K194" s="6"/>
      <c r="L194" s="6"/>
      <c r="M194" s="6"/>
    </row>
    <row r="195" spans="1:13">
      <c r="A195" s="6"/>
      <c r="B195" s="6"/>
      <c r="C195" s="6"/>
      <c r="D195" s="6"/>
      <c r="E195" s="6"/>
      <c r="F195" s="6"/>
      <c r="G195" s="6"/>
      <c r="H195" s="6"/>
      <c r="I195" s="6"/>
      <c r="J195" s="6"/>
      <c r="K195" s="6"/>
      <c r="L195" s="6"/>
      <c r="M195" s="6"/>
    </row>
    <row r="196" spans="1:13">
      <c r="A196" s="6"/>
      <c r="B196" s="6"/>
      <c r="C196" s="6"/>
      <c r="D196" s="6"/>
      <c r="E196" s="6"/>
      <c r="F196" s="6"/>
      <c r="G196" s="6"/>
      <c r="H196" s="6"/>
      <c r="I196" s="6"/>
      <c r="J196" s="6"/>
      <c r="K196" s="6"/>
      <c r="L196" s="6"/>
      <c r="M196" s="6"/>
    </row>
    <row r="197" spans="1:13">
      <c r="A197" s="6"/>
      <c r="B197" s="6"/>
      <c r="C197" s="6"/>
      <c r="D197" s="6"/>
      <c r="E197" s="6"/>
      <c r="F197" s="6"/>
      <c r="G197" s="6"/>
      <c r="H197" s="6"/>
      <c r="I197" s="6"/>
      <c r="J197" s="6"/>
      <c r="K197" s="6"/>
      <c r="L197" s="6"/>
      <c r="M197" s="6"/>
    </row>
    <row r="198" spans="1:13">
      <c r="A198" s="6"/>
      <c r="B198" s="6"/>
      <c r="C198" s="6"/>
      <c r="D198" s="6"/>
      <c r="E198" s="6"/>
      <c r="F198" s="6"/>
      <c r="G198" s="6"/>
      <c r="H198" s="6"/>
      <c r="I198" s="6"/>
      <c r="J198" s="6"/>
      <c r="K198" s="6"/>
      <c r="L198" s="6"/>
      <c r="M198" s="6"/>
    </row>
    <row r="199" spans="1:13">
      <c r="A199" s="6"/>
      <c r="B199" s="6"/>
      <c r="C199" s="6"/>
      <c r="D199" s="6"/>
      <c r="E199" s="6"/>
      <c r="F199" s="6"/>
      <c r="G199" s="6"/>
      <c r="H199" s="6"/>
      <c r="I199" s="6"/>
      <c r="J199" s="6"/>
      <c r="K199" s="6"/>
      <c r="L199" s="6"/>
      <c r="M199" s="6"/>
    </row>
    <row r="200" spans="1:13">
      <c r="A200" s="6"/>
      <c r="B200" s="6"/>
      <c r="C200" s="6"/>
      <c r="D200" s="6"/>
      <c r="E200" s="6"/>
      <c r="F200" s="6"/>
      <c r="G200" s="6"/>
      <c r="H200" s="6"/>
      <c r="I200" s="6"/>
      <c r="J200" s="6"/>
      <c r="K200" s="6"/>
      <c r="L200" s="6"/>
      <c r="M200" s="6"/>
    </row>
    <row r="201" spans="1:13">
      <c r="A201" s="6"/>
      <c r="B201" s="6"/>
      <c r="C201" s="6"/>
      <c r="D201" s="6"/>
      <c r="E201" s="6"/>
      <c r="F201" s="6"/>
      <c r="G201" s="6"/>
      <c r="H201" s="6"/>
      <c r="I201" s="6"/>
      <c r="J201" s="6"/>
      <c r="K201" s="6"/>
      <c r="L201" s="6"/>
      <c r="M201" s="6"/>
    </row>
    <row r="202" spans="1:13">
      <c r="A202" s="6"/>
      <c r="B202" s="6"/>
      <c r="C202" s="6"/>
      <c r="D202" s="6"/>
      <c r="E202" s="6"/>
      <c r="F202" s="6"/>
      <c r="G202" s="6"/>
      <c r="H202" s="6"/>
      <c r="I202" s="6"/>
      <c r="J202" s="6"/>
      <c r="K202" s="6"/>
      <c r="L202" s="6"/>
      <c r="M202" s="6"/>
    </row>
    <row r="203" spans="1:13">
      <c r="A203" s="6"/>
      <c r="B203" s="6"/>
      <c r="C203" s="6"/>
      <c r="D203" s="6"/>
      <c r="E203" s="6"/>
      <c r="F203" s="6"/>
      <c r="G203" s="6"/>
      <c r="H203" s="6"/>
      <c r="I203" s="6"/>
      <c r="J203" s="6"/>
      <c r="K203" s="6"/>
      <c r="L203" s="6"/>
      <c r="M203" s="6"/>
    </row>
    <row r="204" spans="1:13">
      <c r="A204" s="6"/>
      <c r="B204" s="6"/>
      <c r="C204" s="6"/>
      <c r="D204" s="6"/>
      <c r="E204" s="6"/>
      <c r="F204" s="6"/>
      <c r="G204" s="6"/>
      <c r="H204" s="6"/>
      <c r="I204" s="6"/>
      <c r="J204" s="6"/>
      <c r="K204" s="6"/>
      <c r="L204" s="6"/>
      <c r="M204" s="6"/>
    </row>
    <row r="205" spans="1:13">
      <c r="A205" s="6"/>
      <c r="B205" s="6"/>
      <c r="C205" s="6"/>
      <c r="D205" s="6"/>
      <c r="E205" s="6"/>
      <c r="F205" s="6"/>
      <c r="G205" s="6"/>
      <c r="H205" s="6"/>
      <c r="I205" s="6"/>
      <c r="J205" s="6"/>
      <c r="K205" s="6"/>
      <c r="L205" s="6"/>
      <c r="M205" s="6"/>
    </row>
    <row r="206" spans="1:13">
      <c r="A206" s="6"/>
      <c r="B206" s="6"/>
      <c r="C206" s="6"/>
      <c r="D206" s="6"/>
      <c r="E206" s="6"/>
      <c r="F206" s="6"/>
      <c r="G206" s="6"/>
      <c r="H206" s="6"/>
      <c r="I206" s="6"/>
      <c r="J206" s="6"/>
      <c r="K206" s="6"/>
      <c r="L206" s="6"/>
      <c r="M206" s="6"/>
    </row>
    <row r="207" spans="1:13">
      <c r="A207" s="6"/>
      <c r="B207" s="6"/>
      <c r="C207" s="6"/>
      <c r="D207" s="6"/>
      <c r="E207" s="6"/>
      <c r="F207" s="6"/>
      <c r="G207" s="6"/>
      <c r="H207" s="6"/>
      <c r="I207" s="6"/>
      <c r="J207" s="6"/>
      <c r="K207" s="6"/>
      <c r="L207" s="6"/>
      <c r="M207" s="6"/>
    </row>
    <row r="208" spans="1:13">
      <c r="A208" s="6"/>
      <c r="B208" s="6"/>
      <c r="C208" s="6"/>
      <c r="D208" s="6"/>
      <c r="E208" s="6"/>
      <c r="F208" s="6"/>
      <c r="G208" s="6"/>
      <c r="H208" s="6"/>
      <c r="I208" s="6"/>
      <c r="J208" s="6"/>
      <c r="K208" s="6"/>
      <c r="L208" s="6"/>
      <c r="M208" s="6"/>
    </row>
    <row r="209" spans="1:13">
      <c r="A209" s="6"/>
      <c r="B209" s="6"/>
      <c r="C209" s="6"/>
      <c r="D209" s="6"/>
      <c r="E209" s="6"/>
      <c r="F209" s="6"/>
      <c r="G209" s="6"/>
      <c r="H209" s="6"/>
      <c r="I209" s="6"/>
      <c r="J209" s="6"/>
      <c r="K209" s="6"/>
      <c r="L209" s="6"/>
      <c r="M209" s="6"/>
    </row>
    <row r="210" spans="1:13">
      <c r="A210" s="6"/>
      <c r="B210" s="6"/>
      <c r="C210" s="6"/>
      <c r="D210" s="6"/>
      <c r="E210" s="6"/>
      <c r="F210" s="6"/>
      <c r="G210" s="6"/>
      <c r="H210" s="6"/>
      <c r="I210" s="6"/>
      <c r="J210" s="6"/>
      <c r="K210" s="6"/>
      <c r="L210" s="6"/>
      <c r="M210" s="6"/>
    </row>
    <row r="211" spans="1:13">
      <c r="A211" s="6"/>
      <c r="B211" s="6"/>
      <c r="C211" s="6"/>
      <c r="D211" s="6"/>
      <c r="E211" s="6"/>
      <c r="F211" s="6"/>
      <c r="G211" s="6"/>
      <c r="H211" s="6"/>
      <c r="I211" s="6"/>
      <c r="J211" s="6"/>
      <c r="K211" s="6"/>
      <c r="L211" s="6"/>
      <c r="M211" s="6"/>
    </row>
    <row r="212" spans="1:13">
      <c r="A212" s="6"/>
      <c r="B212" s="6"/>
      <c r="C212" s="6"/>
      <c r="D212" s="6"/>
      <c r="E212" s="6"/>
      <c r="F212" s="6"/>
      <c r="G212" s="6"/>
      <c r="H212" s="6"/>
      <c r="I212" s="6"/>
      <c r="J212" s="6"/>
      <c r="K212" s="6"/>
      <c r="L212" s="6"/>
      <c r="M212" s="6"/>
    </row>
    <row r="213" spans="1:13">
      <c r="A213" s="6"/>
      <c r="B213" s="6"/>
      <c r="C213" s="6"/>
      <c r="D213" s="6"/>
      <c r="E213" s="6"/>
      <c r="F213" s="6"/>
      <c r="G213" s="6"/>
      <c r="H213" s="6"/>
      <c r="I213" s="6"/>
      <c r="J213" s="6"/>
      <c r="K213" s="6"/>
      <c r="L213" s="6"/>
      <c r="M213" s="6"/>
    </row>
    <row r="214" spans="1:13">
      <c r="A214" s="6"/>
      <c r="B214" s="6"/>
      <c r="C214" s="6"/>
      <c r="D214" s="6"/>
      <c r="E214" s="6"/>
      <c r="F214" s="6"/>
      <c r="G214" s="6"/>
      <c r="H214" s="6"/>
      <c r="I214" s="6"/>
      <c r="J214" s="6"/>
      <c r="K214" s="6"/>
      <c r="L214" s="6"/>
      <c r="M214" s="6"/>
    </row>
    <row r="215" spans="1:13">
      <c r="A215" s="6"/>
      <c r="B215" s="6"/>
      <c r="C215" s="6"/>
      <c r="D215" s="6"/>
      <c r="E215" s="6"/>
      <c r="F215" s="6"/>
      <c r="G215" s="6"/>
      <c r="H215" s="6"/>
      <c r="I215" s="6"/>
      <c r="J215" s="6"/>
      <c r="K215" s="6"/>
      <c r="L215" s="6"/>
      <c r="M215" s="6"/>
    </row>
    <row r="216" spans="1:13">
      <c r="A216" s="6"/>
      <c r="B216" s="6"/>
      <c r="C216" s="6"/>
      <c r="D216" s="6"/>
      <c r="E216" s="6"/>
      <c r="F216" s="6"/>
      <c r="G216" s="6"/>
      <c r="H216" s="6"/>
      <c r="I216" s="6"/>
      <c r="J216" s="6"/>
      <c r="K216" s="6"/>
      <c r="L216" s="6"/>
      <c r="M216" s="6"/>
    </row>
    <row r="217" spans="1:13">
      <c r="A217" s="6"/>
      <c r="B217" s="6"/>
      <c r="C217" s="6"/>
      <c r="D217" s="6"/>
      <c r="E217" s="6"/>
      <c r="F217" s="6"/>
      <c r="G217" s="6"/>
      <c r="H217" s="6"/>
      <c r="I217" s="6"/>
      <c r="J217" s="6"/>
      <c r="K217" s="6"/>
      <c r="L217" s="6"/>
      <c r="M217" s="6"/>
    </row>
    <row r="218" spans="1:13">
      <c r="A218" s="6"/>
      <c r="B218" s="6"/>
      <c r="C218" s="6"/>
      <c r="D218" s="6"/>
      <c r="E218" s="6"/>
      <c r="F218" s="6"/>
      <c r="G218" s="6"/>
      <c r="H218" s="6"/>
      <c r="I218" s="6"/>
      <c r="J218" s="6"/>
      <c r="K218" s="6"/>
      <c r="L218" s="6"/>
      <c r="M218" s="6"/>
    </row>
    <row r="219" spans="1:13">
      <c r="A219" s="6"/>
      <c r="B219" s="6"/>
      <c r="C219" s="6"/>
      <c r="D219" s="6"/>
      <c r="E219" s="6"/>
      <c r="F219" s="6"/>
      <c r="G219" s="6"/>
      <c r="H219" s="6"/>
      <c r="I219" s="6"/>
      <c r="J219" s="6"/>
      <c r="K219" s="6"/>
      <c r="L219" s="6"/>
      <c r="M219" s="6"/>
    </row>
    <row r="220" spans="1:13">
      <c r="A220" s="6"/>
      <c r="B220" s="6"/>
      <c r="C220" s="6"/>
      <c r="D220" s="6"/>
      <c r="E220" s="6"/>
      <c r="F220" s="6"/>
      <c r="G220" s="6"/>
      <c r="H220" s="6"/>
      <c r="I220" s="6"/>
      <c r="J220" s="6"/>
      <c r="K220" s="6"/>
      <c r="L220" s="6"/>
      <c r="M220" s="6"/>
    </row>
    <row r="221" spans="1:13">
      <c r="A221" s="6"/>
    </row>
    <row r="222" spans="1:13">
      <c r="A222" s="6"/>
    </row>
  </sheetData>
  <sheetProtection password="DFF4" sheet="1" objects="1" scenarios="1" formatCells="0" formatColumns="0" formatRows="0" insertRows="0"/>
  <protectedRanges>
    <protectedRange password="DDF4" sqref="A2 A25:D27 I25:J27 A32:D34 I32:J34 A40:A41" name="Range1"/>
    <protectedRange password="DDF4" sqref="M8:M20" name="Range1_1"/>
  </protectedRanges>
  <mergeCells count="14">
    <mergeCell ref="B50:C50"/>
    <mergeCell ref="B51:C51"/>
    <mergeCell ref="A44:C44"/>
    <mergeCell ref="F43:I43"/>
    <mergeCell ref="L21:L23"/>
    <mergeCell ref="L24:L31"/>
    <mergeCell ref="A38:E38"/>
    <mergeCell ref="L42:L46"/>
    <mergeCell ref="M42:M46"/>
    <mergeCell ref="K24:K31"/>
    <mergeCell ref="A1:J1"/>
    <mergeCell ref="A2:J2"/>
    <mergeCell ref="A3:J3"/>
    <mergeCell ref="K21:K23"/>
  </mergeCells>
  <phoneticPr fontId="18" type="noConversion"/>
  <pageMargins left="0.75" right="0.75" top="1" bottom="1" header="0.5" footer="0.5"/>
  <pageSetup scale="49" orientation="landscape"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P218"/>
  <sheetViews>
    <sheetView topLeftCell="B10" zoomScaleNormal="100" workbookViewId="0">
      <selection activeCell="M38" sqref="M38:M42"/>
    </sheetView>
  </sheetViews>
  <sheetFormatPr defaultRowHeight="12.75"/>
  <cols>
    <col min="1" max="1" width="22.85546875" customWidth="1"/>
    <col min="6" max="6" width="11.28515625" customWidth="1"/>
    <col min="7" max="7" width="10.7109375" customWidth="1"/>
    <col min="9" max="9" width="9.7109375" customWidth="1"/>
    <col min="10" max="10" width="10" customWidth="1"/>
    <col min="11" max="11" width="11.42578125" customWidth="1"/>
    <col min="12" max="12" width="11.5703125" customWidth="1"/>
    <col min="13" max="13" width="11" customWidth="1"/>
  </cols>
  <sheetData>
    <row r="1" spans="1:13" ht="14.25">
      <c r="A1" s="474" t="s">
        <v>306</v>
      </c>
      <c r="B1" s="474"/>
      <c r="C1" s="474"/>
      <c r="D1" s="474"/>
      <c r="E1" s="474"/>
      <c r="F1" s="474"/>
      <c r="G1" s="474"/>
      <c r="H1" s="474"/>
      <c r="I1" s="474"/>
      <c r="J1" s="474"/>
      <c r="K1" s="34"/>
      <c r="L1" s="34"/>
      <c r="M1" s="34"/>
    </row>
    <row r="2" spans="1:13" ht="15">
      <c r="A2" s="475" t="s">
        <v>298</v>
      </c>
      <c r="B2" s="475"/>
      <c r="C2" s="475"/>
      <c r="D2" s="475"/>
      <c r="E2" s="475"/>
      <c r="F2" s="475"/>
      <c r="G2" s="475"/>
      <c r="H2" s="475"/>
      <c r="I2" s="475"/>
      <c r="J2" s="475"/>
      <c r="K2" s="34"/>
      <c r="L2" s="34"/>
      <c r="M2" s="34"/>
    </row>
    <row r="3" spans="1:13" ht="15">
      <c r="A3" s="476" t="s">
        <v>309</v>
      </c>
      <c r="B3" s="476"/>
      <c r="C3" s="476"/>
      <c r="D3" s="476"/>
      <c r="E3" s="476"/>
      <c r="F3" s="476"/>
      <c r="G3" s="476"/>
      <c r="H3" s="476"/>
      <c r="I3" s="476"/>
      <c r="J3" s="476"/>
      <c r="K3" s="187"/>
      <c r="L3" s="187"/>
      <c r="M3" s="187"/>
    </row>
    <row r="4" spans="1:13" ht="15">
      <c r="A4" s="188" t="s">
        <v>127</v>
      </c>
      <c r="B4" s="189"/>
      <c r="C4" s="190"/>
      <c r="D4" s="190"/>
      <c r="E4" s="190"/>
      <c r="F4" s="190"/>
      <c r="G4" s="190"/>
      <c r="H4" s="190"/>
      <c r="I4" s="190"/>
      <c r="J4" s="190"/>
      <c r="K4" s="187"/>
      <c r="L4" s="187"/>
      <c r="M4" s="187"/>
    </row>
    <row r="5" spans="1:13" ht="15">
      <c r="A5" s="188"/>
      <c r="B5" s="189"/>
      <c r="C5" s="190"/>
      <c r="D5" s="190"/>
      <c r="E5" s="190"/>
      <c r="F5" s="190"/>
      <c r="G5" s="190"/>
      <c r="H5" s="190"/>
      <c r="I5" s="190"/>
      <c r="J5" s="190"/>
      <c r="K5" s="187"/>
      <c r="L5" s="187"/>
      <c r="M5" s="187"/>
    </row>
    <row r="6" spans="1:13" ht="15.75" thickBot="1">
      <c r="A6" s="191" t="s">
        <v>234</v>
      </c>
      <c r="B6" s="34"/>
      <c r="C6" s="34"/>
      <c r="D6" s="34"/>
      <c r="E6" s="34"/>
      <c r="F6" s="34"/>
      <c r="G6" s="34"/>
      <c r="H6" s="34"/>
      <c r="I6" s="34"/>
      <c r="J6" s="34"/>
      <c r="K6" s="34"/>
      <c r="L6" s="34"/>
      <c r="M6" s="34"/>
    </row>
    <row r="7" spans="1:13" ht="78" customHeight="1" thickTop="1" thickBot="1">
      <c r="A7" s="193" t="s">
        <v>132</v>
      </c>
      <c r="B7" s="192" t="s">
        <v>128</v>
      </c>
      <c r="C7" s="192" t="s">
        <v>129</v>
      </c>
      <c r="D7" s="192" t="s">
        <v>130</v>
      </c>
      <c r="E7" s="193" t="s">
        <v>131</v>
      </c>
      <c r="F7" s="192" t="s">
        <v>254</v>
      </c>
      <c r="G7" s="192" t="s">
        <v>237</v>
      </c>
      <c r="H7" s="192" t="s">
        <v>238</v>
      </c>
      <c r="I7" s="192" t="s">
        <v>289</v>
      </c>
      <c r="J7" s="192" t="s">
        <v>288</v>
      </c>
      <c r="K7" s="193" t="s">
        <v>255</v>
      </c>
      <c r="L7" s="192" t="s">
        <v>267</v>
      </c>
      <c r="M7" s="192" t="s">
        <v>259</v>
      </c>
    </row>
    <row r="8" spans="1:13">
      <c r="A8" s="362" t="s">
        <v>261</v>
      </c>
      <c r="B8" s="20">
        <v>10</v>
      </c>
      <c r="C8" s="377" t="s">
        <v>262</v>
      </c>
      <c r="D8" s="363">
        <v>900</v>
      </c>
      <c r="E8" s="380">
        <v>0.3</v>
      </c>
      <c r="F8" s="21">
        <v>400</v>
      </c>
      <c r="G8" s="364" t="s">
        <v>239</v>
      </c>
      <c r="H8" s="364">
        <v>500</v>
      </c>
      <c r="I8" s="398">
        <f>F8+H8</f>
        <v>900</v>
      </c>
      <c r="J8" s="383">
        <f t="shared" ref="J8:J16" si="0">(F8+H8)*B8</f>
        <v>9000</v>
      </c>
      <c r="K8" s="365">
        <v>90</v>
      </c>
      <c r="L8" s="385">
        <f t="shared" ref="L8:L16" si="1">F8+H8+K8</f>
        <v>990</v>
      </c>
      <c r="M8" s="358" t="s">
        <v>260</v>
      </c>
    </row>
    <row r="9" spans="1:13" ht="24">
      <c r="A9" s="366" t="s">
        <v>263</v>
      </c>
      <c r="B9" s="19">
        <v>20</v>
      </c>
      <c r="C9" s="378" t="s">
        <v>264</v>
      </c>
      <c r="D9" s="367">
        <v>500</v>
      </c>
      <c r="E9" s="381">
        <v>0.5</v>
      </c>
      <c r="F9" s="368">
        <v>700</v>
      </c>
      <c r="G9" s="25"/>
      <c r="H9" s="25">
        <v>0</v>
      </c>
      <c r="I9" s="396">
        <f t="shared" ref="I9:I16" si="2">F9+H9</f>
        <v>700</v>
      </c>
      <c r="J9" s="383">
        <f t="shared" si="0"/>
        <v>14000</v>
      </c>
      <c r="K9" s="365">
        <v>70</v>
      </c>
      <c r="L9" s="385">
        <f t="shared" si="1"/>
        <v>770</v>
      </c>
      <c r="M9" s="358" t="s">
        <v>265</v>
      </c>
    </row>
    <row r="10" spans="1:13">
      <c r="A10" s="366" t="s">
        <v>263</v>
      </c>
      <c r="B10" s="19">
        <v>20</v>
      </c>
      <c r="C10" s="378" t="s">
        <v>262</v>
      </c>
      <c r="D10" s="367">
        <v>900</v>
      </c>
      <c r="E10" s="381">
        <v>0.5</v>
      </c>
      <c r="F10" s="368">
        <v>650</v>
      </c>
      <c r="G10" s="25" t="s">
        <v>239</v>
      </c>
      <c r="H10" s="25">
        <v>250</v>
      </c>
      <c r="I10" s="396">
        <f t="shared" si="2"/>
        <v>900</v>
      </c>
      <c r="J10" s="383">
        <f t="shared" si="0"/>
        <v>18000</v>
      </c>
      <c r="K10" s="365">
        <v>90</v>
      </c>
      <c r="L10" s="385">
        <f t="shared" si="1"/>
        <v>990</v>
      </c>
      <c r="M10" s="194"/>
    </row>
    <row r="11" spans="1:13">
      <c r="A11" s="366"/>
      <c r="B11" s="19"/>
      <c r="C11" s="378"/>
      <c r="D11" s="367"/>
      <c r="E11" s="381"/>
      <c r="F11" s="368"/>
      <c r="G11" s="25"/>
      <c r="H11" s="25"/>
      <c r="I11" s="396">
        <f t="shared" si="2"/>
        <v>0</v>
      </c>
      <c r="J11" s="383">
        <f t="shared" si="0"/>
        <v>0</v>
      </c>
      <c r="K11" s="365"/>
      <c r="L11" s="385">
        <f t="shared" si="1"/>
        <v>0</v>
      </c>
      <c r="M11" s="194"/>
    </row>
    <row r="12" spans="1:13">
      <c r="A12" s="366"/>
      <c r="B12" s="19"/>
      <c r="C12" s="378"/>
      <c r="D12" s="367"/>
      <c r="E12" s="381"/>
      <c r="F12" s="368"/>
      <c r="G12" s="25"/>
      <c r="H12" s="25"/>
      <c r="I12" s="396">
        <f t="shared" si="2"/>
        <v>0</v>
      </c>
      <c r="J12" s="383">
        <f t="shared" si="0"/>
        <v>0</v>
      </c>
      <c r="K12" s="365"/>
      <c r="L12" s="385">
        <f t="shared" si="1"/>
        <v>0</v>
      </c>
      <c r="M12" s="194"/>
    </row>
    <row r="13" spans="1:13">
      <c r="A13" s="369"/>
      <c r="B13" s="25"/>
      <c r="C13" s="378"/>
      <c r="D13" s="367"/>
      <c r="E13" s="381"/>
      <c r="F13" s="368"/>
      <c r="G13" s="25"/>
      <c r="H13" s="25"/>
      <c r="I13" s="396">
        <f t="shared" si="2"/>
        <v>0</v>
      </c>
      <c r="J13" s="383">
        <f t="shared" si="0"/>
        <v>0</v>
      </c>
      <c r="K13" s="365"/>
      <c r="L13" s="385">
        <f t="shared" si="1"/>
        <v>0</v>
      </c>
      <c r="M13" s="194"/>
    </row>
    <row r="14" spans="1:13">
      <c r="A14" s="370"/>
      <c r="B14" s="25"/>
      <c r="C14" s="378"/>
      <c r="D14" s="367"/>
      <c r="E14" s="381"/>
      <c r="F14" s="368"/>
      <c r="G14" s="19"/>
      <c r="H14" s="19"/>
      <c r="I14" s="396">
        <f t="shared" si="2"/>
        <v>0</v>
      </c>
      <c r="J14" s="383">
        <f t="shared" si="0"/>
        <v>0</v>
      </c>
      <c r="K14" s="365"/>
      <c r="L14" s="385">
        <f t="shared" si="1"/>
        <v>0</v>
      </c>
      <c r="M14" s="194"/>
    </row>
    <row r="15" spans="1:13">
      <c r="A15" s="369"/>
      <c r="B15" s="25"/>
      <c r="C15" s="378"/>
      <c r="D15" s="367"/>
      <c r="E15" s="381"/>
      <c r="F15" s="368"/>
      <c r="G15" s="19"/>
      <c r="H15" s="19"/>
      <c r="I15" s="396">
        <f t="shared" si="2"/>
        <v>0</v>
      </c>
      <c r="J15" s="383">
        <f t="shared" si="0"/>
        <v>0</v>
      </c>
      <c r="K15" s="365"/>
      <c r="L15" s="385">
        <f t="shared" si="1"/>
        <v>0</v>
      </c>
      <c r="M15" s="194"/>
    </row>
    <row r="16" spans="1:13" ht="13.5" thickBot="1">
      <c r="A16" s="371"/>
      <c r="B16" s="372"/>
      <c r="C16" s="379"/>
      <c r="D16" s="373"/>
      <c r="E16" s="382"/>
      <c r="F16" s="374"/>
      <c r="G16" s="372"/>
      <c r="H16" s="372"/>
      <c r="I16" s="397">
        <f t="shared" si="2"/>
        <v>0</v>
      </c>
      <c r="J16" s="386">
        <f t="shared" si="0"/>
        <v>0</v>
      </c>
      <c r="K16" s="372"/>
      <c r="L16" s="387">
        <f t="shared" si="1"/>
        <v>0</v>
      </c>
      <c r="M16" s="195"/>
    </row>
    <row r="17" spans="1:13" ht="15.75" customHeight="1" thickBot="1">
      <c r="A17" s="353" t="s">
        <v>134</v>
      </c>
      <c r="B17" s="354">
        <f>SUM(B8:B16)</f>
        <v>50</v>
      </c>
      <c r="C17" s="355"/>
      <c r="D17" s="355"/>
      <c r="E17" s="356"/>
      <c r="F17" s="357"/>
      <c r="G17" s="209"/>
      <c r="H17" s="395"/>
      <c r="I17" s="211" t="s">
        <v>135</v>
      </c>
      <c r="J17" s="384">
        <f>SUM(J8:J16)</f>
        <v>41000</v>
      </c>
      <c r="K17" s="477"/>
      <c r="L17" s="477" t="s">
        <v>256</v>
      </c>
      <c r="M17" s="196"/>
    </row>
    <row r="18" spans="1:13" ht="13.5" thickTop="1">
      <c r="A18" s="187"/>
      <c r="B18" s="197"/>
      <c r="C18" s="187"/>
      <c r="D18" s="187"/>
      <c r="E18" s="198"/>
      <c r="F18" s="199"/>
      <c r="G18" s="199"/>
      <c r="H18" s="199"/>
      <c r="I18" s="199"/>
      <c r="J18" s="199"/>
      <c r="K18" s="478"/>
      <c r="L18" s="478"/>
      <c r="M18" s="34"/>
    </row>
    <row r="19" spans="1:13" ht="15.75" thickBot="1">
      <c r="A19" s="191" t="s">
        <v>229</v>
      </c>
      <c r="B19" s="197"/>
      <c r="C19" s="187"/>
      <c r="D19" s="187"/>
      <c r="E19" s="198"/>
      <c r="F19" s="199"/>
      <c r="G19" s="199"/>
      <c r="H19" s="199"/>
      <c r="I19" s="199"/>
      <c r="J19" s="199"/>
      <c r="K19" s="478"/>
      <c r="L19" s="478"/>
      <c r="M19" s="34"/>
    </row>
    <row r="20" spans="1:13" ht="49.5" thickTop="1" thickBot="1">
      <c r="A20" s="193" t="s">
        <v>132</v>
      </c>
      <c r="B20" s="299" t="s">
        <v>40</v>
      </c>
      <c r="C20" s="16" t="s">
        <v>129</v>
      </c>
      <c r="D20" s="16" t="s">
        <v>130</v>
      </c>
      <c r="E20" s="300"/>
      <c r="F20" s="301"/>
      <c r="G20" s="302"/>
      <c r="H20" s="302"/>
      <c r="I20" s="303" t="s">
        <v>136</v>
      </c>
      <c r="J20" s="403" t="s">
        <v>133</v>
      </c>
      <c r="K20" s="472"/>
      <c r="L20" s="472" t="s">
        <v>268</v>
      </c>
      <c r="M20" s="34"/>
    </row>
    <row r="21" spans="1:13">
      <c r="A21" s="200"/>
      <c r="B21" s="201">
        <v>1</v>
      </c>
      <c r="C21" s="388" t="s">
        <v>266</v>
      </c>
      <c r="D21" s="201">
        <v>1300</v>
      </c>
      <c r="E21" s="212"/>
      <c r="F21" s="202"/>
      <c r="G21" s="202"/>
      <c r="H21" s="202"/>
      <c r="I21" s="389">
        <v>1300</v>
      </c>
      <c r="J21" s="402">
        <f>I21*B21</f>
        <v>1300</v>
      </c>
      <c r="K21" s="472"/>
      <c r="L21" s="472"/>
      <c r="M21" s="34"/>
    </row>
    <row r="22" spans="1:13">
      <c r="A22" s="204"/>
      <c r="B22" s="194"/>
      <c r="C22" s="375"/>
      <c r="D22" s="194"/>
      <c r="E22" s="212"/>
      <c r="F22" s="202"/>
      <c r="G22" s="202"/>
      <c r="H22" s="202"/>
      <c r="I22" s="390"/>
      <c r="J22" s="394">
        <f>I22*B22</f>
        <v>0</v>
      </c>
      <c r="K22" s="472"/>
      <c r="L22" s="472"/>
      <c r="M22" s="34"/>
    </row>
    <row r="23" spans="1:13" ht="13.5" thickBot="1">
      <c r="A23" s="205"/>
      <c r="B23" s="195"/>
      <c r="C23" s="376"/>
      <c r="D23" s="195"/>
      <c r="E23" s="304"/>
      <c r="F23" s="305"/>
      <c r="G23" s="305"/>
      <c r="H23" s="305"/>
      <c r="I23" s="391"/>
      <c r="J23" s="373">
        <f>I23*B23</f>
        <v>0</v>
      </c>
      <c r="K23" s="472"/>
      <c r="L23" s="472"/>
      <c r="M23" s="34"/>
    </row>
    <row r="24" spans="1:13" ht="15.75" thickBot="1">
      <c r="A24" s="206" t="s">
        <v>134</v>
      </c>
      <c r="B24" s="207">
        <f>SUM(B21:B23)</f>
        <v>1</v>
      </c>
      <c r="C24" s="208"/>
      <c r="D24" s="209"/>
      <c r="E24" s="306"/>
      <c r="F24" s="210"/>
      <c r="G24" s="307"/>
      <c r="H24" s="308"/>
      <c r="I24" s="392" t="s">
        <v>135</v>
      </c>
      <c r="J24" s="393">
        <f>SUM(J21:J23)</f>
        <v>1300</v>
      </c>
      <c r="K24" s="472"/>
      <c r="L24" s="472"/>
      <c r="M24" s="34"/>
    </row>
    <row r="25" spans="1:13" ht="13.5" thickTop="1">
      <c r="A25" s="187"/>
      <c r="B25" s="34"/>
      <c r="C25" s="34"/>
      <c r="D25" s="34"/>
      <c r="E25" s="34"/>
      <c r="F25" s="34"/>
      <c r="G25" s="34"/>
      <c r="H25" s="34"/>
      <c r="I25" s="34"/>
      <c r="J25" s="34"/>
      <c r="K25" s="472"/>
      <c r="L25" s="472"/>
      <c r="M25" s="34"/>
    </row>
    <row r="26" spans="1:13" ht="15.75" thickBot="1">
      <c r="A26" s="191" t="s">
        <v>137</v>
      </c>
      <c r="B26" s="34"/>
      <c r="C26" s="34"/>
      <c r="D26" s="34"/>
      <c r="E26" s="34"/>
      <c r="F26" s="34"/>
      <c r="G26" s="34"/>
      <c r="H26" s="34"/>
      <c r="I26" s="34"/>
      <c r="J26" s="34"/>
      <c r="K26" s="472"/>
      <c r="L26" s="472"/>
      <c r="M26" s="34"/>
    </row>
    <row r="27" spans="1:13" ht="37.5" thickTop="1" thickBot="1">
      <c r="A27" s="193"/>
      <c r="B27" s="299" t="s">
        <v>40</v>
      </c>
      <c r="C27" s="16" t="s">
        <v>129</v>
      </c>
      <c r="D27" s="309" t="s">
        <v>130</v>
      </c>
      <c r="E27" s="300"/>
      <c r="F27" s="301"/>
      <c r="G27" s="302"/>
      <c r="H27" s="310"/>
      <c r="I27" s="303" t="s">
        <v>136</v>
      </c>
      <c r="J27" s="403" t="s">
        <v>138</v>
      </c>
      <c r="K27" s="473"/>
      <c r="L27" s="473"/>
      <c r="M27" s="34"/>
    </row>
    <row r="28" spans="1:13">
      <c r="A28" s="200"/>
      <c r="B28" s="201"/>
      <c r="C28" s="404"/>
      <c r="D28" s="311"/>
      <c r="E28" s="212"/>
      <c r="F28" s="202"/>
      <c r="G28" s="202"/>
      <c r="H28" s="203"/>
      <c r="I28" s="389"/>
      <c r="J28" s="402">
        <f>I28*B28</f>
        <v>0</v>
      </c>
      <c r="K28" s="34"/>
      <c r="L28" s="34"/>
      <c r="M28" s="34"/>
    </row>
    <row r="29" spans="1:13">
      <c r="A29" s="204"/>
      <c r="B29" s="194"/>
      <c r="C29" s="375"/>
      <c r="D29" s="312"/>
      <c r="E29" s="212"/>
      <c r="F29" s="202"/>
      <c r="G29" s="202"/>
      <c r="H29" s="203"/>
      <c r="I29" s="390"/>
      <c r="J29" s="394">
        <f>I29*B29</f>
        <v>0</v>
      </c>
      <c r="K29" s="34"/>
      <c r="L29" s="34"/>
      <c r="M29" s="34"/>
    </row>
    <row r="30" spans="1:13" ht="13.5" thickBot="1">
      <c r="A30" s="205"/>
      <c r="B30" s="195"/>
      <c r="C30" s="376"/>
      <c r="D30" s="313"/>
      <c r="E30" s="314"/>
      <c r="F30" s="315"/>
      <c r="G30" s="315"/>
      <c r="H30" s="316"/>
      <c r="I30" s="391"/>
      <c r="J30" s="373">
        <f>I30*B30</f>
        <v>0</v>
      </c>
      <c r="K30" s="34"/>
      <c r="L30" s="34"/>
      <c r="M30" s="34"/>
    </row>
    <row r="31" spans="1:13" ht="15.75" thickBot="1">
      <c r="A31" s="213" t="s">
        <v>134</v>
      </c>
      <c r="B31" s="207">
        <f>SUM(B28:B30)</f>
        <v>0</v>
      </c>
      <c r="C31" s="210"/>
      <c r="D31" s="208"/>
      <c r="E31" s="210"/>
      <c r="F31" s="210"/>
      <c r="G31" s="307"/>
      <c r="H31" s="308"/>
      <c r="I31" s="392" t="s">
        <v>135</v>
      </c>
      <c r="J31" s="393">
        <f>SUM(J28:J30)</f>
        <v>0</v>
      </c>
      <c r="K31" s="34"/>
      <c r="L31" s="34"/>
      <c r="M31" s="34"/>
    </row>
    <row r="32" spans="1:13" ht="15.75" thickTop="1">
      <c r="A32" s="214"/>
      <c r="B32" s="215"/>
      <c r="C32" s="196"/>
      <c r="D32" s="196"/>
      <c r="E32" s="196"/>
      <c r="F32" s="196"/>
      <c r="G32" s="214"/>
      <c r="H32" s="34"/>
      <c r="I32" s="216"/>
      <c r="J32" s="216"/>
      <c r="K32" s="34"/>
      <c r="L32" s="34"/>
      <c r="M32" s="34"/>
    </row>
    <row r="33" spans="1:16" ht="15.75" thickBot="1">
      <c r="A33" s="191" t="s">
        <v>199</v>
      </c>
      <c r="B33" s="34"/>
      <c r="C33" s="34"/>
      <c r="D33" s="34"/>
      <c r="E33" s="34"/>
      <c r="F33" s="34"/>
      <c r="G33" s="34"/>
      <c r="H33" s="34"/>
      <c r="I33" s="34"/>
      <c r="J33" s="34"/>
      <c r="K33" s="34"/>
      <c r="L33" s="297" t="s">
        <v>139</v>
      </c>
      <c r="M33" s="297"/>
      <c r="N33" s="34"/>
      <c r="O33" s="34"/>
      <c r="P33" s="34"/>
    </row>
    <row r="34" spans="1:16" ht="42" customHeight="1" thickTop="1">
      <c r="A34" s="486" t="s">
        <v>201</v>
      </c>
      <c r="B34" s="487"/>
      <c r="C34" s="487"/>
      <c r="D34" s="487"/>
      <c r="E34" s="487"/>
      <c r="F34" s="152"/>
      <c r="G34" s="90"/>
      <c r="H34" s="90"/>
      <c r="I34" s="90"/>
      <c r="J34" s="90"/>
      <c r="K34" s="34"/>
      <c r="L34" s="296" t="s">
        <v>142</v>
      </c>
      <c r="M34" s="217">
        <f>J31+J24+J17</f>
        <v>42300</v>
      </c>
      <c r="N34" s="34"/>
      <c r="O34" s="34"/>
      <c r="P34" s="34"/>
    </row>
    <row r="35" spans="1:16" ht="15">
      <c r="A35" s="232">
        <f>SUM(B31,B24,B17)</f>
        <v>51</v>
      </c>
      <c r="B35" s="233" t="s">
        <v>140</v>
      </c>
      <c r="C35" s="234"/>
      <c r="D35" s="234"/>
      <c r="E35" s="405" t="s">
        <v>141</v>
      </c>
      <c r="F35" s="34"/>
      <c r="G35" s="34"/>
      <c r="H35" s="34"/>
      <c r="I35" s="34"/>
      <c r="J35" s="34"/>
      <c r="K35" s="34"/>
      <c r="L35" s="298"/>
      <c r="M35" s="218"/>
      <c r="N35" s="34"/>
      <c r="O35" s="34"/>
      <c r="P35" s="34"/>
    </row>
    <row r="36" spans="1:16">
      <c r="A36" s="361"/>
      <c r="B36" s="234"/>
      <c r="C36" s="235"/>
      <c r="D36" s="236" t="s">
        <v>270</v>
      </c>
      <c r="E36" s="406">
        <f>10/50</f>
        <v>0.2</v>
      </c>
      <c r="F36" s="34"/>
      <c r="G36" s="34"/>
      <c r="H36" s="34"/>
      <c r="I36" s="34"/>
      <c r="J36" s="34"/>
      <c r="K36" s="34"/>
      <c r="L36" s="219"/>
      <c r="M36" s="220" t="s">
        <v>143</v>
      </c>
      <c r="N36" s="34"/>
      <c r="O36" s="34"/>
      <c r="P36" s="34"/>
    </row>
    <row r="37" spans="1:16" ht="15">
      <c r="A37" s="361"/>
      <c r="B37" s="234"/>
      <c r="C37" s="234"/>
      <c r="D37" s="236" t="s">
        <v>271</v>
      </c>
      <c r="E37" s="406">
        <f>40/50</f>
        <v>0.8</v>
      </c>
      <c r="F37" s="34"/>
      <c r="G37" s="34"/>
      <c r="H37" s="34"/>
      <c r="I37" s="34"/>
      <c r="J37" s="34"/>
      <c r="K37" s="34"/>
      <c r="L37" s="234"/>
      <c r="M37" s="317"/>
      <c r="N37" s="34"/>
      <c r="O37" s="34"/>
      <c r="P37" s="34"/>
    </row>
    <row r="38" spans="1:16" ht="17.25" customHeight="1">
      <c r="A38" s="196"/>
      <c r="B38" s="196"/>
      <c r="C38" s="196"/>
      <c r="D38" s="196"/>
      <c r="E38" s="237"/>
      <c r="F38" s="34"/>
      <c r="G38" s="401"/>
      <c r="H38" s="401"/>
      <c r="I38" s="401"/>
      <c r="J38" s="401"/>
      <c r="K38" s="2"/>
      <c r="L38" s="491" t="s">
        <v>144</v>
      </c>
      <c r="M38" s="469">
        <f>M34*12</f>
        <v>507600</v>
      </c>
      <c r="N38" s="34"/>
      <c r="O38" s="34"/>
      <c r="P38" s="34"/>
    </row>
    <row r="39" spans="1:16" ht="15">
      <c r="A39" s="191" t="s">
        <v>286</v>
      </c>
      <c r="B39" s="34"/>
      <c r="C39" s="34"/>
      <c r="D39" s="196"/>
      <c r="E39" s="237"/>
      <c r="F39" s="191" t="s">
        <v>287</v>
      </c>
      <c r="G39" s="191"/>
      <c r="H39" s="432"/>
      <c r="I39" s="432"/>
      <c r="J39" s="432"/>
      <c r="K39" s="2"/>
      <c r="L39" s="470"/>
      <c r="M39" s="470"/>
      <c r="N39" s="34"/>
      <c r="O39" s="34"/>
      <c r="P39" s="34"/>
    </row>
    <row r="40" spans="1:16" ht="27.75" customHeight="1" thickBot="1">
      <c r="A40" s="483" t="s">
        <v>272</v>
      </c>
      <c r="B40" s="484"/>
      <c r="C40" s="484"/>
      <c r="D40" s="196"/>
      <c r="E40" s="237"/>
      <c r="K40" s="2"/>
      <c r="L40" s="470"/>
      <c r="M40" s="470"/>
      <c r="N40" s="34"/>
      <c r="O40" s="34"/>
      <c r="P40" s="34"/>
    </row>
    <row r="41" spans="1:16" ht="49.5" thickTop="1" thickBot="1">
      <c r="A41" s="408"/>
      <c r="B41" s="409" t="s">
        <v>145</v>
      </c>
      <c r="C41" s="410" t="s">
        <v>273</v>
      </c>
      <c r="D41" s="196"/>
      <c r="E41" s="237"/>
      <c r="F41" s="413" t="s">
        <v>279</v>
      </c>
      <c r="G41" s="413" t="s">
        <v>40</v>
      </c>
      <c r="H41" s="424" t="s">
        <v>313</v>
      </c>
      <c r="I41" s="424" t="s">
        <v>314</v>
      </c>
      <c r="J41" s="413"/>
      <c r="K41" s="2"/>
      <c r="L41" s="470"/>
      <c r="M41" s="470"/>
      <c r="N41" s="34"/>
      <c r="O41" s="34"/>
      <c r="P41" s="34"/>
    </row>
    <row r="42" spans="1:16" ht="14.25" thickTop="1" thickBot="1">
      <c r="A42" s="411" t="s">
        <v>274</v>
      </c>
      <c r="B42" s="19"/>
      <c r="C42" s="28" t="s">
        <v>299</v>
      </c>
      <c r="D42" s="196"/>
      <c r="E42" s="237"/>
      <c r="F42" s="414" t="s">
        <v>280</v>
      </c>
      <c r="G42" s="415"/>
      <c r="H42" s="428"/>
      <c r="I42" s="429"/>
      <c r="J42" s="418"/>
      <c r="K42" s="2"/>
      <c r="L42" s="471"/>
      <c r="M42" s="471"/>
      <c r="N42" s="34"/>
      <c r="O42" s="34"/>
      <c r="P42" s="34"/>
    </row>
    <row r="43" spans="1:16" ht="15.75" thickTop="1">
      <c r="A43" s="411" t="s">
        <v>275</v>
      </c>
      <c r="B43" s="19"/>
      <c r="C43" s="28" t="s">
        <v>299</v>
      </c>
      <c r="D43" s="196"/>
      <c r="E43" s="237"/>
      <c r="F43" s="411" t="s">
        <v>281</v>
      </c>
      <c r="G43" s="28"/>
      <c r="H43" s="426"/>
      <c r="I43" s="434"/>
      <c r="J43" s="407"/>
      <c r="K43" s="34"/>
      <c r="L43" s="34"/>
      <c r="M43" s="34"/>
    </row>
    <row r="44" spans="1:16" ht="15">
      <c r="A44" s="411" t="s">
        <v>276</v>
      </c>
      <c r="B44" s="19"/>
      <c r="C44" s="28" t="s">
        <v>299</v>
      </c>
      <c r="D44" s="196"/>
      <c r="E44" s="237"/>
      <c r="F44" s="411" t="s">
        <v>282</v>
      </c>
      <c r="G44" s="416">
        <v>25</v>
      </c>
      <c r="H44" s="426">
        <v>10</v>
      </c>
      <c r="I44" s="434">
        <v>5</v>
      </c>
      <c r="J44" s="407"/>
      <c r="K44" s="34"/>
      <c r="L44" s="34"/>
      <c r="M44" s="34"/>
    </row>
    <row r="45" spans="1:16" ht="15">
      <c r="A45" s="411" t="s">
        <v>277</v>
      </c>
      <c r="B45" s="19" t="s">
        <v>300</v>
      </c>
      <c r="C45" s="28"/>
      <c r="D45" s="196"/>
      <c r="E45" s="237"/>
      <c r="F45" s="411" t="s">
        <v>283</v>
      </c>
      <c r="G45" s="416">
        <v>25</v>
      </c>
      <c r="H45" s="426">
        <v>10</v>
      </c>
      <c r="I45" s="434">
        <v>5</v>
      </c>
      <c r="J45" s="407"/>
      <c r="K45" s="34"/>
      <c r="L45" s="34"/>
      <c r="M45" s="34"/>
    </row>
    <row r="46" spans="1:16" ht="15">
      <c r="A46" s="411" t="s">
        <v>146</v>
      </c>
      <c r="B46" s="479" t="s">
        <v>300</v>
      </c>
      <c r="C46" s="480"/>
      <c r="D46" s="196"/>
      <c r="E46" s="237"/>
      <c r="F46" s="411" t="s">
        <v>284</v>
      </c>
      <c r="G46" s="416"/>
      <c r="H46" s="426"/>
      <c r="I46" s="434"/>
      <c r="J46" s="407"/>
      <c r="K46" s="34"/>
      <c r="L46" s="34"/>
      <c r="M46" s="34"/>
    </row>
    <row r="47" spans="1:16" ht="13.5" thickBot="1">
      <c r="A47" s="412" t="s">
        <v>278</v>
      </c>
      <c r="B47" s="481" t="s">
        <v>300</v>
      </c>
      <c r="C47" s="482"/>
      <c r="D47" s="34"/>
      <c r="E47" s="34"/>
      <c r="F47" s="412" t="s">
        <v>285</v>
      </c>
      <c r="G47" s="32"/>
      <c r="H47" s="430"/>
      <c r="I47" s="431"/>
      <c r="J47" s="34"/>
      <c r="K47" s="34"/>
      <c r="L47" s="34"/>
      <c r="M47" s="34"/>
    </row>
    <row r="48" spans="1:16" ht="13.5" thickTop="1">
      <c r="A48" s="417"/>
      <c r="B48" s="418"/>
      <c r="C48" s="418"/>
      <c r="D48" s="34"/>
      <c r="E48" s="34"/>
      <c r="F48" s="417"/>
      <c r="G48" s="418"/>
      <c r="H48" s="34"/>
      <c r="I48" s="34"/>
      <c r="J48" s="34"/>
      <c r="K48" s="34"/>
      <c r="L48" s="34"/>
      <c r="M48" s="34"/>
    </row>
    <row r="49" spans="1:13">
      <c r="A49" s="222" t="s">
        <v>230</v>
      </c>
      <c r="B49" s="34"/>
      <c r="C49" s="34"/>
      <c r="D49" s="34"/>
      <c r="E49" s="34"/>
      <c r="F49" s="34"/>
      <c r="G49" s="34"/>
      <c r="H49" s="34"/>
      <c r="I49" s="34"/>
      <c r="J49" s="34"/>
      <c r="K49" s="34"/>
      <c r="L49" s="34"/>
      <c r="M49" s="34"/>
    </row>
    <row r="50" spans="1:13">
      <c r="A50" s="221" t="s">
        <v>147</v>
      </c>
      <c r="B50" s="34"/>
      <c r="C50" s="34"/>
      <c r="D50" s="34"/>
      <c r="E50" s="34"/>
      <c r="F50" s="34"/>
      <c r="G50" s="34"/>
      <c r="H50" s="34"/>
      <c r="I50" s="34"/>
      <c r="J50" s="34"/>
      <c r="K50" s="34"/>
      <c r="L50" s="34"/>
      <c r="M50" s="34"/>
    </row>
    <row r="51" spans="1:13">
      <c r="A51" s="222" t="s">
        <v>228</v>
      </c>
      <c r="B51" s="34"/>
      <c r="C51" s="34"/>
      <c r="D51" s="34"/>
      <c r="E51" s="34"/>
      <c r="F51" s="34"/>
      <c r="G51" s="34"/>
      <c r="H51" s="34"/>
      <c r="I51" s="34"/>
      <c r="J51" s="34"/>
      <c r="K51" s="34"/>
      <c r="L51" s="34"/>
      <c r="M51" s="34"/>
    </row>
    <row r="52" spans="1:13">
      <c r="A52" s="187"/>
      <c r="B52" s="34"/>
      <c r="C52" s="34"/>
      <c r="D52" s="34"/>
      <c r="E52" s="34"/>
      <c r="F52" s="34"/>
      <c r="G52" s="34"/>
      <c r="H52" s="34"/>
      <c r="I52" s="34"/>
      <c r="J52" s="34"/>
      <c r="K52" s="34"/>
      <c r="L52" s="34"/>
      <c r="M52" s="34"/>
    </row>
    <row r="53" spans="1:13">
      <c r="A53" s="187"/>
      <c r="B53" s="34"/>
      <c r="C53" s="34"/>
      <c r="D53" s="34"/>
      <c r="E53" s="34"/>
      <c r="F53" s="34"/>
      <c r="G53" s="34"/>
      <c r="H53" s="34"/>
      <c r="I53" s="34"/>
      <c r="J53" s="34"/>
      <c r="K53" s="34"/>
      <c r="L53" s="34"/>
      <c r="M53" s="34"/>
    </row>
    <row r="54" spans="1:13">
      <c r="A54" s="187"/>
      <c r="B54" s="34"/>
      <c r="C54" s="34"/>
      <c r="D54" s="34"/>
      <c r="E54" s="34"/>
      <c r="F54" s="34"/>
      <c r="G54" s="34"/>
      <c r="H54" s="34"/>
      <c r="I54" s="34"/>
      <c r="J54" s="34"/>
      <c r="K54" s="34"/>
      <c r="L54" s="34"/>
      <c r="M54" s="34"/>
    </row>
    <row r="55" spans="1:13">
      <c r="A55" s="187"/>
      <c r="B55" s="34"/>
      <c r="C55" s="34"/>
      <c r="D55" s="34"/>
      <c r="E55" s="34"/>
      <c r="F55" s="34"/>
      <c r="G55" s="34"/>
      <c r="H55" s="34"/>
      <c r="I55" s="34"/>
      <c r="J55" s="34"/>
      <c r="K55" s="34"/>
      <c r="L55" s="34"/>
      <c r="M55" s="34"/>
    </row>
    <row r="56" spans="1:13">
      <c r="A56" s="187"/>
      <c r="B56" s="34"/>
      <c r="C56" s="34"/>
      <c r="D56" s="34"/>
      <c r="E56" s="34"/>
      <c r="F56" s="34"/>
      <c r="G56" s="34"/>
      <c r="H56" s="34"/>
      <c r="I56" s="34"/>
      <c r="J56" s="34"/>
      <c r="K56" s="34"/>
      <c r="L56" s="34"/>
      <c r="M56" s="34"/>
    </row>
    <row r="57" spans="1:13">
      <c r="A57" s="187"/>
      <c r="B57" s="34"/>
      <c r="C57" s="34"/>
      <c r="D57" s="34"/>
      <c r="E57" s="34"/>
      <c r="F57" s="34"/>
      <c r="G57" s="34"/>
      <c r="H57" s="34"/>
      <c r="I57" s="34"/>
      <c r="J57" s="34"/>
      <c r="K57" s="34"/>
      <c r="L57" s="34"/>
      <c r="M57" s="34"/>
    </row>
    <row r="58" spans="1:13">
      <c r="A58" s="187"/>
      <c r="B58" s="34"/>
      <c r="C58" s="34"/>
      <c r="D58" s="34"/>
      <c r="E58" s="34"/>
      <c r="F58" s="34"/>
      <c r="G58" s="34"/>
      <c r="H58" s="34"/>
      <c r="I58" s="34"/>
      <c r="J58" s="34"/>
      <c r="K58" s="34"/>
      <c r="L58" s="34"/>
      <c r="M58" s="34"/>
    </row>
    <row r="59" spans="1:13">
      <c r="A59" s="187"/>
      <c r="B59" s="34"/>
      <c r="C59" s="34"/>
      <c r="D59" s="34"/>
      <c r="E59" s="34"/>
      <c r="F59" s="34"/>
      <c r="G59" s="34"/>
      <c r="H59" s="34"/>
      <c r="I59" s="34"/>
      <c r="J59" s="34"/>
      <c r="K59" s="34"/>
      <c r="L59" s="34"/>
      <c r="M59" s="34"/>
    </row>
    <row r="60" spans="1:13">
      <c r="A60" s="187"/>
      <c r="B60" s="34"/>
      <c r="C60" s="34"/>
      <c r="D60" s="34"/>
      <c r="E60" s="34"/>
      <c r="F60" s="34"/>
      <c r="G60" s="34"/>
      <c r="H60" s="34"/>
      <c r="I60" s="34"/>
      <c r="J60" s="34"/>
      <c r="K60" s="34"/>
      <c r="L60" s="34"/>
      <c r="M60" s="34"/>
    </row>
    <row r="61" spans="1:13">
      <c r="A61" s="187"/>
      <c r="B61" s="34"/>
      <c r="C61" s="34"/>
      <c r="D61" s="34"/>
      <c r="E61" s="34"/>
      <c r="F61" s="34"/>
      <c r="G61" s="34"/>
      <c r="H61" s="34"/>
      <c r="I61" s="34"/>
      <c r="J61" s="34"/>
      <c r="K61" s="34"/>
      <c r="L61" s="34"/>
      <c r="M61" s="34"/>
    </row>
    <row r="62" spans="1:13">
      <c r="A62" s="187"/>
      <c r="B62" s="34"/>
      <c r="C62" s="34"/>
      <c r="D62" s="34"/>
      <c r="E62" s="34"/>
      <c r="F62" s="34"/>
      <c r="G62" s="34"/>
      <c r="H62" s="34"/>
      <c r="I62" s="34"/>
      <c r="J62" s="34"/>
      <c r="K62" s="34"/>
      <c r="L62" s="34"/>
      <c r="M62" s="34"/>
    </row>
    <row r="63" spans="1:13">
      <c r="A63" s="187"/>
      <c r="B63" s="34"/>
      <c r="C63" s="34"/>
      <c r="D63" s="34"/>
      <c r="E63" s="34"/>
      <c r="F63" s="34"/>
      <c r="G63" s="34"/>
      <c r="H63" s="34"/>
      <c r="I63" s="34"/>
      <c r="J63" s="34"/>
      <c r="K63" s="34"/>
      <c r="L63" s="34"/>
      <c r="M63" s="34"/>
    </row>
    <row r="64" spans="1:13">
      <c r="A64" s="187"/>
      <c r="B64" s="34"/>
      <c r="C64" s="34"/>
      <c r="D64" s="34"/>
      <c r="E64" s="34"/>
      <c r="F64" s="34"/>
      <c r="G64" s="34"/>
      <c r="H64" s="34"/>
      <c r="I64" s="34"/>
      <c r="J64" s="34"/>
      <c r="K64" s="34"/>
      <c r="L64" s="34"/>
      <c r="M64" s="34"/>
    </row>
    <row r="65" spans="1:13">
      <c r="A65" s="187"/>
      <c r="B65" s="34"/>
      <c r="C65" s="34"/>
      <c r="D65" s="34"/>
      <c r="E65" s="34"/>
      <c r="F65" s="34"/>
      <c r="G65" s="34"/>
      <c r="H65" s="34"/>
      <c r="I65" s="34"/>
      <c r="J65" s="34"/>
      <c r="K65" s="34"/>
      <c r="L65" s="34"/>
      <c r="M65" s="34"/>
    </row>
    <row r="66" spans="1:13">
      <c r="A66" s="187"/>
      <c r="B66" s="34"/>
      <c r="C66" s="34"/>
      <c r="D66" s="34"/>
      <c r="E66" s="34"/>
      <c r="F66" s="34"/>
      <c r="G66" s="34"/>
      <c r="H66" s="34"/>
      <c r="I66" s="34"/>
      <c r="J66" s="34"/>
      <c r="K66" s="34"/>
      <c r="L66" s="34"/>
      <c r="M66" s="34"/>
    </row>
    <row r="67" spans="1:13">
      <c r="A67" s="187"/>
      <c r="B67" s="34"/>
      <c r="C67" s="34"/>
      <c r="D67" s="34"/>
      <c r="E67" s="34"/>
      <c r="F67" s="34"/>
      <c r="G67" s="34"/>
      <c r="H67" s="34"/>
      <c r="I67" s="34"/>
      <c r="J67" s="34"/>
      <c r="K67" s="34"/>
      <c r="L67" s="34"/>
      <c r="M67" s="34"/>
    </row>
    <row r="68" spans="1:13">
      <c r="A68" s="187"/>
      <c r="B68" s="34"/>
      <c r="C68" s="34"/>
      <c r="D68" s="34"/>
      <c r="E68" s="34"/>
      <c r="F68" s="34"/>
      <c r="G68" s="34"/>
      <c r="H68" s="34"/>
      <c r="I68" s="34"/>
      <c r="J68" s="34"/>
      <c r="K68" s="34"/>
      <c r="L68" s="34"/>
      <c r="M68" s="34"/>
    </row>
    <row r="69" spans="1:13">
      <c r="A69" s="187"/>
      <c r="B69" s="34"/>
      <c r="C69" s="34"/>
      <c r="D69" s="34"/>
      <c r="E69" s="34"/>
      <c r="F69" s="34"/>
      <c r="G69" s="34"/>
      <c r="H69" s="34"/>
      <c r="I69" s="34"/>
      <c r="J69" s="34"/>
      <c r="K69" s="34"/>
      <c r="L69" s="34"/>
      <c r="M69" s="34"/>
    </row>
    <row r="70" spans="1:13">
      <c r="A70" s="187"/>
      <c r="B70" s="34"/>
      <c r="C70" s="34"/>
      <c r="D70" s="34"/>
      <c r="E70" s="34"/>
      <c r="F70" s="34"/>
      <c r="G70" s="34"/>
      <c r="H70" s="34"/>
      <c r="I70" s="34"/>
      <c r="J70" s="34"/>
      <c r="K70" s="34"/>
      <c r="L70" s="34"/>
      <c r="M70" s="34"/>
    </row>
    <row r="71" spans="1:13">
      <c r="A71" s="187"/>
      <c r="B71" s="34"/>
      <c r="C71" s="34"/>
      <c r="D71" s="34"/>
      <c r="E71" s="34"/>
      <c r="F71" s="34"/>
      <c r="G71" s="34"/>
      <c r="H71" s="34"/>
      <c r="I71" s="34"/>
      <c r="J71" s="34"/>
      <c r="K71" s="34"/>
      <c r="L71" s="34"/>
      <c r="M71" s="34"/>
    </row>
    <row r="72" spans="1:13">
      <c r="A72" s="187"/>
      <c r="B72" s="34"/>
      <c r="C72" s="34"/>
      <c r="D72" s="34"/>
      <c r="E72" s="34"/>
      <c r="F72" s="34"/>
      <c r="G72" s="34"/>
      <c r="H72" s="34"/>
      <c r="I72" s="34"/>
      <c r="J72" s="34"/>
      <c r="K72" s="34"/>
      <c r="L72" s="34"/>
      <c r="M72" s="34"/>
    </row>
    <row r="73" spans="1:13">
      <c r="A73" s="187"/>
      <c r="B73" s="34"/>
      <c r="C73" s="34"/>
      <c r="D73" s="34"/>
      <c r="E73" s="34"/>
      <c r="F73" s="34"/>
      <c r="G73" s="34"/>
      <c r="H73" s="34"/>
      <c r="I73" s="34"/>
      <c r="J73" s="34"/>
      <c r="K73" s="34"/>
      <c r="L73" s="34"/>
      <c r="M73" s="34"/>
    </row>
    <row r="74" spans="1:13">
      <c r="A74" s="187"/>
      <c r="B74" s="34"/>
      <c r="C74" s="34"/>
      <c r="D74" s="34"/>
      <c r="E74" s="34"/>
      <c r="F74" s="34"/>
      <c r="G74" s="34"/>
      <c r="H74" s="34"/>
      <c r="I74" s="34"/>
      <c r="J74" s="34"/>
      <c r="K74" s="34"/>
      <c r="L74" s="34"/>
      <c r="M74" s="34"/>
    </row>
    <row r="75" spans="1:13">
      <c r="A75" s="187"/>
      <c r="B75" s="34"/>
      <c r="C75" s="34"/>
      <c r="D75" s="34"/>
      <c r="E75" s="34"/>
      <c r="F75" s="34"/>
      <c r="G75" s="34"/>
      <c r="H75" s="34"/>
      <c r="I75" s="34"/>
      <c r="J75" s="34"/>
      <c r="K75" s="34"/>
      <c r="L75" s="34"/>
      <c r="M75" s="34"/>
    </row>
    <row r="76" spans="1:13">
      <c r="A76" s="187"/>
      <c r="B76" s="34"/>
      <c r="C76" s="34"/>
      <c r="D76" s="34"/>
      <c r="E76" s="34"/>
      <c r="F76" s="34"/>
      <c r="G76" s="34"/>
      <c r="H76" s="34"/>
      <c r="I76" s="34"/>
      <c r="J76" s="34"/>
      <c r="K76" s="34"/>
      <c r="L76" s="34"/>
      <c r="M76" s="34"/>
    </row>
    <row r="77" spans="1:13">
      <c r="A77" s="187"/>
      <c r="B77" s="34"/>
      <c r="C77" s="34"/>
      <c r="D77" s="34"/>
      <c r="E77" s="34"/>
      <c r="F77" s="34"/>
      <c r="G77" s="34"/>
      <c r="H77" s="34"/>
      <c r="I77" s="34"/>
      <c r="J77" s="34"/>
      <c r="K77" s="34"/>
      <c r="L77" s="34"/>
      <c r="M77" s="34"/>
    </row>
    <row r="78" spans="1:13">
      <c r="A78" s="187"/>
      <c r="B78" s="34"/>
      <c r="C78" s="34"/>
      <c r="D78" s="34"/>
      <c r="E78" s="34"/>
      <c r="F78" s="34"/>
      <c r="G78" s="34"/>
      <c r="H78" s="34"/>
      <c r="I78" s="34"/>
      <c r="J78" s="34"/>
      <c r="K78" s="34"/>
      <c r="L78" s="34"/>
      <c r="M78" s="34"/>
    </row>
    <row r="79" spans="1:13">
      <c r="A79" s="187"/>
      <c r="B79" s="34"/>
      <c r="C79" s="34"/>
      <c r="D79" s="34"/>
      <c r="E79" s="34"/>
      <c r="F79" s="34"/>
      <c r="G79" s="34"/>
      <c r="H79" s="34"/>
      <c r="I79" s="34"/>
      <c r="J79" s="34"/>
      <c r="K79" s="34"/>
      <c r="L79" s="34"/>
      <c r="M79" s="34"/>
    </row>
    <row r="80" spans="1:13">
      <c r="A80" s="187"/>
      <c r="B80" s="34"/>
      <c r="C80" s="34"/>
      <c r="D80" s="34"/>
      <c r="E80" s="34"/>
      <c r="F80" s="34"/>
      <c r="G80" s="34"/>
      <c r="H80" s="34"/>
      <c r="I80" s="34"/>
      <c r="J80" s="34"/>
      <c r="K80" s="34"/>
      <c r="L80" s="34"/>
      <c r="M80" s="34"/>
    </row>
    <row r="81" spans="1:13">
      <c r="A81" s="187"/>
      <c r="B81" s="34"/>
      <c r="C81" s="34"/>
      <c r="D81" s="34"/>
      <c r="E81" s="34"/>
      <c r="F81" s="34"/>
      <c r="G81" s="34"/>
      <c r="H81" s="34"/>
      <c r="I81" s="34"/>
      <c r="J81" s="34"/>
      <c r="K81" s="34"/>
      <c r="L81" s="34"/>
      <c r="M81" s="34"/>
    </row>
    <row r="82" spans="1:13">
      <c r="A82" s="187"/>
      <c r="B82" s="34"/>
      <c r="C82" s="34"/>
      <c r="D82" s="34"/>
      <c r="E82" s="34"/>
      <c r="F82" s="34"/>
      <c r="G82" s="34"/>
      <c r="H82" s="34"/>
      <c r="I82" s="34"/>
      <c r="J82" s="34"/>
      <c r="K82" s="34"/>
      <c r="L82" s="34"/>
      <c r="M82" s="34"/>
    </row>
    <row r="83" spans="1:13">
      <c r="A83" s="187"/>
      <c r="B83" s="34"/>
      <c r="C83" s="34"/>
      <c r="D83" s="34"/>
      <c r="E83" s="34"/>
      <c r="F83" s="34"/>
      <c r="G83" s="34"/>
      <c r="H83" s="34"/>
      <c r="I83" s="34"/>
      <c r="J83" s="34"/>
      <c r="K83" s="34"/>
      <c r="L83" s="34"/>
      <c r="M83" s="34"/>
    </row>
    <row r="84" spans="1:13">
      <c r="A84" s="187"/>
      <c r="B84" s="34"/>
      <c r="C84" s="34"/>
      <c r="D84" s="34"/>
      <c r="E84" s="34"/>
      <c r="F84" s="34"/>
      <c r="G84" s="34"/>
      <c r="H84" s="34"/>
      <c r="I84" s="34"/>
      <c r="J84" s="34"/>
      <c r="K84" s="34"/>
      <c r="L84" s="34"/>
      <c r="M84" s="34"/>
    </row>
    <row r="85" spans="1:13">
      <c r="A85" s="187"/>
      <c r="B85" s="34"/>
      <c r="C85" s="34"/>
      <c r="D85" s="34"/>
      <c r="E85" s="34"/>
      <c r="F85" s="34"/>
      <c r="G85" s="34"/>
      <c r="H85" s="34"/>
      <c r="I85" s="34"/>
      <c r="J85" s="34"/>
      <c r="K85" s="34"/>
      <c r="L85" s="34"/>
      <c r="M85" s="34"/>
    </row>
    <row r="86" spans="1:13">
      <c r="A86" s="187"/>
      <c r="B86" s="34"/>
      <c r="C86" s="34"/>
      <c r="D86" s="34"/>
      <c r="E86" s="34"/>
      <c r="F86" s="34"/>
      <c r="G86" s="34"/>
      <c r="H86" s="34"/>
      <c r="I86" s="34"/>
      <c r="J86" s="34"/>
      <c r="K86" s="34"/>
      <c r="L86" s="34"/>
      <c r="M86" s="34"/>
    </row>
    <row r="87" spans="1:13">
      <c r="A87" s="187"/>
      <c r="B87" s="34"/>
      <c r="C87" s="34"/>
      <c r="D87" s="34"/>
      <c r="E87" s="34"/>
      <c r="F87" s="34"/>
      <c r="G87" s="34"/>
      <c r="H87" s="34"/>
      <c r="I87" s="34"/>
      <c r="J87" s="34"/>
      <c r="K87" s="34"/>
      <c r="L87" s="34"/>
      <c r="M87" s="34"/>
    </row>
    <row r="88" spans="1:13">
      <c r="A88" s="187"/>
      <c r="B88" s="34"/>
      <c r="C88" s="34"/>
      <c r="D88" s="34"/>
      <c r="E88" s="34"/>
      <c r="F88" s="34"/>
      <c r="G88" s="34"/>
      <c r="H88" s="34"/>
      <c r="I88" s="34"/>
      <c r="J88" s="34"/>
      <c r="K88" s="34"/>
      <c r="L88" s="34"/>
      <c r="M88" s="34"/>
    </row>
    <row r="89" spans="1:13">
      <c r="A89" s="187"/>
      <c r="B89" s="34"/>
      <c r="C89" s="34"/>
      <c r="D89" s="34"/>
      <c r="E89" s="34"/>
      <c r="F89" s="34"/>
      <c r="G89" s="34"/>
      <c r="H89" s="34"/>
      <c r="I89" s="34"/>
      <c r="J89" s="34"/>
      <c r="K89" s="34"/>
      <c r="L89" s="34"/>
      <c r="M89" s="34"/>
    </row>
    <row r="90" spans="1:13">
      <c r="A90" s="187"/>
      <c r="B90" s="34"/>
      <c r="C90" s="34"/>
      <c r="D90" s="34"/>
      <c r="E90" s="34"/>
      <c r="F90" s="34"/>
      <c r="G90" s="34"/>
      <c r="H90" s="34"/>
      <c r="I90" s="34"/>
      <c r="J90" s="34"/>
      <c r="K90" s="34"/>
      <c r="L90" s="34"/>
      <c r="M90" s="34"/>
    </row>
    <row r="91" spans="1:13">
      <c r="A91" s="187"/>
      <c r="B91" s="34"/>
      <c r="C91" s="34"/>
      <c r="D91" s="34"/>
      <c r="E91" s="34"/>
      <c r="F91" s="34"/>
      <c r="G91" s="34"/>
      <c r="H91" s="34"/>
      <c r="I91" s="34"/>
      <c r="J91" s="34"/>
      <c r="K91" s="34"/>
      <c r="L91" s="34"/>
      <c r="M91" s="34"/>
    </row>
    <row r="92" spans="1:13">
      <c r="A92" s="187"/>
      <c r="B92" s="34"/>
      <c r="C92" s="34"/>
      <c r="D92" s="34"/>
      <c r="E92" s="34"/>
      <c r="F92" s="34"/>
      <c r="G92" s="34"/>
      <c r="H92" s="34"/>
      <c r="I92" s="34"/>
      <c r="J92" s="34"/>
      <c r="K92" s="34"/>
      <c r="L92" s="34"/>
      <c r="M92" s="34"/>
    </row>
    <row r="93" spans="1:13">
      <c r="A93" s="187"/>
      <c r="B93" s="34"/>
      <c r="C93" s="34"/>
      <c r="D93" s="34"/>
      <c r="E93" s="34"/>
      <c r="F93" s="34"/>
      <c r="G93" s="34"/>
      <c r="H93" s="34"/>
      <c r="I93" s="34"/>
      <c r="J93" s="34"/>
      <c r="K93" s="34"/>
      <c r="L93" s="34"/>
      <c r="M93" s="34"/>
    </row>
    <row r="94" spans="1:13">
      <c r="A94" s="187"/>
      <c r="B94" s="34"/>
      <c r="C94" s="34"/>
      <c r="D94" s="34"/>
      <c r="E94" s="34"/>
      <c r="F94" s="34"/>
      <c r="G94" s="34"/>
      <c r="H94" s="34"/>
      <c r="I94" s="34"/>
      <c r="J94" s="34"/>
      <c r="K94" s="34"/>
      <c r="L94" s="34"/>
      <c r="M94" s="34"/>
    </row>
    <row r="95" spans="1:13">
      <c r="A95" s="187"/>
      <c r="B95" s="34"/>
      <c r="C95" s="34"/>
      <c r="D95" s="34"/>
      <c r="E95" s="34"/>
      <c r="F95" s="34"/>
      <c r="G95" s="34"/>
      <c r="H95" s="34"/>
      <c r="I95" s="34"/>
      <c r="J95" s="34"/>
      <c r="K95" s="34"/>
      <c r="L95" s="34"/>
      <c r="M95" s="34"/>
    </row>
    <row r="96" spans="1:13">
      <c r="A96" s="187"/>
      <c r="B96" s="34"/>
      <c r="C96" s="34"/>
      <c r="D96" s="34"/>
      <c r="E96" s="34"/>
      <c r="F96" s="34"/>
      <c r="G96" s="34"/>
      <c r="H96" s="34"/>
      <c r="I96" s="34"/>
      <c r="J96" s="34"/>
      <c r="K96" s="34"/>
      <c r="L96" s="34"/>
      <c r="M96" s="34"/>
    </row>
    <row r="97" spans="1:13">
      <c r="A97" s="187"/>
      <c r="B97" s="34"/>
      <c r="C97" s="34"/>
      <c r="D97" s="34"/>
      <c r="E97" s="34"/>
      <c r="F97" s="34"/>
      <c r="G97" s="34"/>
      <c r="H97" s="34"/>
      <c r="I97" s="34"/>
      <c r="J97" s="34"/>
      <c r="K97" s="34"/>
      <c r="L97" s="34"/>
      <c r="M97" s="34"/>
    </row>
    <row r="98" spans="1:13">
      <c r="A98" s="187"/>
      <c r="B98" s="34"/>
      <c r="C98" s="34"/>
      <c r="D98" s="34"/>
      <c r="E98" s="34"/>
      <c r="F98" s="34"/>
      <c r="G98" s="34"/>
      <c r="H98" s="34"/>
      <c r="I98" s="34"/>
      <c r="J98" s="34"/>
      <c r="K98" s="34"/>
      <c r="L98" s="34"/>
      <c r="M98" s="34"/>
    </row>
    <row r="99" spans="1:13">
      <c r="A99" s="187"/>
      <c r="B99" s="6"/>
      <c r="C99" s="6"/>
      <c r="D99" s="6"/>
      <c r="E99" s="6"/>
      <c r="F99" s="6"/>
      <c r="G99" s="6"/>
      <c r="H99" s="6"/>
      <c r="I99" s="6"/>
      <c r="J99" s="6"/>
      <c r="K99" s="6"/>
      <c r="L99" s="6"/>
      <c r="M99" s="6"/>
    </row>
    <row r="100" spans="1:13">
      <c r="A100" s="187"/>
      <c r="B100" s="6"/>
      <c r="C100" s="6"/>
      <c r="D100" s="6"/>
      <c r="E100" s="6"/>
      <c r="F100" s="6"/>
      <c r="G100" s="6"/>
      <c r="H100" s="6"/>
      <c r="I100" s="6"/>
      <c r="J100" s="6"/>
      <c r="K100" s="6"/>
      <c r="L100" s="6"/>
      <c r="M100" s="6"/>
    </row>
    <row r="101" spans="1:13">
      <c r="A101" s="6"/>
      <c r="B101" s="6"/>
      <c r="C101" s="6"/>
      <c r="D101" s="6"/>
      <c r="E101" s="6"/>
      <c r="F101" s="6"/>
      <c r="G101" s="6"/>
      <c r="H101" s="6"/>
      <c r="I101" s="6"/>
      <c r="J101" s="6"/>
      <c r="K101" s="6"/>
      <c r="L101" s="6"/>
      <c r="M101" s="6"/>
    </row>
    <row r="102" spans="1:13">
      <c r="A102" s="6"/>
      <c r="B102" s="6"/>
      <c r="C102" s="6"/>
      <c r="D102" s="6"/>
      <c r="E102" s="6"/>
      <c r="F102" s="6"/>
      <c r="G102" s="6"/>
      <c r="H102" s="6"/>
      <c r="I102" s="6"/>
      <c r="J102" s="6"/>
      <c r="K102" s="6"/>
      <c r="L102" s="6"/>
      <c r="M102" s="6"/>
    </row>
    <row r="103" spans="1:13">
      <c r="A103" s="6"/>
      <c r="B103" s="6"/>
      <c r="C103" s="6"/>
      <c r="D103" s="6"/>
      <c r="E103" s="6"/>
      <c r="F103" s="6"/>
      <c r="G103" s="6"/>
      <c r="H103" s="6"/>
      <c r="I103" s="6"/>
      <c r="J103" s="6"/>
      <c r="K103" s="6"/>
      <c r="L103" s="6"/>
      <c r="M103" s="6"/>
    </row>
    <row r="104" spans="1:13">
      <c r="A104" s="6"/>
      <c r="B104" s="6"/>
      <c r="C104" s="6"/>
      <c r="D104" s="6"/>
      <c r="E104" s="6"/>
      <c r="F104" s="6"/>
      <c r="G104" s="6"/>
      <c r="H104" s="6"/>
      <c r="I104" s="6"/>
      <c r="J104" s="6"/>
      <c r="K104" s="6"/>
      <c r="L104" s="6"/>
      <c r="M104" s="6"/>
    </row>
    <row r="105" spans="1:13">
      <c r="A105" s="6"/>
      <c r="B105" s="6"/>
      <c r="C105" s="6"/>
      <c r="D105" s="6"/>
      <c r="E105" s="6"/>
      <c r="F105" s="6"/>
      <c r="G105" s="6"/>
      <c r="H105" s="6"/>
      <c r="I105" s="6"/>
      <c r="J105" s="6"/>
      <c r="K105" s="6"/>
      <c r="L105" s="6"/>
      <c r="M105" s="6"/>
    </row>
    <row r="106" spans="1:13">
      <c r="A106" s="6"/>
      <c r="B106" s="6"/>
      <c r="C106" s="6"/>
      <c r="D106" s="6"/>
      <c r="E106" s="6"/>
      <c r="F106" s="6"/>
      <c r="G106" s="6"/>
      <c r="H106" s="6"/>
      <c r="I106" s="6"/>
      <c r="J106" s="6"/>
      <c r="K106" s="6"/>
      <c r="L106" s="6"/>
      <c r="M106" s="6"/>
    </row>
    <row r="107" spans="1:13">
      <c r="A107" s="6"/>
      <c r="B107" s="6"/>
      <c r="C107" s="6"/>
      <c r="D107" s="6"/>
      <c r="E107" s="6"/>
      <c r="F107" s="6"/>
      <c r="G107" s="6"/>
      <c r="H107" s="6"/>
      <c r="I107" s="6"/>
      <c r="J107" s="6"/>
      <c r="K107" s="6"/>
      <c r="L107" s="6"/>
      <c r="M107" s="6"/>
    </row>
    <row r="108" spans="1:13">
      <c r="A108" s="6"/>
      <c r="B108" s="6"/>
      <c r="C108" s="6"/>
      <c r="D108" s="6"/>
      <c r="E108" s="6"/>
      <c r="F108" s="6"/>
      <c r="G108" s="6"/>
      <c r="H108" s="6"/>
      <c r="I108" s="6"/>
      <c r="J108" s="6"/>
      <c r="K108" s="6"/>
      <c r="L108" s="6"/>
      <c r="M108" s="6"/>
    </row>
    <row r="109" spans="1:13">
      <c r="A109" s="6"/>
      <c r="B109" s="6"/>
      <c r="C109" s="6"/>
      <c r="D109" s="6"/>
      <c r="E109" s="6"/>
      <c r="F109" s="6"/>
      <c r="G109" s="6"/>
      <c r="H109" s="6"/>
      <c r="I109" s="6"/>
      <c r="J109" s="6"/>
      <c r="K109" s="6"/>
      <c r="L109" s="6"/>
      <c r="M109" s="6"/>
    </row>
    <row r="110" spans="1:13">
      <c r="A110" s="6"/>
      <c r="B110" s="6"/>
      <c r="C110" s="6"/>
      <c r="D110" s="6"/>
      <c r="E110" s="6"/>
      <c r="F110" s="6"/>
      <c r="G110" s="6"/>
      <c r="H110" s="6"/>
      <c r="I110" s="6"/>
      <c r="J110" s="6"/>
      <c r="K110" s="6"/>
      <c r="L110" s="6"/>
      <c r="M110" s="6"/>
    </row>
    <row r="111" spans="1:13">
      <c r="A111" s="6"/>
      <c r="B111" s="6"/>
      <c r="C111" s="6"/>
      <c r="D111" s="6"/>
      <c r="E111" s="6"/>
      <c r="F111" s="6"/>
      <c r="G111" s="6"/>
      <c r="H111" s="6"/>
      <c r="I111" s="6"/>
      <c r="J111" s="6"/>
      <c r="K111" s="6"/>
      <c r="L111" s="6"/>
      <c r="M111" s="6"/>
    </row>
    <row r="112" spans="1:13">
      <c r="A112" s="6"/>
      <c r="B112" s="6"/>
      <c r="C112" s="6"/>
      <c r="D112" s="6"/>
      <c r="E112" s="6"/>
      <c r="F112" s="6"/>
      <c r="G112" s="6"/>
      <c r="H112" s="6"/>
      <c r="I112" s="6"/>
      <c r="J112" s="6"/>
      <c r="K112" s="6"/>
      <c r="L112" s="6"/>
      <c r="M112" s="6"/>
    </row>
    <row r="113" spans="1:13">
      <c r="A113" s="6"/>
      <c r="B113" s="6"/>
      <c r="C113" s="6"/>
      <c r="D113" s="6"/>
      <c r="E113" s="6"/>
      <c r="F113" s="6"/>
      <c r="G113" s="6"/>
      <c r="H113" s="6"/>
      <c r="I113" s="6"/>
      <c r="J113" s="6"/>
      <c r="K113" s="6"/>
      <c r="L113" s="6"/>
      <c r="M113" s="6"/>
    </row>
    <row r="114" spans="1:13">
      <c r="A114" s="6"/>
      <c r="B114" s="6"/>
      <c r="C114" s="6"/>
      <c r="D114" s="6"/>
      <c r="E114" s="6"/>
      <c r="F114" s="6"/>
      <c r="G114" s="6"/>
      <c r="H114" s="6"/>
      <c r="I114" s="6"/>
      <c r="J114" s="6"/>
      <c r="K114" s="6"/>
      <c r="L114" s="6"/>
      <c r="M114" s="6"/>
    </row>
    <row r="115" spans="1:13">
      <c r="A115" s="6"/>
      <c r="B115" s="6"/>
      <c r="C115" s="6"/>
      <c r="D115" s="6"/>
      <c r="E115" s="6"/>
      <c r="F115" s="6"/>
      <c r="G115" s="6"/>
      <c r="H115" s="6"/>
      <c r="I115" s="6"/>
      <c r="J115" s="6"/>
      <c r="K115" s="6"/>
      <c r="L115" s="6"/>
      <c r="M115" s="6"/>
    </row>
    <row r="116" spans="1:13">
      <c r="A116" s="6"/>
      <c r="B116" s="6"/>
      <c r="C116" s="6"/>
      <c r="D116" s="6"/>
      <c r="E116" s="6"/>
      <c r="F116" s="6"/>
      <c r="G116" s="6"/>
      <c r="H116" s="6"/>
      <c r="I116" s="6"/>
      <c r="J116" s="6"/>
      <c r="K116" s="6"/>
      <c r="L116" s="6"/>
      <c r="M116" s="6"/>
    </row>
    <row r="117" spans="1:13">
      <c r="A117" s="6"/>
      <c r="B117" s="6"/>
      <c r="C117" s="6"/>
      <c r="D117" s="6"/>
      <c r="E117" s="6"/>
      <c r="F117" s="6"/>
      <c r="G117" s="6"/>
      <c r="H117" s="6"/>
      <c r="I117" s="6"/>
      <c r="J117" s="6"/>
      <c r="K117" s="6"/>
      <c r="L117" s="6"/>
      <c r="M117" s="6"/>
    </row>
    <row r="118" spans="1:13">
      <c r="A118" s="6"/>
      <c r="B118" s="6"/>
      <c r="C118" s="6"/>
      <c r="D118" s="6"/>
      <c r="E118" s="6"/>
      <c r="F118" s="6"/>
      <c r="G118" s="6"/>
      <c r="H118" s="6"/>
      <c r="I118" s="6"/>
      <c r="J118" s="6"/>
      <c r="K118" s="6"/>
      <c r="L118" s="6"/>
      <c r="M118" s="6"/>
    </row>
    <row r="119" spans="1:13">
      <c r="A119" s="6"/>
      <c r="B119" s="6"/>
      <c r="C119" s="6"/>
      <c r="D119" s="6"/>
      <c r="E119" s="6"/>
      <c r="F119" s="6"/>
      <c r="G119" s="6"/>
      <c r="H119" s="6"/>
      <c r="I119" s="6"/>
      <c r="J119" s="6"/>
      <c r="K119" s="6"/>
      <c r="L119" s="6"/>
      <c r="M119" s="6"/>
    </row>
    <row r="120" spans="1:13">
      <c r="A120" s="6"/>
      <c r="B120" s="6"/>
      <c r="C120" s="6"/>
      <c r="D120" s="6"/>
      <c r="E120" s="6"/>
      <c r="F120" s="6"/>
      <c r="G120" s="6"/>
      <c r="H120" s="6"/>
      <c r="I120" s="6"/>
      <c r="J120" s="6"/>
      <c r="K120" s="6"/>
      <c r="L120" s="6"/>
      <c r="M120" s="6"/>
    </row>
    <row r="121" spans="1:13">
      <c r="A121" s="6"/>
      <c r="B121" s="6"/>
      <c r="C121" s="6"/>
      <c r="D121" s="6"/>
      <c r="E121" s="6"/>
      <c r="F121" s="6"/>
      <c r="G121" s="6"/>
      <c r="H121" s="6"/>
      <c r="I121" s="6"/>
      <c r="J121" s="6"/>
      <c r="K121" s="6"/>
      <c r="L121" s="6"/>
      <c r="M121" s="6"/>
    </row>
    <row r="122" spans="1:13">
      <c r="A122" s="6"/>
      <c r="B122" s="6"/>
      <c r="C122" s="6"/>
      <c r="D122" s="6"/>
      <c r="E122" s="6"/>
      <c r="F122" s="6"/>
      <c r="G122" s="6"/>
      <c r="H122" s="6"/>
      <c r="I122" s="6"/>
      <c r="J122" s="6"/>
      <c r="K122" s="6"/>
      <c r="L122" s="6"/>
      <c r="M122" s="6"/>
    </row>
    <row r="123" spans="1:13">
      <c r="A123" s="6"/>
      <c r="B123" s="6"/>
      <c r="C123" s="6"/>
      <c r="D123" s="6"/>
      <c r="E123" s="6"/>
      <c r="F123" s="6"/>
      <c r="G123" s="6"/>
      <c r="H123" s="6"/>
      <c r="I123" s="6"/>
      <c r="J123" s="6"/>
      <c r="K123" s="6"/>
      <c r="L123" s="6"/>
      <c r="M123" s="6"/>
    </row>
    <row r="124" spans="1:13">
      <c r="A124" s="6"/>
      <c r="B124" s="6"/>
      <c r="C124" s="6"/>
      <c r="D124" s="6"/>
      <c r="E124" s="6"/>
      <c r="F124" s="6"/>
      <c r="G124" s="6"/>
      <c r="H124" s="6"/>
      <c r="I124" s="6"/>
      <c r="J124" s="6"/>
      <c r="K124" s="6"/>
      <c r="L124" s="6"/>
      <c r="M124" s="6"/>
    </row>
    <row r="125" spans="1:13">
      <c r="A125" s="6"/>
      <c r="B125" s="6"/>
      <c r="C125" s="6"/>
      <c r="D125" s="6"/>
      <c r="E125" s="6"/>
      <c r="F125" s="6"/>
      <c r="G125" s="6"/>
      <c r="H125" s="6"/>
      <c r="I125" s="6"/>
      <c r="J125" s="6"/>
      <c r="K125" s="6"/>
      <c r="L125" s="6"/>
      <c r="M125" s="6"/>
    </row>
    <row r="126" spans="1:13">
      <c r="A126" s="6"/>
      <c r="B126" s="6"/>
      <c r="C126" s="6"/>
      <c r="D126" s="6"/>
      <c r="E126" s="6"/>
      <c r="F126" s="6"/>
      <c r="G126" s="6"/>
      <c r="H126" s="6"/>
      <c r="I126" s="6"/>
      <c r="J126" s="6"/>
      <c r="K126" s="6"/>
      <c r="L126" s="6"/>
      <c r="M126" s="6"/>
    </row>
    <row r="127" spans="1:13">
      <c r="A127" s="6"/>
      <c r="B127" s="6"/>
      <c r="C127" s="6"/>
      <c r="D127" s="6"/>
      <c r="E127" s="6"/>
      <c r="F127" s="6"/>
      <c r="G127" s="6"/>
      <c r="H127" s="6"/>
      <c r="I127" s="6"/>
      <c r="J127" s="6"/>
      <c r="K127" s="6"/>
      <c r="L127" s="6"/>
      <c r="M127" s="6"/>
    </row>
    <row r="128" spans="1:13">
      <c r="A128" s="6"/>
      <c r="B128" s="6"/>
      <c r="C128" s="6"/>
      <c r="D128" s="6"/>
      <c r="E128" s="6"/>
      <c r="F128" s="6"/>
      <c r="G128" s="6"/>
      <c r="H128" s="6"/>
      <c r="I128" s="6"/>
      <c r="J128" s="6"/>
      <c r="K128" s="6"/>
      <c r="L128" s="6"/>
      <c r="M128" s="6"/>
    </row>
    <row r="129" spans="1:13">
      <c r="A129" s="6"/>
      <c r="B129" s="6"/>
      <c r="C129" s="6"/>
      <c r="D129" s="6"/>
      <c r="E129" s="6"/>
      <c r="F129" s="6"/>
      <c r="G129" s="6"/>
      <c r="H129" s="6"/>
      <c r="I129" s="6"/>
      <c r="J129" s="6"/>
      <c r="K129" s="6"/>
      <c r="L129" s="6"/>
      <c r="M129" s="6"/>
    </row>
    <row r="130" spans="1:13">
      <c r="A130" s="6"/>
      <c r="B130" s="6"/>
      <c r="C130" s="6"/>
      <c r="D130" s="6"/>
      <c r="E130" s="6"/>
      <c r="F130" s="6"/>
      <c r="G130" s="6"/>
      <c r="H130" s="6"/>
      <c r="I130" s="6"/>
      <c r="J130" s="6"/>
      <c r="K130" s="6"/>
      <c r="L130" s="6"/>
      <c r="M130" s="6"/>
    </row>
    <row r="131" spans="1:13">
      <c r="A131" s="6"/>
      <c r="B131" s="6"/>
      <c r="C131" s="6"/>
      <c r="D131" s="6"/>
      <c r="E131" s="6"/>
      <c r="F131" s="6"/>
      <c r="G131" s="6"/>
      <c r="H131" s="6"/>
      <c r="I131" s="6"/>
      <c r="J131" s="6"/>
      <c r="K131" s="6"/>
      <c r="L131" s="6"/>
      <c r="M131" s="6"/>
    </row>
    <row r="132" spans="1:13">
      <c r="A132" s="6"/>
      <c r="B132" s="6"/>
      <c r="C132" s="6"/>
      <c r="D132" s="6"/>
      <c r="E132" s="6"/>
      <c r="F132" s="6"/>
      <c r="G132" s="6"/>
      <c r="H132" s="6"/>
      <c r="I132" s="6"/>
      <c r="J132" s="6"/>
      <c r="K132" s="6"/>
      <c r="L132" s="6"/>
      <c r="M132" s="6"/>
    </row>
    <row r="133" spans="1:13">
      <c r="A133" s="6"/>
      <c r="B133" s="6"/>
      <c r="C133" s="6"/>
      <c r="D133" s="6"/>
      <c r="E133" s="6"/>
      <c r="F133" s="6"/>
      <c r="G133" s="6"/>
      <c r="H133" s="6"/>
      <c r="I133" s="6"/>
      <c r="J133" s="6"/>
      <c r="K133" s="6"/>
      <c r="L133" s="6"/>
      <c r="M133" s="6"/>
    </row>
    <row r="134" spans="1:13">
      <c r="A134" s="6"/>
      <c r="B134" s="6"/>
      <c r="C134" s="6"/>
      <c r="D134" s="6"/>
      <c r="E134" s="6"/>
      <c r="F134" s="6"/>
      <c r="G134" s="6"/>
      <c r="H134" s="6"/>
      <c r="I134" s="6"/>
      <c r="J134" s="6"/>
      <c r="K134" s="6"/>
      <c r="L134" s="6"/>
      <c r="M134" s="6"/>
    </row>
    <row r="135" spans="1:13">
      <c r="A135" s="6"/>
      <c r="B135" s="6"/>
      <c r="C135" s="6"/>
      <c r="D135" s="6"/>
      <c r="E135" s="6"/>
      <c r="F135" s="6"/>
      <c r="G135" s="6"/>
      <c r="H135" s="6"/>
      <c r="I135" s="6"/>
      <c r="J135" s="6"/>
      <c r="K135" s="6"/>
      <c r="L135" s="6"/>
      <c r="M135" s="6"/>
    </row>
    <row r="136" spans="1:13">
      <c r="A136" s="6"/>
      <c r="B136" s="6"/>
      <c r="C136" s="6"/>
      <c r="D136" s="6"/>
      <c r="E136" s="6"/>
      <c r="F136" s="6"/>
      <c r="G136" s="6"/>
      <c r="H136" s="6"/>
      <c r="I136" s="6"/>
      <c r="J136" s="6"/>
      <c r="K136" s="6"/>
      <c r="L136" s="6"/>
      <c r="M136" s="6"/>
    </row>
    <row r="137" spans="1:13">
      <c r="A137" s="6"/>
      <c r="B137" s="6"/>
      <c r="C137" s="6"/>
      <c r="D137" s="6"/>
      <c r="E137" s="6"/>
      <c r="F137" s="6"/>
      <c r="G137" s="6"/>
      <c r="H137" s="6"/>
      <c r="I137" s="6"/>
      <c r="J137" s="6"/>
      <c r="K137" s="6"/>
      <c r="L137" s="6"/>
      <c r="M137" s="6"/>
    </row>
    <row r="138" spans="1:13">
      <c r="A138" s="6"/>
      <c r="B138" s="6"/>
      <c r="C138" s="6"/>
      <c r="D138" s="6"/>
      <c r="E138" s="6"/>
      <c r="F138" s="6"/>
      <c r="G138" s="6"/>
      <c r="H138" s="6"/>
      <c r="I138" s="6"/>
      <c r="J138" s="6"/>
      <c r="K138" s="6"/>
      <c r="L138" s="6"/>
      <c r="M138" s="6"/>
    </row>
    <row r="139" spans="1:13">
      <c r="A139" s="6"/>
      <c r="B139" s="6"/>
      <c r="C139" s="6"/>
      <c r="D139" s="6"/>
      <c r="E139" s="6"/>
      <c r="F139" s="6"/>
      <c r="G139" s="6"/>
      <c r="H139" s="6"/>
      <c r="I139" s="6"/>
      <c r="J139" s="6"/>
      <c r="K139" s="6"/>
      <c r="L139" s="6"/>
      <c r="M139" s="6"/>
    </row>
    <row r="140" spans="1:13">
      <c r="A140" s="6"/>
      <c r="B140" s="6"/>
      <c r="C140" s="6"/>
      <c r="D140" s="6"/>
      <c r="E140" s="6"/>
      <c r="F140" s="6"/>
      <c r="G140" s="6"/>
      <c r="H140" s="6"/>
      <c r="I140" s="6"/>
      <c r="J140" s="6"/>
      <c r="K140" s="6"/>
      <c r="L140" s="6"/>
      <c r="M140" s="6"/>
    </row>
    <row r="141" spans="1:13">
      <c r="A141" s="6"/>
      <c r="B141" s="6"/>
      <c r="C141" s="6"/>
      <c r="D141" s="6"/>
      <c r="E141" s="6"/>
      <c r="F141" s="6"/>
      <c r="G141" s="6"/>
      <c r="H141" s="6"/>
      <c r="I141" s="6"/>
      <c r="J141" s="6"/>
      <c r="K141" s="6"/>
      <c r="L141" s="6"/>
      <c r="M141" s="6"/>
    </row>
    <row r="142" spans="1:13">
      <c r="A142" s="6"/>
      <c r="B142" s="6"/>
      <c r="C142" s="6"/>
      <c r="D142" s="6"/>
      <c r="E142" s="6"/>
      <c r="F142" s="6"/>
      <c r="G142" s="6"/>
      <c r="H142" s="6"/>
      <c r="I142" s="6"/>
      <c r="J142" s="6"/>
      <c r="K142" s="6"/>
      <c r="L142" s="6"/>
      <c r="M142" s="6"/>
    </row>
    <row r="143" spans="1:13">
      <c r="A143" s="6"/>
      <c r="B143" s="6"/>
      <c r="C143" s="6"/>
      <c r="D143" s="6"/>
      <c r="E143" s="6"/>
      <c r="F143" s="6"/>
      <c r="G143" s="6"/>
      <c r="H143" s="6"/>
      <c r="I143" s="6"/>
      <c r="J143" s="6"/>
      <c r="K143" s="6"/>
      <c r="L143" s="6"/>
      <c r="M143" s="6"/>
    </row>
    <row r="144" spans="1:13">
      <c r="A144" s="6"/>
      <c r="B144" s="6"/>
      <c r="C144" s="6"/>
      <c r="D144" s="6"/>
      <c r="E144" s="6"/>
      <c r="F144" s="6"/>
      <c r="G144" s="6"/>
      <c r="H144" s="6"/>
      <c r="I144" s="6"/>
      <c r="J144" s="6"/>
      <c r="K144" s="6"/>
      <c r="L144" s="6"/>
      <c r="M144" s="6"/>
    </row>
    <row r="145" spans="1:13">
      <c r="A145" s="6"/>
      <c r="B145" s="6"/>
      <c r="C145" s="6"/>
      <c r="D145" s="6"/>
      <c r="E145" s="6"/>
      <c r="F145" s="6"/>
      <c r="G145" s="6"/>
      <c r="H145" s="6"/>
      <c r="I145" s="6"/>
      <c r="J145" s="6"/>
      <c r="K145" s="6"/>
      <c r="L145" s="6"/>
      <c r="M145" s="6"/>
    </row>
    <row r="146" spans="1:13">
      <c r="A146" s="6"/>
      <c r="B146" s="6"/>
      <c r="C146" s="6"/>
      <c r="D146" s="6"/>
      <c r="E146" s="6"/>
      <c r="F146" s="6"/>
      <c r="G146" s="6"/>
      <c r="H146" s="6"/>
      <c r="I146" s="6"/>
      <c r="J146" s="6"/>
      <c r="K146" s="6"/>
      <c r="L146" s="6"/>
      <c r="M146" s="6"/>
    </row>
    <row r="147" spans="1:13">
      <c r="A147" s="6"/>
      <c r="B147" s="6"/>
      <c r="C147" s="6"/>
      <c r="D147" s="6"/>
      <c r="E147" s="6"/>
      <c r="F147" s="6"/>
      <c r="G147" s="6"/>
      <c r="H147" s="6"/>
      <c r="I147" s="6"/>
      <c r="J147" s="6"/>
      <c r="K147" s="6"/>
      <c r="L147" s="6"/>
      <c r="M147" s="6"/>
    </row>
    <row r="148" spans="1:13">
      <c r="A148" s="6"/>
      <c r="B148" s="6"/>
      <c r="C148" s="6"/>
      <c r="D148" s="6"/>
      <c r="E148" s="6"/>
      <c r="F148" s="6"/>
      <c r="G148" s="6"/>
      <c r="H148" s="6"/>
      <c r="I148" s="6"/>
      <c r="J148" s="6"/>
      <c r="K148" s="6"/>
      <c r="L148" s="6"/>
      <c r="M148" s="6"/>
    </row>
    <row r="149" spans="1:13">
      <c r="A149" s="6"/>
      <c r="B149" s="6"/>
      <c r="C149" s="6"/>
      <c r="D149" s="6"/>
      <c r="E149" s="6"/>
      <c r="F149" s="6"/>
      <c r="G149" s="6"/>
      <c r="H149" s="6"/>
      <c r="I149" s="6"/>
      <c r="J149" s="6"/>
      <c r="K149" s="6"/>
      <c r="L149" s="6"/>
      <c r="M149" s="6"/>
    </row>
    <row r="150" spans="1:13">
      <c r="A150" s="6"/>
      <c r="B150" s="6"/>
      <c r="C150" s="6"/>
      <c r="D150" s="6"/>
      <c r="E150" s="6"/>
      <c r="F150" s="6"/>
      <c r="G150" s="6"/>
      <c r="H150" s="6"/>
      <c r="I150" s="6"/>
      <c r="J150" s="6"/>
      <c r="K150" s="6"/>
      <c r="L150" s="6"/>
      <c r="M150" s="6"/>
    </row>
    <row r="151" spans="1:13">
      <c r="A151" s="6"/>
      <c r="B151" s="6"/>
      <c r="C151" s="6"/>
      <c r="D151" s="6"/>
      <c r="E151" s="6"/>
      <c r="F151" s="6"/>
      <c r="G151" s="6"/>
      <c r="H151" s="6"/>
      <c r="I151" s="6"/>
      <c r="J151" s="6"/>
      <c r="K151" s="6"/>
      <c r="L151" s="6"/>
      <c r="M151" s="6"/>
    </row>
    <row r="152" spans="1:13">
      <c r="A152" s="6"/>
      <c r="B152" s="6"/>
      <c r="C152" s="6"/>
      <c r="D152" s="6"/>
      <c r="E152" s="6"/>
      <c r="F152" s="6"/>
      <c r="G152" s="6"/>
      <c r="H152" s="6"/>
      <c r="I152" s="6"/>
      <c r="J152" s="6"/>
      <c r="K152" s="6"/>
      <c r="L152" s="6"/>
      <c r="M152" s="6"/>
    </row>
    <row r="153" spans="1:13">
      <c r="A153" s="6"/>
      <c r="B153" s="6"/>
      <c r="C153" s="6"/>
      <c r="D153" s="6"/>
      <c r="E153" s="6"/>
      <c r="F153" s="6"/>
      <c r="G153" s="6"/>
      <c r="H153" s="6"/>
      <c r="I153" s="6"/>
      <c r="J153" s="6"/>
      <c r="K153" s="6"/>
      <c r="L153" s="6"/>
      <c r="M153" s="6"/>
    </row>
    <row r="154" spans="1:13">
      <c r="A154" s="6"/>
      <c r="B154" s="6"/>
      <c r="C154" s="6"/>
      <c r="D154" s="6"/>
      <c r="E154" s="6"/>
      <c r="F154" s="6"/>
      <c r="G154" s="6"/>
      <c r="H154" s="6"/>
      <c r="I154" s="6"/>
      <c r="J154" s="6"/>
      <c r="K154" s="6"/>
      <c r="L154" s="6"/>
      <c r="M154" s="6"/>
    </row>
    <row r="155" spans="1:13">
      <c r="A155" s="6"/>
      <c r="B155" s="6"/>
      <c r="C155" s="6"/>
      <c r="D155" s="6"/>
      <c r="E155" s="6"/>
      <c r="F155" s="6"/>
      <c r="G155" s="6"/>
      <c r="H155" s="6"/>
      <c r="I155" s="6"/>
      <c r="J155" s="6"/>
      <c r="K155" s="6"/>
      <c r="L155" s="6"/>
      <c r="M155" s="6"/>
    </row>
    <row r="156" spans="1:13">
      <c r="A156" s="6"/>
      <c r="B156" s="6"/>
      <c r="C156" s="6"/>
      <c r="D156" s="6"/>
      <c r="E156" s="6"/>
      <c r="F156" s="6"/>
      <c r="G156" s="6"/>
      <c r="H156" s="6"/>
      <c r="I156" s="6"/>
      <c r="J156" s="6"/>
      <c r="K156" s="6"/>
      <c r="L156" s="6"/>
      <c r="M156" s="6"/>
    </row>
    <row r="157" spans="1:13">
      <c r="A157" s="6"/>
      <c r="B157" s="6"/>
      <c r="C157" s="6"/>
      <c r="D157" s="6"/>
      <c r="E157" s="6"/>
      <c r="F157" s="6"/>
      <c r="G157" s="6"/>
      <c r="H157" s="6"/>
      <c r="I157" s="6"/>
      <c r="J157" s="6"/>
      <c r="K157" s="6"/>
      <c r="L157" s="6"/>
      <c r="M157" s="6"/>
    </row>
    <row r="158" spans="1:13">
      <c r="A158" s="6"/>
      <c r="B158" s="6"/>
      <c r="C158" s="6"/>
      <c r="D158" s="6"/>
      <c r="E158" s="6"/>
      <c r="F158" s="6"/>
      <c r="G158" s="6"/>
      <c r="H158" s="6"/>
      <c r="I158" s="6"/>
      <c r="J158" s="6"/>
      <c r="K158" s="6"/>
      <c r="L158" s="6"/>
      <c r="M158" s="6"/>
    </row>
    <row r="159" spans="1:13">
      <c r="A159" s="6"/>
      <c r="B159" s="6"/>
      <c r="C159" s="6"/>
      <c r="D159" s="6"/>
      <c r="E159" s="6"/>
      <c r="F159" s="6"/>
      <c r="G159" s="6"/>
      <c r="H159" s="6"/>
      <c r="I159" s="6"/>
      <c r="J159" s="6"/>
      <c r="K159" s="6"/>
      <c r="L159" s="6"/>
      <c r="M159" s="6"/>
    </row>
    <row r="160" spans="1:13">
      <c r="A160" s="6"/>
      <c r="B160" s="6"/>
      <c r="C160" s="6"/>
      <c r="D160" s="6"/>
      <c r="E160" s="6"/>
      <c r="F160" s="6"/>
      <c r="G160" s="6"/>
      <c r="H160" s="6"/>
      <c r="I160" s="6"/>
      <c r="J160" s="6"/>
      <c r="K160" s="6"/>
      <c r="L160" s="6"/>
      <c r="M160" s="6"/>
    </row>
    <row r="161" spans="1:13">
      <c r="A161" s="6"/>
      <c r="B161" s="6"/>
      <c r="C161" s="6"/>
      <c r="D161" s="6"/>
      <c r="E161" s="6"/>
      <c r="F161" s="6"/>
      <c r="G161" s="6"/>
      <c r="H161" s="6"/>
      <c r="I161" s="6"/>
      <c r="J161" s="6"/>
      <c r="K161" s="6"/>
      <c r="L161" s="6"/>
      <c r="M161" s="6"/>
    </row>
    <row r="162" spans="1:13">
      <c r="A162" s="6"/>
      <c r="B162" s="6"/>
      <c r="C162" s="6"/>
      <c r="D162" s="6"/>
      <c r="E162" s="6"/>
      <c r="F162" s="6"/>
      <c r="G162" s="6"/>
      <c r="H162" s="6"/>
      <c r="I162" s="6"/>
      <c r="J162" s="6"/>
      <c r="K162" s="6"/>
      <c r="L162" s="6"/>
      <c r="M162" s="6"/>
    </row>
    <row r="163" spans="1:13">
      <c r="A163" s="6"/>
      <c r="B163" s="6"/>
      <c r="C163" s="6"/>
      <c r="D163" s="6"/>
      <c r="E163" s="6"/>
      <c r="F163" s="6"/>
      <c r="G163" s="6"/>
      <c r="H163" s="6"/>
      <c r="I163" s="6"/>
      <c r="J163" s="6"/>
      <c r="K163" s="6"/>
      <c r="L163" s="6"/>
      <c r="M163" s="6"/>
    </row>
    <row r="164" spans="1:13">
      <c r="A164" s="6"/>
      <c r="B164" s="6"/>
      <c r="C164" s="6"/>
      <c r="D164" s="6"/>
      <c r="E164" s="6"/>
      <c r="F164" s="6"/>
      <c r="G164" s="6"/>
      <c r="H164" s="6"/>
      <c r="I164" s="6"/>
      <c r="J164" s="6"/>
      <c r="K164" s="6"/>
      <c r="L164" s="6"/>
      <c r="M164" s="6"/>
    </row>
    <row r="165" spans="1:13">
      <c r="A165" s="6"/>
      <c r="B165" s="6"/>
      <c r="C165" s="6"/>
      <c r="D165" s="6"/>
      <c r="E165" s="6"/>
      <c r="F165" s="6"/>
      <c r="G165" s="6"/>
      <c r="H165" s="6"/>
      <c r="I165" s="6"/>
      <c r="J165" s="6"/>
      <c r="K165" s="6"/>
      <c r="L165" s="6"/>
      <c r="M165" s="6"/>
    </row>
    <row r="166" spans="1:13">
      <c r="A166" s="6"/>
      <c r="B166" s="6"/>
      <c r="C166" s="6"/>
      <c r="D166" s="6"/>
      <c r="E166" s="6"/>
      <c r="F166" s="6"/>
      <c r="G166" s="6"/>
      <c r="H166" s="6"/>
      <c r="I166" s="6"/>
      <c r="J166" s="6"/>
      <c r="K166" s="6"/>
      <c r="L166" s="6"/>
      <c r="M166" s="6"/>
    </row>
    <row r="167" spans="1:13">
      <c r="A167" s="6"/>
      <c r="B167" s="6"/>
      <c r="C167" s="6"/>
      <c r="D167" s="6"/>
      <c r="E167" s="6"/>
      <c r="F167" s="6"/>
      <c r="G167" s="6"/>
      <c r="H167" s="6"/>
      <c r="I167" s="6"/>
      <c r="J167" s="6"/>
      <c r="K167" s="6"/>
      <c r="L167" s="6"/>
      <c r="M167" s="6"/>
    </row>
    <row r="168" spans="1:13">
      <c r="A168" s="6"/>
      <c r="B168" s="6"/>
      <c r="C168" s="6"/>
      <c r="D168" s="6"/>
      <c r="E168" s="6"/>
      <c r="F168" s="6"/>
      <c r="G168" s="6"/>
      <c r="H168" s="6"/>
      <c r="I168" s="6"/>
      <c r="J168" s="6"/>
      <c r="K168" s="6"/>
      <c r="L168" s="6"/>
      <c r="M168" s="6"/>
    </row>
    <row r="169" spans="1:13">
      <c r="A169" s="6"/>
      <c r="B169" s="6"/>
      <c r="C169" s="6"/>
      <c r="D169" s="6"/>
      <c r="E169" s="6"/>
      <c r="F169" s="6"/>
      <c r="G169" s="6"/>
      <c r="H169" s="6"/>
      <c r="I169" s="6"/>
      <c r="J169" s="6"/>
      <c r="K169" s="6"/>
      <c r="L169" s="6"/>
      <c r="M169" s="6"/>
    </row>
    <row r="170" spans="1:13">
      <c r="A170" s="6"/>
      <c r="B170" s="6"/>
      <c r="C170" s="6"/>
      <c r="D170" s="6"/>
      <c r="E170" s="6"/>
      <c r="F170" s="6"/>
      <c r="G170" s="6"/>
      <c r="H170" s="6"/>
      <c r="I170" s="6"/>
      <c r="J170" s="6"/>
      <c r="K170" s="6"/>
      <c r="L170" s="6"/>
      <c r="M170" s="6"/>
    </row>
    <row r="171" spans="1:13">
      <c r="A171" s="6"/>
      <c r="B171" s="6"/>
      <c r="C171" s="6"/>
      <c r="D171" s="6"/>
      <c r="E171" s="6"/>
      <c r="F171" s="6"/>
      <c r="G171" s="6"/>
      <c r="H171" s="6"/>
      <c r="I171" s="6"/>
      <c r="J171" s="6"/>
      <c r="K171" s="6"/>
      <c r="L171" s="6"/>
      <c r="M171" s="6"/>
    </row>
    <row r="172" spans="1:13">
      <c r="A172" s="6"/>
      <c r="B172" s="6"/>
      <c r="C172" s="6"/>
      <c r="D172" s="6"/>
      <c r="E172" s="6"/>
      <c r="F172" s="6"/>
      <c r="G172" s="6"/>
      <c r="H172" s="6"/>
      <c r="I172" s="6"/>
      <c r="J172" s="6"/>
      <c r="K172" s="6"/>
      <c r="L172" s="6"/>
      <c r="M172" s="6"/>
    </row>
    <row r="173" spans="1:13">
      <c r="A173" s="6"/>
      <c r="B173" s="6"/>
      <c r="C173" s="6"/>
      <c r="D173" s="6"/>
      <c r="E173" s="6"/>
      <c r="F173" s="6"/>
      <c r="G173" s="6"/>
      <c r="H173" s="6"/>
      <c r="I173" s="6"/>
      <c r="J173" s="6"/>
      <c r="K173" s="6"/>
      <c r="L173" s="6"/>
      <c r="M173" s="6"/>
    </row>
    <row r="174" spans="1:13">
      <c r="A174" s="6"/>
      <c r="B174" s="6"/>
      <c r="C174" s="6"/>
      <c r="D174" s="6"/>
      <c r="E174" s="6"/>
      <c r="F174" s="6"/>
      <c r="G174" s="6"/>
      <c r="H174" s="6"/>
      <c r="I174" s="6"/>
      <c r="J174" s="6"/>
      <c r="K174" s="6"/>
      <c r="L174" s="6"/>
      <c r="M174" s="6"/>
    </row>
    <row r="175" spans="1:13">
      <c r="A175" s="6"/>
      <c r="B175" s="6"/>
      <c r="C175" s="6"/>
      <c r="D175" s="6"/>
      <c r="E175" s="6"/>
      <c r="F175" s="6"/>
      <c r="G175" s="6"/>
      <c r="H175" s="6"/>
      <c r="I175" s="6"/>
      <c r="J175" s="6"/>
      <c r="K175" s="6"/>
      <c r="L175" s="6"/>
      <c r="M175" s="6"/>
    </row>
    <row r="176" spans="1:13">
      <c r="A176" s="6"/>
      <c r="B176" s="6"/>
      <c r="C176" s="6"/>
      <c r="D176" s="6"/>
      <c r="E176" s="6"/>
      <c r="F176" s="6"/>
      <c r="G176" s="6"/>
      <c r="H176" s="6"/>
      <c r="I176" s="6"/>
      <c r="J176" s="6"/>
      <c r="K176" s="6"/>
      <c r="L176" s="6"/>
      <c r="M176" s="6"/>
    </row>
    <row r="177" spans="1:13">
      <c r="A177" s="6"/>
      <c r="B177" s="6"/>
      <c r="C177" s="6"/>
      <c r="D177" s="6"/>
      <c r="E177" s="6"/>
      <c r="F177" s="6"/>
      <c r="G177" s="6"/>
      <c r="H177" s="6"/>
      <c r="I177" s="6"/>
      <c r="J177" s="6"/>
      <c r="K177" s="6"/>
      <c r="L177" s="6"/>
      <c r="M177" s="6"/>
    </row>
    <row r="178" spans="1:13">
      <c r="A178" s="6"/>
      <c r="B178" s="6"/>
      <c r="C178" s="6"/>
      <c r="D178" s="6"/>
      <c r="E178" s="6"/>
      <c r="F178" s="6"/>
      <c r="G178" s="6"/>
      <c r="H178" s="6"/>
      <c r="I178" s="6"/>
      <c r="J178" s="6"/>
      <c r="K178" s="6"/>
      <c r="L178" s="6"/>
      <c r="M178" s="6"/>
    </row>
    <row r="179" spans="1:13">
      <c r="A179" s="6"/>
      <c r="B179" s="6"/>
      <c r="C179" s="6"/>
      <c r="D179" s="6"/>
      <c r="E179" s="6"/>
      <c r="F179" s="6"/>
      <c r="G179" s="6"/>
      <c r="H179" s="6"/>
      <c r="I179" s="6"/>
      <c r="J179" s="6"/>
      <c r="K179" s="6"/>
      <c r="L179" s="6"/>
      <c r="M179" s="6"/>
    </row>
    <row r="180" spans="1:13">
      <c r="A180" s="6"/>
      <c r="B180" s="6"/>
      <c r="C180" s="6"/>
      <c r="D180" s="6"/>
      <c r="E180" s="6"/>
      <c r="F180" s="6"/>
      <c r="G180" s="6"/>
      <c r="H180" s="6"/>
      <c r="I180" s="6"/>
      <c r="J180" s="6"/>
      <c r="K180" s="6"/>
      <c r="L180" s="6"/>
      <c r="M180" s="6"/>
    </row>
    <row r="181" spans="1:13">
      <c r="A181" s="6"/>
      <c r="B181" s="6"/>
      <c r="C181" s="6"/>
      <c r="D181" s="6"/>
      <c r="E181" s="6"/>
      <c r="F181" s="6"/>
      <c r="G181" s="6"/>
      <c r="H181" s="6"/>
      <c r="I181" s="6"/>
      <c r="J181" s="6"/>
      <c r="K181" s="6"/>
      <c r="L181" s="6"/>
      <c r="M181" s="6"/>
    </row>
    <row r="182" spans="1:13">
      <c r="A182" s="6"/>
      <c r="B182" s="6"/>
      <c r="C182" s="6"/>
      <c r="D182" s="6"/>
      <c r="E182" s="6"/>
      <c r="F182" s="6"/>
      <c r="G182" s="6"/>
      <c r="H182" s="6"/>
      <c r="I182" s="6"/>
      <c r="J182" s="6"/>
      <c r="K182" s="6"/>
      <c r="L182" s="6"/>
      <c r="M182" s="6"/>
    </row>
    <row r="183" spans="1:13">
      <c r="A183" s="6"/>
      <c r="B183" s="6"/>
      <c r="C183" s="6"/>
      <c r="D183" s="6"/>
      <c r="E183" s="6"/>
      <c r="F183" s="6"/>
      <c r="G183" s="6"/>
      <c r="H183" s="6"/>
      <c r="I183" s="6"/>
      <c r="J183" s="6"/>
      <c r="K183" s="6"/>
      <c r="L183" s="6"/>
      <c r="M183" s="6"/>
    </row>
    <row r="184" spans="1:13">
      <c r="A184" s="6"/>
      <c r="B184" s="6"/>
      <c r="C184" s="6"/>
      <c r="D184" s="6"/>
      <c r="E184" s="6"/>
      <c r="F184" s="6"/>
      <c r="G184" s="6"/>
      <c r="H184" s="6"/>
      <c r="I184" s="6"/>
      <c r="J184" s="6"/>
      <c r="K184" s="6"/>
      <c r="L184" s="6"/>
      <c r="M184" s="6"/>
    </row>
    <row r="185" spans="1:13">
      <c r="A185" s="6"/>
      <c r="B185" s="6"/>
      <c r="C185" s="6"/>
      <c r="D185" s="6"/>
      <c r="E185" s="6"/>
      <c r="F185" s="6"/>
      <c r="G185" s="6"/>
      <c r="H185" s="6"/>
      <c r="I185" s="6"/>
      <c r="J185" s="6"/>
      <c r="K185" s="6"/>
      <c r="L185" s="6"/>
      <c r="M185" s="6"/>
    </row>
    <row r="186" spans="1:13">
      <c r="A186" s="6"/>
      <c r="B186" s="6"/>
      <c r="C186" s="6"/>
      <c r="D186" s="6"/>
      <c r="E186" s="6"/>
      <c r="F186" s="6"/>
      <c r="G186" s="6"/>
      <c r="H186" s="6"/>
      <c r="I186" s="6"/>
      <c r="J186" s="6"/>
      <c r="K186" s="6"/>
      <c r="L186" s="6"/>
      <c r="M186" s="6"/>
    </row>
    <row r="187" spans="1:13">
      <c r="A187" s="6"/>
      <c r="B187" s="6"/>
      <c r="C187" s="6"/>
      <c r="D187" s="6"/>
      <c r="E187" s="6"/>
      <c r="F187" s="6"/>
      <c r="G187" s="6"/>
      <c r="H187" s="6"/>
      <c r="I187" s="6"/>
      <c r="J187" s="6"/>
      <c r="K187" s="6"/>
      <c r="L187" s="6"/>
      <c r="M187" s="6"/>
    </row>
    <row r="188" spans="1:13">
      <c r="A188" s="6"/>
      <c r="B188" s="6"/>
      <c r="C188" s="6"/>
      <c r="D188" s="6"/>
      <c r="E188" s="6"/>
      <c r="F188" s="6"/>
      <c r="G188" s="6"/>
      <c r="H188" s="6"/>
      <c r="I188" s="6"/>
      <c r="J188" s="6"/>
      <c r="K188" s="6"/>
      <c r="L188" s="6"/>
      <c r="M188" s="6"/>
    </row>
    <row r="189" spans="1:13">
      <c r="A189" s="6"/>
      <c r="B189" s="6"/>
      <c r="C189" s="6"/>
      <c r="D189" s="6"/>
      <c r="E189" s="6"/>
      <c r="F189" s="6"/>
      <c r="G189" s="6"/>
      <c r="H189" s="6"/>
      <c r="I189" s="6"/>
      <c r="J189" s="6"/>
      <c r="K189" s="6"/>
      <c r="L189" s="6"/>
      <c r="M189" s="6"/>
    </row>
    <row r="190" spans="1:13">
      <c r="A190" s="6"/>
      <c r="B190" s="6"/>
      <c r="C190" s="6"/>
      <c r="D190" s="6"/>
      <c r="E190" s="6"/>
      <c r="F190" s="6"/>
      <c r="G190" s="6"/>
      <c r="H190" s="6"/>
      <c r="I190" s="6"/>
      <c r="J190" s="6"/>
      <c r="K190" s="6"/>
      <c r="L190" s="6"/>
      <c r="M190" s="6"/>
    </row>
    <row r="191" spans="1:13">
      <c r="A191" s="6"/>
      <c r="B191" s="6"/>
      <c r="C191" s="6"/>
      <c r="D191" s="6"/>
      <c r="E191" s="6"/>
      <c r="F191" s="6"/>
      <c r="G191" s="6"/>
      <c r="H191" s="6"/>
      <c r="I191" s="6"/>
      <c r="J191" s="6"/>
      <c r="K191" s="6"/>
      <c r="L191" s="6"/>
      <c r="M191" s="6"/>
    </row>
    <row r="192" spans="1:13">
      <c r="A192" s="6"/>
      <c r="B192" s="6"/>
      <c r="C192" s="6"/>
      <c r="D192" s="6"/>
      <c r="E192" s="6"/>
      <c r="F192" s="6"/>
      <c r="G192" s="6"/>
      <c r="H192" s="6"/>
      <c r="I192" s="6"/>
      <c r="J192" s="6"/>
      <c r="K192" s="6"/>
      <c r="L192" s="6"/>
      <c r="M192" s="6"/>
    </row>
    <row r="193" spans="1:13">
      <c r="A193" s="6"/>
      <c r="B193" s="6"/>
      <c r="C193" s="6"/>
      <c r="D193" s="6"/>
      <c r="E193" s="6"/>
      <c r="F193" s="6"/>
      <c r="G193" s="6"/>
      <c r="H193" s="6"/>
      <c r="I193" s="6"/>
      <c r="J193" s="6"/>
      <c r="K193" s="6"/>
      <c r="L193" s="6"/>
      <c r="M193" s="6"/>
    </row>
    <row r="194" spans="1:13">
      <c r="A194" s="6"/>
      <c r="B194" s="6"/>
      <c r="C194" s="6"/>
      <c r="D194" s="6"/>
      <c r="E194" s="6"/>
      <c r="F194" s="6"/>
      <c r="G194" s="6"/>
      <c r="H194" s="6"/>
      <c r="I194" s="6"/>
      <c r="J194" s="6"/>
      <c r="K194" s="6"/>
      <c r="L194" s="6"/>
      <c r="M194" s="6"/>
    </row>
    <row r="195" spans="1:13">
      <c r="A195" s="6"/>
      <c r="B195" s="6"/>
      <c r="C195" s="6"/>
      <c r="D195" s="6"/>
      <c r="E195" s="6"/>
      <c r="F195" s="6"/>
      <c r="G195" s="6"/>
      <c r="H195" s="6"/>
      <c r="I195" s="6"/>
      <c r="J195" s="6"/>
      <c r="K195" s="6"/>
      <c r="L195" s="6"/>
      <c r="M195" s="6"/>
    </row>
    <row r="196" spans="1:13">
      <c r="A196" s="6"/>
      <c r="B196" s="6"/>
      <c r="C196" s="6"/>
      <c r="D196" s="6"/>
      <c r="E196" s="6"/>
      <c r="F196" s="6"/>
      <c r="G196" s="6"/>
      <c r="H196" s="6"/>
      <c r="I196" s="6"/>
      <c r="J196" s="6"/>
      <c r="K196" s="6"/>
      <c r="L196" s="6"/>
      <c r="M196" s="6"/>
    </row>
    <row r="197" spans="1:13">
      <c r="A197" s="6"/>
      <c r="B197" s="6"/>
      <c r="C197" s="6"/>
      <c r="D197" s="6"/>
      <c r="E197" s="6"/>
      <c r="F197" s="6"/>
      <c r="G197" s="6"/>
      <c r="H197" s="6"/>
      <c r="I197" s="6"/>
      <c r="J197" s="6"/>
      <c r="K197" s="6"/>
      <c r="L197" s="6"/>
      <c r="M197" s="6"/>
    </row>
    <row r="198" spans="1:13">
      <c r="A198" s="6"/>
      <c r="B198" s="6"/>
      <c r="C198" s="6"/>
      <c r="D198" s="6"/>
      <c r="E198" s="6"/>
      <c r="F198" s="6"/>
      <c r="G198" s="6"/>
      <c r="H198" s="6"/>
      <c r="I198" s="6"/>
      <c r="J198" s="6"/>
      <c r="K198" s="6"/>
      <c r="L198" s="6"/>
      <c r="M198" s="6"/>
    </row>
    <row r="199" spans="1:13">
      <c r="A199" s="6"/>
      <c r="B199" s="6"/>
      <c r="C199" s="6"/>
      <c r="D199" s="6"/>
      <c r="E199" s="6"/>
      <c r="F199" s="6"/>
      <c r="G199" s="6"/>
      <c r="H199" s="6"/>
      <c r="I199" s="6"/>
      <c r="J199" s="6"/>
      <c r="K199" s="6"/>
      <c r="L199" s="6"/>
      <c r="M199" s="6"/>
    </row>
    <row r="200" spans="1:13">
      <c r="A200" s="6"/>
      <c r="B200" s="6"/>
      <c r="C200" s="6"/>
      <c r="D200" s="6"/>
      <c r="E200" s="6"/>
      <c r="F200" s="6"/>
      <c r="G200" s="6"/>
      <c r="H200" s="6"/>
      <c r="I200" s="6"/>
      <c r="J200" s="6"/>
      <c r="K200" s="6"/>
      <c r="L200" s="6"/>
      <c r="M200" s="6"/>
    </row>
    <row r="201" spans="1:13">
      <c r="A201" s="6"/>
      <c r="B201" s="6"/>
      <c r="C201" s="6"/>
      <c r="D201" s="6"/>
      <c r="E201" s="6"/>
      <c r="F201" s="6"/>
      <c r="G201" s="6"/>
      <c r="H201" s="6"/>
      <c r="I201" s="6"/>
      <c r="J201" s="6"/>
      <c r="K201" s="6"/>
      <c r="L201" s="6"/>
      <c r="M201" s="6"/>
    </row>
    <row r="202" spans="1:13">
      <c r="A202" s="6"/>
      <c r="B202" s="6"/>
      <c r="C202" s="6"/>
      <c r="D202" s="6"/>
      <c r="E202" s="6"/>
      <c r="F202" s="6"/>
      <c r="G202" s="6"/>
      <c r="H202" s="6"/>
      <c r="I202" s="6"/>
      <c r="J202" s="6"/>
      <c r="K202" s="6"/>
      <c r="L202" s="6"/>
      <c r="M202" s="6"/>
    </row>
    <row r="203" spans="1:13">
      <c r="A203" s="6"/>
      <c r="B203" s="6"/>
      <c r="C203" s="6"/>
      <c r="D203" s="6"/>
      <c r="E203" s="6"/>
      <c r="F203" s="6"/>
      <c r="G203" s="6"/>
      <c r="H203" s="6"/>
      <c r="I203" s="6"/>
      <c r="J203" s="6"/>
      <c r="K203" s="6"/>
      <c r="L203" s="6"/>
      <c r="M203" s="6"/>
    </row>
    <row r="204" spans="1:13">
      <c r="A204" s="6"/>
      <c r="B204" s="6"/>
      <c r="C204" s="6"/>
      <c r="D204" s="6"/>
      <c r="E204" s="6"/>
      <c r="F204" s="6"/>
      <c r="G204" s="6"/>
      <c r="H204" s="6"/>
      <c r="I204" s="6"/>
      <c r="J204" s="6"/>
      <c r="K204" s="6"/>
      <c r="L204" s="6"/>
      <c r="M204" s="6"/>
    </row>
    <row r="205" spans="1:13">
      <c r="A205" s="6"/>
      <c r="B205" s="6"/>
      <c r="C205" s="6"/>
      <c r="D205" s="6"/>
      <c r="E205" s="6"/>
      <c r="F205" s="6"/>
      <c r="G205" s="6"/>
      <c r="H205" s="6"/>
      <c r="I205" s="6"/>
      <c r="J205" s="6"/>
      <c r="K205" s="6"/>
      <c r="L205" s="6"/>
      <c r="M205" s="6"/>
    </row>
    <row r="206" spans="1:13">
      <c r="A206" s="6"/>
      <c r="B206" s="6"/>
      <c r="C206" s="6"/>
      <c r="D206" s="6"/>
      <c r="E206" s="6"/>
      <c r="F206" s="6"/>
      <c r="G206" s="6"/>
      <c r="H206" s="6"/>
      <c r="I206" s="6"/>
      <c r="J206" s="6"/>
      <c r="K206" s="6"/>
      <c r="L206" s="6"/>
      <c r="M206" s="6"/>
    </row>
    <row r="207" spans="1:13">
      <c r="A207" s="6"/>
      <c r="B207" s="6"/>
      <c r="C207" s="6"/>
      <c r="D207" s="6"/>
      <c r="E207" s="6"/>
      <c r="F207" s="6"/>
      <c r="G207" s="6"/>
      <c r="H207" s="6"/>
      <c r="I207" s="6"/>
      <c r="J207" s="6"/>
      <c r="K207" s="6"/>
      <c r="L207" s="6"/>
      <c r="M207" s="6"/>
    </row>
    <row r="208" spans="1:13">
      <c r="A208" s="6"/>
      <c r="B208" s="6"/>
      <c r="C208" s="6"/>
      <c r="D208" s="6"/>
      <c r="E208" s="6"/>
      <c r="F208" s="6"/>
      <c r="G208" s="6"/>
      <c r="H208" s="6"/>
      <c r="I208" s="6"/>
      <c r="J208" s="6"/>
      <c r="K208" s="6"/>
      <c r="L208" s="6"/>
      <c r="M208" s="6"/>
    </row>
    <row r="209" spans="1:13">
      <c r="A209" s="6"/>
      <c r="B209" s="6"/>
      <c r="C209" s="6"/>
      <c r="D209" s="6"/>
      <c r="E209" s="6"/>
      <c r="F209" s="6"/>
      <c r="G209" s="6"/>
      <c r="H209" s="6"/>
      <c r="I209" s="6"/>
      <c r="J209" s="6"/>
      <c r="K209" s="6"/>
      <c r="L209" s="6"/>
      <c r="M209" s="6"/>
    </row>
    <row r="210" spans="1:13">
      <c r="A210" s="6"/>
      <c r="B210" s="6"/>
      <c r="C210" s="6"/>
      <c r="D210" s="6"/>
      <c r="E210" s="6"/>
      <c r="F210" s="6"/>
      <c r="G210" s="6"/>
      <c r="H210" s="6"/>
      <c r="I210" s="6"/>
      <c r="J210" s="6"/>
      <c r="K210" s="6"/>
      <c r="L210" s="6"/>
      <c r="M210" s="6"/>
    </row>
    <row r="211" spans="1:13">
      <c r="A211" s="6"/>
      <c r="B211" s="6"/>
      <c r="C211" s="6"/>
      <c r="D211" s="6"/>
      <c r="E211" s="6"/>
      <c r="F211" s="6"/>
      <c r="G211" s="6"/>
      <c r="H211" s="6"/>
      <c r="I211" s="6"/>
      <c r="J211" s="6"/>
      <c r="K211" s="6"/>
      <c r="L211" s="6"/>
      <c r="M211" s="6"/>
    </row>
    <row r="212" spans="1:13">
      <c r="A212" s="6"/>
      <c r="B212" s="6"/>
      <c r="C212" s="6"/>
      <c r="D212" s="6"/>
      <c r="E212" s="6"/>
      <c r="F212" s="6"/>
      <c r="G212" s="6"/>
      <c r="H212" s="6"/>
      <c r="I212" s="6"/>
      <c r="J212" s="6"/>
      <c r="K212" s="6"/>
      <c r="L212" s="6"/>
      <c r="M212" s="6"/>
    </row>
    <row r="213" spans="1:13">
      <c r="A213" s="6"/>
      <c r="B213" s="6"/>
      <c r="C213" s="6"/>
      <c r="D213" s="6"/>
      <c r="E213" s="6"/>
      <c r="F213" s="6"/>
      <c r="G213" s="6"/>
      <c r="H213" s="6"/>
      <c r="I213" s="6"/>
      <c r="J213" s="6"/>
      <c r="K213" s="6"/>
      <c r="L213" s="6"/>
      <c r="M213" s="6"/>
    </row>
    <row r="214" spans="1:13">
      <c r="A214" s="6"/>
      <c r="B214" s="6"/>
      <c r="C214" s="6"/>
      <c r="D214" s="6"/>
      <c r="E214" s="6"/>
      <c r="F214" s="6"/>
      <c r="G214" s="6"/>
      <c r="H214" s="6"/>
      <c r="I214" s="6"/>
      <c r="J214" s="6"/>
      <c r="K214" s="6"/>
      <c r="L214" s="6"/>
      <c r="M214" s="6"/>
    </row>
    <row r="215" spans="1:13">
      <c r="A215" s="6"/>
      <c r="B215" s="6"/>
      <c r="C215" s="6"/>
      <c r="D215" s="6"/>
      <c r="E215" s="6"/>
      <c r="F215" s="6"/>
      <c r="G215" s="6"/>
      <c r="H215" s="6"/>
      <c r="I215" s="6"/>
      <c r="J215" s="6"/>
      <c r="K215" s="6"/>
      <c r="L215" s="6"/>
      <c r="M215" s="6"/>
    </row>
    <row r="216" spans="1:13">
      <c r="A216" s="6"/>
      <c r="B216" s="6"/>
      <c r="C216" s="6"/>
      <c r="D216" s="6"/>
      <c r="E216" s="6"/>
      <c r="F216" s="6"/>
      <c r="G216" s="6"/>
      <c r="H216" s="6"/>
      <c r="I216" s="6"/>
      <c r="J216" s="6"/>
      <c r="K216" s="6"/>
      <c r="L216" s="6"/>
      <c r="M216" s="6"/>
    </row>
    <row r="217" spans="1:13">
      <c r="A217" s="6"/>
    </row>
    <row r="218" spans="1:13">
      <c r="A218" s="6"/>
    </row>
  </sheetData>
  <sheetProtection password="DFF4" sheet="1" objects="1" scenarios="1" formatCells="0" formatColumns="0" formatRows="0" insertRows="0"/>
  <protectedRanges>
    <protectedRange password="DDF4" sqref="A2 A21:D23 I21:J23 A28:D30 I28:J30 A36:A37" name="Range1"/>
    <protectedRange password="DDF4" sqref="M8:M16" name="Range1_1"/>
  </protectedRanges>
  <mergeCells count="13">
    <mergeCell ref="B46:C46"/>
    <mergeCell ref="B47:C47"/>
    <mergeCell ref="K20:K27"/>
    <mergeCell ref="L20:L27"/>
    <mergeCell ref="A34:E34"/>
    <mergeCell ref="L38:L42"/>
    <mergeCell ref="M38:M42"/>
    <mergeCell ref="A40:C40"/>
    <mergeCell ref="A1:J1"/>
    <mergeCell ref="A2:J2"/>
    <mergeCell ref="A3:J3"/>
    <mergeCell ref="K17:K19"/>
    <mergeCell ref="L17:L19"/>
  </mergeCells>
  <pageMargins left="0.75" right="0.75" top="1" bottom="1" header="0.5" footer="0.5"/>
  <pageSetup scale="51" orientation="landscape"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Instructions</vt:lpstr>
      <vt:lpstr>Ex. 10 - Repl. Unit Analysis</vt:lpstr>
      <vt:lpstr>Ex. 22 - Development Budget</vt:lpstr>
      <vt:lpstr>Ex. 23 - Operating Budget</vt:lpstr>
      <vt:lpstr>Exhibit 24 - 30 Year Proforma</vt:lpstr>
      <vt:lpstr>Exhibit 25 - Financial Summ </vt:lpstr>
      <vt:lpstr>Ex 26 - Unit Affordability</vt:lpstr>
      <vt:lpstr>Unit Affordability Example</vt:lpstr>
      <vt:lpstr>Sheet1</vt:lpstr>
      <vt:lpstr>'Ex. 23 - Operating Budget'!Print_Area</vt:lpstr>
    </vt:vector>
  </TitlesOfParts>
  <Company>CEDA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Downton</dc:creator>
  <cp:lastModifiedBy>Morales, Christina</cp:lastModifiedBy>
  <cp:lastPrinted>2014-08-25T18:40:47Z</cp:lastPrinted>
  <dcterms:created xsi:type="dcterms:W3CDTF">2005-07-05T20:27:42Z</dcterms:created>
  <dcterms:modified xsi:type="dcterms:W3CDTF">2014-10-24T21:35:22Z</dcterms:modified>
</cp:coreProperties>
</file>