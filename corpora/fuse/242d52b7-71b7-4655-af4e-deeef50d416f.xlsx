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autoCompressPictures="0" defaultThemeVersion="124226"/>
  <bookViews>
    <workbookView xWindow="96" yWindow="60" windowWidth="22860" windowHeight="11064" tabRatio="786"/>
  </bookViews>
  <sheets>
    <sheet name="Table S1 Performance data" sheetId="1" r:id="rId1"/>
  </sheets>
  <calcPr calcId="125725"/>
  <extLst>
    <ext xmlns:mx="http://schemas.microsoft.com/office/mac/excel/2008/main" uri="http://schemas.microsoft.com/office/mac/excel/2008/main">
      <mx:ArchID Flags="2"/>
    </ext>
  </extLst>
</workbook>
</file>

<file path=xl/calcChain.xml><?xml version="1.0" encoding="utf-8"?>
<calcChain xmlns="http://schemas.openxmlformats.org/spreadsheetml/2006/main">
  <c r="P36" i="1"/>
  <c r="O36"/>
  <c r="N36"/>
  <c r="M36"/>
  <c r="L36"/>
  <c r="K36"/>
  <c r="J36"/>
  <c r="I36"/>
  <c r="H36"/>
</calcChain>
</file>

<file path=xl/sharedStrings.xml><?xml version="1.0" encoding="utf-8"?>
<sst xmlns="http://schemas.openxmlformats.org/spreadsheetml/2006/main" count="240" uniqueCount="86">
  <si>
    <r>
      <rPr>
        <b/>
        <sz val="9"/>
        <color theme="1"/>
        <rFont val="Calibri"/>
        <family val="2"/>
        <scheme val="minor"/>
      </rPr>
      <t>Table S1</t>
    </r>
    <r>
      <rPr>
        <sz val="9"/>
        <color theme="1"/>
        <rFont val="Calibri"/>
        <family val="2"/>
        <scheme val="minor"/>
      </rPr>
      <t xml:space="preserve"> Whole exome sequencing performance and variant count</t>
    </r>
  </si>
  <si>
    <t>% Target bases ≥10-fold Coverage</t>
  </si>
  <si>
    <t>% Target bases ≥20-fold Coverage</t>
  </si>
  <si>
    <t>Mean coverage for target bases</t>
  </si>
  <si>
    <t>% Target bases with one fifth of mean coverage</t>
  </si>
  <si>
    <t>Novel deleterious (and nonsynonymous) variants per individual</t>
  </si>
  <si>
    <r>
      <t>Novel deleterious (and nonsynonymous) variants shared by all relatives</t>
    </r>
    <r>
      <rPr>
        <vertAlign val="superscript"/>
        <sz val="9"/>
        <color theme="1"/>
        <rFont val="Calibri"/>
        <family val="2"/>
        <scheme val="minor"/>
      </rPr>
      <t>e</t>
    </r>
  </si>
  <si>
    <t>PE</t>
  </si>
  <si>
    <t>SPRIworks (200-400 bp)</t>
  </si>
  <si>
    <t>NG EZ exome v1</t>
  </si>
  <si>
    <t>GAIIx</t>
  </si>
  <si>
    <t>34 (260)</t>
  </si>
  <si>
    <t>12 (111)</t>
  </si>
  <si>
    <t>26 (257)</t>
  </si>
  <si>
    <t>Ag Exome 50 Mb</t>
  </si>
  <si>
    <t>74 (352)</t>
  </si>
  <si>
    <t>21 (149)</t>
  </si>
  <si>
    <t>Ag Exome v2</t>
  </si>
  <si>
    <t>39 (274)</t>
  </si>
  <si>
    <t>NG exome array</t>
  </si>
  <si>
    <t>SE</t>
  </si>
  <si>
    <t>54 (328)</t>
  </si>
  <si>
    <t>7 (16)</t>
  </si>
  <si>
    <t>42 (282)</t>
  </si>
  <si>
    <t>44 (313)</t>
  </si>
  <si>
    <t>Average</t>
  </si>
  <si>
    <t>35 (284)</t>
  </si>
  <si>
    <t>9 (75)</t>
  </si>
  <si>
    <r>
      <rPr>
        <vertAlign val="superscript"/>
        <sz val="9"/>
        <color theme="1"/>
        <rFont val="Calibri"/>
        <family val="2"/>
        <scheme val="minor"/>
      </rPr>
      <t>b</t>
    </r>
    <r>
      <rPr>
        <sz val="9"/>
        <color theme="1"/>
        <rFont val="Calibri"/>
        <family val="2"/>
        <scheme val="minor"/>
      </rPr>
      <t>Libraries were prepared by hand (manual) or using the SPRIworks Fragment Library System (SPRIworks) incorporating size selection as indicated in parentheses</t>
    </r>
  </si>
  <si>
    <r>
      <rPr>
        <vertAlign val="superscript"/>
        <sz val="9"/>
        <color theme="1"/>
        <rFont val="Calibri"/>
        <family val="2"/>
        <scheme val="minor"/>
      </rPr>
      <t>d</t>
    </r>
    <r>
      <rPr>
        <sz val="9"/>
        <color theme="1"/>
        <rFont val="Calibri"/>
        <family val="2"/>
        <scheme val="minor"/>
      </rPr>
      <t>Percentage of reads that map and align to the reference genome and overlap with the targeted bases by at least one base.  The target regions differ according to the capture method used</t>
    </r>
  </si>
  <si>
    <r>
      <rPr>
        <vertAlign val="superscript"/>
        <sz val="9"/>
        <color theme="1"/>
        <rFont val="Calibri"/>
        <family val="2"/>
        <scheme val="minor"/>
      </rPr>
      <t>e</t>
    </r>
    <r>
      <rPr>
        <sz val="9"/>
        <color theme="1"/>
        <rFont val="Calibri"/>
        <family val="2"/>
        <scheme val="minor"/>
      </rPr>
      <t>Number of variants shared by all exome-sequenced family members (i.e. either 2 or 3)</t>
    </r>
  </si>
  <si>
    <t>Sample</t>
  </si>
  <si>
    <r>
      <t>Library type</t>
    </r>
    <r>
      <rPr>
        <vertAlign val="superscript"/>
        <sz val="9"/>
        <color theme="1"/>
        <rFont val="Calibri"/>
        <family val="2"/>
        <scheme val="minor"/>
      </rPr>
      <t>a</t>
    </r>
  </si>
  <si>
    <r>
      <t>Library preparation</t>
    </r>
    <r>
      <rPr>
        <vertAlign val="superscript"/>
        <sz val="9"/>
        <color theme="1"/>
        <rFont val="Calibri"/>
        <family val="2"/>
        <scheme val="minor"/>
      </rPr>
      <t>b</t>
    </r>
  </si>
  <si>
    <r>
      <t>Capture method</t>
    </r>
    <r>
      <rPr>
        <vertAlign val="superscript"/>
        <sz val="9"/>
        <color theme="1"/>
        <rFont val="Calibri"/>
        <family val="2"/>
        <scheme val="minor"/>
      </rPr>
      <t>c</t>
    </r>
  </si>
  <si>
    <t>Sequence reads</t>
  </si>
  <si>
    <t>Read length (bp)</t>
  </si>
  <si>
    <t>Instrument</t>
  </si>
  <si>
    <t>Total reads</t>
  </si>
  <si>
    <t>% Reads mapped</t>
  </si>
  <si>
    <t>% Mapped reads duplicates</t>
  </si>
  <si>
    <r>
      <t>% Reads OnTarget</t>
    </r>
    <r>
      <rPr>
        <vertAlign val="superscript"/>
        <sz val="9"/>
        <color theme="1"/>
        <rFont val="Calibri"/>
        <family val="2"/>
        <scheme val="minor"/>
      </rPr>
      <t>d</t>
    </r>
  </si>
  <si>
    <r>
      <t xml:space="preserve">% Target bases </t>
    </r>
    <r>
      <rPr>
        <sz val="9"/>
        <color indexed="8"/>
        <rFont val="Calibri"/>
        <family val="2"/>
      </rPr>
      <t>≥</t>
    </r>
    <r>
      <rPr>
        <sz val="9"/>
        <color theme="1"/>
        <rFont val="Calibri"/>
        <family val="2"/>
        <scheme val="minor"/>
      </rPr>
      <t>1-fold Coverage</t>
    </r>
  </si>
  <si>
    <t>14 (236)</t>
  </si>
  <si>
    <t>4 (108)</t>
  </si>
  <si>
    <t>17 (263)</t>
  </si>
  <si>
    <t>Manual (Gel 200-300 bp)</t>
  </si>
  <si>
    <t>27 (262)</t>
  </si>
  <si>
    <t>0 (7)</t>
  </si>
  <si>
    <t>24 (210)</t>
  </si>
  <si>
    <t>15 (223)</t>
  </si>
  <si>
    <t>0 (4)</t>
  </si>
  <si>
    <t>24 (246)</t>
  </si>
  <si>
    <t>17 (197)</t>
  </si>
  <si>
    <t>inPE</t>
  </si>
  <si>
    <t>HiSeq</t>
  </si>
  <si>
    <t>38 (298)</t>
  </si>
  <si>
    <t>7 (65)</t>
  </si>
  <si>
    <t>34 (290)</t>
  </si>
  <si>
    <t>23 (214)</t>
  </si>
  <si>
    <t>1 (29)</t>
  </si>
  <si>
    <t>37 (298)</t>
  </si>
  <si>
    <t>27 (339)</t>
  </si>
  <si>
    <t>7 (111)</t>
  </si>
  <si>
    <t>27 (305)</t>
  </si>
  <si>
    <t>20 (275)</t>
  </si>
  <si>
    <t>10 (129)</t>
  </si>
  <si>
    <t>29 (295)</t>
  </si>
  <si>
    <t>19 (262)</t>
  </si>
  <si>
    <t>3 (53)</t>
  </si>
  <si>
    <t>21 (267)</t>
  </si>
  <si>
    <t>69 (382)</t>
  </si>
  <si>
    <t>22 (155)</t>
  </si>
  <si>
    <t>44 (300)</t>
  </si>
  <si>
    <t>60 (345)</t>
  </si>
  <si>
    <t>22 (58)</t>
  </si>
  <si>
    <t>57 (366)</t>
  </si>
  <si>
    <t>35 (310)</t>
  </si>
  <si>
    <t>13 (116)</t>
  </si>
  <si>
    <t>43 (272)</t>
  </si>
  <si>
    <t>41 (281)</t>
  </si>
  <si>
    <t>3 (21)</t>
  </si>
  <si>
    <t>36 (261)</t>
  </si>
  <si>
    <t>31 (307)</t>
  </si>
  <si>
    <r>
      <rPr>
        <vertAlign val="superscript"/>
        <sz val="9"/>
        <color theme="1"/>
        <rFont val="Calibri"/>
        <family val="2"/>
        <scheme val="minor"/>
      </rPr>
      <t>c</t>
    </r>
    <r>
      <rPr>
        <sz val="9"/>
        <color theme="1"/>
        <rFont val="Calibri"/>
        <family val="2"/>
        <scheme val="minor"/>
      </rPr>
      <t>Exome enrichment was performed using either the NimbleGen Sequence Capture 2.1M Exome Array (NG exome array), EZ Exome Library version 1 or 2 (NG exome array v1 or v2) or Agilent SureSelect Human All Exon version 2 (Ag Exome v2) or 50 Mb (Ag Exome 50 Mb) libraries</t>
    </r>
  </si>
  <si>
    <r>
      <rPr>
        <vertAlign val="superscript"/>
        <sz val="9"/>
        <color theme="1"/>
        <rFont val="Calibri"/>
        <family val="2"/>
        <scheme val="minor"/>
      </rPr>
      <t>a</t>
    </r>
    <r>
      <rPr>
        <sz val="9"/>
        <color theme="1"/>
        <rFont val="Calibri"/>
        <family val="2"/>
        <scheme val="minor"/>
      </rPr>
      <t>Indicates adaptor type (and protocol) used for library preparation. Paired-end (PE), single-end (SE), multiplex paired-end (inPE)</t>
    </r>
  </si>
</sst>
</file>

<file path=xl/styles.xml><?xml version="1.0" encoding="utf-8"?>
<styleSheet xmlns="http://schemas.openxmlformats.org/spreadsheetml/2006/main">
  <numFmts count="1">
    <numFmt numFmtId="164" formatCode="0.0"/>
  </numFmts>
  <fonts count="7">
    <font>
      <sz val="11"/>
      <color theme="1"/>
      <name val="Calibri"/>
      <family val="2"/>
      <scheme val="minor"/>
    </font>
    <font>
      <sz val="8"/>
      <name val="Verdana"/>
    </font>
    <font>
      <sz val="9"/>
      <color theme="1"/>
      <name val="Calibri"/>
      <family val="2"/>
      <scheme val="minor"/>
    </font>
    <font>
      <b/>
      <sz val="9"/>
      <color theme="1"/>
      <name val="Calibri"/>
      <family val="2"/>
      <scheme val="minor"/>
    </font>
    <font>
      <vertAlign val="superscript"/>
      <sz val="9"/>
      <color theme="1"/>
      <name val="Calibri"/>
      <family val="2"/>
      <scheme val="minor"/>
    </font>
    <font>
      <sz val="9"/>
      <color indexed="8"/>
      <name val="Calibri"/>
      <family val="2"/>
    </font>
    <font>
      <sz val="9"/>
      <name val="Calibri"/>
      <family val="2"/>
      <scheme val="minor"/>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51">
    <xf numFmtId="0" fontId="0" fillId="0" borderId="0" xfId="0"/>
    <xf numFmtId="0" fontId="2" fillId="0" borderId="0" xfId="0" applyFont="1"/>
    <xf numFmtId="0" fontId="2" fillId="0" borderId="0" xfId="0" applyFont="1" applyFill="1"/>
    <xf numFmtId="0" fontId="2" fillId="0" borderId="1" xfId="0" applyFont="1" applyBorder="1" applyAlignment="1">
      <alignment wrapText="1"/>
    </xf>
    <xf numFmtId="0" fontId="2" fillId="0" borderId="1" xfId="0" applyFont="1" applyFill="1" applyBorder="1" applyAlignment="1">
      <alignment wrapText="1"/>
    </xf>
    <xf numFmtId="0" fontId="2" fillId="0" borderId="0" xfId="0" applyFont="1" applyAlignment="1">
      <alignment wrapText="1"/>
    </xf>
    <xf numFmtId="164" fontId="2" fillId="0" borderId="2" xfId="0" applyNumberFormat="1" applyFont="1" applyBorder="1" applyAlignment="1">
      <alignment horizontal="left"/>
    </xf>
    <xf numFmtId="0" fontId="6" fillId="0" borderId="2" xfId="0" applyFont="1" applyFill="1" applyBorder="1" applyAlignment="1">
      <alignment vertical="center"/>
    </xf>
    <xf numFmtId="0" fontId="2" fillId="0" borderId="2" xfId="0" applyFont="1" applyFill="1" applyBorder="1" applyAlignment="1">
      <alignment vertical="center"/>
    </xf>
    <xf numFmtId="3" fontId="2" fillId="0" borderId="2" xfId="0" applyNumberFormat="1" applyFont="1" applyFill="1" applyBorder="1"/>
    <xf numFmtId="2" fontId="2" fillId="0" borderId="2" xfId="0" applyNumberFormat="1" applyFont="1" applyFill="1" applyBorder="1"/>
    <xf numFmtId="2" fontId="2" fillId="0" borderId="2" xfId="0" applyNumberFormat="1" applyFont="1" applyBorder="1"/>
    <xf numFmtId="0" fontId="2" fillId="0" borderId="2" xfId="0" applyFont="1" applyFill="1" applyBorder="1" applyAlignment="1">
      <alignment horizontal="right"/>
    </xf>
    <xf numFmtId="164" fontId="2" fillId="0" borderId="0" xfId="0" applyNumberFormat="1" applyFont="1" applyBorder="1" applyAlignment="1">
      <alignment horizontal="left"/>
    </xf>
    <xf numFmtId="0" fontId="6" fillId="0" borderId="0" xfId="0" applyFont="1" applyFill="1" applyBorder="1" applyAlignment="1">
      <alignment vertical="center"/>
    </xf>
    <xf numFmtId="0" fontId="2" fillId="0" borderId="0" xfId="0" applyFont="1" applyFill="1" applyBorder="1" applyAlignment="1">
      <alignment vertical="center"/>
    </xf>
    <xf numFmtId="3" fontId="2" fillId="0" borderId="0" xfId="0" applyNumberFormat="1" applyFont="1" applyFill="1" applyBorder="1"/>
    <xf numFmtId="2" fontId="2" fillId="0" borderId="0" xfId="0" applyNumberFormat="1" applyFont="1" applyFill="1" applyBorder="1"/>
    <xf numFmtId="2" fontId="2" fillId="0" borderId="0" xfId="0" applyNumberFormat="1" applyFont="1" applyBorder="1"/>
    <xf numFmtId="0" fontId="2" fillId="0" borderId="0" xfId="0" applyFont="1" applyFill="1" applyBorder="1" applyAlignment="1">
      <alignment horizontal="right"/>
    </xf>
    <xf numFmtId="0" fontId="6" fillId="0" borderId="2" xfId="0" applyFont="1" applyFill="1" applyBorder="1" applyAlignment="1">
      <alignment vertical="center" wrapText="1"/>
    </xf>
    <xf numFmtId="164" fontId="2" fillId="0" borderId="3" xfId="0" applyNumberFormat="1" applyFont="1" applyBorder="1" applyAlignment="1">
      <alignment horizontal="left"/>
    </xf>
    <xf numFmtId="0" fontId="6" fillId="0" borderId="3" xfId="0" applyFont="1" applyFill="1" applyBorder="1" applyAlignment="1">
      <alignment vertical="center"/>
    </xf>
    <xf numFmtId="0" fontId="2" fillId="0" borderId="3" xfId="0" applyFont="1" applyFill="1" applyBorder="1" applyAlignment="1">
      <alignment horizontal="left" vertical="center"/>
    </xf>
    <xf numFmtId="0" fontId="2" fillId="0" borderId="3" xfId="0" applyFont="1" applyFill="1" applyBorder="1" applyAlignment="1">
      <alignment vertical="center"/>
    </xf>
    <xf numFmtId="3" fontId="2" fillId="0" borderId="3" xfId="0" applyNumberFormat="1" applyFont="1" applyFill="1" applyBorder="1"/>
    <xf numFmtId="2" fontId="2" fillId="0" borderId="3" xfId="0" applyNumberFormat="1" applyFont="1" applyFill="1" applyBorder="1"/>
    <xf numFmtId="2" fontId="2" fillId="0" borderId="3" xfId="0" applyNumberFormat="1" applyFont="1" applyBorder="1"/>
    <xf numFmtId="0" fontId="2" fillId="0" borderId="3" xfId="0" applyFont="1" applyFill="1" applyBorder="1" applyAlignment="1">
      <alignment horizontal="right"/>
    </xf>
    <xf numFmtId="3" fontId="2" fillId="0" borderId="0" xfId="0" applyNumberFormat="1" applyFont="1" applyFill="1"/>
    <xf numFmtId="2" fontId="2" fillId="0" borderId="0" xfId="0" applyNumberFormat="1" applyFont="1"/>
    <xf numFmtId="2" fontId="2" fillId="0" borderId="0" xfId="0" applyNumberFormat="1" applyFont="1" applyFill="1"/>
    <xf numFmtId="0" fontId="6" fillId="0" borderId="0" xfId="0" applyFont="1" applyFill="1" applyAlignment="1">
      <alignment vertical="center"/>
    </xf>
    <xf numFmtId="0" fontId="2" fillId="0" borderId="2" xfId="0" applyFont="1" applyFill="1" applyBorder="1" applyAlignment="1">
      <alignment horizontal="left" vertical="center"/>
    </xf>
    <xf numFmtId="0" fontId="6" fillId="0" borderId="3" xfId="0" applyFont="1" applyFill="1" applyBorder="1" applyAlignment="1">
      <alignment vertical="center" wrapText="1"/>
    </xf>
    <xf numFmtId="164" fontId="2" fillId="0" borderId="0" xfId="0" applyNumberFormat="1" applyFont="1" applyFill="1" applyBorder="1" applyAlignment="1">
      <alignment horizontal="left"/>
    </xf>
    <xf numFmtId="0" fontId="6" fillId="0" borderId="0" xfId="0" applyFont="1" applyFill="1" applyBorder="1" applyAlignment="1">
      <alignment vertical="center" wrapText="1"/>
    </xf>
    <xf numFmtId="0" fontId="2" fillId="0" borderId="0" xfId="0" applyFont="1" applyFill="1" applyBorder="1" applyAlignment="1">
      <alignment horizontal="left" vertical="center"/>
    </xf>
    <xf numFmtId="0" fontId="2" fillId="0" borderId="0" xfId="0" applyFont="1" applyBorder="1"/>
    <xf numFmtId="0" fontId="3" fillId="0" borderId="1" xfId="0" applyFont="1" applyBorder="1"/>
    <xf numFmtId="3" fontId="3" fillId="0" borderId="1" xfId="0" applyNumberFormat="1" applyFont="1" applyFill="1" applyBorder="1"/>
    <xf numFmtId="2" fontId="3" fillId="0" borderId="1" xfId="0" applyNumberFormat="1" applyFont="1" applyFill="1" applyBorder="1"/>
    <xf numFmtId="0" fontId="3" fillId="0" borderId="1" xfId="0" applyFont="1" applyFill="1" applyBorder="1" applyAlignment="1">
      <alignment horizontal="right"/>
    </xf>
    <xf numFmtId="0" fontId="3" fillId="0" borderId="0" xfId="0" applyFont="1"/>
    <xf numFmtId="0" fontId="2" fillId="0" borderId="0" xfId="0" applyFont="1" applyAlignment="1"/>
    <xf numFmtId="0" fontId="2" fillId="0" borderId="3" xfId="0" applyFont="1" applyBorder="1"/>
    <xf numFmtId="0" fontId="2" fillId="0" borderId="2" xfId="0" applyFont="1" applyBorder="1" applyAlignment="1">
      <alignment horizontal="right" vertical="top"/>
    </xf>
    <xf numFmtId="0" fontId="2" fillId="0" borderId="3" xfId="0" applyFont="1" applyBorder="1" applyAlignment="1">
      <alignment horizontal="right" vertical="top"/>
    </xf>
    <xf numFmtId="0" fontId="2" fillId="0" borderId="0" xfId="0" applyFont="1" applyBorder="1" applyAlignment="1">
      <alignment horizontal="right" vertical="top"/>
    </xf>
    <xf numFmtId="0" fontId="2" fillId="0" borderId="0" xfId="0" applyFont="1" applyBorder="1" applyAlignment="1"/>
    <xf numFmtId="0" fontId="2" fillId="0" borderId="2" xfId="0" applyFont="1" applyBorder="1" applyAlignment="1"/>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1"/>
  <sheetViews>
    <sheetView showGridLines="0" tabSelected="1" workbookViewId="0"/>
  </sheetViews>
  <sheetFormatPr defaultColWidth="8.77734375" defaultRowHeight="12"/>
  <cols>
    <col min="1" max="1" width="6.44140625" style="1" customWidth="1"/>
    <col min="2" max="2" width="5.6640625" style="1" customWidth="1"/>
    <col min="3" max="3" width="18.109375" style="1" bestFit="1" customWidth="1"/>
    <col min="4" max="4" width="12.6640625" style="1" bestFit="1" customWidth="1"/>
    <col min="5" max="5" width="7.44140625" style="1" bestFit="1" customWidth="1"/>
    <col min="6" max="6" width="5.33203125" style="1" bestFit="1" customWidth="1"/>
    <col min="7" max="7" width="8.6640625" style="1" bestFit="1" customWidth="1"/>
    <col min="8" max="8" width="9.6640625" style="2" bestFit="1" customWidth="1"/>
    <col min="9" max="9" width="6.6640625" style="2" bestFit="1" customWidth="1"/>
    <col min="10" max="10" width="8.109375" style="2" bestFit="1" customWidth="1"/>
    <col min="11" max="11" width="8.109375" style="1" bestFit="1" customWidth="1"/>
    <col min="12" max="14" width="12.44140625" style="2" customWidth="1"/>
    <col min="15" max="15" width="10.109375" style="2" customWidth="1"/>
    <col min="16" max="16" width="12.6640625" style="2" customWidth="1"/>
    <col min="17" max="17" width="16.77734375" style="1" customWidth="1"/>
    <col min="18" max="18" width="18.6640625" style="1" bestFit="1" customWidth="1"/>
    <col min="19" max="16384" width="8.77734375" style="1"/>
  </cols>
  <sheetData>
    <row r="1" spans="1:18">
      <c r="A1" s="45" t="s">
        <v>0</v>
      </c>
      <c r="B1" s="45"/>
      <c r="C1" s="45"/>
      <c r="D1" s="45"/>
      <c r="E1" s="45"/>
      <c r="F1" s="45"/>
      <c r="G1" s="45"/>
      <c r="H1" s="45"/>
      <c r="I1" s="45"/>
      <c r="J1" s="45"/>
      <c r="K1" s="45"/>
      <c r="L1" s="45"/>
      <c r="M1" s="45"/>
      <c r="N1" s="45"/>
      <c r="O1" s="45"/>
      <c r="P1" s="45"/>
      <c r="Q1" s="45"/>
      <c r="R1" s="45"/>
    </row>
    <row r="2" spans="1:18" s="5" customFormat="1" ht="37.799999999999997">
      <c r="A2" s="3" t="s">
        <v>31</v>
      </c>
      <c r="B2" s="3" t="s">
        <v>32</v>
      </c>
      <c r="C2" s="3" t="s">
        <v>33</v>
      </c>
      <c r="D2" s="3" t="s">
        <v>34</v>
      </c>
      <c r="E2" s="3" t="s">
        <v>35</v>
      </c>
      <c r="F2" s="4" t="s">
        <v>36</v>
      </c>
      <c r="G2" s="4" t="s">
        <v>37</v>
      </c>
      <c r="H2" s="4" t="s">
        <v>38</v>
      </c>
      <c r="I2" s="4" t="s">
        <v>39</v>
      </c>
      <c r="J2" s="4" t="s">
        <v>40</v>
      </c>
      <c r="K2" s="3" t="s">
        <v>41</v>
      </c>
      <c r="L2" s="4" t="s">
        <v>42</v>
      </c>
      <c r="M2" s="4" t="s">
        <v>1</v>
      </c>
      <c r="N2" s="4" t="s">
        <v>2</v>
      </c>
      <c r="O2" s="4" t="s">
        <v>3</v>
      </c>
      <c r="P2" s="4" t="s">
        <v>4</v>
      </c>
      <c r="Q2" s="3" t="s">
        <v>5</v>
      </c>
      <c r="R2" s="3" t="s">
        <v>6</v>
      </c>
    </row>
    <row r="3" spans="1:18" ht="11.55" customHeight="1">
      <c r="A3" s="6">
        <v>1.1000000000000001</v>
      </c>
      <c r="B3" s="7" t="s">
        <v>7</v>
      </c>
      <c r="C3" s="7" t="s">
        <v>8</v>
      </c>
      <c r="D3" s="8" t="s">
        <v>9</v>
      </c>
      <c r="E3" s="7" t="s">
        <v>7</v>
      </c>
      <c r="F3" s="8">
        <v>75</v>
      </c>
      <c r="G3" s="7" t="s">
        <v>10</v>
      </c>
      <c r="H3" s="9">
        <v>75032300</v>
      </c>
      <c r="I3" s="10">
        <v>93.9</v>
      </c>
      <c r="J3" s="10">
        <v>11.43</v>
      </c>
      <c r="K3" s="11">
        <v>76.06</v>
      </c>
      <c r="L3" s="10">
        <v>98.87</v>
      </c>
      <c r="M3" s="10">
        <v>94.46</v>
      </c>
      <c r="N3" s="10">
        <v>89.15</v>
      </c>
      <c r="O3" s="10">
        <v>106</v>
      </c>
      <c r="P3" s="10">
        <v>88</v>
      </c>
      <c r="Q3" s="12" t="s">
        <v>11</v>
      </c>
      <c r="R3" s="46" t="s">
        <v>12</v>
      </c>
    </row>
    <row r="4" spans="1:18" ht="11.55" customHeight="1">
      <c r="A4" s="13">
        <v>1.2</v>
      </c>
      <c r="B4" s="14" t="s">
        <v>7</v>
      </c>
      <c r="C4" s="14" t="s">
        <v>8</v>
      </c>
      <c r="D4" s="15" t="s">
        <v>9</v>
      </c>
      <c r="E4" s="14" t="s">
        <v>7</v>
      </c>
      <c r="F4" s="15">
        <v>75</v>
      </c>
      <c r="G4" s="14" t="s">
        <v>10</v>
      </c>
      <c r="H4" s="16">
        <v>74918338</v>
      </c>
      <c r="I4" s="17">
        <v>93.96</v>
      </c>
      <c r="J4" s="17">
        <v>10.81</v>
      </c>
      <c r="K4" s="18">
        <v>77.989999999999995</v>
      </c>
      <c r="L4" s="17">
        <v>98.84</v>
      </c>
      <c r="M4" s="17">
        <v>94.38</v>
      </c>
      <c r="N4" s="17">
        <v>89.02</v>
      </c>
      <c r="O4" s="17">
        <v>110.07</v>
      </c>
      <c r="P4" s="17">
        <v>87.29</v>
      </c>
      <c r="Q4" s="19" t="s">
        <v>13</v>
      </c>
      <c r="R4" s="48"/>
    </row>
    <row r="5" spans="1:18" ht="11.55" customHeight="1">
      <c r="A5" s="6">
        <v>2.1</v>
      </c>
      <c r="B5" s="7" t="s">
        <v>7</v>
      </c>
      <c r="C5" s="7" t="s">
        <v>8</v>
      </c>
      <c r="D5" s="20" t="s">
        <v>14</v>
      </c>
      <c r="E5" s="7" t="s">
        <v>7</v>
      </c>
      <c r="F5" s="8">
        <v>75</v>
      </c>
      <c r="G5" s="7" t="s">
        <v>10</v>
      </c>
      <c r="H5" s="9">
        <v>107992282</v>
      </c>
      <c r="I5" s="10">
        <v>93.96</v>
      </c>
      <c r="J5" s="10">
        <v>7.91</v>
      </c>
      <c r="K5" s="11">
        <v>60.06</v>
      </c>
      <c r="L5" s="10">
        <v>98.05</v>
      </c>
      <c r="M5" s="10">
        <v>84.93</v>
      </c>
      <c r="N5" s="10">
        <v>73.83</v>
      </c>
      <c r="O5" s="10">
        <v>71.819999999999993</v>
      </c>
      <c r="P5" s="10">
        <v>79.09</v>
      </c>
      <c r="Q5" s="12" t="s">
        <v>15</v>
      </c>
      <c r="R5" s="46" t="s">
        <v>16</v>
      </c>
    </row>
    <row r="6" spans="1:18" ht="11.55" customHeight="1">
      <c r="A6" s="21">
        <v>2.2000000000000002</v>
      </c>
      <c r="B6" s="22" t="s">
        <v>7</v>
      </c>
      <c r="C6" s="22" t="s">
        <v>8</v>
      </c>
      <c r="D6" s="23" t="s">
        <v>17</v>
      </c>
      <c r="E6" s="22" t="s">
        <v>7</v>
      </c>
      <c r="F6" s="24">
        <v>75</v>
      </c>
      <c r="G6" s="22" t="s">
        <v>10</v>
      </c>
      <c r="H6" s="25">
        <v>72099078</v>
      </c>
      <c r="I6" s="26">
        <v>98.98</v>
      </c>
      <c r="J6" s="26">
        <v>12.36</v>
      </c>
      <c r="K6" s="27">
        <v>63.79</v>
      </c>
      <c r="L6" s="26">
        <v>97.31</v>
      </c>
      <c r="M6" s="26">
        <v>80.180000000000007</v>
      </c>
      <c r="N6" s="26">
        <v>66.87</v>
      </c>
      <c r="O6" s="26">
        <v>56.49</v>
      </c>
      <c r="P6" s="26">
        <v>77.16</v>
      </c>
      <c r="Q6" s="28" t="s">
        <v>18</v>
      </c>
      <c r="R6" s="47"/>
    </row>
    <row r="7" spans="1:18" ht="11.55" customHeight="1">
      <c r="A7" s="13">
        <v>3.1</v>
      </c>
      <c r="B7" s="15" t="s">
        <v>7</v>
      </c>
      <c r="C7" s="14" t="s">
        <v>8</v>
      </c>
      <c r="D7" s="14" t="s">
        <v>19</v>
      </c>
      <c r="E7" s="15" t="s">
        <v>20</v>
      </c>
      <c r="F7" s="14">
        <v>75</v>
      </c>
      <c r="G7" s="14" t="s">
        <v>10</v>
      </c>
      <c r="H7" s="29">
        <v>47592209</v>
      </c>
      <c r="I7" s="30">
        <v>97.1</v>
      </c>
      <c r="J7" s="30">
        <v>57.94</v>
      </c>
      <c r="K7" s="30">
        <v>66.48</v>
      </c>
      <c r="L7" s="30">
        <v>99.28</v>
      </c>
      <c r="M7" s="30">
        <v>93.75</v>
      </c>
      <c r="N7" s="30">
        <v>82.71</v>
      </c>
      <c r="O7" s="30">
        <v>63.54</v>
      </c>
      <c r="P7" s="31">
        <v>90.82</v>
      </c>
      <c r="Q7" s="19" t="s">
        <v>43</v>
      </c>
      <c r="R7" s="48" t="s">
        <v>44</v>
      </c>
    </row>
    <row r="8" spans="1:18" ht="11.55" customHeight="1">
      <c r="A8" s="13">
        <v>3.2</v>
      </c>
      <c r="B8" s="15" t="s">
        <v>7</v>
      </c>
      <c r="C8" s="14" t="s">
        <v>8</v>
      </c>
      <c r="D8" s="15" t="s">
        <v>9</v>
      </c>
      <c r="E8" s="15" t="s">
        <v>20</v>
      </c>
      <c r="F8" s="14">
        <v>75</v>
      </c>
      <c r="G8" s="14" t="s">
        <v>10</v>
      </c>
      <c r="H8" s="29">
        <v>56988571</v>
      </c>
      <c r="I8" s="30">
        <v>98.79</v>
      </c>
      <c r="J8" s="30">
        <v>41.63</v>
      </c>
      <c r="K8" s="30">
        <v>72.55</v>
      </c>
      <c r="L8" s="30">
        <v>99.16</v>
      </c>
      <c r="M8" s="30">
        <v>94.52</v>
      </c>
      <c r="N8" s="30">
        <v>87.39</v>
      </c>
      <c r="O8" s="30">
        <v>87.43</v>
      </c>
      <c r="P8" s="31">
        <v>88.95</v>
      </c>
      <c r="Q8" s="19" t="s">
        <v>45</v>
      </c>
      <c r="R8" s="48"/>
    </row>
    <row r="9" spans="1:18" ht="11.55" customHeight="1">
      <c r="A9" s="6">
        <v>4.0999999999999996</v>
      </c>
      <c r="B9" s="7" t="s">
        <v>20</v>
      </c>
      <c r="C9" s="7" t="s">
        <v>46</v>
      </c>
      <c r="D9" s="7" t="s">
        <v>19</v>
      </c>
      <c r="E9" s="7" t="s">
        <v>20</v>
      </c>
      <c r="F9" s="7">
        <v>75</v>
      </c>
      <c r="G9" s="7" t="s">
        <v>10</v>
      </c>
      <c r="H9" s="9">
        <v>59105880</v>
      </c>
      <c r="I9" s="11">
        <v>96.06</v>
      </c>
      <c r="J9" s="11">
        <v>54.3</v>
      </c>
      <c r="K9" s="11">
        <v>74.56</v>
      </c>
      <c r="L9" s="11">
        <v>99.16</v>
      </c>
      <c r="M9" s="11">
        <v>92.35</v>
      </c>
      <c r="N9" s="11">
        <v>82.67</v>
      </c>
      <c r="O9" s="11">
        <v>88.55</v>
      </c>
      <c r="P9" s="10">
        <v>84.63</v>
      </c>
      <c r="Q9" s="12" t="s">
        <v>47</v>
      </c>
      <c r="R9" s="46" t="s">
        <v>48</v>
      </c>
    </row>
    <row r="10" spans="1:18" ht="11.55" customHeight="1">
      <c r="A10" s="21">
        <v>4.2</v>
      </c>
      <c r="B10" s="22" t="s">
        <v>20</v>
      </c>
      <c r="C10" s="22" t="s">
        <v>46</v>
      </c>
      <c r="D10" s="22" t="s">
        <v>19</v>
      </c>
      <c r="E10" s="22" t="s">
        <v>20</v>
      </c>
      <c r="F10" s="22">
        <v>75</v>
      </c>
      <c r="G10" s="22" t="s">
        <v>10</v>
      </c>
      <c r="H10" s="25">
        <v>57455413</v>
      </c>
      <c r="I10" s="27">
        <v>95.68</v>
      </c>
      <c r="J10" s="27">
        <v>70.400000000000006</v>
      </c>
      <c r="K10" s="27">
        <v>68.45</v>
      </c>
      <c r="L10" s="27">
        <v>98.87</v>
      </c>
      <c r="M10" s="27">
        <v>92.36</v>
      </c>
      <c r="N10" s="27">
        <v>82.94</v>
      </c>
      <c r="O10" s="27">
        <v>81.069999999999993</v>
      </c>
      <c r="P10" s="26">
        <v>85.84</v>
      </c>
      <c r="Q10" s="28" t="s">
        <v>49</v>
      </c>
      <c r="R10" s="47"/>
    </row>
    <row r="11" spans="1:18" ht="11.55" customHeight="1">
      <c r="A11" s="13">
        <v>5.0999999999999996</v>
      </c>
      <c r="B11" s="14" t="s">
        <v>20</v>
      </c>
      <c r="C11" s="14" t="s">
        <v>46</v>
      </c>
      <c r="D11" s="14" t="s">
        <v>19</v>
      </c>
      <c r="E11" s="14" t="s">
        <v>20</v>
      </c>
      <c r="F11" s="14">
        <v>75</v>
      </c>
      <c r="G11" s="14" t="s">
        <v>10</v>
      </c>
      <c r="H11" s="29">
        <v>38840503</v>
      </c>
      <c r="I11" s="30">
        <v>95.11</v>
      </c>
      <c r="J11" s="30">
        <v>46.18</v>
      </c>
      <c r="K11" s="30">
        <v>69.599999999999994</v>
      </c>
      <c r="L11" s="30">
        <v>99.37</v>
      </c>
      <c r="M11" s="30">
        <v>91</v>
      </c>
      <c r="N11" s="30">
        <v>77.28</v>
      </c>
      <c r="O11" s="30">
        <v>47.09</v>
      </c>
      <c r="P11" s="31">
        <v>91</v>
      </c>
      <c r="Q11" s="19" t="s">
        <v>50</v>
      </c>
      <c r="R11" s="48" t="s">
        <v>51</v>
      </c>
    </row>
    <row r="12" spans="1:18" ht="11.55" customHeight="1">
      <c r="A12" s="13">
        <v>5.2</v>
      </c>
      <c r="B12" s="14" t="s">
        <v>20</v>
      </c>
      <c r="C12" s="14" t="s">
        <v>46</v>
      </c>
      <c r="D12" s="14" t="s">
        <v>19</v>
      </c>
      <c r="E12" s="14" t="s">
        <v>20</v>
      </c>
      <c r="F12" s="14">
        <v>75</v>
      </c>
      <c r="G12" s="14" t="s">
        <v>10</v>
      </c>
      <c r="H12" s="29">
        <v>47470822</v>
      </c>
      <c r="I12" s="30">
        <v>97.42</v>
      </c>
      <c r="J12" s="30">
        <v>38.590000000000003</v>
      </c>
      <c r="K12" s="30">
        <v>70.510000000000005</v>
      </c>
      <c r="L12" s="30">
        <v>99.4</v>
      </c>
      <c r="M12" s="30">
        <v>93.4</v>
      </c>
      <c r="N12" s="30">
        <v>83.28</v>
      </c>
      <c r="O12" s="30">
        <v>57.99</v>
      </c>
      <c r="P12" s="31">
        <v>91.58</v>
      </c>
      <c r="Q12" s="19" t="s">
        <v>52</v>
      </c>
      <c r="R12" s="48"/>
    </row>
    <row r="13" spans="1:18" ht="11.55" customHeight="1">
      <c r="A13" s="13">
        <v>5.3</v>
      </c>
      <c r="B13" s="32" t="s">
        <v>20</v>
      </c>
      <c r="C13" s="14" t="s">
        <v>46</v>
      </c>
      <c r="D13" s="14" t="s">
        <v>19</v>
      </c>
      <c r="E13" s="32" t="s">
        <v>20</v>
      </c>
      <c r="F13" s="14">
        <v>75</v>
      </c>
      <c r="G13" s="14" t="s">
        <v>10</v>
      </c>
      <c r="H13" s="29">
        <v>39951335</v>
      </c>
      <c r="I13" s="30">
        <v>95.23</v>
      </c>
      <c r="J13" s="30">
        <v>43.6</v>
      </c>
      <c r="K13" s="30">
        <v>68.97</v>
      </c>
      <c r="L13" s="30">
        <v>98.77</v>
      </c>
      <c r="M13" s="30">
        <v>86.11</v>
      </c>
      <c r="N13" s="30">
        <v>70.900000000000006</v>
      </c>
      <c r="O13" s="30">
        <v>55.05</v>
      </c>
      <c r="P13" s="31">
        <v>82.91</v>
      </c>
      <c r="Q13" s="19" t="s">
        <v>53</v>
      </c>
      <c r="R13" s="48"/>
    </row>
    <row r="14" spans="1:18" ht="11.55" customHeight="1">
      <c r="A14" s="6">
        <v>6.1</v>
      </c>
      <c r="B14" s="7" t="s">
        <v>54</v>
      </c>
      <c r="C14" s="7" t="s">
        <v>8</v>
      </c>
      <c r="D14" s="33" t="s">
        <v>17</v>
      </c>
      <c r="E14" s="7" t="s">
        <v>7</v>
      </c>
      <c r="F14" s="8">
        <v>100</v>
      </c>
      <c r="G14" s="20" t="s">
        <v>55</v>
      </c>
      <c r="H14" s="9">
        <v>77589764</v>
      </c>
      <c r="I14" s="10">
        <v>98.69</v>
      </c>
      <c r="J14" s="10">
        <v>15.41</v>
      </c>
      <c r="K14" s="11">
        <v>63.43</v>
      </c>
      <c r="L14" s="10">
        <v>97.87</v>
      </c>
      <c r="M14" s="10">
        <v>83.56</v>
      </c>
      <c r="N14" s="10">
        <v>72.41</v>
      </c>
      <c r="O14" s="10">
        <v>69.89</v>
      </c>
      <c r="P14" s="10">
        <v>78.739999999999995</v>
      </c>
      <c r="Q14" s="12" t="s">
        <v>56</v>
      </c>
      <c r="R14" s="46" t="s">
        <v>57</v>
      </c>
    </row>
    <row r="15" spans="1:18" ht="11.55" customHeight="1">
      <c r="A15" s="21">
        <v>6.2</v>
      </c>
      <c r="B15" s="22" t="s">
        <v>54</v>
      </c>
      <c r="C15" s="22" t="s">
        <v>8</v>
      </c>
      <c r="D15" s="23" t="s">
        <v>17</v>
      </c>
      <c r="E15" s="22" t="s">
        <v>7</v>
      </c>
      <c r="F15" s="24">
        <v>100</v>
      </c>
      <c r="G15" s="34" t="s">
        <v>55</v>
      </c>
      <c r="H15" s="25">
        <v>85197176</v>
      </c>
      <c r="I15" s="26">
        <v>98.67</v>
      </c>
      <c r="J15" s="26">
        <v>16.61</v>
      </c>
      <c r="K15" s="27">
        <v>70.84</v>
      </c>
      <c r="L15" s="26">
        <v>97.83</v>
      </c>
      <c r="M15" s="26">
        <v>85.84</v>
      </c>
      <c r="N15" s="26">
        <v>76.510000000000005</v>
      </c>
      <c r="O15" s="26">
        <v>86.08</v>
      </c>
      <c r="P15" s="26">
        <v>78.23</v>
      </c>
      <c r="Q15" s="28" t="s">
        <v>58</v>
      </c>
      <c r="R15" s="47"/>
    </row>
    <row r="16" spans="1:18" ht="11.55" customHeight="1">
      <c r="A16" s="35">
        <v>7.1</v>
      </c>
      <c r="B16" s="14" t="s">
        <v>7</v>
      </c>
      <c r="C16" s="14" t="s">
        <v>8</v>
      </c>
      <c r="D16" s="14" t="s">
        <v>19</v>
      </c>
      <c r="E16" s="14" t="s">
        <v>7</v>
      </c>
      <c r="F16" s="14">
        <v>75</v>
      </c>
      <c r="G16" s="14" t="s">
        <v>10</v>
      </c>
      <c r="H16" s="29">
        <v>25248866</v>
      </c>
      <c r="I16" s="31">
        <v>98.11</v>
      </c>
      <c r="J16" s="31">
        <v>17.54</v>
      </c>
      <c r="K16" s="30">
        <v>65.86</v>
      </c>
      <c r="L16" s="31">
        <v>98.65</v>
      </c>
      <c r="M16" s="31">
        <v>81.36</v>
      </c>
      <c r="N16" s="31">
        <v>59.52</v>
      </c>
      <c r="O16" s="31">
        <v>34.28</v>
      </c>
      <c r="P16" s="31">
        <v>88.54</v>
      </c>
      <c r="Q16" s="19" t="s">
        <v>59</v>
      </c>
      <c r="R16" s="48" t="s">
        <v>60</v>
      </c>
    </row>
    <row r="17" spans="1:18" ht="11.55" customHeight="1">
      <c r="A17" s="35">
        <v>7.2</v>
      </c>
      <c r="B17" s="14" t="s">
        <v>7</v>
      </c>
      <c r="C17" s="14" t="s">
        <v>8</v>
      </c>
      <c r="D17" s="14" t="s">
        <v>19</v>
      </c>
      <c r="E17" s="14" t="s">
        <v>7</v>
      </c>
      <c r="F17" s="14">
        <v>75</v>
      </c>
      <c r="G17" s="14" t="s">
        <v>10</v>
      </c>
      <c r="H17" s="29">
        <v>60353464</v>
      </c>
      <c r="I17" s="31">
        <v>98.58</v>
      </c>
      <c r="J17" s="31">
        <v>48.37</v>
      </c>
      <c r="K17" s="30">
        <v>71.38</v>
      </c>
      <c r="L17" s="31">
        <v>99.47</v>
      </c>
      <c r="M17" s="31">
        <v>96.09</v>
      </c>
      <c r="N17" s="31">
        <v>87.65</v>
      </c>
      <c r="O17" s="31">
        <v>57.09</v>
      </c>
      <c r="P17" s="31">
        <v>94.82</v>
      </c>
      <c r="Q17" s="19" t="s">
        <v>61</v>
      </c>
      <c r="R17" s="48"/>
    </row>
    <row r="18" spans="1:18" ht="11.55" customHeight="1">
      <c r="A18" s="6">
        <v>8.1</v>
      </c>
      <c r="B18" s="7" t="s">
        <v>7</v>
      </c>
      <c r="C18" s="7" t="s">
        <v>8</v>
      </c>
      <c r="D18" s="8" t="s">
        <v>9</v>
      </c>
      <c r="E18" s="7" t="s">
        <v>7</v>
      </c>
      <c r="F18" s="8">
        <v>100</v>
      </c>
      <c r="G18" s="7" t="s">
        <v>10</v>
      </c>
      <c r="H18" s="9">
        <v>68258074</v>
      </c>
      <c r="I18" s="10">
        <v>97.55</v>
      </c>
      <c r="J18" s="10">
        <v>11.83</v>
      </c>
      <c r="K18" s="11">
        <v>74.02</v>
      </c>
      <c r="L18" s="10">
        <v>99.27</v>
      </c>
      <c r="M18" s="10">
        <v>95.85</v>
      </c>
      <c r="N18" s="10">
        <v>91.12</v>
      </c>
      <c r="O18" s="10">
        <v>118.43</v>
      </c>
      <c r="P18" s="10">
        <v>88.97</v>
      </c>
      <c r="Q18" s="12" t="s">
        <v>62</v>
      </c>
      <c r="R18" s="46" t="s">
        <v>63</v>
      </c>
    </row>
    <row r="19" spans="1:18" ht="11.55" customHeight="1">
      <c r="A19" s="21">
        <v>8.1999999999999993</v>
      </c>
      <c r="B19" s="22" t="s">
        <v>7</v>
      </c>
      <c r="C19" s="22" t="s">
        <v>8</v>
      </c>
      <c r="D19" s="24" t="s">
        <v>9</v>
      </c>
      <c r="E19" s="22" t="s">
        <v>7</v>
      </c>
      <c r="F19" s="24">
        <v>100</v>
      </c>
      <c r="G19" s="22" t="s">
        <v>10</v>
      </c>
      <c r="H19" s="25">
        <v>73473916</v>
      </c>
      <c r="I19" s="26">
        <v>98.14</v>
      </c>
      <c r="J19" s="26">
        <v>12.33</v>
      </c>
      <c r="K19" s="27">
        <v>76.760000000000005</v>
      </c>
      <c r="L19" s="26">
        <v>99.29</v>
      </c>
      <c r="M19" s="26">
        <v>96.16</v>
      </c>
      <c r="N19" s="26">
        <v>91.86</v>
      </c>
      <c r="O19" s="26">
        <v>132.35</v>
      </c>
      <c r="P19" s="26">
        <v>88.36</v>
      </c>
      <c r="Q19" s="28" t="s">
        <v>64</v>
      </c>
      <c r="R19" s="47"/>
    </row>
    <row r="20" spans="1:18" ht="11.55" customHeight="1">
      <c r="A20" s="13">
        <v>9.1</v>
      </c>
      <c r="B20" s="14" t="s">
        <v>7</v>
      </c>
      <c r="C20" s="14" t="s">
        <v>8</v>
      </c>
      <c r="D20" s="15" t="s">
        <v>9</v>
      </c>
      <c r="E20" s="14" t="s">
        <v>7</v>
      </c>
      <c r="F20" s="15">
        <v>75</v>
      </c>
      <c r="G20" s="14" t="s">
        <v>10</v>
      </c>
      <c r="H20" s="29">
        <v>75846314</v>
      </c>
      <c r="I20" s="31">
        <v>93.93</v>
      </c>
      <c r="J20" s="31">
        <v>13.18</v>
      </c>
      <c r="K20" s="30">
        <v>77.52</v>
      </c>
      <c r="L20" s="31">
        <v>98.91</v>
      </c>
      <c r="M20" s="31">
        <v>94.66</v>
      </c>
      <c r="N20" s="31">
        <v>89.18</v>
      </c>
      <c r="O20" s="31">
        <v>107.43</v>
      </c>
      <c r="P20" s="31">
        <v>87.95</v>
      </c>
      <c r="Q20" s="19" t="s">
        <v>65</v>
      </c>
      <c r="R20" s="48" t="s">
        <v>66</v>
      </c>
    </row>
    <row r="21" spans="1:18" ht="11.55" customHeight="1">
      <c r="A21" s="13">
        <v>9.1999999999999993</v>
      </c>
      <c r="B21" s="14" t="s">
        <v>7</v>
      </c>
      <c r="C21" s="14" t="s">
        <v>8</v>
      </c>
      <c r="D21" s="15" t="s">
        <v>9</v>
      </c>
      <c r="E21" s="14" t="s">
        <v>7</v>
      </c>
      <c r="F21" s="15">
        <v>75</v>
      </c>
      <c r="G21" s="14" t="s">
        <v>10</v>
      </c>
      <c r="H21" s="29">
        <v>75309446</v>
      </c>
      <c r="I21" s="31">
        <v>93.91</v>
      </c>
      <c r="J21" s="31">
        <v>10.89</v>
      </c>
      <c r="K21" s="30">
        <v>75.849999999999994</v>
      </c>
      <c r="L21" s="31">
        <v>98.87</v>
      </c>
      <c r="M21" s="31">
        <v>94.48</v>
      </c>
      <c r="N21" s="31">
        <v>89.15</v>
      </c>
      <c r="O21" s="31">
        <v>106.9</v>
      </c>
      <c r="P21" s="31">
        <v>87.99</v>
      </c>
      <c r="Q21" s="19" t="s">
        <v>67</v>
      </c>
      <c r="R21" s="48"/>
    </row>
    <row r="22" spans="1:18" ht="11.55" customHeight="1">
      <c r="A22" s="6">
        <v>10.1</v>
      </c>
      <c r="B22" s="7" t="s">
        <v>7</v>
      </c>
      <c r="C22" s="7" t="s">
        <v>8</v>
      </c>
      <c r="D22" s="8" t="s">
        <v>9</v>
      </c>
      <c r="E22" s="7" t="s">
        <v>7</v>
      </c>
      <c r="F22" s="8">
        <v>75</v>
      </c>
      <c r="G22" s="7" t="s">
        <v>10</v>
      </c>
      <c r="H22" s="9">
        <v>72550586</v>
      </c>
      <c r="I22" s="10">
        <v>93.95</v>
      </c>
      <c r="J22" s="10">
        <v>10.76</v>
      </c>
      <c r="K22" s="11">
        <v>76.38</v>
      </c>
      <c r="L22" s="10">
        <v>98.88</v>
      </c>
      <c r="M22" s="10">
        <v>94.4</v>
      </c>
      <c r="N22" s="10">
        <v>89.11</v>
      </c>
      <c r="O22" s="10">
        <v>103.43</v>
      </c>
      <c r="P22" s="10">
        <v>88.54</v>
      </c>
      <c r="Q22" s="12" t="s">
        <v>68</v>
      </c>
      <c r="R22" s="46" t="s">
        <v>69</v>
      </c>
    </row>
    <row r="23" spans="1:18" ht="11.55" customHeight="1">
      <c r="A23" s="21">
        <v>10.199999999999999</v>
      </c>
      <c r="B23" s="22" t="s">
        <v>7</v>
      </c>
      <c r="C23" s="22" t="s">
        <v>8</v>
      </c>
      <c r="D23" s="24" t="s">
        <v>9</v>
      </c>
      <c r="E23" s="22" t="s">
        <v>7</v>
      </c>
      <c r="F23" s="24">
        <v>75</v>
      </c>
      <c r="G23" s="22" t="s">
        <v>10</v>
      </c>
      <c r="H23" s="25">
        <v>73431832</v>
      </c>
      <c r="I23" s="26">
        <v>93.89</v>
      </c>
      <c r="J23" s="26">
        <v>11.52</v>
      </c>
      <c r="K23" s="27">
        <v>76.22</v>
      </c>
      <c r="L23" s="26">
        <v>98.84</v>
      </c>
      <c r="M23" s="26">
        <v>94.19</v>
      </c>
      <c r="N23" s="26">
        <v>88.54</v>
      </c>
      <c r="O23" s="26">
        <v>104.16</v>
      </c>
      <c r="P23" s="26">
        <v>87.92</v>
      </c>
      <c r="Q23" s="28" t="s">
        <v>70</v>
      </c>
      <c r="R23" s="47"/>
    </row>
    <row r="24" spans="1:18" ht="11.55" customHeight="1">
      <c r="A24" s="13">
        <v>11.1</v>
      </c>
      <c r="B24" s="14" t="s">
        <v>54</v>
      </c>
      <c r="C24" s="14" t="s">
        <v>8</v>
      </c>
      <c r="D24" s="36" t="s">
        <v>14</v>
      </c>
      <c r="E24" s="14" t="s">
        <v>7</v>
      </c>
      <c r="F24" s="15">
        <v>100</v>
      </c>
      <c r="G24" s="36" t="s">
        <v>55</v>
      </c>
      <c r="H24" s="29">
        <v>115753164</v>
      </c>
      <c r="I24" s="31">
        <v>98.66</v>
      </c>
      <c r="J24" s="31">
        <v>24.24</v>
      </c>
      <c r="K24" s="30">
        <v>72.25</v>
      </c>
      <c r="L24" s="31">
        <v>98</v>
      </c>
      <c r="M24" s="31">
        <v>87.09</v>
      </c>
      <c r="N24" s="31">
        <v>78.17</v>
      </c>
      <c r="O24" s="31">
        <v>96.34</v>
      </c>
      <c r="P24" s="31">
        <v>78.17</v>
      </c>
      <c r="Q24" s="19" t="s">
        <v>71</v>
      </c>
      <c r="R24" s="48" t="s">
        <v>72</v>
      </c>
    </row>
    <row r="25" spans="1:18" ht="11.55" customHeight="1">
      <c r="A25" s="13">
        <v>11.2</v>
      </c>
      <c r="B25" s="14" t="s">
        <v>54</v>
      </c>
      <c r="C25" s="14" t="s">
        <v>8</v>
      </c>
      <c r="D25" s="37" t="s">
        <v>17</v>
      </c>
      <c r="E25" s="14" t="s">
        <v>7</v>
      </c>
      <c r="F25" s="15">
        <v>100</v>
      </c>
      <c r="G25" s="36" t="s">
        <v>55</v>
      </c>
      <c r="H25" s="29">
        <v>70952660</v>
      </c>
      <c r="I25" s="31">
        <v>98.81</v>
      </c>
      <c r="J25" s="31">
        <v>20.98</v>
      </c>
      <c r="K25" s="30">
        <v>66.61</v>
      </c>
      <c r="L25" s="31">
        <v>97.42</v>
      </c>
      <c r="M25" s="31">
        <v>81.92</v>
      </c>
      <c r="N25" s="31">
        <v>70</v>
      </c>
      <c r="O25" s="31">
        <v>62.91</v>
      </c>
      <c r="P25" s="31">
        <v>77.98</v>
      </c>
      <c r="Q25" s="19" t="s">
        <v>73</v>
      </c>
      <c r="R25" s="48"/>
    </row>
    <row r="26" spans="1:18" ht="11.55" customHeight="1">
      <c r="A26" s="6">
        <v>12.1</v>
      </c>
      <c r="B26" s="7" t="s">
        <v>54</v>
      </c>
      <c r="C26" s="7" t="s">
        <v>8</v>
      </c>
      <c r="D26" s="20" t="s">
        <v>14</v>
      </c>
      <c r="E26" s="7" t="s">
        <v>7</v>
      </c>
      <c r="F26" s="8">
        <v>100</v>
      </c>
      <c r="G26" s="20" t="s">
        <v>55</v>
      </c>
      <c r="H26" s="9">
        <v>109154198</v>
      </c>
      <c r="I26" s="10">
        <v>98.46</v>
      </c>
      <c r="J26" s="10">
        <v>16.25</v>
      </c>
      <c r="K26" s="11">
        <v>72.260000000000005</v>
      </c>
      <c r="L26" s="10">
        <v>98.03</v>
      </c>
      <c r="M26" s="10">
        <v>87.24</v>
      </c>
      <c r="N26" s="10">
        <v>78.44</v>
      </c>
      <c r="O26" s="10">
        <v>100.07</v>
      </c>
      <c r="P26" s="10">
        <v>77.64</v>
      </c>
      <c r="Q26" s="12" t="s">
        <v>74</v>
      </c>
      <c r="R26" s="46" t="s">
        <v>75</v>
      </c>
    </row>
    <row r="27" spans="1:18" ht="11.55" customHeight="1">
      <c r="A27" s="21">
        <v>12.2</v>
      </c>
      <c r="B27" s="22" t="s">
        <v>54</v>
      </c>
      <c r="C27" s="22" t="s">
        <v>8</v>
      </c>
      <c r="D27" s="34" t="s">
        <v>14</v>
      </c>
      <c r="E27" s="22" t="s">
        <v>7</v>
      </c>
      <c r="F27" s="24">
        <v>100</v>
      </c>
      <c r="G27" s="34" t="s">
        <v>55</v>
      </c>
      <c r="H27" s="25">
        <v>102253336</v>
      </c>
      <c r="I27" s="26">
        <v>98.42</v>
      </c>
      <c r="J27" s="26">
        <v>20.02</v>
      </c>
      <c r="K27" s="27">
        <v>71.89</v>
      </c>
      <c r="L27" s="26">
        <v>97.91</v>
      </c>
      <c r="M27" s="26">
        <v>85.95</v>
      </c>
      <c r="N27" s="26">
        <v>76.31</v>
      </c>
      <c r="O27" s="26">
        <v>89.59</v>
      </c>
      <c r="P27" s="26">
        <v>78.069999999999993</v>
      </c>
      <c r="Q27" s="28" t="s">
        <v>76</v>
      </c>
      <c r="R27" s="47"/>
    </row>
    <row r="28" spans="1:18" ht="11.55" customHeight="1">
      <c r="A28" s="35">
        <v>13.1</v>
      </c>
      <c r="B28" s="14" t="s">
        <v>54</v>
      </c>
      <c r="C28" s="14" t="s">
        <v>8</v>
      </c>
      <c r="D28" s="15" t="s">
        <v>9</v>
      </c>
      <c r="E28" s="14" t="s">
        <v>7</v>
      </c>
      <c r="F28" s="15">
        <v>100</v>
      </c>
      <c r="G28" s="36" t="s">
        <v>55</v>
      </c>
      <c r="H28" s="29">
        <v>76173076</v>
      </c>
      <c r="I28" s="31">
        <v>99.46</v>
      </c>
      <c r="J28" s="31">
        <v>7.18</v>
      </c>
      <c r="K28" s="30">
        <v>76.13</v>
      </c>
      <c r="L28" s="31">
        <v>99.17</v>
      </c>
      <c r="M28" s="31">
        <v>96.06</v>
      </c>
      <c r="N28" s="31">
        <v>92.55</v>
      </c>
      <c r="O28" s="31">
        <v>134.71</v>
      </c>
      <c r="P28" s="31">
        <v>89.71</v>
      </c>
      <c r="Q28" s="19" t="s">
        <v>77</v>
      </c>
      <c r="R28" s="48" t="s">
        <v>78</v>
      </c>
    </row>
    <row r="29" spans="1:18" ht="11.55" customHeight="1">
      <c r="A29" s="35">
        <v>13.2</v>
      </c>
      <c r="B29" s="14" t="s">
        <v>54</v>
      </c>
      <c r="C29" s="14" t="s">
        <v>8</v>
      </c>
      <c r="D29" s="37" t="s">
        <v>17</v>
      </c>
      <c r="E29" s="14" t="s">
        <v>7</v>
      </c>
      <c r="F29" s="15">
        <v>100</v>
      </c>
      <c r="G29" s="36" t="s">
        <v>55</v>
      </c>
      <c r="H29" s="29">
        <v>75970274</v>
      </c>
      <c r="I29" s="31">
        <v>98.33</v>
      </c>
      <c r="J29" s="31">
        <v>11.47</v>
      </c>
      <c r="K29" s="30">
        <v>58.75</v>
      </c>
      <c r="L29" s="31">
        <v>97.36</v>
      </c>
      <c r="M29" s="31">
        <v>81.53</v>
      </c>
      <c r="N29" s="31">
        <v>69.87</v>
      </c>
      <c r="O29" s="31">
        <v>66</v>
      </c>
      <c r="P29" s="31">
        <v>76.400000000000006</v>
      </c>
      <c r="Q29" s="19" t="s">
        <v>79</v>
      </c>
      <c r="R29" s="48"/>
    </row>
    <row r="30" spans="1:18" s="38" customFormat="1" ht="11.55" customHeight="1">
      <c r="A30" s="6">
        <v>14.1</v>
      </c>
      <c r="B30" s="7" t="s">
        <v>54</v>
      </c>
      <c r="C30" s="7" t="s">
        <v>8</v>
      </c>
      <c r="D30" s="33" t="s">
        <v>17</v>
      </c>
      <c r="E30" s="7" t="s">
        <v>7</v>
      </c>
      <c r="F30" s="8">
        <v>100</v>
      </c>
      <c r="G30" s="20" t="s">
        <v>55</v>
      </c>
      <c r="H30" s="9">
        <v>70012852</v>
      </c>
      <c r="I30" s="10">
        <v>97.1</v>
      </c>
      <c r="J30" s="10">
        <v>20.22</v>
      </c>
      <c r="K30" s="11">
        <v>69.930000000000007</v>
      </c>
      <c r="L30" s="10">
        <v>97.62</v>
      </c>
      <c r="M30" s="10">
        <v>83.87</v>
      </c>
      <c r="N30" s="10">
        <v>72.72</v>
      </c>
      <c r="O30" s="10">
        <v>64.83</v>
      </c>
      <c r="P30" s="10">
        <v>80.28</v>
      </c>
      <c r="Q30" s="12" t="s">
        <v>80</v>
      </c>
      <c r="R30" s="46" t="s">
        <v>81</v>
      </c>
    </row>
    <row r="31" spans="1:18" ht="11.55" customHeight="1">
      <c r="A31" s="13">
        <v>14.2</v>
      </c>
      <c r="B31" s="14" t="s">
        <v>54</v>
      </c>
      <c r="C31" s="14" t="s">
        <v>8</v>
      </c>
      <c r="D31" s="37" t="s">
        <v>17</v>
      </c>
      <c r="E31" s="14" t="s">
        <v>7</v>
      </c>
      <c r="F31" s="15">
        <v>100</v>
      </c>
      <c r="G31" s="36" t="s">
        <v>55</v>
      </c>
      <c r="H31" s="16">
        <v>75415650</v>
      </c>
      <c r="I31" s="17">
        <v>98.91</v>
      </c>
      <c r="J31" s="17">
        <v>14.29</v>
      </c>
      <c r="K31" s="18">
        <v>69.3</v>
      </c>
      <c r="L31" s="17">
        <v>97.34</v>
      </c>
      <c r="M31" s="17">
        <v>82.89</v>
      </c>
      <c r="N31" s="17">
        <v>72.06</v>
      </c>
      <c r="O31" s="17">
        <v>75.41</v>
      </c>
      <c r="P31" s="17">
        <v>75.98</v>
      </c>
      <c r="Q31" s="19" t="s">
        <v>82</v>
      </c>
      <c r="R31" s="48"/>
    </row>
    <row r="32" spans="1:18" ht="11.55" customHeight="1">
      <c r="A32" s="21">
        <v>14.3</v>
      </c>
      <c r="B32" s="22" t="s">
        <v>54</v>
      </c>
      <c r="C32" s="22" t="s">
        <v>8</v>
      </c>
      <c r="D32" s="23" t="s">
        <v>17</v>
      </c>
      <c r="E32" s="22" t="s">
        <v>7</v>
      </c>
      <c r="F32" s="24">
        <v>100</v>
      </c>
      <c r="G32" s="34" t="s">
        <v>55</v>
      </c>
      <c r="H32" s="25">
        <v>78039114</v>
      </c>
      <c r="I32" s="26">
        <v>98.77</v>
      </c>
      <c r="J32" s="26">
        <v>18.309999999999999</v>
      </c>
      <c r="K32" s="27">
        <v>67.900000000000006</v>
      </c>
      <c r="L32" s="26">
        <v>97.25</v>
      </c>
      <c r="M32" s="26">
        <v>82.54</v>
      </c>
      <c r="N32" s="26">
        <v>71.48</v>
      </c>
      <c r="O32" s="26">
        <v>72.95</v>
      </c>
      <c r="P32" s="26">
        <v>76.569999999999993</v>
      </c>
      <c r="Q32" s="28" t="s">
        <v>83</v>
      </c>
      <c r="R32" s="47"/>
    </row>
    <row r="33" spans="1:18" ht="11.55" customHeight="1">
      <c r="A33" s="13">
        <v>15.1</v>
      </c>
      <c r="B33" s="14" t="s">
        <v>54</v>
      </c>
      <c r="C33" s="14" t="s">
        <v>8</v>
      </c>
      <c r="D33" s="37" t="s">
        <v>17</v>
      </c>
      <c r="E33" s="14" t="s">
        <v>7</v>
      </c>
      <c r="F33" s="15">
        <v>100</v>
      </c>
      <c r="G33" s="36" t="s">
        <v>55</v>
      </c>
      <c r="H33" s="16">
        <v>145810378</v>
      </c>
      <c r="I33" s="17">
        <v>99.07</v>
      </c>
      <c r="J33" s="17">
        <v>48.79</v>
      </c>
      <c r="K33" s="18">
        <v>72.44</v>
      </c>
      <c r="L33" s="17">
        <v>98.5</v>
      </c>
      <c r="M33" s="17">
        <v>88.7</v>
      </c>
      <c r="N33" s="17">
        <v>79.930000000000007</v>
      </c>
      <c r="O33" s="17">
        <v>87.87</v>
      </c>
      <c r="P33" s="17">
        <v>81.63</v>
      </c>
      <c r="Q33" s="19" t="s">
        <v>21</v>
      </c>
      <c r="R33" s="48" t="s">
        <v>22</v>
      </c>
    </row>
    <row r="34" spans="1:18" ht="11.55" customHeight="1">
      <c r="A34" s="13">
        <v>15.2</v>
      </c>
      <c r="B34" s="14" t="s">
        <v>54</v>
      </c>
      <c r="C34" s="14" t="s">
        <v>8</v>
      </c>
      <c r="D34" s="37" t="s">
        <v>17</v>
      </c>
      <c r="E34" s="14" t="s">
        <v>7</v>
      </c>
      <c r="F34" s="15">
        <v>100</v>
      </c>
      <c r="G34" s="36" t="s">
        <v>55</v>
      </c>
      <c r="H34" s="16">
        <v>71040142</v>
      </c>
      <c r="I34" s="17">
        <v>98.2</v>
      </c>
      <c r="J34" s="17">
        <v>17.989999999999998</v>
      </c>
      <c r="K34" s="18">
        <v>70.61</v>
      </c>
      <c r="L34" s="17">
        <v>97.71</v>
      </c>
      <c r="M34" s="17">
        <v>84.28</v>
      </c>
      <c r="N34" s="17">
        <v>73.37</v>
      </c>
      <c r="O34" s="17">
        <v>69.569999999999993</v>
      </c>
      <c r="P34" s="17">
        <v>79.650000000000006</v>
      </c>
      <c r="Q34" s="19" t="s">
        <v>23</v>
      </c>
      <c r="R34" s="48"/>
    </row>
    <row r="35" spans="1:18" ht="11.55" customHeight="1">
      <c r="A35" s="21">
        <v>15.3</v>
      </c>
      <c r="B35" s="22" t="s">
        <v>54</v>
      </c>
      <c r="C35" s="22" t="s">
        <v>8</v>
      </c>
      <c r="D35" s="23" t="s">
        <v>17</v>
      </c>
      <c r="E35" s="22" t="s">
        <v>7</v>
      </c>
      <c r="F35" s="24">
        <v>100</v>
      </c>
      <c r="G35" s="23" t="s">
        <v>55</v>
      </c>
      <c r="H35" s="25">
        <v>77450768</v>
      </c>
      <c r="I35" s="26">
        <v>97.78</v>
      </c>
      <c r="J35" s="26">
        <v>15.7</v>
      </c>
      <c r="K35" s="27">
        <v>72.209999999999994</v>
      </c>
      <c r="L35" s="26">
        <v>97.72</v>
      </c>
      <c r="M35" s="26">
        <v>84.8</v>
      </c>
      <c r="N35" s="26">
        <v>74.47</v>
      </c>
      <c r="O35" s="26">
        <v>79.91</v>
      </c>
      <c r="P35" s="26">
        <v>78.36</v>
      </c>
      <c r="Q35" s="19" t="s">
        <v>24</v>
      </c>
      <c r="R35" s="48"/>
    </row>
    <row r="36" spans="1:18" s="43" customFormat="1" ht="11.55" customHeight="1">
      <c r="A36" s="39" t="s">
        <v>25</v>
      </c>
      <c r="B36" s="39"/>
      <c r="C36" s="39"/>
      <c r="D36" s="39"/>
      <c r="E36" s="39"/>
      <c r="F36" s="39"/>
      <c r="G36" s="39"/>
      <c r="H36" s="40">
        <f t="shared" ref="H36:P36" si="0">AVERAGE(H3:H35)</f>
        <v>73719144.878787875</v>
      </c>
      <c r="I36" s="41">
        <f t="shared" si="0"/>
        <v>97.078181818181832</v>
      </c>
      <c r="J36" s="41">
        <f t="shared" si="0"/>
        <v>24.213030303030298</v>
      </c>
      <c r="K36" s="41">
        <f t="shared" si="0"/>
        <v>70.835151515151523</v>
      </c>
      <c r="L36" s="41">
        <f t="shared" si="0"/>
        <v>98.454242424242437</v>
      </c>
      <c r="M36" s="41">
        <f t="shared" si="0"/>
        <v>89.11818181818181</v>
      </c>
      <c r="N36" s="41">
        <f t="shared" si="0"/>
        <v>79.71090909090907</v>
      </c>
      <c r="O36" s="41">
        <f t="shared" si="0"/>
        <v>83.190909090909088</v>
      </c>
      <c r="P36" s="41">
        <f t="shared" si="0"/>
        <v>83.871818181818213</v>
      </c>
      <c r="Q36" s="42" t="s">
        <v>26</v>
      </c>
      <c r="R36" s="42" t="s">
        <v>27</v>
      </c>
    </row>
    <row r="37" spans="1:18" s="44" customFormat="1" ht="12" customHeight="1">
      <c r="A37" s="50" t="s">
        <v>85</v>
      </c>
      <c r="B37" s="50"/>
      <c r="C37" s="50"/>
      <c r="D37" s="50"/>
      <c r="E37" s="50"/>
      <c r="F37" s="50"/>
      <c r="G37" s="50"/>
      <c r="H37" s="50"/>
      <c r="I37" s="50"/>
      <c r="J37" s="50"/>
      <c r="K37" s="50"/>
      <c r="L37" s="50"/>
      <c r="M37" s="50"/>
      <c r="N37" s="50"/>
      <c r="O37" s="50"/>
      <c r="P37" s="50"/>
      <c r="Q37" s="50"/>
      <c r="R37" s="50"/>
    </row>
    <row r="38" spans="1:18" ht="12" customHeight="1">
      <c r="A38" s="49" t="s">
        <v>28</v>
      </c>
      <c r="B38" s="49"/>
      <c r="C38" s="49"/>
      <c r="D38" s="49"/>
      <c r="E38" s="49"/>
      <c r="F38" s="49"/>
      <c r="G38" s="49"/>
      <c r="H38" s="49"/>
      <c r="I38" s="49"/>
      <c r="J38" s="49"/>
      <c r="K38" s="49"/>
      <c r="L38" s="49"/>
      <c r="M38" s="49"/>
      <c r="N38" s="49"/>
      <c r="O38" s="49"/>
      <c r="P38" s="49"/>
      <c r="Q38" s="49"/>
      <c r="R38" s="49"/>
    </row>
    <row r="39" spans="1:18" ht="12" customHeight="1">
      <c r="A39" s="49" t="s">
        <v>84</v>
      </c>
      <c r="B39" s="49"/>
      <c r="C39" s="49"/>
      <c r="D39" s="49"/>
      <c r="E39" s="49"/>
      <c r="F39" s="49"/>
      <c r="G39" s="49"/>
      <c r="H39" s="49"/>
      <c r="I39" s="49"/>
      <c r="J39" s="49"/>
      <c r="K39" s="49"/>
      <c r="L39" s="49"/>
      <c r="M39" s="49"/>
      <c r="N39" s="49"/>
      <c r="O39" s="49"/>
      <c r="P39" s="49"/>
      <c r="Q39" s="49"/>
      <c r="R39" s="49"/>
    </row>
    <row r="40" spans="1:18" ht="12" customHeight="1">
      <c r="A40" s="49" t="s">
        <v>29</v>
      </c>
      <c r="B40" s="49"/>
      <c r="C40" s="49"/>
      <c r="D40" s="49"/>
      <c r="E40" s="49"/>
      <c r="F40" s="49"/>
      <c r="G40" s="49"/>
      <c r="H40" s="49"/>
      <c r="I40" s="49"/>
      <c r="J40" s="49"/>
      <c r="K40" s="49"/>
      <c r="L40" s="49"/>
      <c r="M40" s="49"/>
      <c r="N40" s="49"/>
      <c r="O40" s="49"/>
      <c r="P40" s="49"/>
      <c r="Q40" s="49"/>
      <c r="R40" s="49"/>
    </row>
    <row r="41" spans="1:18" ht="12" customHeight="1">
      <c r="A41" s="49" t="s">
        <v>30</v>
      </c>
      <c r="B41" s="49"/>
      <c r="C41" s="49"/>
      <c r="D41" s="49"/>
      <c r="E41" s="49"/>
      <c r="F41" s="49"/>
      <c r="G41" s="49"/>
      <c r="H41" s="49"/>
      <c r="I41" s="49"/>
      <c r="J41" s="49"/>
      <c r="K41" s="49"/>
      <c r="L41" s="49"/>
      <c r="M41" s="49"/>
      <c r="N41" s="49"/>
      <c r="O41" s="49"/>
      <c r="P41" s="49"/>
      <c r="Q41" s="49"/>
      <c r="R41" s="49"/>
    </row>
  </sheetData>
  <mergeCells count="20">
    <mergeCell ref="A41:R41"/>
    <mergeCell ref="R28:R29"/>
    <mergeCell ref="R30:R32"/>
    <mergeCell ref="R33:R35"/>
    <mergeCell ref="R16:R17"/>
    <mergeCell ref="R18:R19"/>
    <mergeCell ref="R20:R21"/>
    <mergeCell ref="R22:R23"/>
    <mergeCell ref="R24:R25"/>
    <mergeCell ref="R26:R27"/>
    <mergeCell ref="A37:R37"/>
    <mergeCell ref="A38:R38"/>
    <mergeCell ref="A39:R39"/>
    <mergeCell ref="A40:R40"/>
    <mergeCell ref="R14:R15"/>
    <mergeCell ref="R3:R4"/>
    <mergeCell ref="R5:R6"/>
    <mergeCell ref="R7:R8"/>
    <mergeCell ref="R9:R10"/>
    <mergeCell ref="R11:R13"/>
  </mergeCells>
  <phoneticPr fontId="1" type="noConversion"/>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S1 Performance data</vt:lpstr>
    </vt:vector>
  </TitlesOfParts>
  <Company>PeterMac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ethompson</dc:creator>
  <cp:lastModifiedBy>ethompson</cp:lastModifiedBy>
  <dcterms:created xsi:type="dcterms:W3CDTF">2011-12-20T05:32:07Z</dcterms:created>
  <dcterms:modified xsi:type="dcterms:W3CDTF">2012-07-17T05:00:42Z</dcterms:modified>
</cp:coreProperties>
</file>