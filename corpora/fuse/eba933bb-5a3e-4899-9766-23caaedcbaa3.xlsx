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-12" windowWidth="9660" windowHeight="8748"/>
  </bookViews>
  <sheets>
    <sheet name="April 2013 - Data" sheetId="1" r:id="rId1"/>
    <sheet name="Sheet2" sheetId="11" state="hidden" r:id="rId2"/>
    <sheet name="GL Summary" sheetId="9" r:id="rId3"/>
    <sheet name="April 2013 - HP Toner" sheetId="5" r:id="rId4"/>
    <sheet name="Totals" sheetId="4" r:id="rId5"/>
    <sheet name="Tables" sheetId="3" r:id="rId6"/>
    <sheet name="Meter Comparison" sheetId="10" state="hidden" r:id="rId7"/>
  </sheets>
  <definedNames>
    <definedName name="_xlnm._FilterDatabase" localSheetId="0" hidden="1">'April 2013 - Data'!$A$1:$U$386</definedName>
    <definedName name="_xlnm._FilterDatabase" localSheetId="6" hidden="1">'Meter Comparison'!$C$1:$J$323</definedName>
    <definedName name="_xlnm.Print_Area" localSheetId="0">'April 2013 - Data'!$A$1:$U$386</definedName>
  </definedNames>
  <calcPr calcId="145621"/>
  <pivotCaches>
    <pivotCache cacheId="0" r:id="rId8"/>
  </pivotCaches>
</workbook>
</file>

<file path=xl/calcChain.xml><?xml version="1.0" encoding="utf-8"?>
<calcChain xmlns="http://schemas.openxmlformats.org/spreadsheetml/2006/main">
  <c r="M847" i="1" l="1"/>
  <c r="J51" i="5" l="1"/>
  <c r="L31" i="5" l="1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L25" i="5"/>
  <c r="L26" i="5"/>
  <c r="L27" i="5"/>
  <c r="L28" i="5"/>
  <c r="L29" i="5"/>
  <c r="L30" i="5"/>
  <c r="R105" i="1" l="1"/>
  <c r="R109" i="1"/>
  <c r="R4" i="1" l="1"/>
  <c r="S4" i="1"/>
  <c r="T4" i="1"/>
  <c r="U4" i="1"/>
  <c r="R5" i="1"/>
  <c r="S5" i="1"/>
  <c r="T5" i="1"/>
  <c r="U5" i="1"/>
  <c r="R6" i="1"/>
  <c r="S6" i="1"/>
  <c r="T6" i="1"/>
  <c r="U6" i="1"/>
  <c r="R7" i="1"/>
  <c r="S7" i="1"/>
  <c r="T7" i="1"/>
  <c r="U7" i="1"/>
  <c r="R8" i="1"/>
  <c r="S8" i="1"/>
  <c r="T8" i="1"/>
  <c r="U8" i="1"/>
  <c r="R9" i="1"/>
  <c r="S9" i="1"/>
  <c r="T9" i="1"/>
  <c r="U9" i="1"/>
  <c r="R10" i="1"/>
  <c r="S10" i="1"/>
  <c r="T10" i="1"/>
  <c r="U10" i="1"/>
  <c r="R11" i="1"/>
  <c r="S11" i="1"/>
  <c r="T11" i="1"/>
  <c r="U11" i="1"/>
  <c r="R13" i="1"/>
  <c r="S13" i="1"/>
  <c r="T13" i="1"/>
  <c r="U13" i="1"/>
  <c r="R14" i="1"/>
  <c r="S14" i="1"/>
  <c r="T14" i="1"/>
  <c r="U14" i="1"/>
  <c r="R16" i="1"/>
  <c r="S16" i="1"/>
  <c r="T16" i="1"/>
  <c r="U16" i="1"/>
  <c r="R17" i="1"/>
  <c r="S17" i="1"/>
  <c r="T17" i="1"/>
  <c r="U17" i="1"/>
  <c r="R19" i="1"/>
  <c r="S19" i="1"/>
  <c r="T19" i="1"/>
  <c r="U19" i="1"/>
  <c r="R20" i="1"/>
  <c r="S20" i="1"/>
  <c r="T20" i="1"/>
  <c r="U20" i="1"/>
  <c r="R21" i="1"/>
  <c r="S21" i="1"/>
  <c r="T21" i="1"/>
  <c r="U21" i="1"/>
  <c r="R22" i="1"/>
  <c r="S22" i="1"/>
  <c r="T22" i="1"/>
  <c r="U22" i="1"/>
  <c r="R23" i="1"/>
  <c r="S23" i="1"/>
  <c r="T23" i="1"/>
  <c r="U23" i="1"/>
  <c r="R24" i="1"/>
  <c r="S24" i="1"/>
  <c r="T24" i="1"/>
  <c r="U24" i="1"/>
  <c r="R25" i="1"/>
  <c r="S25" i="1"/>
  <c r="T25" i="1"/>
  <c r="U25" i="1"/>
  <c r="R26" i="1"/>
  <c r="S26" i="1"/>
  <c r="T26" i="1"/>
  <c r="U26" i="1"/>
  <c r="R27" i="1"/>
  <c r="S27" i="1"/>
  <c r="T27" i="1"/>
  <c r="U27" i="1"/>
  <c r="R28" i="1"/>
  <c r="S28" i="1"/>
  <c r="T28" i="1"/>
  <c r="U28" i="1"/>
  <c r="R29" i="1"/>
  <c r="S29" i="1"/>
  <c r="T29" i="1"/>
  <c r="U29" i="1"/>
  <c r="R30" i="1"/>
  <c r="S30" i="1"/>
  <c r="T30" i="1"/>
  <c r="U30" i="1"/>
  <c r="R31" i="1"/>
  <c r="S31" i="1"/>
  <c r="T31" i="1"/>
  <c r="U31" i="1"/>
  <c r="R32" i="1"/>
  <c r="S32" i="1"/>
  <c r="T32" i="1"/>
  <c r="U32" i="1"/>
  <c r="R33" i="1"/>
  <c r="S33" i="1"/>
  <c r="T33" i="1"/>
  <c r="U33" i="1"/>
  <c r="R34" i="1"/>
  <c r="S34" i="1"/>
  <c r="T34" i="1"/>
  <c r="U34" i="1"/>
  <c r="R35" i="1"/>
  <c r="S35" i="1"/>
  <c r="T35" i="1"/>
  <c r="U35" i="1"/>
  <c r="R36" i="1"/>
  <c r="S36" i="1"/>
  <c r="T36" i="1"/>
  <c r="U36" i="1"/>
  <c r="R37" i="1"/>
  <c r="S37" i="1"/>
  <c r="T37" i="1"/>
  <c r="U37" i="1"/>
  <c r="R38" i="1"/>
  <c r="S38" i="1"/>
  <c r="T38" i="1"/>
  <c r="U38" i="1"/>
  <c r="R39" i="1"/>
  <c r="S39" i="1"/>
  <c r="T39" i="1"/>
  <c r="U39" i="1"/>
  <c r="R40" i="1"/>
  <c r="S40" i="1"/>
  <c r="T40" i="1"/>
  <c r="U40" i="1"/>
  <c r="R42" i="1"/>
  <c r="S42" i="1"/>
  <c r="T42" i="1"/>
  <c r="U42" i="1"/>
  <c r="R44" i="1"/>
  <c r="S44" i="1"/>
  <c r="T44" i="1"/>
  <c r="U44" i="1"/>
  <c r="R46" i="1"/>
  <c r="S46" i="1"/>
  <c r="T46" i="1"/>
  <c r="U46" i="1"/>
  <c r="R48" i="1"/>
  <c r="S48" i="1"/>
  <c r="T48" i="1"/>
  <c r="U48" i="1"/>
  <c r="R50" i="1"/>
  <c r="S50" i="1"/>
  <c r="T50" i="1"/>
  <c r="U50" i="1"/>
  <c r="R52" i="1"/>
  <c r="S52" i="1"/>
  <c r="T52" i="1"/>
  <c r="U52" i="1"/>
  <c r="R53" i="1"/>
  <c r="S53" i="1"/>
  <c r="T53" i="1"/>
  <c r="U53" i="1"/>
  <c r="R54" i="1"/>
  <c r="S54" i="1"/>
  <c r="T54" i="1"/>
  <c r="U54" i="1"/>
  <c r="R55" i="1"/>
  <c r="S55" i="1"/>
  <c r="T55" i="1"/>
  <c r="U55" i="1"/>
  <c r="R56" i="1"/>
  <c r="S56" i="1"/>
  <c r="T56" i="1"/>
  <c r="U56" i="1"/>
  <c r="R57" i="1"/>
  <c r="S57" i="1"/>
  <c r="T57" i="1"/>
  <c r="U57" i="1"/>
  <c r="R58" i="1"/>
  <c r="S58" i="1"/>
  <c r="T58" i="1"/>
  <c r="U58" i="1"/>
  <c r="R59" i="1"/>
  <c r="S59" i="1"/>
  <c r="T59" i="1"/>
  <c r="U59" i="1"/>
  <c r="R61" i="1"/>
  <c r="S61" i="1"/>
  <c r="T61" i="1"/>
  <c r="U61" i="1"/>
  <c r="R63" i="1"/>
  <c r="S63" i="1"/>
  <c r="T63" i="1"/>
  <c r="U63" i="1"/>
  <c r="R65" i="1"/>
  <c r="S65" i="1"/>
  <c r="T65" i="1"/>
  <c r="U65" i="1"/>
  <c r="R66" i="1"/>
  <c r="S66" i="1"/>
  <c r="T66" i="1"/>
  <c r="U66" i="1"/>
  <c r="R68" i="1"/>
  <c r="S68" i="1"/>
  <c r="T68" i="1"/>
  <c r="U68" i="1"/>
  <c r="R70" i="1"/>
  <c r="S70" i="1"/>
  <c r="T70" i="1"/>
  <c r="U70" i="1"/>
  <c r="R71" i="1"/>
  <c r="S71" i="1"/>
  <c r="T71" i="1"/>
  <c r="U71" i="1"/>
  <c r="R72" i="1"/>
  <c r="S72" i="1"/>
  <c r="T72" i="1"/>
  <c r="U72" i="1"/>
  <c r="R73" i="1"/>
  <c r="S73" i="1"/>
  <c r="T73" i="1"/>
  <c r="U73" i="1"/>
  <c r="R74" i="1"/>
  <c r="S74" i="1"/>
  <c r="T74" i="1"/>
  <c r="U74" i="1"/>
  <c r="R75" i="1"/>
  <c r="S75" i="1"/>
  <c r="T75" i="1"/>
  <c r="U75" i="1"/>
  <c r="R76" i="1"/>
  <c r="S76" i="1"/>
  <c r="T76" i="1"/>
  <c r="U76" i="1"/>
  <c r="R78" i="1"/>
  <c r="S78" i="1"/>
  <c r="T78" i="1"/>
  <c r="U78" i="1"/>
  <c r="R79" i="1"/>
  <c r="S79" i="1"/>
  <c r="T79" i="1"/>
  <c r="U79" i="1"/>
  <c r="R80" i="1"/>
  <c r="S80" i="1"/>
  <c r="T80" i="1"/>
  <c r="U80" i="1"/>
  <c r="R82" i="1"/>
  <c r="S82" i="1"/>
  <c r="T82" i="1"/>
  <c r="U82" i="1"/>
  <c r="R83" i="1"/>
  <c r="S83" i="1"/>
  <c r="T83" i="1"/>
  <c r="U83" i="1"/>
  <c r="R84" i="1"/>
  <c r="S84" i="1"/>
  <c r="T84" i="1"/>
  <c r="U84" i="1"/>
  <c r="R86" i="1"/>
  <c r="S86" i="1"/>
  <c r="T86" i="1"/>
  <c r="U86" i="1"/>
  <c r="R87" i="1"/>
  <c r="S87" i="1"/>
  <c r="T87" i="1"/>
  <c r="U87" i="1"/>
  <c r="R89" i="1"/>
  <c r="S89" i="1"/>
  <c r="T89" i="1"/>
  <c r="U89" i="1"/>
  <c r="R90" i="1"/>
  <c r="S90" i="1"/>
  <c r="T90" i="1"/>
  <c r="U90" i="1"/>
  <c r="R92" i="1"/>
  <c r="S92" i="1"/>
  <c r="T92" i="1"/>
  <c r="U92" i="1"/>
  <c r="R93" i="1"/>
  <c r="S93" i="1"/>
  <c r="T93" i="1"/>
  <c r="U93" i="1"/>
  <c r="R94" i="1"/>
  <c r="S94" i="1"/>
  <c r="T94" i="1"/>
  <c r="U94" i="1"/>
  <c r="R96" i="1"/>
  <c r="S96" i="1"/>
  <c r="T96" i="1"/>
  <c r="U96" i="1"/>
  <c r="R98" i="1"/>
  <c r="S98" i="1"/>
  <c r="T98" i="1"/>
  <c r="U98" i="1"/>
  <c r="R99" i="1"/>
  <c r="S99" i="1"/>
  <c r="T99" i="1"/>
  <c r="U99" i="1"/>
  <c r="R100" i="1"/>
  <c r="S100" i="1"/>
  <c r="T100" i="1"/>
  <c r="U100" i="1"/>
  <c r="R101" i="1"/>
  <c r="S101" i="1"/>
  <c r="T101" i="1"/>
  <c r="U101" i="1"/>
  <c r="R103" i="1"/>
  <c r="S103" i="1"/>
  <c r="T103" i="1"/>
  <c r="U103" i="1"/>
  <c r="S105" i="1"/>
  <c r="T105" i="1"/>
  <c r="U105" i="1"/>
  <c r="R106" i="1"/>
  <c r="S106" i="1"/>
  <c r="T106" i="1"/>
  <c r="U106" i="1"/>
  <c r="R107" i="1"/>
  <c r="S107" i="1"/>
  <c r="T107" i="1"/>
  <c r="U107" i="1"/>
  <c r="R108" i="1"/>
  <c r="S108" i="1"/>
  <c r="T108" i="1"/>
  <c r="U108" i="1"/>
  <c r="S109" i="1"/>
  <c r="T109" i="1"/>
  <c r="U109" i="1"/>
  <c r="R110" i="1"/>
  <c r="S110" i="1"/>
  <c r="T110" i="1"/>
  <c r="U110" i="1"/>
  <c r="R111" i="1"/>
  <c r="S111" i="1"/>
  <c r="T111" i="1"/>
  <c r="U111" i="1"/>
  <c r="R112" i="1"/>
  <c r="S112" i="1"/>
  <c r="T112" i="1"/>
  <c r="U112" i="1"/>
  <c r="R113" i="1"/>
  <c r="S113" i="1"/>
  <c r="T113" i="1"/>
  <c r="U113" i="1"/>
  <c r="R114" i="1"/>
  <c r="S114" i="1"/>
  <c r="T114" i="1"/>
  <c r="U114" i="1"/>
  <c r="R115" i="1"/>
  <c r="S115" i="1"/>
  <c r="T115" i="1"/>
  <c r="U115" i="1"/>
  <c r="R116" i="1"/>
  <c r="S116" i="1"/>
  <c r="T116" i="1"/>
  <c r="U116" i="1"/>
  <c r="R118" i="1"/>
  <c r="S118" i="1"/>
  <c r="T118" i="1"/>
  <c r="U118" i="1"/>
  <c r="R119" i="1"/>
  <c r="S119" i="1"/>
  <c r="T119" i="1"/>
  <c r="U119" i="1"/>
  <c r="R120" i="1"/>
  <c r="S120" i="1"/>
  <c r="T120" i="1"/>
  <c r="U120" i="1"/>
  <c r="R122" i="1"/>
  <c r="S122" i="1"/>
  <c r="T122" i="1"/>
  <c r="U122" i="1"/>
  <c r="R123" i="1"/>
  <c r="S123" i="1"/>
  <c r="T123" i="1"/>
  <c r="U123" i="1"/>
  <c r="R125" i="1"/>
  <c r="S125" i="1"/>
  <c r="T125" i="1"/>
  <c r="U125" i="1"/>
  <c r="R126" i="1"/>
  <c r="S126" i="1"/>
  <c r="T126" i="1"/>
  <c r="U126" i="1"/>
  <c r="R127" i="1"/>
  <c r="S127" i="1"/>
  <c r="T127" i="1"/>
  <c r="U127" i="1"/>
  <c r="R128" i="1"/>
  <c r="S128" i="1"/>
  <c r="T128" i="1"/>
  <c r="U128" i="1"/>
  <c r="R129" i="1"/>
  <c r="S129" i="1"/>
  <c r="T129" i="1"/>
  <c r="U129" i="1"/>
  <c r="R130" i="1"/>
  <c r="S130" i="1"/>
  <c r="T130" i="1"/>
  <c r="U130" i="1"/>
  <c r="R132" i="1"/>
  <c r="S132" i="1"/>
  <c r="T132" i="1"/>
  <c r="U132" i="1"/>
  <c r="R133" i="1"/>
  <c r="S133" i="1"/>
  <c r="T133" i="1"/>
  <c r="U133" i="1"/>
  <c r="R135" i="1"/>
  <c r="S135" i="1"/>
  <c r="T135" i="1"/>
  <c r="U135" i="1"/>
  <c r="R136" i="1"/>
  <c r="S136" i="1"/>
  <c r="T136" i="1"/>
  <c r="U136" i="1"/>
  <c r="R138" i="1"/>
  <c r="S138" i="1"/>
  <c r="T138" i="1"/>
  <c r="U138" i="1"/>
  <c r="R139" i="1"/>
  <c r="S139" i="1"/>
  <c r="T139" i="1"/>
  <c r="U139" i="1"/>
  <c r="R141" i="1"/>
  <c r="S141" i="1"/>
  <c r="T141" i="1"/>
  <c r="U141" i="1"/>
  <c r="R142" i="1"/>
  <c r="S142" i="1"/>
  <c r="T142" i="1"/>
  <c r="U142" i="1"/>
  <c r="R143" i="1"/>
  <c r="S143" i="1"/>
  <c r="T143" i="1"/>
  <c r="U143" i="1"/>
  <c r="R144" i="1"/>
  <c r="S144" i="1"/>
  <c r="T144" i="1"/>
  <c r="U144" i="1"/>
  <c r="R146" i="1"/>
  <c r="S146" i="1"/>
  <c r="T146" i="1"/>
  <c r="U146" i="1"/>
  <c r="R147" i="1"/>
  <c r="S147" i="1"/>
  <c r="T147" i="1"/>
  <c r="U147" i="1"/>
  <c r="R148" i="1"/>
  <c r="S148" i="1"/>
  <c r="T148" i="1"/>
  <c r="U148" i="1"/>
  <c r="R149" i="1"/>
  <c r="S149" i="1"/>
  <c r="T149" i="1"/>
  <c r="U149" i="1"/>
  <c r="R150" i="1"/>
  <c r="S150" i="1"/>
  <c r="T150" i="1"/>
  <c r="U150" i="1"/>
  <c r="R152" i="1"/>
  <c r="S152" i="1"/>
  <c r="T152" i="1"/>
  <c r="U152" i="1"/>
  <c r="R153" i="1"/>
  <c r="S153" i="1"/>
  <c r="T153" i="1"/>
  <c r="U153" i="1"/>
  <c r="R154" i="1"/>
  <c r="S154" i="1"/>
  <c r="T154" i="1"/>
  <c r="U154" i="1"/>
  <c r="R155" i="1"/>
  <c r="S155" i="1"/>
  <c r="T155" i="1"/>
  <c r="U155" i="1"/>
  <c r="R156" i="1"/>
  <c r="S156" i="1"/>
  <c r="T156" i="1"/>
  <c r="U156" i="1"/>
  <c r="R157" i="1"/>
  <c r="S157" i="1"/>
  <c r="T157" i="1"/>
  <c r="U157" i="1"/>
  <c r="R158" i="1"/>
  <c r="S158" i="1"/>
  <c r="T158" i="1"/>
  <c r="U158" i="1"/>
  <c r="R160" i="1"/>
  <c r="S160" i="1"/>
  <c r="T160" i="1"/>
  <c r="U160" i="1"/>
  <c r="R161" i="1"/>
  <c r="S161" i="1"/>
  <c r="T161" i="1"/>
  <c r="U161" i="1"/>
  <c r="R162" i="1"/>
  <c r="S162" i="1"/>
  <c r="T162" i="1"/>
  <c r="U162" i="1"/>
  <c r="R163" i="1"/>
  <c r="S163" i="1"/>
  <c r="T163" i="1"/>
  <c r="U163" i="1"/>
  <c r="R164" i="1"/>
  <c r="S164" i="1"/>
  <c r="T164" i="1"/>
  <c r="U164" i="1"/>
  <c r="R165" i="1"/>
  <c r="S165" i="1"/>
  <c r="T165" i="1"/>
  <c r="U165" i="1"/>
  <c r="R167" i="1"/>
  <c r="S167" i="1"/>
  <c r="T167" i="1"/>
  <c r="U167" i="1"/>
  <c r="R168" i="1"/>
  <c r="S168" i="1"/>
  <c r="T168" i="1"/>
  <c r="U168" i="1"/>
  <c r="R169" i="1"/>
  <c r="S169" i="1"/>
  <c r="T169" i="1"/>
  <c r="U169" i="1"/>
  <c r="R170" i="1"/>
  <c r="S170" i="1"/>
  <c r="T170" i="1"/>
  <c r="U170" i="1"/>
  <c r="R171" i="1"/>
  <c r="S171" i="1"/>
  <c r="T171" i="1"/>
  <c r="U171" i="1"/>
  <c r="R172" i="1"/>
  <c r="S172" i="1"/>
  <c r="T172" i="1"/>
  <c r="U172" i="1"/>
  <c r="R173" i="1"/>
  <c r="S173" i="1"/>
  <c r="T173" i="1"/>
  <c r="U173" i="1"/>
  <c r="R175" i="1"/>
  <c r="S175" i="1"/>
  <c r="T175" i="1"/>
  <c r="U175" i="1"/>
  <c r="R176" i="1"/>
  <c r="S176" i="1"/>
  <c r="T176" i="1"/>
  <c r="U176" i="1"/>
  <c r="R177" i="1"/>
  <c r="S177" i="1"/>
  <c r="T177" i="1"/>
  <c r="U177" i="1"/>
  <c r="R178" i="1"/>
  <c r="S178" i="1"/>
  <c r="T178" i="1"/>
  <c r="U178" i="1"/>
  <c r="R179" i="1"/>
  <c r="S179" i="1"/>
  <c r="T179" i="1"/>
  <c r="U179" i="1"/>
  <c r="R180" i="1"/>
  <c r="S180" i="1"/>
  <c r="T180" i="1"/>
  <c r="U180" i="1"/>
  <c r="R181" i="1"/>
  <c r="S181" i="1"/>
  <c r="T181" i="1"/>
  <c r="U181" i="1"/>
  <c r="R182" i="1"/>
  <c r="S182" i="1"/>
  <c r="T182" i="1"/>
  <c r="U182" i="1"/>
  <c r="R183" i="1"/>
  <c r="S183" i="1"/>
  <c r="T183" i="1"/>
  <c r="U183" i="1"/>
  <c r="R184" i="1"/>
  <c r="S184" i="1"/>
  <c r="T184" i="1"/>
  <c r="U184" i="1"/>
  <c r="R185" i="1"/>
  <c r="S185" i="1"/>
  <c r="T185" i="1"/>
  <c r="U185" i="1"/>
  <c r="R186" i="1"/>
  <c r="S186" i="1"/>
  <c r="T186" i="1"/>
  <c r="U186" i="1"/>
  <c r="R188" i="1"/>
  <c r="S188" i="1"/>
  <c r="T188" i="1"/>
  <c r="U188" i="1"/>
  <c r="R189" i="1"/>
  <c r="S189" i="1"/>
  <c r="T189" i="1"/>
  <c r="U189" i="1"/>
  <c r="R190" i="1"/>
  <c r="S190" i="1"/>
  <c r="T190" i="1"/>
  <c r="U190" i="1"/>
  <c r="R191" i="1"/>
  <c r="S191" i="1"/>
  <c r="T191" i="1"/>
  <c r="U191" i="1"/>
  <c r="R193" i="1"/>
  <c r="S193" i="1"/>
  <c r="T193" i="1"/>
  <c r="U193" i="1"/>
  <c r="R194" i="1"/>
  <c r="S194" i="1"/>
  <c r="T194" i="1"/>
  <c r="U194" i="1"/>
  <c r="R196" i="1"/>
  <c r="S196" i="1"/>
  <c r="T196" i="1"/>
  <c r="U196" i="1"/>
  <c r="R198" i="1"/>
  <c r="S198" i="1"/>
  <c r="T198" i="1"/>
  <c r="U198" i="1"/>
  <c r="R199" i="1"/>
  <c r="S199" i="1"/>
  <c r="T199" i="1"/>
  <c r="U199" i="1"/>
  <c r="R200" i="1"/>
  <c r="S200" i="1"/>
  <c r="T200" i="1"/>
  <c r="U200" i="1"/>
  <c r="R201" i="1"/>
  <c r="S201" i="1"/>
  <c r="T201" i="1"/>
  <c r="U201" i="1"/>
  <c r="R202" i="1"/>
  <c r="S202" i="1"/>
  <c r="T202" i="1"/>
  <c r="U202" i="1"/>
  <c r="R204" i="1"/>
  <c r="S204" i="1"/>
  <c r="T204" i="1"/>
  <c r="U204" i="1"/>
  <c r="R205" i="1"/>
  <c r="S205" i="1"/>
  <c r="T205" i="1"/>
  <c r="U205" i="1"/>
  <c r="R207" i="1"/>
  <c r="S207" i="1"/>
  <c r="T207" i="1"/>
  <c r="U207" i="1"/>
  <c r="R208" i="1"/>
  <c r="S208" i="1"/>
  <c r="T208" i="1"/>
  <c r="U208" i="1"/>
  <c r="R209" i="1"/>
  <c r="S209" i="1"/>
  <c r="T209" i="1"/>
  <c r="U209" i="1"/>
  <c r="R210" i="1"/>
  <c r="S210" i="1"/>
  <c r="T210" i="1"/>
  <c r="U210" i="1"/>
  <c r="R211" i="1"/>
  <c r="S211" i="1"/>
  <c r="T211" i="1"/>
  <c r="U211" i="1"/>
  <c r="R212" i="1"/>
  <c r="S212" i="1"/>
  <c r="T212" i="1"/>
  <c r="U212" i="1"/>
  <c r="R214" i="1"/>
  <c r="S214" i="1"/>
  <c r="T214" i="1"/>
  <c r="U214" i="1"/>
  <c r="R215" i="1"/>
  <c r="S215" i="1"/>
  <c r="T215" i="1"/>
  <c r="U215" i="1"/>
  <c r="R216" i="1"/>
  <c r="S216" i="1"/>
  <c r="T216" i="1"/>
  <c r="U216" i="1"/>
  <c r="R217" i="1"/>
  <c r="S217" i="1"/>
  <c r="T217" i="1"/>
  <c r="U217" i="1"/>
  <c r="R219" i="1"/>
  <c r="S219" i="1"/>
  <c r="T219" i="1"/>
  <c r="U219" i="1"/>
  <c r="R220" i="1"/>
  <c r="S220" i="1"/>
  <c r="T220" i="1"/>
  <c r="U220" i="1"/>
  <c r="R221" i="1"/>
  <c r="S221" i="1"/>
  <c r="T221" i="1"/>
  <c r="U221" i="1"/>
  <c r="R223" i="1"/>
  <c r="S223" i="1"/>
  <c r="T223" i="1"/>
  <c r="U223" i="1"/>
  <c r="R224" i="1"/>
  <c r="S224" i="1"/>
  <c r="T224" i="1"/>
  <c r="U224" i="1"/>
  <c r="R225" i="1"/>
  <c r="S225" i="1"/>
  <c r="T225" i="1"/>
  <c r="U225" i="1"/>
  <c r="R226" i="1"/>
  <c r="S226" i="1"/>
  <c r="T226" i="1"/>
  <c r="U226" i="1"/>
  <c r="R227" i="1"/>
  <c r="S227" i="1"/>
  <c r="T227" i="1"/>
  <c r="U227" i="1"/>
  <c r="R228" i="1"/>
  <c r="S228" i="1"/>
  <c r="T228" i="1"/>
  <c r="U228" i="1"/>
  <c r="R229" i="1"/>
  <c r="S229" i="1"/>
  <c r="T229" i="1"/>
  <c r="U229" i="1"/>
  <c r="R230" i="1"/>
  <c r="S230" i="1"/>
  <c r="T230" i="1"/>
  <c r="U230" i="1"/>
  <c r="R232" i="1"/>
  <c r="S232" i="1"/>
  <c r="T232" i="1"/>
  <c r="U232" i="1"/>
  <c r="R234" i="1"/>
  <c r="S234" i="1"/>
  <c r="T234" i="1"/>
  <c r="U234" i="1"/>
  <c r="R236" i="1"/>
  <c r="S236" i="1"/>
  <c r="T236" i="1"/>
  <c r="U236" i="1"/>
  <c r="R237" i="1"/>
  <c r="S237" i="1"/>
  <c r="T237" i="1"/>
  <c r="U237" i="1"/>
  <c r="R239" i="1"/>
  <c r="S239" i="1"/>
  <c r="T239" i="1"/>
  <c r="U239" i="1"/>
  <c r="R240" i="1"/>
  <c r="S240" i="1"/>
  <c r="T240" i="1"/>
  <c r="U240" i="1"/>
  <c r="R241" i="1"/>
  <c r="S241" i="1"/>
  <c r="T241" i="1"/>
  <c r="U241" i="1"/>
  <c r="R242" i="1"/>
  <c r="S242" i="1"/>
  <c r="T242" i="1"/>
  <c r="U242" i="1"/>
  <c r="R244" i="1"/>
  <c r="S244" i="1"/>
  <c r="T244" i="1"/>
  <c r="U244" i="1"/>
  <c r="R245" i="1"/>
  <c r="S245" i="1"/>
  <c r="T245" i="1"/>
  <c r="U245" i="1"/>
  <c r="R247" i="1"/>
  <c r="S247" i="1"/>
  <c r="T247" i="1"/>
  <c r="U247" i="1"/>
  <c r="R249" i="1"/>
  <c r="S249" i="1"/>
  <c r="T249" i="1"/>
  <c r="U249" i="1"/>
  <c r="R250" i="1"/>
  <c r="S250" i="1"/>
  <c r="T250" i="1"/>
  <c r="U250" i="1"/>
  <c r="R251" i="1"/>
  <c r="S251" i="1"/>
  <c r="T251" i="1"/>
  <c r="U251" i="1"/>
  <c r="R253" i="1"/>
  <c r="S253" i="1"/>
  <c r="T253" i="1"/>
  <c r="U253" i="1"/>
  <c r="R254" i="1"/>
  <c r="S254" i="1"/>
  <c r="T254" i="1"/>
  <c r="U254" i="1"/>
  <c r="R256" i="1"/>
  <c r="S256" i="1"/>
  <c r="T256" i="1"/>
  <c r="U256" i="1"/>
  <c r="R258" i="1"/>
  <c r="S258" i="1"/>
  <c r="T258" i="1"/>
  <c r="U258" i="1"/>
  <c r="R259" i="1"/>
  <c r="S259" i="1"/>
  <c r="T259" i="1"/>
  <c r="U259" i="1"/>
  <c r="R260" i="1"/>
  <c r="S260" i="1"/>
  <c r="T260" i="1"/>
  <c r="U260" i="1"/>
  <c r="R262" i="1"/>
  <c r="S262" i="1"/>
  <c r="T262" i="1"/>
  <c r="U262" i="1"/>
  <c r="R263" i="1"/>
  <c r="S263" i="1"/>
  <c r="T263" i="1"/>
  <c r="U263" i="1"/>
  <c r="R264" i="1"/>
  <c r="S264" i="1"/>
  <c r="T264" i="1"/>
  <c r="U264" i="1"/>
  <c r="R266" i="1"/>
  <c r="S266" i="1"/>
  <c r="T266" i="1"/>
  <c r="U266" i="1"/>
  <c r="R267" i="1"/>
  <c r="S267" i="1"/>
  <c r="T267" i="1"/>
  <c r="U267" i="1"/>
  <c r="R268" i="1"/>
  <c r="S268" i="1"/>
  <c r="T268" i="1"/>
  <c r="U268" i="1"/>
  <c r="R269" i="1"/>
  <c r="S269" i="1"/>
  <c r="T269" i="1"/>
  <c r="U269" i="1"/>
  <c r="R271" i="1"/>
  <c r="S271" i="1"/>
  <c r="T271" i="1"/>
  <c r="U271" i="1"/>
  <c r="R272" i="1"/>
  <c r="S272" i="1"/>
  <c r="T272" i="1"/>
  <c r="U272" i="1"/>
  <c r="R273" i="1"/>
  <c r="S273" i="1"/>
  <c r="T273" i="1"/>
  <c r="U273" i="1"/>
  <c r="R274" i="1"/>
  <c r="S274" i="1"/>
  <c r="T274" i="1"/>
  <c r="U274" i="1"/>
  <c r="R275" i="1"/>
  <c r="S275" i="1"/>
  <c r="T275" i="1"/>
  <c r="U275" i="1"/>
  <c r="R277" i="1"/>
  <c r="S277" i="1"/>
  <c r="T277" i="1"/>
  <c r="U277" i="1"/>
  <c r="R278" i="1"/>
  <c r="S278" i="1"/>
  <c r="T278" i="1"/>
  <c r="U278" i="1"/>
  <c r="R279" i="1"/>
  <c r="S279" i="1"/>
  <c r="T279" i="1"/>
  <c r="U279" i="1"/>
  <c r="R281" i="1"/>
  <c r="S281" i="1"/>
  <c r="T281" i="1"/>
  <c r="U281" i="1"/>
  <c r="R282" i="1"/>
  <c r="S282" i="1"/>
  <c r="T282" i="1"/>
  <c r="U282" i="1"/>
  <c r="R284" i="1"/>
  <c r="S284" i="1"/>
  <c r="T284" i="1"/>
  <c r="U284" i="1"/>
  <c r="R286" i="1"/>
  <c r="S286" i="1"/>
  <c r="T286" i="1"/>
  <c r="U286" i="1"/>
  <c r="R287" i="1"/>
  <c r="S287" i="1"/>
  <c r="T287" i="1"/>
  <c r="U287" i="1"/>
  <c r="R288" i="1"/>
  <c r="S288" i="1"/>
  <c r="T288" i="1"/>
  <c r="U288" i="1"/>
  <c r="R290" i="1"/>
  <c r="S290" i="1"/>
  <c r="T290" i="1"/>
  <c r="U290" i="1"/>
  <c r="R292" i="1"/>
  <c r="S292" i="1"/>
  <c r="T292" i="1"/>
  <c r="U292" i="1"/>
  <c r="R294" i="1"/>
  <c r="S294" i="1"/>
  <c r="T294" i="1"/>
  <c r="U294" i="1"/>
  <c r="R295" i="1"/>
  <c r="S295" i="1"/>
  <c r="T295" i="1"/>
  <c r="U295" i="1"/>
  <c r="R297" i="1"/>
  <c r="S297" i="1"/>
  <c r="T297" i="1"/>
  <c r="U297" i="1"/>
  <c r="R299" i="1"/>
  <c r="S299" i="1"/>
  <c r="T299" i="1"/>
  <c r="U299" i="1"/>
  <c r="R300" i="1"/>
  <c r="S300" i="1"/>
  <c r="T300" i="1"/>
  <c r="U300" i="1"/>
  <c r="R301" i="1"/>
  <c r="S301" i="1"/>
  <c r="T301" i="1"/>
  <c r="U301" i="1"/>
  <c r="R302" i="1"/>
  <c r="S302" i="1"/>
  <c r="T302" i="1"/>
  <c r="U302" i="1"/>
  <c r="R303" i="1"/>
  <c r="S303" i="1"/>
  <c r="T303" i="1"/>
  <c r="U303" i="1"/>
  <c r="R305" i="1"/>
  <c r="S305" i="1"/>
  <c r="T305" i="1"/>
  <c r="U305" i="1"/>
  <c r="R306" i="1"/>
  <c r="S306" i="1"/>
  <c r="T306" i="1"/>
  <c r="U306" i="1"/>
  <c r="R307" i="1"/>
  <c r="S307" i="1"/>
  <c r="T307" i="1"/>
  <c r="U307" i="1"/>
  <c r="R308" i="1"/>
  <c r="S308" i="1"/>
  <c r="T308" i="1"/>
  <c r="U308" i="1"/>
  <c r="R309" i="1"/>
  <c r="S309" i="1"/>
  <c r="T309" i="1"/>
  <c r="U309" i="1"/>
  <c r="R311" i="1"/>
  <c r="S311" i="1"/>
  <c r="T311" i="1"/>
  <c r="U311" i="1"/>
  <c r="R313" i="1"/>
  <c r="S313" i="1"/>
  <c r="T313" i="1"/>
  <c r="U313" i="1"/>
  <c r="R314" i="1"/>
  <c r="S314" i="1"/>
  <c r="T314" i="1"/>
  <c r="U314" i="1"/>
  <c r="R315" i="1"/>
  <c r="S315" i="1"/>
  <c r="T315" i="1"/>
  <c r="U315" i="1"/>
  <c r="R317" i="1"/>
  <c r="S317" i="1"/>
  <c r="T317" i="1"/>
  <c r="U317" i="1"/>
  <c r="R318" i="1"/>
  <c r="S318" i="1"/>
  <c r="T318" i="1"/>
  <c r="U318" i="1"/>
  <c r="R319" i="1"/>
  <c r="S319" i="1"/>
  <c r="T319" i="1"/>
  <c r="U319" i="1"/>
  <c r="R320" i="1"/>
  <c r="S320" i="1"/>
  <c r="T320" i="1"/>
  <c r="U320" i="1"/>
  <c r="R321" i="1"/>
  <c r="S321" i="1"/>
  <c r="T321" i="1"/>
  <c r="U321" i="1"/>
  <c r="R323" i="1"/>
  <c r="S323" i="1"/>
  <c r="T323" i="1"/>
  <c r="U323" i="1"/>
  <c r="R324" i="1"/>
  <c r="S324" i="1"/>
  <c r="T324" i="1"/>
  <c r="U324" i="1"/>
  <c r="R325" i="1"/>
  <c r="S325" i="1"/>
  <c r="T325" i="1"/>
  <c r="U325" i="1"/>
  <c r="R326" i="1"/>
  <c r="S326" i="1"/>
  <c r="T326" i="1"/>
  <c r="U326" i="1"/>
  <c r="R327" i="1"/>
  <c r="S327" i="1"/>
  <c r="T327" i="1"/>
  <c r="U327" i="1"/>
  <c r="R328" i="1"/>
  <c r="S328" i="1"/>
  <c r="T328" i="1"/>
  <c r="U328" i="1"/>
  <c r="R329" i="1"/>
  <c r="S329" i="1"/>
  <c r="T329" i="1"/>
  <c r="U329" i="1"/>
  <c r="R330" i="1"/>
  <c r="S330" i="1"/>
  <c r="T330" i="1"/>
  <c r="U330" i="1"/>
  <c r="R331" i="1"/>
  <c r="S331" i="1"/>
  <c r="T331" i="1"/>
  <c r="U331" i="1"/>
  <c r="R332" i="1"/>
  <c r="S332" i="1"/>
  <c r="T332" i="1"/>
  <c r="U332" i="1"/>
  <c r="R333" i="1"/>
  <c r="S333" i="1"/>
  <c r="T333" i="1"/>
  <c r="U333" i="1"/>
  <c r="R334" i="1"/>
  <c r="S334" i="1"/>
  <c r="T334" i="1"/>
  <c r="U334" i="1"/>
  <c r="R335" i="1"/>
  <c r="S335" i="1"/>
  <c r="T335" i="1"/>
  <c r="U335" i="1"/>
  <c r="R336" i="1"/>
  <c r="S336" i="1"/>
  <c r="T336" i="1"/>
  <c r="U336" i="1"/>
  <c r="R338" i="1"/>
  <c r="S338" i="1"/>
  <c r="T338" i="1"/>
  <c r="U338" i="1"/>
  <c r="R339" i="1"/>
  <c r="S339" i="1"/>
  <c r="T339" i="1"/>
  <c r="U339" i="1"/>
  <c r="R341" i="1"/>
  <c r="S341" i="1"/>
  <c r="T341" i="1"/>
  <c r="U341" i="1"/>
  <c r="R342" i="1"/>
  <c r="S342" i="1"/>
  <c r="T342" i="1"/>
  <c r="U342" i="1"/>
  <c r="R343" i="1"/>
  <c r="S343" i="1"/>
  <c r="T343" i="1"/>
  <c r="U343" i="1"/>
  <c r="R345" i="1"/>
  <c r="S345" i="1"/>
  <c r="T345" i="1"/>
  <c r="U345" i="1"/>
  <c r="R346" i="1"/>
  <c r="S346" i="1"/>
  <c r="T346" i="1"/>
  <c r="U346" i="1"/>
  <c r="R347" i="1"/>
  <c r="S347" i="1"/>
  <c r="T347" i="1"/>
  <c r="U347" i="1"/>
  <c r="R348" i="1"/>
  <c r="S348" i="1"/>
  <c r="T348" i="1"/>
  <c r="U348" i="1"/>
  <c r="R349" i="1"/>
  <c r="S349" i="1"/>
  <c r="T349" i="1"/>
  <c r="U349" i="1"/>
  <c r="R350" i="1"/>
  <c r="S350" i="1"/>
  <c r="T350" i="1"/>
  <c r="U350" i="1"/>
  <c r="R352" i="1"/>
  <c r="S352" i="1"/>
  <c r="T352" i="1"/>
  <c r="U352" i="1"/>
  <c r="R354" i="1"/>
  <c r="S354" i="1"/>
  <c r="T354" i="1"/>
  <c r="U354" i="1"/>
  <c r="R355" i="1"/>
  <c r="S355" i="1"/>
  <c r="T355" i="1"/>
  <c r="U355" i="1"/>
  <c r="R356" i="1"/>
  <c r="S356" i="1"/>
  <c r="T356" i="1"/>
  <c r="U356" i="1"/>
  <c r="R357" i="1"/>
  <c r="S357" i="1"/>
  <c r="T357" i="1"/>
  <c r="U357" i="1"/>
  <c r="R358" i="1"/>
  <c r="S358" i="1"/>
  <c r="T358" i="1"/>
  <c r="U358" i="1"/>
  <c r="R360" i="1"/>
  <c r="S360" i="1"/>
  <c r="T360" i="1"/>
  <c r="U360" i="1"/>
  <c r="R361" i="1"/>
  <c r="S361" i="1"/>
  <c r="T361" i="1"/>
  <c r="U361" i="1"/>
  <c r="R362" i="1"/>
  <c r="S362" i="1"/>
  <c r="T362" i="1"/>
  <c r="U362" i="1"/>
  <c r="R364" i="1"/>
  <c r="S364" i="1"/>
  <c r="T364" i="1"/>
  <c r="U364" i="1"/>
  <c r="R366" i="1"/>
  <c r="S366" i="1"/>
  <c r="T366" i="1"/>
  <c r="U366" i="1"/>
  <c r="R367" i="1"/>
  <c r="S367" i="1"/>
  <c r="T367" i="1"/>
  <c r="U367" i="1"/>
  <c r="R368" i="1"/>
  <c r="S368" i="1"/>
  <c r="T368" i="1"/>
  <c r="U368" i="1"/>
  <c r="R370" i="1"/>
  <c r="S370" i="1"/>
  <c r="T370" i="1"/>
  <c r="U370" i="1"/>
  <c r="R371" i="1"/>
  <c r="S371" i="1"/>
  <c r="T371" i="1"/>
  <c r="U371" i="1"/>
  <c r="R372" i="1"/>
  <c r="S372" i="1"/>
  <c r="T372" i="1"/>
  <c r="U372" i="1"/>
  <c r="R373" i="1"/>
  <c r="S373" i="1"/>
  <c r="T373" i="1"/>
  <c r="U373" i="1"/>
  <c r="R374" i="1"/>
  <c r="S374" i="1"/>
  <c r="T374" i="1"/>
  <c r="U374" i="1"/>
  <c r="R376" i="1"/>
  <c r="S376" i="1"/>
  <c r="T376" i="1"/>
  <c r="U376" i="1"/>
  <c r="R377" i="1"/>
  <c r="S377" i="1"/>
  <c r="T377" i="1"/>
  <c r="U377" i="1"/>
  <c r="R379" i="1"/>
  <c r="S379" i="1"/>
  <c r="T379" i="1"/>
  <c r="U379" i="1"/>
  <c r="R380" i="1"/>
  <c r="S380" i="1"/>
  <c r="T380" i="1"/>
  <c r="U380" i="1"/>
  <c r="R382" i="1"/>
  <c r="S382" i="1"/>
  <c r="T382" i="1"/>
  <c r="U382" i="1"/>
  <c r="R383" i="1"/>
  <c r="S383" i="1"/>
  <c r="T383" i="1"/>
  <c r="U383" i="1"/>
  <c r="R384" i="1"/>
  <c r="S384" i="1"/>
  <c r="T384" i="1"/>
  <c r="U384" i="1"/>
  <c r="G189" i="1"/>
  <c r="P189" i="1" s="1"/>
  <c r="C189" i="1"/>
  <c r="G32" i="1"/>
  <c r="Q32" i="1" s="1"/>
  <c r="C32" i="1"/>
  <c r="I32" i="1" l="1"/>
  <c r="I271" i="1"/>
  <c r="J32" i="1"/>
  <c r="L32" i="1" s="1"/>
  <c r="J189" i="1"/>
  <c r="I189" i="1"/>
  <c r="K189" i="1" s="1"/>
  <c r="Q189" i="1"/>
  <c r="P32" i="1"/>
  <c r="G28" i="1"/>
  <c r="P28" i="1" s="1"/>
  <c r="C28" i="1"/>
  <c r="K32" i="1" l="1"/>
  <c r="M32" i="1" s="1"/>
  <c r="L189" i="1"/>
  <c r="M189" i="1" s="1"/>
  <c r="I28" i="1"/>
  <c r="K28" i="1" s="1"/>
  <c r="Q28" i="1"/>
  <c r="J28" i="1"/>
  <c r="C4" i="1"/>
  <c r="C5" i="1"/>
  <c r="C6" i="1"/>
  <c r="C7" i="1"/>
  <c r="C8" i="1"/>
  <c r="C9" i="1"/>
  <c r="C10" i="1"/>
  <c r="C11" i="1"/>
  <c r="C13" i="1"/>
  <c r="C14" i="1"/>
  <c r="C16" i="1"/>
  <c r="C17" i="1"/>
  <c r="C20" i="1"/>
  <c r="C21" i="1"/>
  <c r="C22" i="1"/>
  <c r="C23" i="1"/>
  <c r="C24" i="1"/>
  <c r="C25" i="1"/>
  <c r="C26" i="1"/>
  <c r="C27" i="1"/>
  <c r="C29" i="1"/>
  <c r="C30" i="1"/>
  <c r="C31" i="1"/>
  <c r="C33" i="1"/>
  <c r="C34" i="1"/>
  <c r="C35" i="1"/>
  <c r="C36" i="1"/>
  <c r="C37" i="1"/>
  <c r="C38" i="1"/>
  <c r="C39" i="1"/>
  <c r="C40" i="1"/>
  <c r="C42" i="1"/>
  <c r="C44" i="1"/>
  <c r="C46" i="1"/>
  <c r="C48" i="1"/>
  <c r="C50" i="1"/>
  <c r="C52" i="1"/>
  <c r="C53" i="1"/>
  <c r="C54" i="1"/>
  <c r="C55" i="1"/>
  <c r="C56" i="1"/>
  <c r="C57" i="1"/>
  <c r="C58" i="1"/>
  <c r="C59" i="1"/>
  <c r="C61" i="1"/>
  <c r="C63" i="1"/>
  <c r="C65" i="1"/>
  <c r="C68" i="1"/>
  <c r="C70" i="1"/>
  <c r="C71" i="1"/>
  <c r="C72" i="1"/>
  <c r="C73" i="1"/>
  <c r="C74" i="1"/>
  <c r="C75" i="1"/>
  <c r="C76" i="1"/>
  <c r="C78" i="1"/>
  <c r="C80" i="1"/>
  <c r="C79" i="1"/>
  <c r="C82" i="1"/>
  <c r="C83" i="1"/>
  <c r="C84" i="1"/>
  <c r="C86" i="1"/>
  <c r="C87" i="1"/>
  <c r="C89" i="1"/>
  <c r="C90" i="1"/>
  <c r="C92" i="1"/>
  <c r="C93" i="1"/>
  <c r="C94" i="1"/>
  <c r="C96" i="1"/>
  <c r="C98" i="1"/>
  <c r="C99" i="1"/>
  <c r="C100" i="1"/>
  <c r="C101" i="1"/>
  <c r="C103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8" i="1"/>
  <c r="C119" i="1"/>
  <c r="C120" i="1"/>
  <c r="C122" i="1"/>
  <c r="C123" i="1"/>
  <c r="C125" i="1"/>
  <c r="C126" i="1"/>
  <c r="C127" i="1"/>
  <c r="C128" i="1"/>
  <c r="C129" i="1"/>
  <c r="C130" i="1"/>
  <c r="C132" i="1"/>
  <c r="C133" i="1"/>
  <c r="C135" i="1"/>
  <c r="C136" i="1"/>
  <c r="C138" i="1"/>
  <c r="C139" i="1"/>
  <c r="C141" i="1"/>
  <c r="C143" i="1"/>
  <c r="C142" i="1"/>
  <c r="C144" i="1"/>
  <c r="C146" i="1"/>
  <c r="C147" i="1"/>
  <c r="C148" i="1"/>
  <c r="C149" i="1"/>
  <c r="C150" i="1"/>
  <c r="C152" i="1"/>
  <c r="C153" i="1"/>
  <c r="C154" i="1"/>
  <c r="C155" i="1"/>
  <c r="C156" i="1"/>
  <c r="C157" i="1"/>
  <c r="C158" i="1"/>
  <c r="C160" i="1"/>
  <c r="C161" i="1"/>
  <c r="C162" i="1"/>
  <c r="C163" i="1"/>
  <c r="C164" i="1"/>
  <c r="C165" i="1"/>
  <c r="C167" i="1"/>
  <c r="C168" i="1"/>
  <c r="C169" i="1"/>
  <c r="C170" i="1"/>
  <c r="C171" i="1"/>
  <c r="C172" i="1"/>
  <c r="C173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8" i="1"/>
  <c r="C229" i="1"/>
  <c r="C190" i="1"/>
  <c r="C191" i="1"/>
  <c r="C193" i="1"/>
  <c r="C194" i="1"/>
  <c r="C196" i="1"/>
  <c r="C198" i="1"/>
  <c r="C199" i="1"/>
  <c r="C200" i="1"/>
  <c r="C201" i="1"/>
  <c r="C202" i="1"/>
  <c r="C204" i="1"/>
  <c r="C205" i="1"/>
  <c r="C207" i="1"/>
  <c r="C208" i="1"/>
  <c r="C209" i="1"/>
  <c r="C210" i="1"/>
  <c r="C211" i="1"/>
  <c r="C212" i="1"/>
  <c r="C214" i="1"/>
  <c r="C215" i="1"/>
  <c r="C216" i="1"/>
  <c r="C217" i="1"/>
  <c r="C219" i="1"/>
  <c r="C220" i="1"/>
  <c r="C221" i="1"/>
  <c r="C223" i="1"/>
  <c r="C224" i="1"/>
  <c r="C225" i="1"/>
  <c r="C226" i="1"/>
  <c r="C227" i="1"/>
  <c r="C19" i="1"/>
  <c r="C228" i="1"/>
  <c r="C230" i="1"/>
  <c r="C232" i="1"/>
  <c r="C234" i="1"/>
  <c r="C236" i="1"/>
  <c r="C237" i="1"/>
  <c r="C239" i="1"/>
  <c r="C240" i="1"/>
  <c r="C241" i="1"/>
  <c r="C242" i="1"/>
  <c r="C244" i="1"/>
  <c r="C245" i="1"/>
  <c r="C247" i="1"/>
  <c r="C249" i="1"/>
  <c r="C250" i="1"/>
  <c r="C251" i="1"/>
  <c r="C253" i="1"/>
  <c r="C256" i="1"/>
  <c r="C258" i="1"/>
  <c r="C259" i="1"/>
  <c r="C260" i="1"/>
  <c r="C262" i="1"/>
  <c r="C263" i="1"/>
  <c r="C264" i="1"/>
  <c r="C266" i="1"/>
  <c r="C267" i="1"/>
  <c r="C268" i="1"/>
  <c r="C269" i="1"/>
  <c r="C271" i="1"/>
  <c r="C272" i="1"/>
  <c r="C273" i="1"/>
  <c r="C274" i="1"/>
  <c r="C275" i="1"/>
  <c r="C277" i="1"/>
  <c r="C278" i="1"/>
  <c r="C279" i="1"/>
  <c r="C281" i="1"/>
  <c r="C282" i="1"/>
  <c r="C284" i="1"/>
  <c r="C286" i="1"/>
  <c r="C287" i="1"/>
  <c r="C288" i="1"/>
  <c r="C290" i="1"/>
  <c r="C292" i="1"/>
  <c r="C294" i="1"/>
  <c r="C295" i="1"/>
  <c r="C297" i="1"/>
  <c r="C299" i="1"/>
  <c r="C300" i="1"/>
  <c r="C301" i="1"/>
  <c r="C302" i="1"/>
  <c r="C303" i="1"/>
  <c r="C305" i="1"/>
  <c r="C306" i="1"/>
  <c r="C307" i="1"/>
  <c r="C308" i="1"/>
  <c r="C309" i="1"/>
  <c r="C311" i="1"/>
  <c r="C254" i="1"/>
  <c r="C313" i="1"/>
  <c r="C314" i="1"/>
  <c r="C315" i="1"/>
  <c r="C66" i="1"/>
  <c r="C317" i="1"/>
  <c r="C318" i="1"/>
  <c r="C319" i="1"/>
  <c r="C320" i="1"/>
  <c r="C321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8" i="1"/>
  <c r="C339" i="1"/>
  <c r="C341" i="1"/>
  <c r="C342" i="1"/>
  <c r="C343" i="1"/>
  <c r="C345" i="1"/>
  <c r="C346" i="1"/>
  <c r="C347" i="1"/>
  <c r="C348" i="1"/>
  <c r="C349" i="1"/>
  <c r="C350" i="1"/>
  <c r="C352" i="1"/>
  <c r="C354" i="1"/>
  <c r="C355" i="1"/>
  <c r="C356" i="1"/>
  <c r="C357" i="1"/>
  <c r="C358" i="1"/>
  <c r="C360" i="1"/>
  <c r="C361" i="1"/>
  <c r="C362" i="1"/>
  <c r="C364" i="1"/>
  <c r="C366" i="1"/>
  <c r="C367" i="1"/>
  <c r="C368" i="1"/>
  <c r="C370" i="1"/>
  <c r="C371" i="1"/>
  <c r="C372" i="1"/>
  <c r="C373" i="1"/>
  <c r="C374" i="1"/>
  <c r="C376" i="1"/>
  <c r="C377" i="1"/>
  <c r="C379" i="1"/>
  <c r="C380" i="1"/>
  <c r="C382" i="1"/>
  <c r="C383" i="1"/>
  <c r="C384" i="1"/>
  <c r="C2" i="1"/>
  <c r="L28" i="1" l="1"/>
  <c r="M28" i="1" s="1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5" i="5"/>
  <c r="G4" i="1" l="1"/>
  <c r="G5" i="1"/>
  <c r="G6" i="1"/>
  <c r="G7" i="1"/>
  <c r="G8" i="1"/>
  <c r="G9" i="1"/>
  <c r="G10" i="1"/>
  <c r="G11" i="1"/>
  <c r="G13" i="1"/>
  <c r="G14" i="1"/>
  <c r="G16" i="1"/>
  <c r="G17" i="1"/>
  <c r="G20" i="1"/>
  <c r="G21" i="1"/>
  <c r="G22" i="1"/>
  <c r="G23" i="1"/>
  <c r="G24" i="1"/>
  <c r="G25" i="1"/>
  <c r="G26" i="1"/>
  <c r="G27" i="1"/>
  <c r="G29" i="1"/>
  <c r="G30" i="1"/>
  <c r="G31" i="1"/>
  <c r="G33" i="1"/>
  <c r="G34" i="1"/>
  <c r="G35" i="1"/>
  <c r="G36" i="1"/>
  <c r="G37" i="1"/>
  <c r="G38" i="1"/>
  <c r="G39" i="1"/>
  <c r="G40" i="1"/>
  <c r="G42" i="1"/>
  <c r="G44" i="1"/>
  <c r="G46" i="1"/>
  <c r="G48" i="1"/>
  <c r="G50" i="1"/>
  <c r="G52" i="1"/>
  <c r="G53" i="1"/>
  <c r="G54" i="1"/>
  <c r="G55" i="1"/>
  <c r="G56" i="1"/>
  <c r="G57" i="1"/>
  <c r="G58" i="1"/>
  <c r="G59" i="1"/>
  <c r="G61" i="1"/>
  <c r="G63" i="1"/>
  <c r="G65" i="1"/>
  <c r="G311" i="1"/>
  <c r="G68" i="1"/>
  <c r="G70" i="1"/>
  <c r="G71" i="1"/>
  <c r="G72" i="1"/>
  <c r="G73" i="1"/>
  <c r="G74" i="1"/>
  <c r="G75" i="1"/>
  <c r="G76" i="1"/>
  <c r="G78" i="1"/>
  <c r="G80" i="1"/>
  <c r="G79" i="1"/>
  <c r="G82" i="1"/>
  <c r="G83" i="1"/>
  <c r="G84" i="1"/>
  <c r="G86" i="1"/>
  <c r="G87" i="1"/>
  <c r="G89" i="1"/>
  <c r="G90" i="1"/>
  <c r="G92" i="1"/>
  <c r="G93" i="1"/>
  <c r="G94" i="1"/>
  <c r="G96" i="1"/>
  <c r="G98" i="1"/>
  <c r="G99" i="1"/>
  <c r="G100" i="1"/>
  <c r="G101" i="1"/>
  <c r="G103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8" i="1"/>
  <c r="G119" i="1"/>
  <c r="G120" i="1"/>
  <c r="G122" i="1"/>
  <c r="G123" i="1"/>
  <c r="G125" i="1"/>
  <c r="G126" i="1"/>
  <c r="G127" i="1"/>
  <c r="G128" i="1"/>
  <c r="G130" i="1"/>
  <c r="G129" i="1"/>
  <c r="G132" i="1"/>
  <c r="G133" i="1"/>
  <c r="G135" i="1"/>
  <c r="G136" i="1"/>
  <c r="G138" i="1"/>
  <c r="G139" i="1"/>
  <c r="G141" i="1"/>
  <c r="G143" i="1"/>
  <c r="G142" i="1"/>
  <c r="G144" i="1"/>
  <c r="G146" i="1"/>
  <c r="G147" i="1"/>
  <c r="G148" i="1"/>
  <c r="G149" i="1"/>
  <c r="G150" i="1"/>
  <c r="G152" i="1"/>
  <c r="G153" i="1"/>
  <c r="G154" i="1"/>
  <c r="G155" i="1"/>
  <c r="G156" i="1"/>
  <c r="G157" i="1"/>
  <c r="G158" i="1"/>
  <c r="G160" i="1"/>
  <c r="G161" i="1"/>
  <c r="G162" i="1"/>
  <c r="G163" i="1"/>
  <c r="G164" i="1"/>
  <c r="G165" i="1"/>
  <c r="G167" i="1"/>
  <c r="G168" i="1"/>
  <c r="G169" i="1"/>
  <c r="G170" i="1"/>
  <c r="G171" i="1"/>
  <c r="G172" i="1"/>
  <c r="G173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8" i="1"/>
  <c r="G229" i="1"/>
  <c r="G190" i="1"/>
  <c r="G191" i="1"/>
  <c r="G193" i="1"/>
  <c r="G194" i="1"/>
  <c r="G196" i="1"/>
  <c r="G198" i="1"/>
  <c r="G199" i="1"/>
  <c r="G200" i="1"/>
  <c r="G201" i="1"/>
  <c r="G202" i="1"/>
  <c r="G204" i="1"/>
  <c r="G205" i="1"/>
  <c r="G207" i="1"/>
  <c r="G208" i="1"/>
  <c r="G209" i="1"/>
  <c r="G210" i="1"/>
  <c r="G211" i="1"/>
  <c r="G212" i="1"/>
  <c r="G214" i="1"/>
  <c r="G215" i="1"/>
  <c r="G216" i="1"/>
  <c r="G217" i="1"/>
  <c r="G219" i="1"/>
  <c r="G220" i="1"/>
  <c r="G221" i="1"/>
  <c r="G223" i="1"/>
  <c r="G224" i="1"/>
  <c r="G225" i="1"/>
  <c r="G226" i="1"/>
  <c r="G227" i="1"/>
  <c r="G19" i="1"/>
  <c r="G228" i="1"/>
  <c r="G230" i="1"/>
  <c r="G232" i="1"/>
  <c r="G234" i="1"/>
  <c r="G236" i="1"/>
  <c r="G237" i="1"/>
  <c r="G239" i="1"/>
  <c r="G240" i="1"/>
  <c r="G241" i="1"/>
  <c r="G242" i="1"/>
  <c r="G244" i="1"/>
  <c r="G245" i="1"/>
  <c r="G274" i="1"/>
  <c r="G275" i="1"/>
  <c r="G247" i="1"/>
  <c r="G249" i="1"/>
  <c r="G250" i="1"/>
  <c r="G251" i="1"/>
  <c r="G253" i="1"/>
  <c r="G256" i="1"/>
  <c r="G258" i="1"/>
  <c r="G259" i="1"/>
  <c r="G260" i="1"/>
  <c r="G262" i="1"/>
  <c r="G263" i="1"/>
  <c r="G264" i="1"/>
  <c r="G266" i="1"/>
  <c r="G267" i="1"/>
  <c r="G268" i="1"/>
  <c r="G269" i="1"/>
  <c r="G271" i="1"/>
  <c r="G272" i="1"/>
  <c r="G273" i="1"/>
  <c r="G277" i="1"/>
  <c r="G278" i="1"/>
  <c r="G279" i="1"/>
  <c r="G281" i="1"/>
  <c r="G282" i="1"/>
  <c r="G284" i="1"/>
  <c r="G286" i="1"/>
  <c r="G287" i="1"/>
  <c r="G288" i="1"/>
  <c r="G290" i="1"/>
  <c r="G292" i="1"/>
  <c r="G294" i="1"/>
  <c r="G295" i="1"/>
  <c r="G297" i="1"/>
  <c r="G349" i="1"/>
  <c r="G299" i="1"/>
  <c r="G300" i="1"/>
  <c r="G301" i="1"/>
  <c r="G302" i="1"/>
  <c r="G303" i="1"/>
  <c r="G305" i="1"/>
  <c r="G306" i="1"/>
  <c r="G307" i="1"/>
  <c r="G308" i="1"/>
  <c r="G309" i="1"/>
  <c r="G66" i="1"/>
  <c r="G254" i="1"/>
  <c r="G313" i="1"/>
  <c r="G314" i="1"/>
  <c r="G315" i="1"/>
  <c r="G317" i="1"/>
  <c r="G318" i="1"/>
  <c r="G319" i="1"/>
  <c r="G320" i="1"/>
  <c r="G321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8" i="1"/>
  <c r="G339" i="1"/>
  <c r="G341" i="1"/>
  <c r="G342" i="1"/>
  <c r="G343" i="1"/>
  <c r="G345" i="1"/>
  <c r="G346" i="1"/>
  <c r="G347" i="1"/>
  <c r="G348" i="1"/>
  <c r="G350" i="1"/>
  <c r="G352" i="1"/>
  <c r="G354" i="1"/>
  <c r="G355" i="1"/>
  <c r="G356" i="1"/>
  <c r="G357" i="1"/>
  <c r="G358" i="1"/>
  <c r="G360" i="1"/>
  <c r="G361" i="1"/>
  <c r="G362" i="1"/>
  <c r="G364" i="1"/>
  <c r="G368" i="1"/>
  <c r="G366" i="1"/>
  <c r="G367" i="1"/>
  <c r="G370" i="1"/>
  <c r="G371" i="1"/>
  <c r="G372" i="1"/>
  <c r="G373" i="1"/>
  <c r="G374" i="1"/>
  <c r="G376" i="1"/>
  <c r="G377" i="1"/>
  <c r="G379" i="1"/>
  <c r="G380" i="1"/>
  <c r="G382" i="1"/>
  <c r="G383" i="1"/>
  <c r="G384" i="1"/>
  <c r="G2" i="1"/>
  <c r="P384" i="1" l="1"/>
  <c r="Q384" i="1"/>
  <c r="P379" i="1"/>
  <c r="Q379" i="1"/>
  <c r="P373" i="1"/>
  <c r="Q373" i="1"/>
  <c r="P367" i="1"/>
  <c r="Q367" i="1"/>
  <c r="P362" i="1"/>
  <c r="Q362" i="1"/>
  <c r="P357" i="1"/>
  <c r="Q357" i="1"/>
  <c r="P352" i="1"/>
  <c r="Q352" i="1"/>
  <c r="P346" i="1"/>
  <c r="Q346" i="1"/>
  <c r="P341" i="1"/>
  <c r="Q341" i="1"/>
  <c r="P335" i="1"/>
  <c r="Q335" i="1"/>
  <c r="P331" i="1"/>
  <c r="Q331" i="1"/>
  <c r="P327" i="1"/>
  <c r="Q327" i="1"/>
  <c r="P323" i="1"/>
  <c r="Q323" i="1"/>
  <c r="P318" i="1"/>
  <c r="Q318" i="1"/>
  <c r="P313" i="1"/>
  <c r="Q313" i="1"/>
  <c r="P308" i="1"/>
  <c r="Q308" i="1"/>
  <c r="P303" i="1"/>
  <c r="Q303" i="1"/>
  <c r="P299" i="1"/>
  <c r="Q299" i="1"/>
  <c r="P294" i="1"/>
  <c r="Q294" i="1"/>
  <c r="P287" i="1"/>
  <c r="Q287" i="1"/>
  <c r="P281" i="1"/>
  <c r="Q281" i="1"/>
  <c r="P273" i="1"/>
  <c r="Q273" i="1"/>
  <c r="P268" i="1"/>
  <c r="Q268" i="1"/>
  <c r="P263" i="1"/>
  <c r="Q263" i="1"/>
  <c r="P258" i="1"/>
  <c r="Q258" i="1"/>
  <c r="P250" i="1"/>
  <c r="Q250" i="1"/>
  <c r="P274" i="1"/>
  <c r="Q274" i="1"/>
  <c r="P241" i="1"/>
  <c r="Q241" i="1"/>
  <c r="P236" i="1"/>
  <c r="Q236" i="1"/>
  <c r="P228" i="1"/>
  <c r="Q228" i="1"/>
  <c r="P225" i="1"/>
  <c r="Q225" i="1"/>
  <c r="P220" i="1"/>
  <c r="Q220" i="1"/>
  <c r="P215" i="1"/>
  <c r="Q215" i="1"/>
  <c r="P210" i="1"/>
  <c r="Q210" i="1"/>
  <c r="P205" i="1"/>
  <c r="Q205" i="1"/>
  <c r="P200" i="1"/>
  <c r="Q200" i="1"/>
  <c r="P194" i="1"/>
  <c r="Q194" i="1"/>
  <c r="P229" i="1"/>
  <c r="Q229" i="1"/>
  <c r="P184" i="1"/>
  <c r="Q184" i="1"/>
  <c r="P180" i="1"/>
  <c r="Q180" i="1"/>
  <c r="P176" i="1"/>
  <c r="Q176" i="1"/>
  <c r="P171" i="1"/>
  <c r="Q171" i="1"/>
  <c r="P167" i="1"/>
  <c r="Q167" i="1"/>
  <c r="P162" i="1"/>
  <c r="Q162" i="1"/>
  <c r="P157" i="1"/>
  <c r="Q157" i="1"/>
  <c r="P153" i="1"/>
  <c r="Q153" i="1"/>
  <c r="P148" i="1"/>
  <c r="Q148" i="1"/>
  <c r="P142" i="1"/>
  <c r="Q142" i="1"/>
  <c r="P138" i="1"/>
  <c r="Q138" i="1"/>
  <c r="P132" i="1"/>
  <c r="Q132" i="1"/>
  <c r="P127" i="1"/>
  <c r="Q127" i="1"/>
  <c r="P122" i="1"/>
  <c r="Q122" i="1"/>
  <c r="P116" i="1"/>
  <c r="Q116" i="1"/>
  <c r="P112" i="1"/>
  <c r="Q112" i="1"/>
  <c r="P108" i="1"/>
  <c r="Q108" i="1"/>
  <c r="P103" i="1"/>
  <c r="Q103" i="1"/>
  <c r="P98" i="1"/>
  <c r="Q98" i="1"/>
  <c r="P92" i="1"/>
  <c r="Q92" i="1"/>
  <c r="P86" i="1"/>
  <c r="Q86" i="1"/>
  <c r="P79" i="1"/>
  <c r="Q79" i="1"/>
  <c r="P75" i="1"/>
  <c r="Q75" i="1"/>
  <c r="P71" i="1"/>
  <c r="Q71" i="1"/>
  <c r="P65" i="1"/>
  <c r="Q65" i="1"/>
  <c r="P58" i="1"/>
  <c r="Q58" i="1"/>
  <c r="P54" i="1"/>
  <c r="Q54" i="1"/>
  <c r="P48" i="1"/>
  <c r="Q48" i="1"/>
  <c r="P40" i="1"/>
  <c r="Q40" i="1"/>
  <c r="P36" i="1"/>
  <c r="Q36" i="1"/>
  <c r="P31" i="1"/>
  <c r="Q31" i="1"/>
  <c r="P26" i="1"/>
  <c r="Q26" i="1"/>
  <c r="P22" i="1"/>
  <c r="Q22" i="1"/>
  <c r="P16" i="1"/>
  <c r="Q16" i="1"/>
  <c r="P10" i="1"/>
  <c r="Q10" i="1"/>
  <c r="P6" i="1"/>
  <c r="Q6" i="1"/>
  <c r="P383" i="1"/>
  <c r="Q383" i="1"/>
  <c r="P377" i="1"/>
  <c r="Q377" i="1"/>
  <c r="P372" i="1"/>
  <c r="Q372" i="1"/>
  <c r="P366" i="1"/>
  <c r="Q366" i="1"/>
  <c r="P361" i="1"/>
  <c r="Q361" i="1"/>
  <c r="P356" i="1"/>
  <c r="Q356" i="1"/>
  <c r="P350" i="1"/>
  <c r="Q350" i="1"/>
  <c r="P345" i="1"/>
  <c r="Q345" i="1"/>
  <c r="P339" i="1"/>
  <c r="Q339" i="1"/>
  <c r="P334" i="1"/>
  <c r="Q334" i="1"/>
  <c r="P330" i="1"/>
  <c r="Q330" i="1"/>
  <c r="P326" i="1"/>
  <c r="Q326" i="1"/>
  <c r="P321" i="1"/>
  <c r="Q321" i="1"/>
  <c r="P317" i="1"/>
  <c r="Q317" i="1"/>
  <c r="P254" i="1"/>
  <c r="Q254" i="1"/>
  <c r="P307" i="1"/>
  <c r="Q307" i="1"/>
  <c r="P302" i="1"/>
  <c r="Q302" i="1"/>
  <c r="P349" i="1"/>
  <c r="Q349" i="1"/>
  <c r="P292" i="1"/>
  <c r="Q292" i="1"/>
  <c r="P286" i="1"/>
  <c r="Q286" i="1"/>
  <c r="P279" i="1"/>
  <c r="Q279" i="1"/>
  <c r="P272" i="1"/>
  <c r="Q272" i="1"/>
  <c r="P267" i="1"/>
  <c r="Q267" i="1"/>
  <c r="P262" i="1"/>
  <c r="Q262" i="1"/>
  <c r="P256" i="1"/>
  <c r="Q256" i="1"/>
  <c r="P249" i="1"/>
  <c r="Q249" i="1"/>
  <c r="P245" i="1"/>
  <c r="Q245" i="1"/>
  <c r="P240" i="1"/>
  <c r="Q240" i="1"/>
  <c r="P234" i="1"/>
  <c r="Q234" i="1"/>
  <c r="P19" i="1"/>
  <c r="Q19" i="1"/>
  <c r="P224" i="1"/>
  <c r="Q224" i="1"/>
  <c r="P219" i="1"/>
  <c r="Q219" i="1"/>
  <c r="P214" i="1"/>
  <c r="Q214" i="1"/>
  <c r="P209" i="1"/>
  <c r="Q209" i="1"/>
  <c r="P204" i="1"/>
  <c r="Q204" i="1"/>
  <c r="P199" i="1"/>
  <c r="Q199" i="1"/>
  <c r="P193" i="1"/>
  <c r="Q193" i="1"/>
  <c r="P188" i="1"/>
  <c r="Q188" i="1"/>
  <c r="P183" i="1"/>
  <c r="Q183" i="1"/>
  <c r="P179" i="1"/>
  <c r="Q179" i="1"/>
  <c r="P175" i="1"/>
  <c r="Q175" i="1"/>
  <c r="P170" i="1"/>
  <c r="Q170" i="1"/>
  <c r="P165" i="1"/>
  <c r="Q165" i="1"/>
  <c r="P161" i="1"/>
  <c r="Q161" i="1"/>
  <c r="P156" i="1"/>
  <c r="Q156" i="1"/>
  <c r="P152" i="1"/>
  <c r="Q152" i="1"/>
  <c r="P147" i="1"/>
  <c r="Q147" i="1"/>
  <c r="P143" i="1"/>
  <c r="Q143" i="1"/>
  <c r="P136" i="1"/>
  <c r="Q136" i="1"/>
  <c r="P129" i="1"/>
  <c r="Q129" i="1"/>
  <c r="P126" i="1"/>
  <c r="Q126" i="1"/>
  <c r="P120" i="1"/>
  <c r="Q120" i="1"/>
  <c r="P115" i="1"/>
  <c r="Q115" i="1"/>
  <c r="P111" i="1"/>
  <c r="Q111" i="1"/>
  <c r="P107" i="1"/>
  <c r="Q107" i="1"/>
  <c r="P101" i="1"/>
  <c r="Q101" i="1"/>
  <c r="P96" i="1"/>
  <c r="Q96" i="1"/>
  <c r="P90" i="1"/>
  <c r="Q90" i="1"/>
  <c r="P84" i="1"/>
  <c r="Q84" i="1"/>
  <c r="P80" i="1"/>
  <c r="Q80" i="1"/>
  <c r="P74" i="1"/>
  <c r="Q74" i="1"/>
  <c r="P70" i="1"/>
  <c r="Q70" i="1"/>
  <c r="P63" i="1"/>
  <c r="Q63" i="1"/>
  <c r="P57" i="1"/>
  <c r="Q57" i="1"/>
  <c r="P53" i="1"/>
  <c r="Q53" i="1"/>
  <c r="P46" i="1"/>
  <c r="Q46" i="1"/>
  <c r="P39" i="1"/>
  <c r="Q39" i="1"/>
  <c r="P35" i="1"/>
  <c r="Q35" i="1"/>
  <c r="P30" i="1"/>
  <c r="Q30" i="1"/>
  <c r="P25" i="1"/>
  <c r="Q25" i="1"/>
  <c r="P21" i="1"/>
  <c r="Q21" i="1"/>
  <c r="P14" i="1"/>
  <c r="Q14" i="1"/>
  <c r="P9" i="1"/>
  <c r="Q9" i="1"/>
  <c r="P5" i="1"/>
  <c r="Q5" i="1"/>
  <c r="P382" i="1"/>
  <c r="Q382" i="1"/>
  <c r="P376" i="1"/>
  <c r="Q376" i="1"/>
  <c r="P371" i="1"/>
  <c r="Q371" i="1"/>
  <c r="P368" i="1"/>
  <c r="Q368" i="1"/>
  <c r="P360" i="1"/>
  <c r="Q360" i="1"/>
  <c r="P355" i="1"/>
  <c r="Q355" i="1"/>
  <c r="P348" i="1"/>
  <c r="Q348" i="1"/>
  <c r="P343" i="1"/>
  <c r="Q343" i="1"/>
  <c r="Q338" i="1"/>
  <c r="P338" i="1"/>
  <c r="P333" i="1"/>
  <c r="Q333" i="1"/>
  <c r="P329" i="1"/>
  <c r="Q329" i="1"/>
  <c r="P325" i="1"/>
  <c r="Q325" i="1"/>
  <c r="P320" i="1"/>
  <c r="Q320" i="1"/>
  <c r="P315" i="1"/>
  <c r="Q315" i="1"/>
  <c r="P66" i="1"/>
  <c r="Q66" i="1"/>
  <c r="P306" i="1"/>
  <c r="Q306" i="1"/>
  <c r="P301" i="1"/>
  <c r="Q301" i="1"/>
  <c r="P297" i="1"/>
  <c r="Q297" i="1"/>
  <c r="P290" i="1"/>
  <c r="Q290" i="1"/>
  <c r="P284" i="1"/>
  <c r="Q284" i="1"/>
  <c r="P278" i="1"/>
  <c r="Q278" i="1"/>
  <c r="P271" i="1"/>
  <c r="Q271" i="1"/>
  <c r="P266" i="1"/>
  <c r="Q266" i="1"/>
  <c r="P260" i="1"/>
  <c r="Q260" i="1"/>
  <c r="P253" i="1"/>
  <c r="Q253" i="1"/>
  <c r="P247" i="1"/>
  <c r="Q247" i="1"/>
  <c r="P244" i="1"/>
  <c r="Q244" i="1"/>
  <c r="P239" i="1"/>
  <c r="Q239" i="1"/>
  <c r="P232" i="1"/>
  <c r="Q232" i="1"/>
  <c r="P227" i="1"/>
  <c r="Q227" i="1"/>
  <c r="P223" i="1"/>
  <c r="Q223" i="1"/>
  <c r="P217" i="1"/>
  <c r="Q217" i="1"/>
  <c r="P212" i="1"/>
  <c r="Q212" i="1"/>
  <c r="P208" i="1"/>
  <c r="Q208" i="1"/>
  <c r="P202" i="1"/>
  <c r="Q202" i="1"/>
  <c r="P198" i="1"/>
  <c r="Q198" i="1"/>
  <c r="P191" i="1"/>
  <c r="Q191" i="1"/>
  <c r="P186" i="1"/>
  <c r="Q186" i="1"/>
  <c r="P182" i="1"/>
  <c r="Q182" i="1"/>
  <c r="P178" i="1"/>
  <c r="Q178" i="1"/>
  <c r="P173" i="1"/>
  <c r="Q173" i="1"/>
  <c r="P169" i="1"/>
  <c r="Q169" i="1"/>
  <c r="P164" i="1"/>
  <c r="Q164" i="1"/>
  <c r="P160" i="1"/>
  <c r="Q160" i="1"/>
  <c r="P155" i="1"/>
  <c r="Q155" i="1"/>
  <c r="P150" i="1"/>
  <c r="Q150" i="1"/>
  <c r="P146" i="1"/>
  <c r="Q146" i="1"/>
  <c r="P141" i="1"/>
  <c r="Q141" i="1"/>
  <c r="P135" i="1"/>
  <c r="Q135" i="1"/>
  <c r="P130" i="1"/>
  <c r="Q130" i="1"/>
  <c r="P125" i="1"/>
  <c r="Q125" i="1"/>
  <c r="P119" i="1"/>
  <c r="Q119" i="1"/>
  <c r="P114" i="1"/>
  <c r="Q114" i="1"/>
  <c r="P110" i="1"/>
  <c r="Q110" i="1"/>
  <c r="P106" i="1"/>
  <c r="Q106" i="1"/>
  <c r="P100" i="1"/>
  <c r="Q100" i="1"/>
  <c r="P94" i="1"/>
  <c r="Q94" i="1"/>
  <c r="P89" i="1"/>
  <c r="Q89" i="1"/>
  <c r="P83" i="1"/>
  <c r="Q83" i="1"/>
  <c r="P78" i="1"/>
  <c r="Q78" i="1"/>
  <c r="P73" i="1"/>
  <c r="Q73" i="1"/>
  <c r="P68" i="1"/>
  <c r="Q68" i="1"/>
  <c r="P61" i="1"/>
  <c r="Q61" i="1"/>
  <c r="P56" i="1"/>
  <c r="Q56" i="1"/>
  <c r="P52" i="1"/>
  <c r="Q52" i="1"/>
  <c r="P44" i="1"/>
  <c r="Q44" i="1"/>
  <c r="P38" i="1"/>
  <c r="Q38" i="1"/>
  <c r="P34" i="1"/>
  <c r="Q34" i="1"/>
  <c r="P29" i="1"/>
  <c r="Q29" i="1"/>
  <c r="P24" i="1"/>
  <c r="Q24" i="1"/>
  <c r="P20" i="1"/>
  <c r="Q20" i="1"/>
  <c r="P13" i="1"/>
  <c r="Q13" i="1"/>
  <c r="P8" i="1"/>
  <c r="Q8" i="1"/>
  <c r="P4" i="1"/>
  <c r="Q4" i="1"/>
  <c r="J367" i="1"/>
  <c r="J366" i="1"/>
  <c r="P2" i="1"/>
  <c r="Q2" i="1"/>
  <c r="P380" i="1"/>
  <c r="Q380" i="1"/>
  <c r="P374" i="1"/>
  <c r="Q374" i="1"/>
  <c r="P370" i="1"/>
  <c r="Q370" i="1"/>
  <c r="P364" i="1"/>
  <c r="Q364" i="1"/>
  <c r="P358" i="1"/>
  <c r="Q358" i="1"/>
  <c r="P354" i="1"/>
  <c r="Q354" i="1"/>
  <c r="P347" i="1"/>
  <c r="Q347" i="1"/>
  <c r="P342" i="1"/>
  <c r="Q342" i="1"/>
  <c r="P336" i="1"/>
  <c r="Q336" i="1"/>
  <c r="P332" i="1"/>
  <c r="Q332" i="1"/>
  <c r="P328" i="1"/>
  <c r="Q328" i="1"/>
  <c r="P324" i="1"/>
  <c r="Q324" i="1"/>
  <c r="P319" i="1"/>
  <c r="Q319" i="1"/>
  <c r="P314" i="1"/>
  <c r="Q314" i="1"/>
  <c r="P309" i="1"/>
  <c r="Q309" i="1"/>
  <c r="P305" i="1"/>
  <c r="Q305" i="1"/>
  <c r="P300" i="1"/>
  <c r="Q300" i="1"/>
  <c r="P295" i="1"/>
  <c r="Q295" i="1"/>
  <c r="P288" i="1"/>
  <c r="Q288" i="1"/>
  <c r="P282" i="1"/>
  <c r="Q282" i="1"/>
  <c r="P277" i="1"/>
  <c r="Q277" i="1"/>
  <c r="P269" i="1"/>
  <c r="Q269" i="1"/>
  <c r="P264" i="1"/>
  <c r="Q264" i="1"/>
  <c r="P259" i="1"/>
  <c r="Q259" i="1"/>
  <c r="P251" i="1"/>
  <c r="Q251" i="1"/>
  <c r="P275" i="1"/>
  <c r="Q275" i="1"/>
  <c r="Q242" i="1"/>
  <c r="P242" i="1"/>
  <c r="P237" i="1"/>
  <c r="Q237" i="1"/>
  <c r="P230" i="1"/>
  <c r="Q230" i="1"/>
  <c r="P226" i="1"/>
  <c r="Q226" i="1"/>
  <c r="P221" i="1"/>
  <c r="Q221" i="1"/>
  <c r="P216" i="1"/>
  <c r="Q216" i="1"/>
  <c r="P211" i="1"/>
  <c r="Q211" i="1"/>
  <c r="P207" i="1"/>
  <c r="Q207" i="1"/>
  <c r="P201" i="1"/>
  <c r="Q201" i="1"/>
  <c r="P196" i="1"/>
  <c r="Q196" i="1"/>
  <c r="P190" i="1"/>
  <c r="Q190" i="1"/>
  <c r="P185" i="1"/>
  <c r="Q185" i="1"/>
  <c r="P181" i="1"/>
  <c r="Q181" i="1"/>
  <c r="P177" i="1"/>
  <c r="Q177" i="1"/>
  <c r="P172" i="1"/>
  <c r="Q172" i="1"/>
  <c r="P168" i="1"/>
  <c r="Q168" i="1"/>
  <c r="P163" i="1"/>
  <c r="Q163" i="1"/>
  <c r="P158" i="1"/>
  <c r="Q158" i="1"/>
  <c r="P154" i="1"/>
  <c r="Q154" i="1"/>
  <c r="P149" i="1"/>
  <c r="Q149" i="1"/>
  <c r="P144" i="1"/>
  <c r="Q144" i="1"/>
  <c r="P139" i="1"/>
  <c r="Q139" i="1"/>
  <c r="P133" i="1"/>
  <c r="Q133" i="1"/>
  <c r="P128" i="1"/>
  <c r="Q128" i="1"/>
  <c r="P123" i="1"/>
  <c r="Q123" i="1"/>
  <c r="P118" i="1"/>
  <c r="Q118" i="1"/>
  <c r="P113" i="1"/>
  <c r="Q113" i="1"/>
  <c r="P109" i="1"/>
  <c r="Q109" i="1"/>
  <c r="P105" i="1"/>
  <c r="Q105" i="1"/>
  <c r="P99" i="1"/>
  <c r="Q99" i="1"/>
  <c r="P93" i="1"/>
  <c r="Q93" i="1"/>
  <c r="P87" i="1"/>
  <c r="Q87" i="1"/>
  <c r="P82" i="1"/>
  <c r="Q82" i="1"/>
  <c r="P76" i="1"/>
  <c r="Q76" i="1"/>
  <c r="P72" i="1"/>
  <c r="Q72" i="1"/>
  <c r="P311" i="1"/>
  <c r="Q311" i="1"/>
  <c r="P59" i="1"/>
  <c r="Q59" i="1"/>
  <c r="P55" i="1"/>
  <c r="Q55" i="1"/>
  <c r="P50" i="1"/>
  <c r="Q50" i="1"/>
  <c r="P42" i="1"/>
  <c r="Q42" i="1"/>
  <c r="P37" i="1"/>
  <c r="Q37" i="1"/>
  <c r="P33" i="1"/>
  <c r="Q33" i="1"/>
  <c r="P27" i="1"/>
  <c r="Q27" i="1"/>
  <c r="P23" i="1"/>
  <c r="Q23" i="1"/>
  <c r="P17" i="1"/>
  <c r="Q17" i="1"/>
  <c r="P11" i="1"/>
  <c r="Q11" i="1"/>
  <c r="P7" i="1"/>
  <c r="Q7" i="1"/>
  <c r="I367" i="1"/>
  <c r="I366" i="1"/>
  <c r="K366" i="1" l="1"/>
  <c r="L366" i="1"/>
  <c r="L367" i="1"/>
  <c r="J123" i="1"/>
  <c r="L123" i="1" s="1"/>
  <c r="K367" i="1"/>
  <c r="I123" i="1"/>
  <c r="K123" i="1" s="1"/>
  <c r="R2" i="1"/>
  <c r="S2" i="1"/>
  <c r="T2" i="1"/>
  <c r="U2" i="1"/>
  <c r="M366" i="1" l="1"/>
  <c r="M367" i="1"/>
  <c r="M123" i="1"/>
  <c r="I318" i="1"/>
  <c r="J318" i="1"/>
  <c r="I247" i="1"/>
  <c r="J247" i="1"/>
  <c r="I292" i="1"/>
  <c r="J292" i="1"/>
  <c r="I245" i="1"/>
  <c r="J245" i="1"/>
  <c r="I44" i="1"/>
  <c r="J44" i="1"/>
  <c r="I290" i="1"/>
  <c r="J290" i="1"/>
  <c r="I253" i="1"/>
  <c r="J253" i="1"/>
  <c r="I135" i="1"/>
  <c r="J135" i="1"/>
  <c r="I52" i="1"/>
  <c r="J52" i="1"/>
  <c r="I63" i="1"/>
  <c r="J63" i="1"/>
  <c r="I205" i="1"/>
  <c r="J205" i="1"/>
  <c r="I305" i="1"/>
  <c r="J305" i="1"/>
  <c r="I236" i="1"/>
  <c r="J236" i="1"/>
  <c r="I103" i="1"/>
  <c r="J103" i="1"/>
  <c r="I242" i="1"/>
  <c r="J242" i="1"/>
  <c r="I139" i="1"/>
  <c r="J139" i="1"/>
  <c r="I225" i="1"/>
  <c r="J225" i="1"/>
  <c r="I224" i="1"/>
  <c r="J224" i="1"/>
  <c r="I352" i="1"/>
  <c r="J352" i="1"/>
  <c r="I120" i="1"/>
  <c r="J120" i="1"/>
  <c r="I125" i="1"/>
  <c r="J125" i="1"/>
  <c r="I156" i="1"/>
  <c r="J156" i="1"/>
  <c r="I345" i="1"/>
  <c r="J345" i="1"/>
  <c r="I250" i="1"/>
  <c r="J250" i="1"/>
  <c r="I221" i="1"/>
  <c r="J221" i="1"/>
  <c r="I259" i="1"/>
  <c r="J259" i="1"/>
  <c r="I282" i="1"/>
  <c r="J282" i="1"/>
  <c r="I302" i="1"/>
  <c r="J302" i="1"/>
  <c r="I379" i="1"/>
  <c r="J379" i="1"/>
  <c r="I182" i="1"/>
  <c r="J182" i="1"/>
  <c r="I295" i="1"/>
  <c r="J295" i="1"/>
  <c r="I314" i="1"/>
  <c r="J314" i="1"/>
  <c r="I115" i="1"/>
  <c r="J115" i="1"/>
  <c r="I194" i="1"/>
  <c r="J194" i="1"/>
  <c r="I370" i="1"/>
  <c r="J370" i="1"/>
  <c r="I5" i="1"/>
  <c r="J5" i="1"/>
  <c r="I24" i="1"/>
  <c r="J24" i="1"/>
  <c r="I84" i="1"/>
  <c r="J84" i="1"/>
  <c r="I266" i="1"/>
  <c r="J266" i="1"/>
  <c r="I143" i="1"/>
  <c r="J143" i="1"/>
  <c r="I269" i="1"/>
  <c r="J269" i="1"/>
  <c r="I162" i="1"/>
  <c r="J162" i="1"/>
  <c r="J256" i="1"/>
  <c r="I256" i="1"/>
  <c r="J200" i="1"/>
  <c r="I200" i="1"/>
  <c r="J319" i="1"/>
  <c r="I319" i="1"/>
  <c r="J336" i="1"/>
  <c r="I336" i="1"/>
  <c r="J234" i="1"/>
  <c r="I234" i="1"/>
  <c r="J61" i="1"/>
  <c r="I61" i="1"/>
  <c r="J342" i="1"/>
  <c r="I342" i="1"/>
  <c r="J150" i="1"/>
  <c r="I150" i="1"/>
  <c r="J72" i="1"/>
  <c r="I72" i="1"/>
  <c r="J284" i="1"/>
  <c r="I284" i="1"/>
  <c r="J89" i="1"/>
  <c r="I89" i="1"/>
  <c r="J212" i="1"/>
  <c r="I212" i="1"/>
  <c r="J306" i="1"/>
  <c r="I306" i="1"/>
  <c r="J335" i="1"/>
  <c r="I335" i="1"/>
  <c r="J42" i="1"/>
  <c r="I42" i="1"/>
  <c r="J383" i="1"/>
  <c r="I383" i="1"/>
  <c r="J56" i="1"/>
  <c r="I56" i="1"/>
  <c r="J217" i="1"/>
  <c r="I217" i="1"/>
  <c r="J215" i="1"/>
  <c r="I215" i="1"/>
  <c r="J101" i="1"/>
  <c r="I101" i="1"/>
  <c r="J362" i="1"/>
  <c r="I362" i="1"/>
  <c r="I96" i="1"/>
  <c r="J96" i="1"/>
  <c r="J53" i="1"/>
  <c r="I53" i="1"/>
  <c r="J361" i="1"/>
  <c r="I361" i="1"/>
  <c r="J360" i="1"/>
  <c r="I360" i="1"/>
  <c r="J368" i="1"/>
  <c r="I368" i="1"/>
  <c r="J80" i="1"/>
  <c r="I80" i="1"/>
  <c r="J320" i="1"/>
  <c r="I320" i="1"/>
  <c r="J79" i="1"/>
  <c r="I79" i="1"/>
  <c r="J268" i="1"/>
  <c r="I268" i="1"/>
  <c r="J14" i="1"/>
  <c r="I14" i="1"/>
  <c r="J220" i="1"/>
  <c r="I220" i="1"/>
  <c r="J177" i="1"/>
  <c r="I177" i="1"/>
  <c r="J297" i="1"/>
  <c r="I297" i="1"/>
  <c r="J317" i="1"/>
  <c r="I317" i="1"/>
  <c r="J158" i="1"/>
  <c r="I158" i="1"/>
  <c r="J11" i="1"/>
  <c r="I11" i="1"/>
  <c r="J9" i="1"/>
  <c r="I9" i="1"/>
  <c r="J83" i="1"/>
  <c r="I83" i="1"/>
  <c r="J237" i="1"/>
  <c r="I237" i="1"/>
  <c r="J358" i="1"/>
  <c r="I358" i="1"/>
  <c r="J299" i="1"/>
  <c r="I299" i="1"/>
  <c r="J228" i="1"/>
  <c r="I228" i="1"/>
  <c r="J2" i="1"/>
  <c r="I2" i="1"/>
  <c r="J244" i="1"/>
  <c r="I244" i="1"/>
  <c r="J346" i="1"/>
  <c r="I346" i="1"/>
  <c r="I258" i="1"/>
  <c r="J258" i="1"/>
  <c r="J334" i="1"/>
  <c r="I334" i="1"/>
  <c r="J10" i="1"/>
  <c r="I10" i="1"/>
  <c r="J227" i="1"/>
  <c r="I227" i="1"/>
  <c r="I98" i="1"/>
  <c r="J169" i="1"/>
  <c r="I169" i="1"/>
  <c r="J39" i="1"/>
  <c r="I39" i="1"/>
  <c r="J21" i="1"/>
  <c r="I21" i="1"/>
  <c r="J114" i="1"/>
  <c r="I114" i="1"/>
  <c r="J70" i="1"/>
  <c r="I70" i="1"/>
  <c r="J76" i="1"/>
  <c r="I76" i="1"/>
  <c r="J113" i="1"/>
  <c r="I113" i="1"/>
  <c r="J100" i="1"/>
  <c r="I100" i="1"/>
  <c r="J300" i="1"/>
  <c r="I300" i="1"/>
  <c r="J356" i="1"/>
  <c r="I356" i="1"/>
  <c r="J87" i="1"/>
  <c r="I87" i="1"/>
  <c r="J355" i="1"/>
  <c r="I355" i="1"/>
  <c r="J309" i="1"/>
  <c r="I309" i="1"/>
  <c r="J126" i="1"/>
  <c r="I126" i="1"/>
  <c r="J377" i="1"/>
  <c r="I377" i="1"/>
  <c r="J267" i="1"/>
  <c r="I267" i="1"/>
  <c r="J128" i="1"/>
  <c r="I128" i="1"/>
  <c r="J204" i="1"/>
  <c r="I204" i="1"/>
  <c r="J138" i="1"/>
  <c r="I138" i="1"/>
  <c r="J357" i="1"/>
  <c r="I357" i="1"/>
  <c r="J350" i="1"/>
  <c r="I350" i="1"/>
  <c r="J308" i="1"/>
  <c r="I308" i="1"/>
  <c r="J193" i="1"/>
  <c r="I193" i="1"/>
  <c r="J78" i="1"/>
  <c r="I78" i="1"/>
  <c r="J307" i="1"/>
  <c r="I307" i="1"/>
  <c r="J106" i="1"/>
  <c r="I106" i="1"/>
  <c r="J71" i="1"/>
  <c r="I71" i="1"/>
  <c r="J74" i="1"/>
  <c r="I74" i="1"/>
  <c r="J20" i="1"/>
  <c r="I20" i="1"/>
  <c r="J315" i="1"/>
  <c r="I315" i="1"/>
  <c r="J68" i="1"/>
  <c r="I68" i="1"/>
  <c r="J251" i="1"/>
  <c r="I251" i="1"/>
  <c r="J249" i="1"/>
  <c r="I249" i="1"/>
  <c r="J380" i="1"/>
  <c r="I380" i="1"/>
  <c r="J254" i="1"/>
  <c r="I254" i="1"/>
  <c r="J99" i="1"/>
  <c r="I99" i="1"/>
  <c r="J116" i="1"/>
  <c r="I116" i="1"/>
  <c r="J65" i="1"/>
  <c r="I65" i="1"/>
  <c r="J311" i="1"/>
  <c r="I311" i="1"/>
  <c r="J313" i="1"/>
  <c r="I313" i="1"/>
  <c r="J163" i="1"/>
  <c r="I163" i="1"/>
  <c r="J264" i="1"/>
  <c r="I264" i="1"/>
  <c r="J263" i="1"/>
  <c r="I263" i="1"/>
  <c r="J173" i="1"/>
  <c r="I173" i="1"/>
  <c r="J279" i="1"/>
  <c r="I279" i="1"/>
  <c r="J226" i="1"/>
  <c r="I226" i="1"/>
  <c r="J338" i="1"/>
  <c r="I338" i="1"/>
  <c r="J165" i="1"/>
  <c r="I165" i="1"/>
  <c r="J160" i="1"/>
  <c r="I160" i="1"/>
  <c r="J161" i="1"/>
  <c r="I161" i="1"/>
  <c r="J326" i="1"/>
  <c r="I326" i="1"/>
  <c r="J260" i="1"/>
  <c r="I260" i="1"/>
  <c r="J219" i="1"/>
  <c r="I219" i="1"/>
  <c r="J164" i="1"/>
  <c r="I164" i="1"/>
  <c r="J119" i="1"/>
  <c r="I119" i="1"/>
  <c r="J330" i="1"/>
  <c r="I330" i="1"/>
  <c r="J112" i="1"/>
  <c r="I112" i="1"/>
  <c r="J22" i="1"/>
  <c r="I22" i="1"/>
  <c r="J90" i="1"/>
  <c r="I90" i="1"/>
  <c r="J354" i="1"/>
  <c r="I354" i="1"/>
  <c r="J27" i="1"/>
  <c r="I27" i="1"/>
  <c r="J111" i="1"/>
  <c r="I111" i="1"/>
  <c r="J110" i="1"/>
  <c r="I110" i="1"/>
  <c r="J108" i="1"/>
  <c r="I108" i="1"/>
  <c r="J211" i="1"/>
  <c r="I211" i="1"/>
  <c r="J25" i="1"/>
  <c r="I25" i="1"/>
  <c r="J294" i="1"/>
  <c r="I294" i="1"/>
  <c r="J40" i="1"/>
  <c r="I40" i="1"/>
  <c r="J153" i="1"/>
  <c r="I153" i="1"/>
  <c r="J210" i="1"/>
  <c r="I210" i="1"/>
  <c r="J23" i="1"/>
  <c r="I23" i="1"/>
  <c r="J38" i="1"/>
  <c r="I38" i="1"/>
  <c r="J209" i="1"/>
  <c r="I209" i="1"/>
  <c r="J8" i="1"/>
  <c r="I8" i="1"/>
  <c r="J35" i="1"/>
  <c r="I35" i="1"/>
  <c r="J329" i="1"/>
  <c r="I329" i="1"/>
  <c r="J16" i="1"/>
  <c r="I16" i="1"/>
  <c r="J232" i="1"/>
  <c r="I232" i="1"/>
  <c r="J26" i="1"/>
  <c r="I26" i="1"/>
  <c r="J288" i="1"/>
  <c r="I288" i="1"/>
  <c r="J376" i="1"/>
  <c r="I376" i="1"/>
  <c r="J30" i="1"/>
  <c r="I30" i="1"/>
  <c r="J286" i="1"/>
  <c r="I286" i="1"/>
  <c r="J208" i="1"/>
  <c r="I208" i="1"/>
  <c r="J17" i="1"/>
  <c r="I17" i="1"/>
  <c r="J36" i="1"/>
  <c r="I36" i="1"/>
  <c r="J37" i="1"/>
  <c r="I37" i="1"/>
  <c r="J207" i="1"/>
  <c r="I207" i="1"/>
  <c r="J33" i="1"/>
  <c r="I33" i="1"/>
  <c r="J29" i="1"/>
  <c r="I29" i="1"/>
  <c r="J287" i="1"/>
  <c r="I287" i="1"/>
  <c r="J34" i="1"/>
  <c r="I34" i="1"/>
  <c r="J31" i="1"/>
  <c r="I31" i="1"/>
  <c r="J4" i="1"/>
  <c r="I4" i="1"/>
  <c r="J105" i="1"/>
  <c r="I105" i="1"/>
  <c r="J321" i="1"/>
  <c r="I321" i="1"/>
  <c r="J133" i="1"/>
  <c r="I133" i="1"/>
  <c r="J132" i="1"/>
  <c r="I132" i="1"/>
  <c r="J130" i="1"/>
  <c r="I130" i="1"/>
  <c r="J273" i="1"/>
  <c r="I273" i="1"/>
  <c r="J109" i="1"/>
  <c r="I109" i="1"/>
  <c r="J214" i="1"/>
  <c r="I214" i="1"/>
  <c r="J198" i="1"/>
  <c r="J199" i="1"/>
  <c r="I199" i="1"/>
  <c r="J48" i="1"/>
  <c r="I48" i="1"/>
  <c r="J57" i="1"/>
  <c r="I57" i="1"/>
  <c r="J54" i="1"/>
  <c r="J46" i="1"/>
  <c r="I46" i="1"/>
  <c r="J240" i="1"/>
  <c r="I240" i="1"/>
  <c r="J202" i="1"/>
  <c r="I202" i="1"/>
  <c r="J364" i="1"/>
  <c r="J201" i="1"/>
  <c r="I201" i="1"/>
  <c r="J58" i="1"/>
  <c r="I58" i="1"/>
  <c r="J55" i="1"/>
  <c r="I55" i="1"/>
  <c r="J50" i="1"/>
  <c r="J241" i="1"/>
  <c r="I241" i="1"/>
  <c r="J59" i="1"/>
  <c r="I59" i="1"/>
  <c r="J339" i="1"/>
  <c r="I339" i="1"/>
  <c r="J323" i="1"/>
  <c r="J327" i="1"/>
  <c r="I327" i="1"/>
  <c r="J230" i="1"/>
  <c r="I230" i="1"/>
  <c r="J127" i="1"/>
  <c r="I127" i="1"/>
  <c r="J129" i="1"/>
  <c r="I129" i="1"/>
  <c r="J271" i="1"/>
  <c r="J331" i="1"/>
  <c r="I331" i="1"/>
  <c r="J107" i="1"/>
  <c r="I107" i="1"/>
  <c r="J349" i="1"/>
  <c r="I349" i="1"/>
  <c r="J272" i="1"/>
  <c r="I272" i="1"/>
  <c r="J93" i="1"/>
  <c r="I93" i="1"/>
  <c r="J348" i="1"/>
  <c r="I348" i="1"/>
  <c r="J191" i="1"/>
  <c r="I191" i="1"/>
  <c r="J75" i="1"/>
  <c r="I75" i="1"/>
  <c r="J343" i="1"/>
  <c r="I343" i="1"/>
  <c r="J274" i="1"/>
  <c r="I274" i="1"/>
  <c r="J94" i="1"/>
  <c r="I94" i="1"/>
  <c r="J347" i="1"/>
  <c r="I347" i="1"/>
  <c r="J66" i="1"/>
  <c r="I66" i="1"/>
  <c r="J73" i="1"/>
  <c r="I73" i="1"/>
  <c r="J13" i="1"/>
  <c r="I13" i="1"/>
  <c r="J188" i="1"/>
  <c r="I188" i="1"/>
  <c r="J147" i="1"/>
  <c r="I147" i="1"/>
  <c r="J148" i="1"/>
  <c r="I148" i="1"/>
  <c r="J374" i="1"/>
  <c r="I374" i="1"/>
  <c r="J373" i="1"/>
  <c r="I373" i="1"/>
  <c r="J19" i="1"/>
  <c r="I19" i="1"/>
  <c r="J7" i="1"/>
  <c r="I7" i="1"/>
  <c r="J136" i="1"/>
  <c r="I136" i="1"/>
  <c r="J86" i="1"/>
  <c r="I86" i="1"/>
  <c r="J82" i="1"/>
  <c r="I82" i="1"/>
  <c r="J301" i="1"/>
  <c r="I301" i="1"/>
  <c r="J144" i="1"/>
  <c r="I144" i="1"/>
  <c r="J142" i="1"/>
  <c r="I142" i="1"/>
  <c r="J146" i="1"/>
  <c r="I146" i="1"/>
  <c r="J155" i="1"/>
  <c r="I155" i="1"/>
  <c r="J141" i="1"/>
  <c r="I141" i="1"/>
  <c r="J372" i="1"/>
  <c r="I372" i="1"/>
  <c r="J185" i="1"/>
  <c r="I185" i="1"/>
  <c r="J186" i="1"/>
  <c r="I186" i="1"/>
  <c r="J178" i="1"/>
  <c r="I178" i="1"/>
  <c r="J176" i="1"/>
  <c r="I176" i="1"/>
  <c r="J175" i="1"/>
  <c r="I175" i="1"/>
  <c r="J278" i="1"/>
  <c r="I278" i="1"/>
  <c r="J183" i="1"/>
  <c r="I183" i="1"/>
  <c r="J281" i="1"/>
  <c r="I281" i="1"/>
  <c r="J384" i="1"/>
  <c r="I384" i="1"/>
  <c r="J382" i="1"/>
  <c r="I382" i="1"/>
  <c r="J180" i="1"/>
  <c r="I180" i="1"/>
  <c r="J239" i="1"/>
  <c r="I239" i="1"/>
  <c r="J277" i="1"/>
  <c r="I277" i="1"/>
  <c r="J181" i="1"/>
  <c r="I181" i="1"/>
  <c r="J179" i="1"/>
  <c r="I179" i="1"/>
  <c r="J184" i="1"/>
  <c r="I184" i="1"/>
  <c r="J92" i="1"/>
  <c r="I92" i="1"/>
  <c r="J229" i="1"/>
  <c r="I229" i="1"/>
  <c r="J118" i="1"/>
  <c r="I118" i="1"/>
  <c r="J190" i="1"/>
  <c r="I190" i="1"/>
  <c r="J157" i="1"/>
  <c r="I157" i="1"/>
  <c r="J262" i="1"/>
  <c r="I262" i="1"/>
  <c r="J196" i="1"/>
  <c r="I196" i="1"/>
  <c r="J170" i="1"/>
  <c r="I170" i="1"/>
  <c r="J171" i="1"/>
  <c r="I171" i="1"/>
  <c r="J167" i="1"/>
  <c r="I167" i="1"/>
  <c r="J332" i="1"/>
  <c r="I332" i="1"/>
  <c r="J172" i="1"/>
  <c r="I172" i="1"/>
  <c r="J122" i="1"/>
  <c r="I122" i="1"/>
  <c r="J324" i="1"/>
  <c r="I324" i="1"/>
  <c r="J223" i="1"/>
  <c r="I223" i="1"/>
  <c r="J325" i="1"/>
  <c r="I325" i="1"/>
  <c r="J371" i="1"/>
  <c r="I371" i="1"/>
  <c r="J275" i="1"/>
  <c r="I275" i="1"/>
  <c r="J303" i="1"/>
  <c r="I303" i="1"/>
  <c r="J154" i="1"/>
  <c r="I154" i="1"/>
  <c r="J328" i="1"/>
  <c r="I328" i="1"/>
  <c r="J149" i="1"/>
  <c r="I149" i="1"/>
  <c r="J152" i="1"/>
  <c r="I152" i="1"/>
  <c r="J168" i="1"/>
  <c r="I168" i="1"/>
  <c r="J216" i="1"/>
  <c r="I216" i="1"/>
  <c r="J333" i="1"/>
  <c r="I333" i="1"/>
  <c r="J6" i="1"/>
  <c r="I6" i="1"/>
  <c r="J341" i="1"/>
  <c r="I341" i="1"/>
  <c r="K202" i="1" l="1"/>
  <c r="K199" i="1"/>
  <c r="K17" i="1"/>
  <c r="K161" i="1"/>
  <c r="L384" i="1"/>
  <c r="L175" i="1"/>
  <c r="L185" i="1"/>
  <c r="L146" i="1"/>
  <c r="L82" i="1"/>
  <c r="L19" i="1"/>
  <c r="L147" i="1"/>
  <c r="L66" i="1"/>
  <c r="L343" i="1"/>
  <c r="L93" i="1"/>
  <c r="L331" i="1"/>
  <c r="L230" i="1"/>
  <c r="K201" i="1"/>
  <c r="K57" i="1"/>
  <c r="K329" i="1"/>
  <c r="L35" i="1"/>
  <c r="L16" i="1"/>
  <c r="L251" i="1"/>
  <c r="K68" i="1"/>
  <c r="K326" i="1"/>
  <c r="L208" i="1"/>
  <c r="L286" i="1"/>
  <c r="L362" i="1"/>
  <c r="K29" i="1"/>
  <c r="K288" i="1"/>
  <c r="L113" i="1"/>
  <c r="K14" i="1"/>
  <c r="K320" i="1"/>
  <c r="K306" i="1"/>
  <c r="L212" i="1"/>
  <c r="K200" i="1"/>
  <c r="L216" i="1"/>
  <c r="L260" i="1"/>
  <c r="L326" i="1"/>
  <c r="L161" i="1"/>
  <c r="L160" i="1"/>
  <c r="L165" i="1"/>
  <c r="L338" i="1"/>
  <c r="L226" i="1"/>
  <c r="L279" i="1"/>
  <c r="K99" i="1"/>
  <c r="L100" i="1"/>
  <c r="K113" i="1"/>
  <c r="K76" i="1"/>
  <c r="L70" i="1"/>
  <c r="K114" i="1"/>
  <c r="L21" i="1"/>
  <c r="K39" i="1"/>
  <c r="K79" i="1"/>
  <c r="K101" i="1"/>
  <c r="L215" i="1"/>
  <c r="K42" i="1"/>
  <c r="K284" i="1"/>
  <c r="K61" i="1"/>
  <c r="L234" i="1"/>
  <c r="L336" i="1"/>
  <c r="K256" i="1"/>
  <c r="L273" i="1"/>
  <c r="L130" i="1"/>
  <c r="L33" i="1"/>
  <c r="L207" i="1"/>
  <c r="L37" i="1"/>
  <c r="L26" i="1"/>
  <c r="L23" i="1"/>
  <c r="K164" i="1"/>
  <c r="L350" i="1"/>
  <c r="K204" i="1"/>
  <c r="L128" i="1"/>
  <c r="L309" i="1"/>
  <c r="L72" i="1"/>
  <c r="L150" i="1"/>
  <c r="L287" i="1"/>
  <c r="K30" i="1"/>
  <c r="L376" i="1"/>
  <c r="K8" i="1"/>
  <c r="L209" i="1"/>
  <c r="L354" i="1"/>
  <c r="L90" i="1"/>
  <c r="L112" i="1"/>
  <c r="L330" i="1"/>
  <c r="L119" i="1"/>
  <c r="L164" i="1"/>
  <c r="L74" i="1"/>
  <c r="K71" i="1"/>
  <c r="L138" i="1"/>
  <c r="L377" i="1"/>
  <c r="K268" i="1"/>
  <c r="K217" i="1"/>
  <c r="L56" i="1"/>
  <c r="L383" i="1"/>
  <c r="K241" i="1"/>
  <c r="K55" i="1"/>
  <c r="K232" i="1"/>
  <c r="K78" i="1"/>
  <c r="L193" i="1"/>
  <c r="L308" i="1"/>
  <c r="K138" i="1"/>
  <c r="L204" i="1"/>
  <c r="K377" i="1"/>
  <c r="L126" i="1"/>
  <c r="L320" i="1"/>
  <c r="L80" i="1"/>
  <c r="L368" i="1"/>
  <c r="L360" i="1"/>
  <c r="L361" i="1"/>
  <c r="L53" i="1"/>
  <c r="K335" i="1"/>
  <c r="L219" i="1"/>
  <c r="K219" i="1"/>
  <c r="L22" i="1"/>
  <c r="K356" i="1"/>
  <c r="L300" i="1"/>
  <c r="K258" i="1"/>
  <c r="K346" i="1"/>
  <c r="K244" i="1"/>
  <c r="K228" i="1"/>
  <c r="K299" i="1"/>
  <c r="K358" i="1"/>
  <c r="K237" i="1"/>
  <c r="K83" i="1"/>
  <c r="K9" i="1"/>
  <c r="K11" i="1"/>
  <c r="K158" i="1"/>
  <c r="L317" i="1"/>
  <c r="K220" i="1"/>
  <c r="L4" i="1"/>
  <c r="L31" i="1"/>
  <c r="K34" i="1"/>
  <c r="K287" i="1"/>
  <c r="L29" i="1"/>
  <c r="K33" i="1"/>
  <c r="L36" i="1"/>
  <c r="L17" i="1"/>
  <c r="K208" i="1"/>
  <c r="K286" i="1"/>
  <c r="L30" i="1"/>
  <c r="K376" i="1"/>
  <c r="L288" i="1"/>
  <c r="K26" i="1"/>
  <c r="L232" i="1"/>
  <c r="K16" i="1"/>
  <c r="L329" i="1"/>
  <c r="K35" i="1"/>
  <c r="L8" i="1"/>
  <c r="K308" i="1"/>
  <c r="L87" i="1"/>
  <c r="K317" i="1"/>
  <c r="K31" i="1"/>
  <c r="L34" i="1"/>
  <c r="L133" i="1"/>
  <c r="K254" i="1"/>
  <c r="K251" i="1"/>
  <c r="L355" i="1"/>
  <c r="K87" i="1"/>
  <c r="L356" i="1"/>
  <c r="L346" i="1"/>
  <c r="L244" i="1"/>
  <c r="L228" i="1"/>
  <c r="L299" i="1"/>
  <c r="L358" i="1"/>
  <c r="L237" i="1"/>
  <c r="L83" i="1"/>
  <c r="L9" i="1"/>
  <c r="L11" i="1"/>
  <c r="L158" i="1"/>
  <c r="L177" i="1"/>
  <c r="L220" i="1"/>
  <c r="L14" i="1"/>
  <c r="L268" i="1"/>
  <c r="L79" i="1"/>
  <c r="K362" i="1"/>
  <c r="L101" i="1"/>
  <c r="K215" i="1"/>
  <c r="L217" i="1"/>
  <c r="K56" i="1"/>
  <c r="K383" i="1"/>
  <c r="L42" i="1"/>
  <c r="L335" i="1"/>
  <c r="L306" i="1"/>
  <c r="K212" i="1"/>
  <c r="L89" i="1"/>
  <c r="L284" i="1"/>
  <c r="K72" i="1"/>
  <c r="K150" i="1"/>
  <c r="L342" i="1"/>
  <c r="L61" i="1"/>
  <c r="K234" i="1"/>
  <c r="L319" i="1"/>
  <c r="L200" i="1"/>
  <c r="K111" i="1"/>
  <c r="L111" i="1"/>
  <c r="K116" i="1"/>
  <c r="L116" i="1"/>
  <c r="L315" i="1"/>
  <c r="K315" i="1"/>
  <c r="K10" i="1"/>
  <c r="L10" i="1"/>
  <c r="K40" i="1"/>
  <c r="L40" i="1"/>
  <c r="K110" i="1"/>
  <c r="L110" i="1"/>
  <c r="L357" i="1"/>
  <c r="K321" i="1"/>
  <c r="L321" i="1"/>
  <c r="K210" i="1"/>
  <c r="L210" i="1"/>
  <c r="L294" i="1"/>
  <c r="K108" i="1"/>
  <c r="L108" i="1"/>
  <c r="K263" i="1"/>
  <c r="L263" i="1"/>
  <c r="K311" i="1"/>
  <c r="L311" i="1"/>
  <c r="K307" i="1"/>
  <c r="L307" i="1"/>
  <c r="L267" i="1"/>
  <c r="K162" i="1"/>
  <c r="L162" i="1"/>
  <c r="L84" i="1"/>
  <c r="K84" i="1"/>
  <c r="L194" i="1"/>
  <c r="K194" i="1"/>
  <c r="K25" i="1"/>
  <c r="L25" i="1"/>
  <c r="K163" i="1"/>
  <c r="L163" i="1"/>
  <c r="L380" i="1"/>
  <c r="K380" i="1"/>
  <c r="K132" i="1"/>
  <c r="L132" i="1"/>
  <c r="K38" i="1"/>
  <c r="L38" i="1"/>
  <c r="L153" i="1"/>
  <c r="K211" i="1"/>
  <c r="L211" i="1"/>
  <c r="K27" i="1"/>
  <c r="L27" i="1"/>
  <c r="K249" i="1"/>
  <c r="L249" i="1"/>
  <c r="K20" i="1"/>
  <c r="L20" i="1"/>
  <c r="L106" i="1"/>
  <c r="K106" i="1"/>
  <c r="K297" i="1"/>
  <c r="L297" i="1"/>
  <c r="L169" i="1"/>
  <c r="L334" i="1"/>
  <c r="K177" i="1"/>
  <c r="L143" i="1"/>
  <c r="K143" i="1"/>
  <c r="L5" i="1"/>
  <c r="K5" i="1"/>
  <c r="L314" i="1"/>
  <c r="K314" i="1"/>
  <c r="L302" i="1"/>
  <c r="K302" i="1"/>
  <c r="L250" i="1"/>
  <c r="K250" i="1"/>
  <c r="L120" i="1"/>
  <c r="K120" i="1"/>
  <c r="L139" i="1"/>
  <c r="K139" i="1"/>
  <c r="L305" i="1"/>
  <c r="K305" i="1"/>
  <c r="L135" i="1"/>
  <c r="K135" i="1"/>
  <c r="L245" i="1"/>
  <c r="K245" i="1"/>
  <c r="L152" i="1"/>
  <c r="L303" i="1"/>
  <c r="L223" i="1"/>
  <c r="L332" i="1"/>
  <c r="L196" i="1"/>
  <c r="L118" i="1"/>
  <c r="L179" i="1"/>
  <c r="L180" i="1"/>
  <c r="L183" i="1"/>
  <c r="L178" i="1"/>
  <c r="L141" i="1"/>
  <c r="L144" i="1"/>
  <c r="L136" i="1"/>
  <c r="L374" i="1"/>
  <c r="L13" i="1"/>
  <c r="L94" i="1"/>
  <c r="L191" i="1"/>
  <c r="L349" i="1"/>
  <c r="L129" i="1"/>
  <c r="K273" i="1"/>
  <c r="K130" i="1"/>
  <c r="K133" i="1"/>
  <c r="L173" i="1"/>
  <c r="K313" i="1"/>
  <c r="L313" i="1"/>
  <c r="L68" i="1"/>
  <c r="K74" i="1"/>
  <c r="K126" i="1"/>
  <c r="K269" i="1"/>
  <c r="L269" i="1"/>
  <c r="L24" i="1"/>
  <c r="K24" i="1"/>
  <c r="L115" i="1"/>
  <c r="K115" i="1"/>
  <c r="L379" i="1"/>
  <c r="K379" i="1"/>
  <c r="L221" i="1"/>
  <c r="K221" i="1"/>
  <c r="L125" i="1"/>
  <c r="K125" i="1"/>
  <c r="L225" i="1"/>
  <c r="K225" i="1"/>
  <c r="L236" i="1"/>
  <c r="K236" i="1"/>
  <c r="L52" i="1"/>
  <c r="K52" i="1"/>
  <c r="L44" i="1"/>
  <c r="K44" i="1"/>
  <c r="L318" i="1"/>
  <c r="K318" i="1"/>
  <c r="L182" i="1"/>
  <c r="K182" i="1"/>
  <c r="L259" i="1"/>
  <c r="K259" i="1"/>
  <c r="L156" i="1"/>
  <c r="K156" i="1"/>
  <c r="L224" i="1"/>
  <c r="K224" i="1"/>
  <c r="L103" i="1"/>
  <c r="K103" i="1"/>
  <c r="L63" i="1"/>
  <c r="K63" i="1"/>
  <c r="L290" i="1"/>
  <c r="K290" i="1"/>
  <c r="L247" i="1"/>
  <c r="K247" i="1"/>
  <c r="K46" i="1"/>
  <c r="K209" i="1"/>
  <c r="K23" i="1"/>
  <c r="K153" i="1"/>
  <c r="K294" i="1"/>
  <c r="K264" i="1"/>
  <c r="L264" i="1"/>
  <c r="K65" i="1"/>
  <c r="L65" i="1"/>
  <c r="L254" i="1"/>
  <c r="L71" i="1"/>
  <c r="L266" i="1"/>
  <c r="K266" i="1"/>
  <c r="L370" i="1"/>
  <c r="K370" i="1"/>
  <c r="L295" i="1"/>
  <c r="K295" i="1"/>
  <c r="L282" i="1"/>
  <c r="K282" i="1"/>
  <c r="L345" i="1"/>
  <c r="K345" i="1"/>
  <c r="L352" i="1"/>
  <c r="K352" i="1"/>
  <c r="L242" i="1"/>
  <c r="K242" i="1"/>
  <c r="L205" i="1"/>
  <c r="K205" i="1"/>
  <c r="L253" i="1"/>
  <c r="K253" i="1"/>
  <c r="L292" i="1"/>
  <c r="K292" i="1"/>
  <c r="K357" i="1"/>
  <c r="K267" i="1"/>
  <c r="K355" i="1"/>
  <c r="K100" i="1"/>
  <c r="K2" i="1"/>
  <c r="G19" i="4"/>
  <c r="G18" i="4"/>
  <c r="K80" i="1"/>
  <c r="K368" i="1"/>
  <c r="K360" i="1"/>
  <c r="K361" i="1"/>
  <c r="K53" i="1"/>
  <c r="L256" i="1"/>
  <c r="K207" i="1"/>
  <c r="K36" i="1"/>
  <c r="K90" i="1"/>
  <c r="K22" i="1"/>
  <c r="E3" i="4"/>
  <c r="K4" i="1"/>
  <c r="K226" i="1"/>
  <c r="K279" i="1"/>
  <c r="K119" i="1"/>
  <c r="K338" i="1"/>
  <c r="L227" i="1"/>
  <c r="K6" i="1"/>
  <c r="K214" i="1"/>
  <c r="K354" i="1"/>
  <c r="K260" i="1"/>
  <c r="K173" i="1"/>
  <c r="D3" i="4"/>
  <c r="K328" i="1"/>
  <c r="K371" i="1"/>
  <c r="K122" i="1"/>
  <c r="K171" i="1"/>
  <c r="K157" i="1"/>
  <c r="K92" i="1"/>
  <c r="K277" i="1"/>
  <c r="K339" i="1"/>
  <c r="K112" i="1"/>
  <c r="K330" i="1"/>
  <c r="K160" i="1"/>
  <c r="K165" i="1"/>
  <c r="L333" i="1"/>
  <c r="L149" i="1"/>
  <c r="L275" i="1"/>
  <c r="L324" i="1"/>
  <c r="L167" i="1"/>
  <c r="L262" i="1"/>
  <c r="L229" i="1"/>
  <c r="L181" i="1"/>
  <c r="L382" i="1"/>
  <c r="L278" i="1"/>
  <c r="L186" i="1"/>
  <c r="L155" i="1"/>
  <c r="L301" i="1"/>
  <c r="L7" i="1"/>
  <c r="L148" i="1"/>
  <c r="L73" i="1"/>
  <c r="L274" i="1"/>
  <c r="L348" i="1"/>
  <c r="L107" i="1"/>
  <c r="L127" i="1"/>
  <c r="L341" i="1"/>
  <c r="L168" i="1"/>
  <c r="L154" i="1"/>
  <c r="L325" i="1"/>
  <c r="L172" i="1"/>
  <c r="L170" i="1"/>
  <c r="L190" i="1"/>
  <c r="L184" i="1"/>
  <c r="L239" i="1"/>
  <c r="L281" i="1"/>
  <c r="L176" i="1"/>
  <c r="L372" i="1"/>
  <c r="L142" i="1"/>
  <c r="L86" i="1"/>
  <c r="L373" i="1"/>
  <c r="L188" i="1"/>
  <c r="L347" i="1"/>
  <c r="L75" i="1"/>
  <c r="L272" i="1"/>
  <c r="L271" i="1"/>
  <c r="L327" i="1"/>
  <c r="K216" i="1"/>
  <c r="K152" i="1"/>
  <c r="K303" i="1"/>
  <c r="K223" i="1"/>
  <c r="K332" i="1"/>
  <c r="K196" i="1"/>
  <c r="K118" i="1"/>
  <c r="K179" i="1"/>
  <c r="K180" i="1"/>
  <c r="K384" i="1"/>
  <c r="K183" i="1"/>
  <c r="K175" i="1"/>
  <c r="K178" i="1"/>
  <c r="K185" i="1"/>
  <c r="K141" i="1"/>
  <c r="K146" i="1"/>
  <c r="K144" i="1"/>
  <c r="K82" i="1"/>
  <c r="K136" i="1"/>
  <c r="K19" i="1"/>
  <c r="K374" i="1"/>
  <c r="K147" i="1"/>
  <c r="K13" i="1"/>
  <c r="K66" i="1"/>
  <c r="K94" i="1"/>
  <c r="K343" i="1"/>
  <c r="K191" i="1"/>
  <c r="K93" i="1"/>
  <c r="K349" i="1"/>
  <c r="K331" i="1"/>
  <c r="K129" i="1"/>
  <c r="K230" i="1"/>
  <c r="L323" i="1"/>
  <c r="L339" i="1"/>
  <c r="L364" i="1"/>
  <c r="L202" i="1"/>
  <c r="L198" i="1"/>
  <c r="L214" i="1"/>
  <c r="L6" i="1"/>
  <c r="L328" i="1"/>
  <c r="L371" i="1"/>
  <c r="L122" i="1"/>
  <c r="L171" i="1"/>
  <c r="L157" i="1"/>
  <c r="L92" i="1"/>
  <c r="L277" i="1"/>
  <c r="I323" i="1"/>
  <c r="K59" i="1"/>
  <c r="L59" i="1"/>
  <c r="L241" i="1"/>
  <c r="I364" i="1"/>
  <c r="K240" i="1"/>
  <c r="L240" i="1"/>
  <c r="L46" i="1"/>
  <c r="I198" i="1"/>
  <c r="K109" i="1"/>
  <c r="L109" i="1"/>
  <c r="L105" i="1"/>
  <c r="K37" i="1"/>
  <c r="K341" i="1"/>
  <c r="K333" i="1"/>
  <c r="K168" i="1"/>
  <c r="K149" i="1"/>
  <c r="K154" i="1"/>
  <c r="K275" i="1"/>
  <c r="K325" i="1"/>
  <c r="K324" i="1"/>
  <c r="K172" i="1"/>
  <c r="K167" i="1"/>
  <c r="K170" i="1"/>
  <c r="K262" i="1"/>
  <c r="K190" i="1"/>
  <c r="K229" i="1"/>
  <c r="K184" i="1"/>
  <c r="K181" i="1"/>
  <c r="K239" i="1"/>
  <c r="K382" i="1"/>
  <c r="K281" i="1"/>
  <c r="K278" i="1"/>
  <c r="K176" i="1"/>
  <c r="K186" i="1"/>
  <c r="K372" i="1"/>
  <c r="K155" i="1"/>
  <c r="K142" i="1"/>
  <c r="K301" i="1"/>
  <c r="K86" i="1"/>
  <c r="K7" i="1"/>
  <c r="K373" i="1"/>
  <c r="K148" i="1"/>
  <c r="K188" i="1"/>
  <c r="K73" i="1"/>
  <c r="K347" i="1"/>
  <c r="K274" i="1"/>
  <c r="K75" i="1"/>
  <c r="K348" i="1"/>
  <c r="K272" i="1"/>
  <c r="K107" i="1"/>
  <c r="K271" i="1"/>
  <c r="K127" i="1"/>
  <c r="K327" i="1"/>
  <c r="L50" i="1"/>
  <c r="L55" i="1"/>
  <c r="L54" i="1"/>
  <c r="L57" i="1"/>
  <c r="I50" i="1"/>
  <c r="K58" i="1"/>
  <c r="L58" i="1"/>
  <c r="L201" i="1"/>
  <c r="I54" i="1"/>
  <c r="K48" i="1"/>
  <c r="L48" i="1"/>
  <c r="L199" i="1"/>
  <c r="K105" i="1"/>
  <c r="K98" i="1"/>
  <c r="L99" i="1"/>
  <c r="L78" i="1"/>
  <c r="L76" i="1"/>
  <c r="L114" i="1"/>
  <c r="L39" i="1"/>
  <c r="J98" i="1"/>
  <c r="J386" i="1" s="1"/>
  <c r="K193" i="1"/>
  <c r="K350" i="1"/>
  <c r="K128" i="1"/>
  <c r="K309" i="1"/>
  <c r="K300" i="1"/>
  <c r="K70" i="1"/>
  <c r="K21" i="1"/>
  <c r="L2" i="1"/>
  <c r="K336" i="1"/>
  <c r="L258" i="1"/>
  <c r="K342" i="1"/>
  <c r="K169" i="1"/>
  <c r="K227" i="1"/>
  <c r="K334" i="1"/>
  <c r="K96" i="1"/>
  <c r="L96" i="1"/>
  <c r="K89" i="1"/>
  <c r="K319" i="1"/>
  <c r="I386" i="1" l="1"/>
  <c r="M202" i="1"/>
  <c r="M93" i="1"/>
  <c r="M19" i="1"/>
  <c r="M175" i="1"/>
  <c r="M204" i="1"/>
  <c r="M220" i="1"/>
  <c r="M138" i="1"/>
  <c r="M140" i="1" s="1"/>
  <c r="M199" i="1"/>
  <c r="M57" i="1"/>
  <c r="M216" i="1"/>
  <c r="M87" i="1"/>
  <c r="M217" i="1"/>
  <c r="M14" i="1"/>
  <c r="M17" i="1"/>
  <c r="M371" i="1"/>
  <c r="M223" i="1"/>
  <c r="M42" i="1"/>
  <c r="M43" i="1" s="1"/>
  <c r="M268" i="1"/>
  <c r="M29" i="1"/>
  <c r="M150" i="1"/>
  <c r="M215" i="1"/>
  <c r="M161" i="1"/>
  <c r="M284" i="1"/>
  <c r="M285" i="1" s="1"/>
  <c r="M179" i="1"/>
  <c r="M201" i="1"/>
  <c r="M331" i="1"/>
  <c r="M343" i="1"/>
  <c r="M147" i="1"/>
  <c r="M82" i="1"/>
  <c r="M185" i="1"/>
  <c r="M384" i="1"/>
  <c r="M329" i="1"/>
  <c r="M383" i="1"/>
  <c r="M46" i="1"/>
  <c r="M47" i="1" s="1"/>
  <c r="M241" i="1"/>
  <c r="M6" i="1"/>
  <c r="M230" i="1"/>
  <c r="M66" i="1"/>
  <c r="M146" i="1"/>
  <c r="M129" i="1"/>
  <c r="M13" i="1"/>
  <c r="M15" i="1" s="1"/>
  <c r="M141" i="1"/>
  <c r="M8" i="1"/>
  <c r="M56" i="1"/>
  <c r="M326" i="1"/>
  <c r="M286" i="1"/>
  <c r="M335" i="1"/>
  <c r="M71" i="1"/>
  <c r="M126" i="1"/>
  <c r="M207" i="1"/>
  <c r="M33" i="1"/>
  <c r="M164" i="1"/>
  <c r="M362" i="1"/>
  <c r="M76" i="1"/>
  <c r="M157" i="1"/>
  <c r="M196" i="1"/>
  <c r="M197" i="1" s="1"/>
  <c r="M152" i="1"/>
  <c r="M226" i="1"/>
  <c r="M165" i="1"/>
  <c r="M330" i="1"/>
  <c r="M79" i="1"/>
  <c r="M70" i="1"/>
  <c r="L98" i="1"/>
  <c r="M98" i="1" s="1"/>
  <c r="M356" i="1"/>
  <c r="M251" i="1"/>
  <c r="M35" i="1"/>
  <c r="M55" i="1"/>
  <c r="M349" i="1"/>
  <c r="M94" i="1"/>
  <c r="M374" i="1"/>
  <c r="M144" i="1"/>
  <c r="M178" i="1"/>
  <c r="M180" i="1"/>
  <c r="M332" i="1"/>
  <c r="M260" i="1"/>
  <c r="M22" i="1"/>
  <c r="M256" i="1"/>
  <c r="M257" i="1" s="1"/>
  <c r="M200" i="1"/>
  <c r="M158" i="1"/>
  <c r="M237" i="1"/>
  <c r="M244" i="1"/>
  <c r="M355" i="1"/>
  <c r="M288" i="1"/>
  <c r="M320" i="1"/>
  <c r="M100" i="1"/>
  <c r="M118" i="1"/>
  <c r="M303" i="1"/>
  <c r="M361" i="1"/>
  <c r="M80" i="1"/>
  <c r="M292" i="1"/>
  <c r="M293" i="1" s="1"/>
  <c r="M306" i="1"/>
  <c r="M9" i="1"/>
  <c r="M299" i="1"/>
  <c r="M30" i="1"/>
  <c r="M317" i="1"/>
  <c r="M83" i="1"/>
  <c r="M228" i="1"/>
  <c r="M377" i="1"/>
  <c r="M209" i="1"/>
  <c r="M61" i="1"/>
  <c r="M62" i="1" s="1"/>
  <c r="M113" i="1"/>
  <c r="M208" i="1"/>
  <c r="M112" i="1"/>
  <c r="M20" i="1"/>
  <c r="M27" i="1"/>
  <c r="M38" i="1"/>
  <c r="M294" i="1"/>
  <c r="M26" i="1"/>
  <c r="M354" i="1"/>
  <c r="M234" i="1"/>
  <c r="M235" i="1" s="1"/>
  <c r="M21" i="1"/>
  <c r="M267" i="1"/>
  <c r="M360" i="1"/>
  <c r="M160" i="1"/>
  <c r="M101" i="1"/>
  <c r="M90" i="1"/>
  <c r="M156" i="1"/>
  <c r="M221" i="1"/>
  <c r="M357" i="1"/>
  <c r="M72" i="1"/>
  <c r="M232" i="1"/>
  <c r="M233" i="1" s="1"/>
  <c r="M133" i="1"/>
  <c r="M128" i="1"/>
  <c r="M307" i="1"/>
  <c r="M78" i="1"/>
  <c r="M81" i="1" s="1"/>
  <c r="M313" i="1"/>
  <c r="M173" i="1"/>
  <c r="M119" i="1"/>
  <c r="M282" i="1"/>
  <c r="M182" i="1"/>
  <c r="M52" i="1"/>
  <c r="M321" i="1"/>
  <c r="M25" i="1"/>
  <c r="M139" i="1"/>
  <c r="M120" i="1"/>
  <c r="M5" i="1"/>
  <c r="M39" i="1"/>
  <c r="M23" i="1"/>
  <c r="M108" i="1"/>
  <c r="M279" i="1"/>
  <c r="M106" i="1"/>
  <c r="M11" i="1"/>
  <c r="M358" i="1"/>
  <c r="M346" i="1"/>
  <c r="M219" i="1"/>
  <c r="M264" i="1"/>
  <c r="M300" i="1"/>
  <c r="M368" i="1"/>
  <c r="M369" i="1" s="1"/>
  <c r="M143" i="1"/>
  <c r="M31" i="1"/>
  <c r="M254" i="1"/>
  <c r="M380" i="1"/>
  <c r="M211" i="1"/>
  <c r="M258" i="1"/>
  <c r="M376" i="1"/>
  <c r="M378" i="1" s="1"/>
  <c r="M309" i="1"/>
  <c r="M116" i="1"/>
  <c r="M114" i="1"/>
  <c r="M53" i="1"/>
  <c r="M290" i="1"/>
  <c r="M291" i="1" s="1"/>
  <c r="M250" i="1"/>
  <c r="M177" i="1"/>
  <c r="M263" i="1"/>
  <c r="M111" i="1"/>
  <c r="M318" i="1"/>
  <c r="M205" i="1"/>
  <c r="M2" i="1"/>
  <c r="M3" i="1" s="1"/>
  <c r="M249" i="1"/>
  <c r="M135" i="1"/>
  <c r="M225" i="1"/>
  <c r="M314" i="1"/>
  <c r="M16" i="1"/>
  <c r="M110" i="1"/>
  <c r="M334" i="1"/>
  <c r="M350" i="1"/>
  <c r="M99" i="1"/>
  <c r="M287" i="1"/>
  <c r="K323" i="1"/>
  <c r="M323" i="1" s="1"/>
  <c r="M245" i="1"/>
  <c r="M352" i="1"/>
  <c r="M353" i="1" s="1"/>
  <c r="M370" i="1"/>
  <c r="M212" i="1"/>
  <c r="M227" i="1"/>
  <c r="M193" i="1"/>
  <c r="M308" i="1"/>
  <c r="K54" i="1"/>
  <c r="M54" i="1" s="1"/>
  <c r="M34" i="1"/>
  <c r="M348" i="1"/>
  <c r="M7" i="1"/>
  <c r="M278" i="1"/>
  <c r="M181" i="1"/>
  <c r="M324" i="1"/>
  <c r="M122" i="1"/>
  <c r="M124" i="1" s="1"/>
  <c r="M130" i="1"/>
  <c r="M191" i="1"/>
  <c r="M136" i="1"/>
  <c r="M183" i="1"/>
  <c r="M338" i="1"/>
  <c r="M103" i="1"/>
  <c r="M104" i="1" s="1"/>
  <c r="M194" i="1"/>
  <c r="M162" i="1"/>
  <c r="M311" i="1"/>
  <c r="M312" i="1" s="1"/>
  <c r="M10" i="1"/>
  <c r="K3" i="4"/>
  <c r="M65" i="1"/>
  <c r="M44" i="1"/>
  <c r="M45" i="1" s="1"/>
  <c r="M236" i="1"/>
  <c r="M238" i="1" s="1"/>
  <c r="M125" i="1"/>
  <c r="M115" i="1"/>
  <c r="M253" i="1"/>
  <c r="M242" i="1"/>
  <c r="M345" i="1"/>
  <c r="M295" i="1"/>
  <c r="M266" i="1"/>
  <c r="M269" i="1"/>
  <c r="M305" i="1"/>
  <c r="M302" i="1"/>
  <c r="M297" i="1"/>
  <c r="M298" i="1" s="1"/>
  <c r="M74" i="1"/>
  <c r="M40" i="1"/>
  <c r="M132" i="1"/>
  <c r="M379" i="1"/>
  <c r="M24" i="1"/>
  <c r="M315" i="1"/>
  <c r="J3" i="4"/>
  <c r="M247" i="1"/>
  <c r="M248" i="1" s="1"/>
  <c r="M63" i="1"/>
  <c r="M64" i="1" s="1"/>
  <c r="M224" i="1"/>
  <c r="M259" i="1"/>
  <c r="M84" i="1"/>
  <c r="M169" i="1"/>
  <c r="M153" i="1"/>
  <c r="M68" i="1"/>
  <c r="M69" i="1" s="1"/>
  <c r="M210" i="1"/>
  <c r="K198" i="1"/>
  <c r="M198" i="1" s="1"/>
  <c r="M273" i="1"/>
  <c r="M163" i="1"/>
  <c r="M89" i="1"/>
  <c r="M184" i="1"/>
  <c r="D6" i="4"/>
  <c r="M92" i="1"/>
  <c r="M274" i="1"/>
  <c r="M301" i="1"/>
  <c r="M382" i="1"/>
  <c r="M167" i="1"/>
  <c r="M333" i="1"/>
  <c r="M37" i="1"/>
  <c r="M170" i="1"/>
  <c r="M4" i="1"/>
  <c r="M328" i="1"/>
  <c r="M36" i="1"/>
  <c r="M272" i="1"/>
  <c r="M373" i="1"/>
  <c r="M176" i="1"/>
  <c r="M172" i="1"/>
  <c r="M214" i="1"/>
  <c r="M262" i="1"/>
  <c r="M96" i="1"/>
  <c r="M97" i="1" s="1"/>
  <c r="M107" i="1"/>
  <c r="M148" i="1"/>
  <c r="M186" i="1"/>
  <c r="M229" i="1"/>
  <c r="M275" i="1"/>
  <c r="M339" i="1"/>
  <c r="M149" i="1"/>
  <c r="M58" i="1"/>
  <c r="M281" i="1"/>
  <c r="M325" i="1"/>
  <c r="M240" i="1"/>
  <c r="M336" i="1"/>
  <c r="M327" i="1"/>
  <c r="M347" i="1"/>
  <c r="M142" i="1"/>
  <c r="M239" i="1"/>
  <c r="M190" i="1"/>
  <c r="M154" i="1"/>
  <c r="M171" i="1"/>
  <c r="M277" i="1"/>
  <c r="E6" i="4"/>
  <c r="M341" i="1"/>
  <c r="M342" i="1"/>
  <c r="M127" i="1"/>
  <c r="M73" i="1"/>
  <c r="M155" i="1"/>
  <c r="M105" i="1"/>
  <c r="M48" i="1"/>
  <c r="M49" i="1" s="1"/>
  <c r="M271" i="1"/>
  <c r="M75" i="1"/>
  <c r="M188" i="1"/>
  <c r="M86" i="1"/>
  <c r="M372" i="1"/>
  <c r="M168" i="1"/>
  <c r="K364" i="1"/>
  <c r="M364" i="1" s="1"/>
  <c r="M365" i="1" s="1"/>
  <c r="M59" i="1"/>
  <c r="M319" i="1"/>
  <c r="K50" i="1"/>
  <c r="M50" i="1" s="1"/>
  <c r="M51" i="1" s="1"/>
  <c r="M109" i="1"/>
  <c r="M385" i="1" l="1"/>
  <c r="M381" i="1"/>
  <c r="M375" i="1"/>
  <c r="M192" i="1"/>
  <c r="M265" i="1"/>
  <c r="M222" i="1"/>
  <c r="M363" i="1"/>
  <c r="M359" i="1"/>
  <c r="M246" i="1"/>
  <c r="M206" i="1"/>
  <c r="M351" i="1"/>
  <c r="M344" i="1"/>
  <c r="M340" i="1"/>
  <c r="M280" i="1"/>
  <c r="M337" i="1"/>
  <c r="M322" i="1"/>
  <c r="M316" i="1"/>
  <c r="M310" i="1"/>
  <c r="M304" i="1"/>
  <c r="M296" i="1"/>
  <c r="M289" i="1"/>
  <c r="M283" i="1"/>
  <c r="M276" i="1"/>
  <c r="M270" i="1"/>
  <c r="M261" i="1"/>
  <c r="M255" i="1"/>
  <c r="M252" i="1"/>
  <c r="M243" i="1"/>
  <c r="M231" i="1"/>
  <c r="M218" i="1"/>
  <c r="M213" i="1"/>
  <c r="M203" i="1"/>
  <c r="M195" i="1"/>
  <c r="M187" i="1"/>
  <c r="M174" i="1"/>
  <c r="M166" i="1"/>
  <c r="M159" i="1"/>
  <c r="M151" i="1"/>
  <c r="M145" i="1"/>
  <c r="M134" i="1"/>
  <c r="M137" i="1"/>
  <c r="M131" i="1"/>
  <c r="M91" i="1"/>
  <c r="M121" i="1"/>
  <c r="M117" i="1"/>
  <c r="M102" i="1"/>
  <c r="M95" i="1"/>
  <c r="M67" i="1"/>
  <c r="M85" i="1"/>
  <c r="M88" i="1"/>
  <c r="M77" i="1"/>
  <c r="M60" i="1"/>
  <c r="M41" i="1"/>
  <c r="M12" i="1"/>
  <c r="M18" i="1"/>
  <c r="K6" i="4"/>
  <c r="J6" i="4"/>
  <c r="J9" i="4" s="1"/>
  <c r="C3" i="5"/>
  <c r="C4" i="5"/>
  <c r="C2" i="5"/>
  <c r="L24" i="5" l="1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L2" i="5"/>
  <c r="L51" i="5" s="1"/>
  <c r="G12" i="4" s="1"/>
  <c r="E15" i="4" l="1"/>
  <c r="E14" i="4"/>
  <c r="D15" i="4"/>
  <c r="D14" i="4"/>
  <c r="G20" i="4" l="1"/>
  <c r="G3" i="4" l="1"/>
  <c r="F3" i="4" l="1"/>
  <c r="K9" i="4" l="1"/>
  <c r="K11" i="4" l="1"/>
  <c r="E9" i="4"/>
  <c r="G6" i="4"/>
  <c r="G9" i="4" s="1"/>
  <c r="F6" i="4"/>
  <c r="F9" i="4" s="1"/>
  <c r="D9" i="4"/>
  <c r="G11" i="4" l="1"/>
  <c r="G13" i="4" s="1"/>
  <c r="K12" i="4" s="1"/>
</calcChain>
</file>

<file path=xl/comments1.xml><?xml version="1.0" encoding="utf-8"?>
<comments xmlns="http://schemas.openxmlformats.org/spreadsheetml/2006/main">
  <authors>
    <author>Windows User</author>
  </authors>
  <commentList>
    <comment ref="H79" authorId="0">
      <text>
        <r>
          <rPr>
            <sz val="9"/>
            <color indexed="81"/>
            <rFont val="Tahoma"/>
            <family val="2"/>
          </rPr>
          <t xml:space="preserve">Replacment for Amy McKemy
</t>
        </r>
      </text>
    </comment>
  </commentList>
</comments>
</file>

<file path=xl/sharedStrings.xml><?xml version="1.0" encoding="utf-8"?>
<sst xmlns="http://schemas.openxmlformats.org/spreadsheetml/2006/main" count="6265" uniqueCount="1119">
  <si>
    <t>GL Description</t>
  </si>
  <si>
    <t>Building</t>
  </si>
  <si>
    <t>Room</t>
  </si>
  <si>
    <t>Model</t>
  </si>
  <si>
    <t>Serial Number</t>
  </si>
  <si>
    <t>IP Address</t>
  </si>
  <si>
    <t>Device Type</t>
  </si>
  <si>
    <t>Prev Color Click Count</t>
  </si>
  <si>
    <t>Current Color Click Count</t>
  </si>
  <si>
    <t>Color Click Charge</t>
  </si>
  <si>
    <t>Device Total Click Charge</t>
  </si>
  <si>
    <t>Air Force Rotc</t>
  </si>
  <si>
    <t>10_03_011_02100_5521</t>
  </si>
  <si>
    <t>ROTC-Air Force</t>
  </si>
  <si>
    <t>Kilbourne Hall</t>
  </si>
  <si>
    <t>AF SP4310N</t>
  </si>
  <si>
    <t>T1129010871</t>
  </si>
  <si>
    <t>144.75.187.135</t>
  </si>
  <si>
    <t>Printer</t>
  </si>
  <si>
    <t>T1129010832</t>
  </si>
  <si>
    <t>144.75.187.138</t>
  </si>
  <si>
    <t>Army Rotc</t>
  </si>
  <si>
    <t>10_03_011_04100_5521</t>
  </si>
  <si>
    <t>ROTC-Army</t>
  </si>
  <si>
    <t>AF MPC3502</t>
  </si>
  <si>
    <t>W502L600854</t>
  </si>
  <si>
    <t>144.75.187.122</t>
  </si>
  <si>
    <t>MFP</t>
  </si>
  <si>
    <t>T1129010677</t>
  </si>
  <si>
    <t>144.75.187.133</t>
  </si>
  <si>
    <t>T1129010869</t>
  </si>
  <si>
    <t>144.75.187.137</t>
  </si>
  <si>
    <t>T1129010889</t>
  </si>
  <si>
    <t>144.75.187.123</t>
  </si>
  <si>
    <t>T1129010681</t>
  </si>
  <si>
    <t>144.75.187.136</t>
  </si>
  <si>
    <t>T1129010837</t>
  </si>
  <si>
    <t>144.75.187.131</t>
  </si>
  <si>
    <t>T1129010820</t>
  </si>
  <si>
    <t>144.75.187.121</t>
  </si>
  <si>
    <t>T1129010760</t>
  </si>
  <si>
    <t>144.75.187.119</t>
  </si>
  <si>
    <t>T1129010900</t>
  </si>
  <si>
    <t>144.75.187.132</t>
  </si>
  <si>
    <t>T1129010748</t>
  </si>
  <si>
    <t>144.75.187.112</t>
  </si>
  <si>
    <t>T1129010902</t>
  </si>
  <si>
    <t>144.75.187.16</t>
  </si>
  <si>
    <t>T1129010874</t>
  </si>
  <si>
    <t>144.75.187.118</t>
  </si>
  <si>
    <t>T1129010823</t>
  </si>
  <si>
    <t>144.75.187.140</t>
  </si>
  <si>
    <t>Biology</t>
  </si>
  <si>
    <t>Maury Brooke</t>
  </si>
  <si>
    <t>AF MPC2051</t>
  </si>
  <si>
    <t>V9725401445</t>
  </si>
  <si>
    <t>144.75.191.21</t>
  </si>
  <si>
    <t>T1129011365</t>
  </si>
  <si>
    <t>144.75.202.56</t>
  </si>
  <si>
    <t>203A</t>
  </si>
  <si>
    <t>T1128911356</t>
  </si>
  <si>
    <t>144.75.202.51</t>
  </si>
  <si>
    <t>144.75.202.57</t>
  </si>
  <si>
    <t>203B</t>
  </si>
  <si>
    <t>T1129011364</t>
  </si>
  <si>
    <t>144.75.202.58</t>
  </si>
  <si>
    <t>203C</t>
  </si>
  <si>
    <t>T1128911365</t>
  </si>
  <si>
    <t>144.75.202.44</t>
  </si>
  <si>
    <t>Chemistry</t>
  </si>
  <si>
    <t>10_03_011_26100_5521</t>
  </si>
  <si>
    <t>303E</t>
  </si>
  <si>
    <t>W502L601221</t>
  </si>
  <si>
    <t>144.75.202.45</t>
  </si>
  <si>
    <t>403H</t>
  </si>
  <si>
    <t>T1129011350</t>
  </si>
  <si>
    <t>144.75.202.13</t>
  </si>
  <si>
    <t>T1129011366</t>
  </si>
  <si>
    <t>144.75.202.14</t>
  </si>
  <si>
    <t>Civil &amp; Environmental Eng.</t>
  </si>
  <si>
    <t>10_03_011_28100_5521</t>
  </si>
  <si>
    <t>Civil Engineering</t>
  </si>
  <si>
    <t>Nichols Hall</t>
  </si>
  <si>
    <t>AF MPC4502</t>
  </si>
  <si>
    <t>W512L700506</t>
  </si>
  <si>
    <t>144.75.193.90</t>
  </si>
  <si>
    <t>T1129011096</t>
  </si>
  <si>
    <t>144.75.193.196</t>
  </si>
  <si>
    <t>T1128812156</t>
  </si>
  <si>
    <t>144.75.189.88</t>
  </si>
  <si>
    <t>AF SPC242DN</t>
  </si>
  <si>
    <t>T202P600371</t>
  </si>
  <si>
    <t>144.75.193.75</t>
  </si>
  <si>
    <t>Economics &amp; Business</t>
  </si>
  <si>
    <t>10_03_011_36100_5521</t>
  </si>
  <si>
    <t>Economics</t>
  </si>
  <si>
    <t>Scott Shipp Hall</t>
  </si>
  <si>
    <t>W512L601991</t>
  </si>
  <si>
    <t>144.75.208.32</t>
  </si>
  <si>
    <t>10_03_011_40100_5521</t>
  </si>
  <si>
    <t>T1128910788</t>
  </si>
  <si>
    <t>144.75.214.43</t>
  </si>
  <si>
    <t>T1128712307</t>
  </si>
  <si>
    <t>144.75.214.34</t>
  </si>
  <si>
    <t>Electrical &amp; Computer Eng.</t>
  </si>
  <si>
    <t>10_03_011_38100_5521</t>
  </si>
  <si>
    <t>Electrical Engineering</t>
  </si>
  <si>
    <t>V9725600283</t>
  </si>
  <si>
    <t>144.75.193.30</t>
  </si>
  <si>
    <t>T1129011173</t>
  </si>
  <si>
    <t>144.75.193.191</t>
  </si>
  <si>
    <t>T1129011106</t>
  </si>
  <si>
    <t>144.75.193.131</t>
  </si>
  <si>
    <t>T1129011160</t>
  </si>
  <si>
    <t>144.75.193.180</t>
  </si>
  <si>
    <t>T1129011159</t>
  </si>
  <si>
    <t>144.75.193.195</t>
  </si>
  <si>
    <t>T1129011158</t>
  </si>
  <si>
    <t>144.75.193.192</t>
  </si>
  <si>
    <t>English &amp; Fine Arts</t>
  </si>
  <si>
    <t>V9725401426</t>
  </si>
  <si>
    <t>144.75.207.26</t>
  </si>
  <si>
    <t>T1128910767</t>
  </si>
  <si>
    <t>144.75.207.54</t>
  </si>
  <si>
    <t>T1128910772</t>
  </si>
  <si>
    <t>144.75.207.34</t>
  </si>
  <si>
    <t>T1128910785</t>
  </si>
  <si>
    <t>144.75.207.53</t>
  </si>
  <si>
    <t>T1128910781</t>
  </si>
  <si>
    <t>144.75.207.52</t>
  </si>
  <si>
    <t>T1128910789</t>
  </si>
  <si>
    <t>144.75.207.56</t>
  </si>
  <si>
    <t>T1128910768</t>
  </si>
  <si>
    <t>144.75.207.50</t>
  </si>
  <si>
    <t>T1128910783</t>
  </si>
  <si>
    <t>144.75.206.31</t>
  </si>
  <si>
    <t>T202P700476</t>
  </si>
  <si>
    <t>144.75.207.58</t>
  </si>
  <si>
    <t>T1128910784</t>
  </si>
  <si>
    <t>144.75.207.55</t>
  </si>
  <si>
    <t>144.75.207.57</t>
  </si>
  <si>
    <t>History</t>
  </si>
  <si>
    <t>10_03_011_48100_5521</t>
  </si>
  <si>
    <t>V9725501224</t>
  </si>
  <si>
    <t>144.75.213.36</t>
  </si>
  <si>
    <t>T1129010431</t>
  </si>
  <si>
    <t>144.75.213.44</t>
  </si>
  <si>
    <t>T1129010430</t>
  </si>
  <si>
    <t>144.75.213.39</t>
  </si>
  <si>
    <t>T1129010424</t>
  </si>
  <si>
    <t>144.75.213.26</t>
  </si>
  <si>
    <t>T1129010422</t>
  </si>
  <si>
    <t>144.75.213.42</t>
  </si>
  <si>
    <t>International Studies</t>
  </si>
  <si>
    <t>144.75.209.65</t>
  </si>
  <si>
    <t>International Programs</t>
  </si>
  <si>
    <t>Old Hospital</t>
  </si>
  <si>
    <t>AF MP301SP</t>
  </si>
  <si>
    <t>W912P601488</t>
  </si>
  <si>
    <t>144.75.180.72</t>
  </si>
  <si>
    <t>T1128910774</t>
  </si>
  <si>
    <t>144.75.210.44</t>
  </si>
  <si>
    <t>T1129010389</t>
  </si>
  <si>
    <t>144.75.210.27</t>
  </si>
  <si>
    <t>10_03_011_64100_5521</t>
  </si>
  <si>
    <t>Mathematics</t>
  </si>
  <si>
    <t>Mallory Hall</t>
  </si>
  <si>
    <t>W512L601983</t>
  </si>
  <si>
    <t>144.75.182.151</t>
  </si>
  <si>
    <t>T1129011355</t>
  </si>
  <si>
    <t>144.75.182.61</t>
  </si>
  <si>
    <t>T1129011357</t>
  </si>
  <si>
    <t>144.75.182.239</t>
  </si>
  <si>
    <t>10_03_011_64125_5521</t>
  </si>
  <si>
    <t>MERC Operating</t>
  </si>
  <si>
    <t>Preston Library</t>
  </si>
  <si>
    <t>V9725501242</t>
  </si>
  <si>
    <t>144.75.181.16</t>
  </si>
  <si>
    <t>Mechanical Engineering</t>
  </si>
  <si>
    <t>10_03_011_66100_5521</t>
  </si>
  <si>
    <t>W512L601966</t>
  </si>
  <si>
    <t>144.75.193.6</t>
  </si>
  <si>
    <t>T1129011154</t>
  </si>
  <si>
    <t>144.75.193.197</t>
  </si>
  <si>
    <t>T202P600942</t>
  </si>
  <si>
    <t>144.75.193.118</t>
  </si>
  <si>
    <t>Modern Languages</t>
  </si>
  <si>
    <t>10_03_011_68100_5521</t>
  </si>
  <si>
    <t>V9725501168</t>
  </si>
  <si>
    <t>144.75.210.33</t>
  </si>
  <si>
    <t>T1129011164</t>
  </si>
  <si>
    <t>144.75.213.45</t>
  </si>
  <si>
    <t>T1128910773</t>
  </si>
  <si>
    <t>144.75.209.67</t>
  </si>
  <si>
    <t>144.75.209.70</t>
  </si>
  <si>
    <t>Naval Rotc</t>
  </si>
  <si>
    <t>10_03_011_72100_5521</t>
  </si>
  <si>
    <t>ROTC-Navy</t>
  </si>
  <si>
    <t>T1129010744</t>
  </si>
  <si>
    <t>144.75.187.31</t>
  </si>
  <si>
    <t>144.75.187.107</t>
  </si>
  <si>
    <t>T1129010868</t>
  </si>
  <si>
    <t>144.75.187.115</t>
  </si>
  <si>
    <t>Physical Education</t>
  </si>
  <si>
    <t>10_03_011_76100_5521</t>
  </si>
  <si>
    <t>Cocke Hall</t>
  </si>
  <si>
    <t>W502L700470</t>
  </si>
  <si>
    <t>144.75.177.38</t>
  </si>
  <si>
    <t>T1128911213</t>
  </si>
  <si>
    <t>144.75.177.49</t>
  </si>
  <si>
    <t>320C</t>
  </si>
  <si>
    <t>T1128810903</t>
  </si>
  <si>
    <t>144.75.177.33</t>
  </si>
  <si>
    <t>T202P700454</t>
  </si>
  <si>
    <t>Physics &amp; Astronomy</t>
  </si>
  <si>
    <t>W502L601236</t>
  </si>
  <si>
    <t>144.75.182.208</t>
  </si>
  <si>
    <t>T1129011359</t>
  </si>
  <si>
    <t>144.75.182.15</t>
  </si>
  <si>
    <t>10_03_011_86100_5521</t>
  </si>
  <si>
    <t>Psychology &amp; Philosophy</t>
  </si>
  <si>
    <t>Carroll Hall</t>
  </si>
  <si>
    <t>W512L601987</t>
  </si>
  <si>
    <t>144.75.195.105</t>
  </si>
  <si>
    <t>T1128911364</t>
  </si>
  <si>
    <t>144.75.195.106</t>
  </si>
  <si>
    <t>T1128911358</t>
  </si>
  <si>
    <t>144.75.195.9</t>
  </si>
  <si>
    <t>T1128911367</t>
  </si>
  <si>
    <t>144.75.195.32</t>
  </si>
  <si>
    <t>Museum Operations</t>
  </si>
  <si>
    <t>10_03_031_70100_5521</t>
  </si>
  <si>
    <t>Museum</t>
  </si>
  <si>
    <t>Jackson Memorial</t>
  </si>
  <si>
    <t>V9725401442</t>
  </si>
  <si>
    <t>144.75.194.6</t>
  </si>
  <si>
    <t>10_03_011_34175_5521</t>
  </si>
  <si>
    <t>Libraries</t>
  </si>
  <si>
    <t>W502L700081</t>
  </si>
  <si>
    <t>144.75.197.69</t>
  </si>
  <si>
    <t>10_03_041_62100_5521</t>
  </si>
  <si>
    <t>400B</t>
  </si>
  <si>
    <t>V9725401436</t>
  </si>
  <si>
    <t>144.75.196.28</t>
  </si>
  <si>
    <t>Circ Desk</t>
  </si>
  <si>
    <t>V9725500671</t>
  </si>
  <si>
    <t>144.75.185.38</t>
  </si>
  <si>
    <t>144.75.185.13</t>
  </si>
  <si>
    <t>T1129011038</t>
  </si>
  <si>
    <t>144.75.196.8</t>
  </si>
  <si>
    <t>T1128911511</t>
  </si>
  <si>
    <t>144.75.185.11</t>
  </si>
  <si>
    <t>T1128811625</t>
  </si>
  <si>
    <t>144.75.196.12</t>
  </si>
  <si>
    <t>T1128712304</t>
  </si>
  <si>
    <t>144.75.196.71</t>
  </si>
  <si>
    <t>300A</t>
  </si>
  <si>
    <t>T1128710718</t>
  </si>
  <si>
    <t>144.75.197.15</t>
  </si>
  <si>
    <t>T1128811936</t>
  </si>
  <si>
    <t>144.75.185.100</t>
  </si>
  <si>
    <t>T1128811633</t>
  </si>
  <si>
    <t>144.75.197.11</t>
  </si>
  <si>
    <t>T1129011155</t>
  </si>
  <si>
    <t>144.75.196.9</t>
  </si>
  <si>
    <t>T1128911524</t>
  </si>
  <si>
    <t>144.75.197.12</t>
  </si>
  <si>
    <t>Information Technology</t>
  </si>
  <si>
    <t>10_03_043_50100_5521</t>
  </si>
  <si>
    <t>IST</t>
  </si>
  <si>
    <t>W512L601973</t>
  </si>
  <si>
    <t>144.75.5.14</t>
  </si>
  <si>
    <t>T1129011126</t>
  </si>
  <si>
    <t>144.75.5.68</t>
  </si>
  <si>
    <t>Dean's Office</t>
  </si>
  <si>
    <t>10_03_045_34100_5521</t>
  </si>
  <si>
    <t>Smith Hall</t>
  </si>
  <si>
    <t>V9725401451</t>
  </si>
  <si>
    <t>144.75.179.99</t>
  </si>
  <si>
    <t>T1128911226</t>
  </si>
  <si>
    <t>144.75.179.101</t>
  </si>
  <si>
    <t>T1128911227</t>
  </si>
  <si>
    <t>144.75.179.56</t>
  </si>
  <si>
    <t>T202P700469</t>
  </si>
  <si>
    <t>144.75.179.11</t>
  </si>
  <si>
    <t>Writing Center</t>
  </si>
  <si>
    <t>10_03_045_99200_5521</t>
  </si>
  <si>
    <t>W502L700053</t>
  </si>
  <si>
    <t>144.75.195.87</t>
  </si>
  <si>
    <t>T1128910779</t>
  </si>
  <si>
    <t>144.75.195.99</t>
  </si>
  <si>
    <t>T1128910778</t>
  </si>
  <si>
    <t>144.75.195.34</t>
  </si>
  <si>
    <t>Career Services / Financial Aid</t>
  </si>
  <si>
    <t>10_03_053_20300_5521</t>
  </si>
  <si>
    <t>Financial Aid Administration</t>
  </si>
  <si>
    <t>T1128911361</t>
  </si>
  <si>
    <t>144.75.195.81</t>
  </si>
  <si>
    <t>T1128910754</t>
  </si>
  <si>
    <t>144.75.195.25</t>
  </si>
  <si>
    <t>T1128911369</t>
  </si>
  <si>
    <t>144.75.195.109</t>
  </si>
  <si>
    <t>T1128911363</t>
  </si>
  <si>
    <t>144.75.195.229</t>
  </si>
  <si>
    <t>Admissions</t>
  </si>
  <si>
    <t>10_03_054_01100_5521</t>
  </si>
  <si>
    <t>307 Letcher</t>
  </si>
  <si>
    <t>W502L600872</t>
  </si>
  <si>
    <t>144.75.215.48</t>
  </si>
  <si>
    <t>T202P700462</t>
  </si>
  <si>
    <t>T1129010899</t>
  </si>
  <si>
    <t>144.75.178.24</t>
  </si>
  <si>
    <t>T202P700447</t>
  </si>
  <si>
    <t>144.75.186.28</t>
  </si>
  <si>
    <t>T202P700463</t>
  </si>
  <si>
    <t>144.75.186.29</t>
  </si>
  <si>
    <t>T202P700465</t>
  </si>
  <si>
    <t>144.75.186.25</t>
  </si>
  <si>
    <t>T1128911219</t>
  </si>
  <si>
    <t>144.75.215.43</t>
  </si>
  <si>
    <t>T202P600637</t>
  </si>
  <si>
    <t>T1129010877</t>
  </si>
  <si>
    <t>144.75.186.30</t>
  </si>
  <si>
    <t>Learning Center</t>
  </si>
  <si>
    <t>10_03_054_60100_5521</t>
  </si>
  <si>
    <t>Learning Programs</t>
  </si>
  <si>
    <t>207A</t>
  </si>
  <si>
    <t>T1128811582</t>
  </si>
  <si>
    <t>144.75.195.46</t>
  </si>
  <si>
    <t>Miller Head Clinic</t>
  </si>
  <si>
    <t>T1128911370</t>
  </si>
  <si>
    <t>144.75.195.92</t>
  </si>
  <si>
    <t>Registrar Office</t>
  </si>
  <si>
    <t>10_03_054_90100_5521</t>
  </si>
  <si>
    <t>Registration &amp; Records</t>
  </si>
  <si>
    <t>Shell Hall</t>
  </si>
  <si>
    <t>T1129012229</t>
  </si>
  <si>
    <t>144.75.180.58</t>
  </si>
  <si>
    <t>T1129012238</t>
  </si>
  <si>
    <t>144.75.180.38</t>
  </si>
  <si>
    <t>T1129012240</t>
  </si>
  <si>
    <t>144.75.180.42</t>
  </si>
  <si>
    <t>10_07_205_90300_5521</t>
  </si>
  <si>
    <t>T202P700442</t>
  </si>
  <si>
    <t>144.75.180.103</t>
  </si>
  <si>
    <t>T202P700458</t>
  </si>
  <si>
    <t>144.75.180.41</t>
  </si>
  <si>
    <t>Financial Aid</t>
  </si>
  <si>
    <t>T1128911371</t>
  </si>
  <si>
    <t>144.75.195.91</t>
  </si>
  <si>
    <t>302D</t>
  </si>
  <si>
    <t>T1128911366</t>
  </si>
  <si>
    <t>144.75.195.102</t>
  </si>
  <si>
    <t>302A</t>
  </si>
  <si>
    <t>T1128910753</t>
  </si>
  <si>
    <t>144.75.195.38</t>
  </si>
  <si>
    <t>302B</t>
  </si>
  <si>
    <t>T1128811968</t>
  </si>
  <si>
    <t>144.75.195.10</t>
  </si>
  <si>
    <t>T1128911268</t>
  </si>
  <si>
    <t>144.75.195.101</t>
  </si>
  <si>
    <t>Superintendents Office</t>
  </si>
  <si>
    <t>10_03_061_94100_5521</t>
  </si>
  <si>
    <t>W502L600891</t>
  </si>
  <si>
    <t>144.75.179.53</t>
  </si>
  <si>
    <t>Superintendent's Office</t>
  </si>
  <si>
    <t>T1128811618</t>
  </si>
  <si>
    <t>144.75.179.77</t>
  </si>
  <si>
    <t>T1128911097</t>
  </si>
  <si>
    <t>144.75.179.107</t>
  </si>
  <si>
    <t>T1128911224</t>
  </si>
  <si>
    <t>144.75.179.108</t>
  </si>
  <si>
    <t>T1128911225</t>
  </si>
  <si>
    <t>144.75.179.109</t>
  </si>
  <si>
    <t>10_03_062_16100_5521</t>
  </si>
  <si>
    <t>Business Executive</t>
  </si>
  <si>
    <t>Business Office</t>
  </si>
  <si>
    <t>T1128911215</t>
  </si>
  <si>
    <t>144.75.179.115</t>
  </si>
  <si>
    <t>T1128911216</t>
  </si>
  <si>
    <t>144.75.179.65</t>
  </si>
  <si>
    <t>T1129012215</t>
  </si>
  <si>
    <t>144.75.179.113</t>
  </si>
  <si>
    <t>T1129012239</t>
  </si>
  <si>
    <t>144.75.179.114</t>
  </si>
  <si>
    <t>Comptrollers</t>
  </si>
  <si>
    <t>10_03_062_32100_5521</t>
  </si>
  <si>
    <t>Comptroller's Office</t>
  </si>
  <si>
    <t>V9725401454</t>
  </si>
  <si>
    <t>T1129012230</t>
  </si>
  <si>
    <t>144.75.179.43</t>
  </si>
  <si>
    <t>Human Resources</t>
  </si>
  <si>
    <t>10_03_063_74100_5521</t>
  </si>
  <si>
    <t>Personnel Administration</t>
  </si>
  <si>
    <t>V9725401440</t>
  </si>
  <si>
    <t>144.75.215.28</t>
  </si>
  <si>
    <t>T1129010888</t>
  </si>
  <si>
    <t>144.75.215.69</t>
  </si>
  <si>
    <t>T1129010903</t>
  </si>
  <si>
    <t>144.75.215.22</t>
  </si>
  <si>
    <t>T1129010833</t>
  </si>
  <si>
    <t>144.75.215.14</t>
  </si>
  <si>
    <t>T1129010891</t>
  </si>
  <si>
    <t>144.75.215.52</t>
  </si>
  <si>
    <t>Purchasing</t>
  </si>
  <si>
    <t>10_03_064_32105_5521</t>
  </si>
  <si>
    <t>Purchasing Office</t>
  </si>
  <si>
    <t>AF MP4002</t>
  </si>
  <si>
    <t>W522L700681</t>
  </si>
  <si>
    <t>144.75.179.66</t>
  </si>
  <si>
    <t>10_03_064_32145_5521</t>
  </si>
  <si>
    <t>AF MP6001</t>
  </si>
  <si>
    <t>V6925300966</t>
  </si>
  <si>
    <t>144.75.212.17</t>
  </si>
  <si>
    <t>Duplicating</t>
  </si>
  <si>
    <t>AF MPC6501</t>
  </si>
  <si>
    <t>V7620500472</t>
  </si>
  <si>
    <t>144.75.179.103</t>
  </si>
  <si>
    <t>Old Barracks</t>
  </si>
  <si>
    <t>B8</t>
  </si>
  <si>
    <t>T202P700470</t>
  </si>
  <si>
    <t>144.75.190.50</t>
  </si>
  <si>
    <t>10_03_064_50550_5521</t>
  </si>
  <si>
    <t>Printer Services</t>
  </si>
  <si>
    <t>New Barracks</t>
  </si>
  <si>
    <t>C11</t>
  </si>
  <si>
    <t>W522L700693</t>
  </si>
  <si>
    <t>144.75.188.60</t>
  </si>
  <si>
    <t>W522L700688</t>
  </si>
  <si>
    <t>144.75.188.50</t>
  </si>
  <si>
    <t>V7620400172</t>
  </si>
  <si>
    <t>144.75.195.225</t>
  </si>
  <si>
    <t>ADV</t>
  </si>
  <si>
    <t>210C</t>
  </si>
  <si>
    <t>T1128911292</t>
  </si>
  <si>
    <t>144.75.195.20</t>
  </si>
  <si>
    <t>T1129011291</t>
  </si>
  <si>
    <t>144.75.182.5</t>
  </si>
  <si>
    <t>204A</t>
  </si>
  <si>
    <t>T1129011358</t>
  </si>
  <si>
    <t>144.75.202.47</t>
  </si>
  <si>
    <t>T1128811663</t>
  </si>
  <si>
    <t>144.75.193.42</t>
  </si>
  <si>
    <t>T1128710825</t>
  </si>
  <si>
    <t>144.75.189.87</t>
  </si>
  <si>
    <t>T1128811911</t>
  </si>
  <si>
    <t>144.75.193.178</t>
  </si>
  <si>
    <t>T1129011165</t>
  </si>
  <si>
    <t>144.75.193.12</t>
  </si>
  <si>
    <t>T1128811954</t>
  </si>
  <si>
    <t>144.75.193.212</t>
  </si>
  <si>
    <t>T1128811955</t>
  </si>
  <si>
    <t>144.75.193.74</t>
  </si>
  <si>
    <t>T1128811953</t>
  </si>
  <si>
    <t>144.75.193.69</t>
  </si>
  <si>
    <t>T1129011163</t>
  </si>
  <si>
    <t>144.75.189.15</t>
  </si>
  <si>
    <t>W912P602284</t>
  </si>
  <si>
    <t>144.75.182.242</t>
  </si>
  <si>
    <t>T1128811629</t>
  </si>
  <si>
    <t>144.75.182.193</t>
  </si>
  <si>
    <t>T1129011168</t>
  </si>
  <si>
    <t>144.75.193.198</t>
  </si>
  <si>
    <t>T1129011167</t>
  </si>
  <si>
    <t>144.75.193.199</t>
  </si>
  <si>
    <t>T1128910780</t>
  </si>
  <si>
    <t>144.75.209.11</t>
  </si>
  <si>
    <t>T1129011352</t>
  </si>
  <si>
    <t>144.75.182.246</t>
  </si>
  <si>
    <t>T1129010306</t>
  </si>
  <si>
    <t>144.74.185.15</t>
  </si>
  <si>
    <t>T1129011161</t>
  </si>
  <si>
    <t>144.75.185.49</t>
  </si>
  <si>
    <t>Mail Services</t>
  </si>
  <si>
    <t>10_03_064_82140_5521</t>
  </si>
  <si>
    <t>Post Mail</t>
  </si>
  <si>
    <t>C10</t>
  </si>
  <si>
    <t>W912P602291</t>
  </si>
  <si>
    <t>144.75.130.87</t>
  </si>
  <si>
    <t>Protocol Office</t>
  </si>
  <si>
    <t>10_03_065_84100_5521</t>
  </si>
  <si>
    <t>T1129010803</t>
  </si>
  <si>
    <t>144.75.215.9</t>
  </si>
  <si>
    <t>10_03_045_54100_5521</t>
  </si>
  <si>
    <t>Communications &amp; Marketing</t>
  </si>
  <si>
    <t>V9725500667</t>
  </si>
  <si>
    <t>144.75.179.233</t>
  </si>
  <si>
    <t>Communications and Marketing</t>
  </si>
  <si>
    <t>10_03_065_88100_5521</t>
  </si>
  <si>
    <t>114A</t>
  </si>
  <si>
    <t>T1128911218</t>
  </si>
  <si>
    <t>144.75.179.110</t>
  </si>
  <si>
    <t>W912P602281</t>
  </si>
  <si>
    <t>144.75.179.81</t>
  </si>
  <si>
    <t>30_00_310_06104_5521</t>
  </si>
  <si>
    <t>W912P602286</t>
  </si>
  <si>
    <t>144.75.179.49</t>
  </si>
  <si>
    <t>Physical Plant</t>
  </si>
  <si>
    <t>10_03_071_14100_5521</t>
  </si>
  <si>
    <t>Physical Plant Administration</t>
  </si>
  <si>
    <t>V9725401439</t>
  </si>
  <si>
    <t>144.75.218.6</t>
  </si>
  <si>
    <t>W912P602228</t>
  </si>
  <si>
    <t>144.75.218.8</t>
  </si>
  <si>
    <t>T1129012156</t>
  </si>
  <si>
    <t>144.75.218.7</t>
  </si>
  <si>
    <t>T1129012227</t>
  </si>
  <si>
    <t>144.75.218.55</t>
  </si>
  <si>
    <t>T1129012236</t>
  </si>
  <si>
    <t>144.75.218.57</t>
  </si>
  <si>
    <t>Office of Construction</t>
  </si>
  <si>
    <t>Hallway</t>
  </si>
  <si>
    <t>W502L700003</t>
  </si>
  <si>
    <t>144.75.201.7</t>
  </si>
  <si>
    <t>T1129010870</t>
  </si>
  <si>
    <t>144.75.201.9</t>
  </si>
  <si>
    <t>T1129010901</t>
  </si>
  <si>
    <t>144.75.201.21</t>
  </si>
  <si>
    <t>Chaplains Office</t>
  </si>
  <si>
    <t>10_07_205_24100_5521</t>
  </si>
  <si>
    <t>UMA-Counselors Office</t>
  </si>
  <si>
    <t>W912P601485</t>
  </si>
  <si>
    <t>144.75.180.73</t>
  </si>
  <si>
    <t>Commandant's Office</t>
  </si>
  <si>
    <t>10_07_205_30150_5521</t>
  </si>
  <si>
    <t>UMA-Commandant's Office</t>
  </si>
  <si>
    <t>W512L601992</t>
  </si>
  <si>
    <t>144.75.190.18</t>
  </si>
  <si>
    <t>144.75.190.21</t>
  </si>
  <si>
    <t>135C</t>
  </si>
  <si>
    <t>T1129012232</t>
  </si>
  <si>
    <t>144.75.190.22</t>
  </si>
  <si>
    <t>Guard Room</t>
  </si>
  <si>
    <t>T1128811958</t>
  </si>
  <si>
    <t>144.75.190.30</t>
  </si>
  <si>
    <t>OC Hole</t>
  </si>
  <si>
    <t>3-303</t>
  </si>
  <si>
    <t>W912P602290</t>
  </si>
  <si>
    <t>144.75.143.18</t>
  </si>
  <si>
    <t>Band</t>
  </si>
  <si>
    <t>10_07_205_30200_5521</t>
  </si>
  <si>
    <t>UMA-Band</t>
  </si>
  <si>
    <t>W912P602276</t>
  </si>
  <si>
    <t>144.75.180.76</t>
  </si>
  <si>
    <t>Academic Advising</t>
  </si>
  <si>
    <t>V9725401429</t>
  </si>
  <si>
    <t>144.75.195.41</t>
  </si>
  <si>
    <t>Military Store</t>
  </si>
  <si>
    <t>10_08_302_82190_5521</t>
  </si>
  <si>
    <t>AUX-Military Store</t>
  </si>
  <si>
    <t>Richardson Hall</t>
  </si>
  <si>
    <t>V9725700303</t>
  </si>
  <si>
    <t>144.75.180.200</t>
  </si>
  <si>
    <t>T1129012233</t>
  </si>
  <si>
    <t>144.75.180.101</t>
  </si>
  <si>
    <t>T1129012234</t>
  </si>
  <si>
    <t>Laundry</t>
  </si>
  <si>
    <t>10_08_303_82240_5521</t>
  </si>
  <si>
    <t>AUX-Laundry &amp; Pressing</t>
  </si>
  <si>
    <t>W912P602288</t>
  </si>
  <si>
    <t>144.75.195.6</t>
  </si>
  <si>
    <t>T202P700340</t>
  </si>
  <si>
    <t>144.75.195.95</t>
  </si>
  <si>
    <t>Infirmary</t>
  </si>
  <si>
    <t>10_08_305_80150_5521</t>
  </si>
  <si>
    <t>AUX-Student Health</t>
  </si>
  <si>
    <t>V9725401375</t>
  </si>
  <si>
    <t>144.75.176.46</t>
  </si>
  <si>
    <t>V9725401162</t>
  </si>
  <si>
    <t>144.75.176.21</t>
  </si>
  <si>
    <t>T1128710823</t>
  </si>
  <si>
    <t>144.75.176.20</t>
  </si>
  <si>
    <t>Newspaper</t>
  </si>
  <si>
    <t>10_08_307_18380_5521</t>
  </si>
  <si>
    <t>Student Union</t>
  </si>
  <si>
    <t>W912P602285</t>
  </si>
  <si>
    <t>144.75.86.16</t>
  </si>
  <si>
    <t>Auxiliary Services</t>
  </si>
  <si>
    <t>10_08_309_82115_5521</t>
  </si>
  <si>
    <t>Auxiliary Administration</t>
  </si>
  <si>
    <t>V9725500651</t>
  </si>
  <si>
    <t>144.75.177.32</t>
  </si>
  <si>
    <t>Athletics</t>
  </si>
  <si>
    <t>Cameron Hall</t>
  </si>
  <si>
    <t>T1129010385</t>
  </si>
  <si>
    <t>144.75.183.63</t>
  </si>
  <si>
    <t>Sport Medicine</t>
  </si>
  <si>
    <t>T1129010423</t>
  </si>
  <si>
    <t>144.75.183.71</t>
  </si>
  <si>
    <t>30_00_310_06090_5521</t>
  </si>
  <si>
    <t>T1129010429</t>
  </si>
  <si>
    <t>144.75.183.65</t>
  </si>
  <si>
    <t>Center for Leadership &amp; Ethics</t>
  </si>
  <si>
    <t>30_00_045_61150_5521</t>
  </si>
  <si>
    <t>V9725400756</t>
  </si>
  <si>
    <t>144.75.215.6</t>
  </si>
  <si>
    <t>T1129012327</t>
  </si>
  <si>
    <t>144.75.215.10</t>
  </si>
  <si>
    <t>T1129011351</t>
  </si>
  <si>
    <t>144.75.215.30</t>
  </si>
  <si>
    <t>Football Office</t>
  </si>
  <si>
    <t>30_00_310_06000_5521</t>
  </si>
  <si>
    <t>Football</t>
  </si>
  <si>
    <t>Clarkson McKenna Hall</t>
  </si>
  <si>
    <t>W502L600898</t>
  </si>
  <si>
    <t>144.75.216.14</t>
  </si>
  <si>
    <t>Football Department</t>
  </si>
  <si>
    <t>T1129012226</t>
  </si>
  <si>
    <t>144.75.216.21</t>
  </si>
  <si>
    <t>30_00_310_06020_5521</t>
  </si>
  <si>
    <t>Track &amp; Cross Country</t>
  </si>
  <si>
    <t>T1129010426</t>
  </si>
  <si>
    <t>144.75.183.68</t>
  </si>
  <si>
    <t>30_00_310_06095_5521</t>
  </si>
  <si>
    <t>Soccer - Women</t>
  </si>
  <si>
    <t>T1129010419</t>
  </si>
  <si>
    <t>144.75.183.69</t>
  </si>
  <si>
    <t>30_00_310_06110_5521</t>
  </si>
  <si>
    <t>Administrative</t>
  </si>
  <si>
    <t>V9725401418</t>
  </si>
  <si>
    <t>144.75.183.52</t>
  </si>
  <si>
    <t>V7620400078</t>
  </si>
  <si>
    <t>144.75.183.56</t>
  </si>
  <si>
    <t>W912P602280</t>
  </si>
  <si>
    <t>144.75.183.73</t>
  </si>
  <si>
    <t>T1129010427</t>
  </si>
  <si>
    <t>144.75.183.9</t>
  </si>
  <si>
    <t>T1129010420</t>
  </si>
  <si>
    <t>144.75.183.64</t>
  </si>
  <si>
    <t>T1129010428</t>
  </si>
  <si>
    <t>144.75.183.67</t>
  </si>
  <si>
    <t>T1129010421</t>
  </si>
  <si>
    <t>144.75.183.62</t>
  </si>
  <si>
    <t>B&amp;W
MFP</t>
  </si>
  <si>
    <t>Color
MFP</t>
  </si>
  <si>
    <t>B/W
MFD</t>
  </si>
  <si>
    <t>Color
MFD</t>
  </si>
  <si>
    <t>B&amp;W 
MFP</t>
  </si>
  <si>
    <t>Color 
MFP</t>
  </si>
  <si>
    <t>MFP:</t>
  </si>
  <si>
    <t>B&amp;W 
Printer</t>
  </si>
  <si>
    <t>Color 
Printer</t>
  </si>
  <si>
    <t>B/W
Printer</t>
  </si>
  <si>
    <t>Color
Printer</t>
  </si>
  <si>
    <t>Printer:</t>
  </si>
  <si>
    <t>Total
B&amp;W</t>
  </si>
  <si>
    <t>Total 
Color</t>
  </si>
  <si>
    <t>Total:</t>
  </si>
  <si>
    <t>Total This
Invoice:</t>
  </si>
  <si>
    <t>Rates</t>
  </si>
  <si>
    <t>MFP B&amp;W</t>
  </si>
  <si>
    <t>MFP Color</t>
  </si>
  <si>
    <t>Printer B&amp;W</t>
  </si>
  <si>
    <t>Printer Color</t>
  </si>
  <si>
    <t>Devices</t>
  </si>
  <si>
    <t>Type</t>
  </si>
  <si>
    <t>PTR</t>
  </si>
  <si>
    <t>Invoice Total</t>
  </si>
  <si>
    <t>Scott Shipp Fair Use</t>
  </si>
  <si>
    <t>VMI Center for Undergraduate Research</t>
  </si>
  <si>
    <t>203D</t>
  </si>
  <si>
    <t>Athletic Advising</t>
  </si>
  <si>
    <t>309 Letcher</t>
  </si>
  <si>
    <t>300D</t>
  </si>
  <si>
    <t>305 Letcher Avenue</t>
  </si>
  <si>
    <t>320 Institute Hill</t>
  </si>
  <si>
    <t>303A Letcher Avenue</t>
  </si>
  <si>
    <t>Athletic Communications</t>
  </si>
  <si>
    <t>General Ledger</t>
  </si>
  <si>
    <t>Ricoh Tag</t>
  </si>
  <si>
    <t>Total BW Click Count</t>
  </si>
  <si>
    <t>Total Color Click Count</t>
  </si>
  <si>
    <t>BW Click Charge</t>
  </si>
  <si>
    <t>CPC BW</t>
  </si>
  <si>
    <t>CPC Color</t>
  </si>
  <si>
    <t>Prev BW Click Count</t>
  </si>
  <si>
    <t>Current BW Click Count</t>
  </si>
  <si>
    <t>MFP Total:</t>
  </si>
  <si>
    <t>Printer Total:</t>
  </si>
  <si>
    <t>Device Total:</t>
  </si>
  <si>
    <t xml:space="preserve"> Department</t>
  </si>
  <si>
    <t>40_00_052_06550_5521</t>
  </si>
  <si>
    <t>26_23_901_14788_5521</t>
  </si>
  <si>
    <t>Toner Type</t>
  </si>
  <si>
    <t>Quantity</t>
  </si>
  <si>
    <t>Toner Cost Ea.</t>
  </si>
  <si>
    <t>Total Toner Cost</t>
  </si>
  <si>
    <t>Superintendents House</t>
  </si>
  <si>
    <t xml:space="preserve">M2727  </t>
  </si>
  <si>
    <t>Black</t>
  </si>
  <si>
    <t>CNG8961SWT</t>
  </si>
  <si>
    <t>144.75.156.35</t>
  </si>
  <si>
    <t>Protocol</t>
  </si>
  <si>
    <t>17099-732</t>
  </si>
  <si>
    <t>JPKAC48117</t>
  </si>
  <si>
    <t xml:space="preserve">144.75.178.14  </t>
  </si>
  <si>
    <t>Cyan</t>
  </si>
  <si>
    <t>Magenta</t>
  </si>
  <si>
    <t>Yellow</t>
  </si>
  <si>
    <t xml:space="preserve">Admissions  </t>
  </si>
  <si>
    <t>CP4025</t>
  </si>
  <si>
    <t>JPBCBBMOSG  </t>
  </si>
  <si>
    <t xml:space="preserve">144.75.215.29  </t>
  </si>
  <si>
    <t>Media Services</t>
  </si>
  <si>
    <t>LJ3600</t>
  </si>
  <si>
    <t>CNWDF12176</t>
  </si>
  <si>
    <t>144.75.196.251</t>
  </si>
  <si>
    <t>CNWDF12177</t>
  </si>
  <si>
    <t>CNWDF12178</t>
  </si>
  <si>
    <t>CNWDF12179</t>
  </si>
  <si>
    <t>LJ4005  </t>
  </si>
  <si>
    <t>JPRLB46624</t>
  </si>
  <si>
    <t xml:space="preserve">144.75.195.232  </t>
  </si>
  <si>
    <t>JPRLB46625</t>
  </si>
  <si>
    <t>JPRLB46626</t>
  </si>
  <si>
    <t>JPRLB46627</t>
  </si>
  <si>
    <t xml:space="preserve">Athletics  </t>
  </si>
  <si>
    <t>17099-828</t>
  </si>
  <si>
    <t xml:space="preserve">P3010 </t>
  </si>
  <si>
    <t>VNBCC4L0MD</t>
  </si>
  <si>
    <t>144.75.179.5</t>
  </si>
  <si>
    <t>VNBCC4L0M6</t>
  </si>
  <si>
    <t>144.75.179.31</t>
  </si>
  <si>
    <t>HP-MFP</t>
  </si>
  <si>
    <t>HP-PTR</t>
  </si>
  <si>
    <t>40_00_011_78500_5521</t>
  </si>
  <si>
    <t>40_00_011_10250_5521</t>
  </si>
  <si>
    <t>40_00_045_56350_5521</t>
  </si>
  <si>
    <t>10_03_045_55100_5521</t>
  </si>
  <si>
    <t>News Paper Office</t>
  </si>
  <si>
    <t>Post Police</t>
  </si>
  <si>
    <t>BOQ</t>
  </si>
  <si>
    <t>AF SPC430DN</t>
  </si>
  <si>
    <t>S9329101091</t>
  </si>
  <si>
    <t xml:space="preserve">144.75.186.31  </t>
  </si>
  <si>
    <t>144.75.178.18</t>
  </si>
  <si>
    <t>S9329101012</t>
  </si>
  <si>
    <t>144.75.178.13</t>
  </si>
  <si>
    <t>JP4LC17284</t>
  </si>
  <si>
    <t>Not on network</t>
  </si>
  <si>
    <t>Honor Court</t>
  </si>
  <si>
    <t>10_08_308_94175_5521</t>
  </si>
  <si>
    <t>W912P602240</t>
  </si>
  <si>
    <t>144.75.180.70</t>
  </si>
  <si>
    <t>W912P903531</t>
  </si>
  <si>
    <t>144.75.6.24</t>
  </si>
  <si>
    <t>Cadet Life</t>
  </si>
  <si>
    <t>Lejeune Hall</t>
  </si>
  <si>
    <t>V9725401441</t>
  </si>
  <si>
    <t>144.75.149.13</t>
  </si>
  <si>
    <t>Counseling</t>
  </si>
  <si>
    <t>10_03_053_52100_5521</t>
  </si>
  <si>
    <t>T1128911212</t>
  </si>
  <si>
    <t>144.75.176.50</t>
  </si>
  <si>
    <t>T1128710864</t>
  </si>
  <si>
    <t>144.75.179.4</t>
  </si>
  <si>
    <t>T1128911197</t>
  </si>
  <si>
    <t>T202P700480</t>
  </si>
  <si>
    <t>T202P600356</t>
  </si>
  <si>
    <t>144.75.193.128</t>
  </si>
  <si>
    <t>T1128911519</t>
  </si>
  <si>
    <t>114.75.205.24</t>
  </si>
  <si>
    <t>T202P700459</t>
  </si>
  <si>
    <t>144.75.180.56</t>
  </si>
  <si>
    <t>AF MPC5502</t>
  </si>
  <si>
    <t>W542LB00047</t>
  </si>
  <si>
    <t>T1129010425</t>
  </si>
  <si>
    <t>144.75.213.47</t>
  </si>
  <si>
    <t>T1128811962</t>
  </si>
  <si>
    <t>144.75.193.230</t>
  </si>
  <si>
    <t>T1128911512</t>
  </si>
  <si>
    <t>144.75.177.29</t>
  </si>
  <si>
    <t>T202P801071</t>
  </si>
  <si>
    <t>144.75.6.28</t>
  </si>
  <si>
    <t>144.75.6.20</t>
  </si>
  <si>
    <t>144.75.6.30</t>
  </si>
  <si>
    <t>T202P700273</t>
  </si>
  <si>
    <t>T1129010912</t>
  </si>
  <si>
    <t>144.75.180.47</t>
  </si>
  <si>
    <t>10_08_302_82230_5521</t>
  </si>
  <si>
    <t>Tailor Shop</t>
  </si>
  <si>
    <t>144.75.180.89</t>
  </si>
  <si>
    <t>HP Toner:</t>
  </si>
  <si>
    <t>Total Invoice w/ HP Toner:</t>
  </si>
  <si>
    <t>Basement</t>
  </si>
  <si>
    <t>303 Letcher</t>
  </si>
  <si>
    <t>W502L600725</t>
  </si>
  <si>
    <t>T1129010915</t>
  </si>
  <si>
    <t>T1129012235</t>
  </si>
  <si>
    <t>T1128911209</t>
  </si>
  <si>
    <t>T202P700467</t>
  </si>
  <si>
    <t>T1128910777</t>
  </si>
  <si>
    <t>T1129010432</t>
  </si>
  <si>
    <t>T202P801021</t>
  </si>
  <si>
    <t>W502LA00634</t>
  </si>
  <si>
    <t>T1128910782</t>
  </si>
  <si>
    <t>T1129010836</t>
  </si>
  <si>
    <t>T1129011274</t>
  </si>
  <si>
    <t>T1129010631</t>
  </si>
  <si>
    <t>Math &amp; Computer Science</t>
  </si>
  <si>
    <t>144.75.176.29</t>
  </si>
  <si>
    <t>144.75.179.112</t>
  </si>
  <si>
    <t>Grand Total</t>
  </si>
  <si>
    <t>144.75.179.35</t>
  </si>
  <si>
    <t>144.75.208.40</t>
  </si>
  <si>
    <t>144.75.182.85</t>
  </si>
  <si>
    <t>144.75.180.11</t>
  </si>
  <si>
    <t>10_03_062_16150_5521</t>
  </si>
  <si>
    <t>Institute Planning</t>
  </si>
  <si>
    <t>10_03_062_98100_5521</t>
  </si>
  <si>
    <t>Institutional Research</t>
  </si>
  <si>
    <t>Soccer</t>
  </si>
  <si>
    <t>30_00_310_06010_5521</t>
  </si>
  <si>
    <t>Basketball</t>
  </si>
  <si>
    <t>AOF - Academic Advising</t>
  </si>
  <si>
    <t>AUX-Tailor Shop</t>
  </si>
  <si>
    <t>Carroll Biology Fund</t>
  </si>
  <si>
    <t>10_03_011_10100_5521</t>
  </si>
  <si>
    <t>Career Services and Placement</t>
  </si>
  <si>
    <t>39_00_000_32960_5521</t>
  </si>
  <si>
    <t>Accts Payable Clearing Acct</t>
  </si>
  <si>
    <t>10_03_011_65100_5521</t>
  </si>
  <si>
    <t>Computer and Information Scien</t>
  </si>
  <si>
    <t>Dean of the Faculty</t>
  </si>
  <si>
    <t>Undergraduate Research</t>
  </si>
  <si>
    <t>English</t>
  </si>
  <si>
    <t>10_03_055_42100_5521</t>
  </si>
  <si>
    <t>E&amp;G-Cadet Counseling</t>
  </si>
  <si>
    <t>10_08_308_52175_5521</t>
  </si>
  <si>
    <t>Drug &amp; Alcohol Abuse</t>
  </si>
  <si>
    <t>Institutional Analysis</t>
  </si>
  <si>
    <t>International Studies Depart</t>
  </si>
  <si>
    <t>10_03_011_56100_5521</t>
  </si>
  <si>
    <t>30_00_045_61520_5521</t>
  </si>
  <si>
    <t>VSSEF 2013</t>
  </si>
  <si>
    <t>30_00_045_61530_5521</t>
  </si>
  <si>
    <t>VSSEF 2014</t>
  </si>
  <si>
    <t>30_00_045_61540_5521</t>
  </si>
  <si>
    <t>VSSEF 2015</t>
  </si>
  <si>
    <t>10_08_310_14240_5521</t>
  </si>
  <si>
    <t>Athletic Facilities</t>
  </si>
  <si>
    <t>Cameron Physics &amp; Astronomy</t>
  </si>
  <si>
    <t>10_03_011_78100_5521</t>
  </si>
  <si>
    <t>10_07_208_80100_5521</t>
  </si>
  <si>
    <t>UMA-Student Health</t>
  </si>
  <si>
    <t>10_03_071_81100_5521</t>
  </si>
  <si>
    <t>Post Security</t>
  </si>
  <si>
    <t>Philosophy &amp; Psychology</t>
  </si>
  <si>
    <t>Treasurers Office</t>
  </si>
  <si>
    <t>Institute Writing Program</t>
  </si>
  <si>
    <t>GL #</t>
  </si>
  <si>
    <t>Description</t>
  </si>
  <si>
    <t>Row Labels</t>
  </si>
  <si>
    <t>(blank)</t>
  </si>
  <si>
    <t>Sum of Device Total Click Charge</t>
  </si>
  <si>
    <t>Admissions Office</t>
  </si>
  <si>
    <t>Sports Information</t>
  </si>
  <si>
    <t>Department / Read date  3/31/2013</t>
  </si>
  <si>
    <t>301A</t>
  </si>
  <si>
    <t>Manufacturer</t>
  </si>
  <si>
    <t>Mono Pages First Meter</t>
  </si>
  <si>
    <t>Color Pages First Meter</t>
  </si>
  <si>
    <t>Mono Pages Last Meter</t>
  </si>
  <si>
    <t>Color Pages Last Meter</t>
  </si>
  <si>
    <t>RICOH</t>
  </si>
  <si>
    <t>Aficio SP C430DN</t>
  </si>
  <si>
    <t>Aficio SP 4310N</t>
  </si>
  <si>
    <t>T1128710860</t>
  </si>
  <si>
    <t>T1128811965</t>
  </si>
  <si>
    <t>T1128911167</t>
  </si>
  <si>
    <t>T1128911184</t>
  </si>
  <si>
    <t>T1128911357</t>
  </si>
  <si>
    <t>T1128911517</t>
  </si>
  <si>
    <t>T1128911518</t>
  </si>
  <si>
    <t>T1128911520</t>
  </si>
  <si>
    <t>T1129010623</t>
  </si>
  <si>
    <t>T1129010625</t>
  </si>
  <si>
    <t>T1129010627</t>
  </si>
  <si>
    <t>T1129010629</t>
  </si>
  <si>
    <t>T1129010634</t>
  </si>
  <si>
    <t>T1129010838</t>
  </si>
  <si>
    <t>T1129010873</t>
  </si>
  <si>
    <t>T1129010890</t>
  </si>
  <si>
    <t>T1129010904</t>
  </si>
  <si>
    <t>T1129010910</t>
  </si>
  <si>
    <t>T1129010922</t>
  </si>
  <si>
    <t>T1129011348</t>
  </si>
  <si>
    <t>T1129011354</t>
  </si>
  <si>
    <t>T1129011362</t>
  </si>
  <si>
    <t>T1129012228</t>
  </si>
  <si>
    <t>T1129012231</t>
  </si>
  <si>
    <t>T1129012317</t>
  </si>
  <si>
    <t>T1129012361</t>
  </si>
  <si>
    <t>T1129012363</t>
  </si>
  <si>
    <t>T1129012368</t>
  </si>
  <si>
    <t>T1129012371</t>
  </si>
  <si>
    <t>Aficio SP C242DN</t>
  </si>
  <si>
    <t>T202P600366</t>
  </si>
  <si>
    <t>T202P600824</t>
  </si>
  <si>
    <t>T202P801019</t>
  </si>
  <si>
    <t>T202P801022</t>
  </si>
  <si>
    <t>T202P901338</t>
  </si>
  <si>
    <t>T202P901345</t>
  </si>
  <si>
    <t>Aficio MP 6001</t>
  </si>
  <si>
    <t>V6925301072</t>
  </si>
  <si>
    <t>Aficio MP C6501</t>
  </si>
  <si>
    <t>Aficio MP C2051</t>
  </si>
  <si>
    <t>V9734900016</t>
  </si>
  <si>
    <t>V9734900029</t>
  </si>
  <si>
    <t>Aficio MP C3502</t>
  </si>
  <si>
    <t>Aficio MP C4502</t>
  </si>
  <si>
    <t>Aficio MP 4002</t>
  </si>
  <si>
    <t>W523L101576</t>
  </si>
  <si>
    <t>Aficio MP C5502</t>
  </si>
  <si>
    <t>Aficio MP 301</t>
  </si>
  <si>
    <t>T1129010906</t>
  </si>
  <si>
    <t>T1129010621</t>
  </si>
  <si>
    <t>T1129010908</t>
  </si>
  <si>
    <t>T1129012364</t>
  </si>
  <si>
    <t>T1129012350</t>
  </si>
  <si>
    <t>T1128911469</t>
  </si>
  <si>
    <t>T1129010633</t>
  </si>
  <si>
    <t>T1128911220</t>
  </si>
  <si>
    <t>T1129010918</t>
  </si>
  <si>
    <t>Date:</t>
  </si>
  <si>
    <t>Client Name:</t>
  </si>
  <si>
    <t>Virginia Military Institute</t>
  </si>
  <si>
    <t>Client Contact Information:</t>
  </si>
  <si>
    <t>Craig Peltion</t>
  </si>
  <si>
    <t>Meter Analysis Period:</t>
  </si>
  <si>
    <t>144.75.176.32</t>
  </si>
  <si>
    <t>QMD</t>
  </si>
  <si>
    <t>144.75.187.37</t>
  </si>
  <si>
    <t>144.75.179.234</t>
  </si>
  <si>
    <t>144.75.213.35</t>
  </si>
  <si>
    <t>144.75.208.37</t>
  </si>
  <si>
    <t>144.75.176.49</t>
  </si>
  <si>
    <t>144.75.208.26</t>
  </si>
  <si>
    <t>144.75.176.48</t>
  </si>
  <si>
    <t>144.75.202.38</t>
  </si>
  <si>
    <t>144.75.202.28</t>
  </si>
  <si>
    <t>144.75.195.65</t>
  </si>
  <si>
    <t>144.75.190.36</t>
  </si>
  <si>
    <t>144.75.190.14</t>
  </si>
  <si>
    <t>Not Networked</t>
  </si>
  <si>
    <t>144.75.195.90</t>
  </si>
  <si>
    <t>B5</t>
  </si>
  <si>
    <t>144.75.190.42</t>
  </si>
  <si>
    <t>Rifle Range</t>
  </si>
  <si>
    <t>144.75.187.120</t>
  </si>
  <si>
    <t>3C-14</t>
  </si>
  <si>
    <t>144.75.155.56</t>
  </si>
  <si>
    <t>Addmissions</t>
  </si>
  <si>
    <t>Moody Hall</t>
  </si>
  <si>
    <t>144.75.184.23</t>
  </si>
  <si>
    <t>144.75.187.152</t>
  </si>
  <si>
    <t>144.75.185.41</t>
  </si>
  <si>
    <t>144.75.187.101</t>
  </si>
  <si>
    <t>144.75.214.41</t>
  </si>
  <si>
    <t>144.75.202.76</t>
  </si>
  <si>
    <t>144.75.187.111</t>
  </si>
  <si>
    <t>144.75.149.11</t>
  </si>
  <si>
    <t>Af SP4310N</t>
  </si>
  <si>
    <t>144.75.187.124</t>
  </si>
  <si>
    <t>144.75.202.75</t>
  </si>
  <si>
    <t>144.75.202.70</t>
  </si>
  <si>
    <t>300E</t>
  </si>
  <si>
    <t>144.75.197.37</t>
  </si>
  <si>
    <t>144.75.187.151</t>
  </si>
  <si>
    <t>144.75.177.30</t>
  </si>
  <si>
    <t>144.75.180.104</t>
  </si>
  <si>
    <t>144.75.177.43</t>
  </si>
  <si>
    <t>144.75.182.92</t>
  </si>
  <si>
    <t>144.75.187.148</t>
  </si>
  <si>
    <t>144.75.187.149</t>
  </si>
  <si>
    <t>144.75.215.67</t>
  </si>
  <si>
    <t>144.75.196.7</t>
  </si>
  <si>
    <t>144.75.6.17</t>
  </si>
  <si>
    <t>144.75.195.97</t>
  </si>
  <si>
    <t>144.75.179.122</t>
  </si>
  <si>
    <t>Stone Wall Jackson House</t>
  </si>
  <si>
    <t>Gift Shop</t>
  </si>
  <si>
    <t>144.75.181.15</t>
  </si>
  <si>
    <t>144.75.179.230</t>
  </si>
  <si>
    <t>30_00_031_70275_5505</t>
  </si>
  <si>
    <t>135D</t>
  </si>
  <si>
    <t>T202P700468</t>
  </si>
  <si>
    <t>144.75.193.106</t>
  </si>
  <si>
    <t>Floor 2</t>
  </si>
  <si>
    <t>Floor 3</t>
  </si>
  <si>
    <t>T1129012328</t>
  </si>
  <si>
    <t>V9735000740</t>
  </si>
  <si>
    <t>144.75.181.13</t>
  </si>
  <si>
    <t>144.75.181.14</t>
  </si>
  <si>
    <t>Miller Academic Center</t>
  </si>
  <si>
    <t>Ricohardson Hall</t>
  </si>
  <si>
    <t>Kiosk</t>
  </si>
  <si>
    <t>144.75.182.178</t>
  </si>
  <si>
    <t>10_03_011_67100_5521</t>
  </si>
  <si>
    <t>Math Education Resource Center</t>
  </si>
  <si>
    <t>216A</t>
  </si>
  <si>
    <t>144.75.187.102</t>
  </si>
  <si>
    <t>T1129010839</t>
  </si>
  <si>
    <t>144.75.187.127</t>
  </si>
  <si>
    <t>First Meter Date</t>
  </si>
  <si>
    <t>Last Meter Date</t>
  </si>
  <si>
    <t>T1129010125</t>
  </si>
  <si>
    <t>T1129010898</t>
  </si>
  <si>
    <t>144.75.187.114</t>
  </si>
  <si>
    <t>144.75.202.89</t>
  </si>
  <si>
    <t>m1536dnf</t>
  </si>
  <si>
    <t>CNC9CC2DKZ</t>
  </si>
  <si>
    <t>144.75.195.116</t>
  </si>
  <si>
    <t>322A</t>
  </si>
  <si>
    <t>CNDX147930</t>
  </si>
  <si>
    <t>144.75.177.50</t>
  </si>
  <si>
    <t>P3005DN</t>
  </si>
  <si>
    <t>CDN1S33307</t>
  </si>
  <si>
    <t>CND1S29060</t>
  </si>
  <si>
    <t>CND1R25001</t>
  </si>
  <si>
    <t>144.75.182.73</t>
  </si>
  <si>
    <t>144.75.182.65</t>
  </si>
  <si>
    <t>144.75.182.88</t>
  </si>
  <si>
    <t>JP4LC04882</t>
  </si>
  <si>
    <t>144.75.202.79</t>
  </si>
  <si>
    <t>JP4LC04883</t>
  </si>
  <si>
    <t>JP4LC04884</t>
  </si>
  <si>
    <t>JP4LC04885</t>
  </si>
  <si>
    <t>144.75.202.80</t>
  </si>
  <si>
    <t>144.75.202.81</t>
  </si>
  <si>
    <t>144.75.202.82</t>
  </si>
  <si>
    <t>TOTAL</t>
  </si>
  <si>
    <t>Custodial Services</t>
  </si>
  <si>
    <t>LJ2420</t>
  </si>
  <si>
    <t>CNGKK65998</t>
  </si>
  <si>
    <t>144.75.201.27</t>
  </si>
  <si>
    <t>JP4LC04906</t>
  </si>
  <si>
    <t>LJ5550HDN</t>
  </si>
  <si>
    <t>JPDC4CK00H</t>
  </si>
  <si>
    <t>144.75.179.229</t>
  </si>
  <si>
    <t>New Market</t>
  </si>
  <si>
    <t>LJP3015DN</t>
  </si>
  <si>
    <t>30_00_031_70150_5521</t>
  </si>
  <si>
    <t>New Market Battle Field</t>
  </si>
  <si>
    <t>LJp4015DN</t>
  </si>
  <si>
    <t>VNBCB3L2BW</t>
  </si>
  <si>
    <t>JPDF028849</t>
  </si>
  <si>
    <t>Office</t>
  </si>
  <si>
    <t>Hinty Hall</t>
  </si>
  <si>
    <t>Supply</t>
  </si>
  <si>
    <t>LJCP2025</t>
  </si>
  <si>
    <t>10_07_205_90300_5521 Total</t>
  </si>
  <si>
    <t>10_03_054_01100_5521 Total</t>
  </si>
  <si>
    <t>10_03_064_50550_5521 Total</t>
  </si>
  <si>
    <t>10_03_011_02100_5521 Total</t>
  </si>
  <si>
    <t>10_03_011_04100_5521 Total</t>
  </si>
  <si>
    <t>40_00_052_06550_5521 Total</t>
  </si>
  <si>
    <t>30_00_310_06104_5521 Total</t>
  </si>
  <si>
    <t>30_00_310_06020_5521 Total</t>
  </si>
  <si>
    <t>30_00_310_06090_5521 Total</t>
  </si>
  <si>
    <t>30_00_310_06095_5521 Total</t>
  </si>
  <si>
    <t>30_00_310_06110_5521 Total</t>
  </si>
  <si>
    <t>10_08_309_82115_5521 Total</t>
  </si>
  <si>
    <t>10_07_205_30200_5521 Total</t>
  </si>
  <si>
    <t>10_03_011_10100_5521 Total</t>
  </si>
  <si>
    <t>40_00_011_10250_5521 Total</t>
  </si>
  <si>
    <t>10_03_062_16100_5521 Total</t>
  </si>
  <si>
    <t>10_03_062_16150_5521 Total</t>
  </si>
  <si>
    <t>10_03_062_98100_5521 Total</t>
  </si>
  <si>
    <t>10_08_307_18380_5521 Total</t>
  </si>
  <si>
    <t>10_03_053_20300_5521 Total</t>
  </si>
  <si>
    <t>10_03_064_32145_5521 Total</t>
  </si>
  <si>
    <t>30_00_045_61150_5521 Total</t>
  </si>
  <si>
    <t>10_07_205_24100_5521 Total</t>
  </si>
  <si>
    <t>10_03_011_26100_5521 Total</t>
  </si>
  <si>
    <t>10_03_011_28100_5521 Total</t>
  </si>
  <si>
    <t>10_07_205_30150_5521 Total</t>
  </si>
  <si>
    <t>10_03_065_88100_5521 Total</t>
  </si>
  <si>
    <t>10_03_062_32100_5521 Total</t>
  </si>
  <si>
    <t>10_08_308_52175_5521 Total</t>
  </si>
  <si>
    <t>10_03_045_34100_5521 Total</t>
  </si>
  <si>
    <t>10_03_011_36100_5521 Total</t>
  </si>
  <si>
    <t>10_03_011_38100_5521 Total</t>
  </si>
  <si>
    <t>10_03_011_40100_5521 Total</t>
  </si>
  <si>
    <t>10_03_055_42100_5521 Total</t>
  </si>
  <si>
    <t>30_00_310_06000_5521 Total</t>
  </si>
  <si>
    <t>10_03_011_48100_5521 Total</t>
  </si>
  <si>
    <t>10_08_308_94175_5521 Total</t>
  </si>
  <si>
    <t>10_03_063_74100_5521 Total</t>
  </si>
  <si>
    <t>10_08_305_80150_5521 Total</t>
  </si>
  <si>
    <t>10_03_043_50100_5521 Total</t>
  </si>
  <si>
    <t>10_03_045_54100_5521 Total</t>
  </si>
  <si>
    <t>10_03_045_55100_5521 Total</t>
  </si>
  <si>
    <t>40_00_045_56350_5521 Total</t>
  </si>
  <si>
    <t>10_08_303_82240_5521 Total</t>
  </si>
  <si>
    <t>10_03_064_82140_5521 Total</t>
  </si>
  <si>
    <t>10_03_011_64100_5521 Total</t>
  </si>
  <si>
    <t>10_03_011_67100_5521 Total</t>
  </si>
  <si>
    <t>10_03_011_66100_5521 Total</t>
  </si>
  <si>
    <t>10_08_302_82190_5521 Total</t>
  </si>
  <si>
    <t>10_03_054_60100_5521 Total</t>
  </si>
  <si>
    <t>10_03_011_68100_5521 Total</t>
  </si>
  <si>
    <t>10_03_031_70100_5521 Total</t>
  </si>
  <si>
    <t>10_03_011_72100_5521 Total</t>
  </si>
  <si>
    <t>26_23_901_14788_5521 Total</t>
  </si>
  <si>
    <t>10_03_011_76100_5521 Total</t>
  </si>
  <si>
    <t>10_03_071_14100_5521 Total</t>
  </si>
  <si>
    <t>40_00_011_78500_5521 Total</t>
  </si>
  <si>
    <t>10_03_071_81100_5521 Total</t>
  </si>
  <si>
    <t>10_03_041_62100_5521 Total</t>
  </si>
  <si>
    <t>10_03_065_84100_5521 Total</t>
  </si>
  <si>
    <t>10_03_011_86100_5521 Total</t>
  </si>
  <si>
    <t>10_03_064_32105_5521 Total</t>
  </si>
  <si>
    <t>10_03_054_90100_5521 Total</t>
  </si>
  <si>
    <t>30_00_031_70275_5505 Total</t>
  </si>
  <si>
    <t>10_03_061_94100_5521 Total</t>
  </si>
  <si>
    <t>10_08_302_82230_5521 Total</t>
  </si>
  <si>
    <t>10_03_011_34175_5521 Total</t>
  </si>
  <si>
    <t>10_03_045_99200_5521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</si>
</sst>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  <numFmt numFmtId="165" formatCode="_(&quot;$&quot;* #,##0.0000_);_(&quot;$&quot;* \(#,##0.0000\);_(&quot;$&quot;* &quot;-&quot;????_);_(@_)"/>
    <numFmt numFmtId="166" formatCode="_(&quot;$&quot;* #,##0.000_);_(&quot;$&quot;* \(#,##0.000\);_(&quot;$&quot;* &quot;-&quot;???_);_(@_)"/>
    <numFmt numFmtId="167" formatCode="0.0000"/>
    <numFmt numFmtId="168" formatCode="#####\-###"/>
    <numFmt numFmtId="169" formatCode="00000\-000"/>
    <numFmt numFmtId="170" formatCode="m/d/yyyy\ h:mm\ AM/PM;@"/>
  </numFmts>
  <fonts count="2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name val="Calibri"/>
      <family val="2"/>
      <scheme val="minor"/>
    </font>
    <font>
      <sz val="12"/>
      <name val="Tahoma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color rgb="FF2F2C2D"/>
      <name val="Tahoma"/>
      <family val="2"/>
    </font>
    <font>
      <sz val="10"/>
      <color rgb="FF000000"/>
      <name val="Verdana"/>
      <family val="2"/>
    </font>
    <font>
      <b/>
      <sz val="12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C9DFFB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44" fontId="16" fillId="0" borderId="0" applyFont="0" applyFill="0" applyBorder="0" applyAlignment="0" applyProtection="0"/>
    <xf numFmtId="0" fontId="6" fillId="0" borderId="0"/>
  </cellStyleXfs>
  <cellXfs count="174">
    <xf numFmtId="0" fontId="0" fillId="0" borderId="0" xfId="0"/>
    <xf numFmtId="0" fontId="3" fillId="4" borderId="4" xfId="2" applyFont="1" applyFill="1" applyBorder="1" applyAlignment="1" applyProtection="1">
      <alignment horizontal="center" vertical="center" wrapText="1"/>
      <protection locked="0"/>
    </xf>
    <xf numFmtId="0" fontId="0" fillId="0" borderId="4" xfId="0" applyBorder="1" applyAlignment="1">
      <alignment horizontal="center"/>
    </xf>
    <xf numFmtId="44" fontId="7" fillId="4" borderId="4" xfId="2" applyNumberFormat="1" applyFont="1" applyFill="1" applyBorder="1" applyAlignment="1" applyProtection="1">
      <alignment horizontal="left" vertical="center" wrapText="1"/>
    </xf>
    <xf numFmtId="0" fontId="6" fillId="0" borderId="0" xfId="2" applyFont="1" applyFill="1" applyBorder="1" applyAlignment="1" applyProtection="1">
      <alignment horizontal="center" vertical="center" wrapText="1"/>
      <protection locked="0"/>
    </xf>
    <xf numFmtId="0" fontId="6" fillId="0" borderId="0" xfId="2" applyFont="1" applyFill="1" applyBorder="1" applyAlignment="1" applyProtection="1">
      <alignment horizontal="left" vertical="center" wrapText="1"/>
      <protection locked="0"/>
    </xf>
    <xf numFmtId="164" fontId="6" fillId="0" borderId="0" xfId="2" applyNumberFormat="1" applyFont="1" applyFill="1" applyBorder="1" applyAlignment="1" applyProtection="1">
      <alignment horizontal="center" vertical="center" wrapText="1"/>
    </xf>
    <xf numFmtId="0" fontId="8" fillId="0" borderId="0" xfId="2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Fill="1" applyAlignment="1">
      <alignment horizontal="center"/>
    </xf>
    <xf numFmtId="0" fontId="8" fillId="0" borderId="1" xfId="2" applyFont="1" applyFill="1" applyBorder="1" applyAlignment="1" applyProtection="1">
      <alignment horizontal="center" vertical="center" wrapText="1"/>
    </xf>
    <xf numFmtId="0" fontId="8" fillId="0" borderId="2" xfId="2" applyFont="1" applyFill="1" applyBorder="1" applyAlignment="1" applyProtection="1">
      <alignment horizontal="center" vertical="center" wrapText="1"/>
    </xf>
    <xf numFmtId="0" fontId="8" fillId="0" borderId="3" xfId="2" applyFont="1" applyFill="1" applyBorder="1" applyAlignment="1" applyProtection="1">
      <alignment horizontal="center" vertical="center" wrapText="1"/>
    </xf>
    <xf numFmtId="0" fontId="8" fillId="0" borderId="9" xfId="2" applyFont="1" applyFill="1" applyBorder="1" applyAlignment="1" applyProtection="1">
      <alignment horizontal="center" vertical="center" wrapText="1"/>
    </xf>
    <xf numFmtId="164" fontId="8" fillId="0" borderId="1" xfId="2" applyNumberFormat="1" applyFont="1" applyFill="1" applyBorder="1" applyAlignment="1" applyProtection="1">
      <alignment horizontal="center" vertical="center" wrapText="1"/>
    </xf>
    <xf numFmtId="164" fontId="8" fillId="0" borderId="9" xfId="2" applyNumberFormat="1" applyFont="1" applyFill="1" applyBorder="1" applyAlignment="1" applyProtection="1">
      <alignment horizontal="center" vertical="center" wrapText="1"/>
    </xf>
    <xf numFmtId="0" fontId="6" fillId="0" borderId="10" xfId="2" applyFont="1" applyFill="1" applyBorder="1" applyAlignment="1" applyProtection="1">
      <alignment horizontal="left" vertical="center" wrapText="1"/>
    </xf>
    <xf numFmtId="3" fontId="6" fillId="0" borderId="6" xfId="2" applyNumberFormat="1" applyFont="1" applyFill="1" applyBorder="1" applyAlignment="1" applyProtection="1">
      <alignment horizontal="center" vertical="center" wrapText="1"/>
    </xf>
    <xf numFmtId="3" fontId="6" fillId="0" borderId="8" xfId="2" applyNumberFormat="1" applyFont="1" applyFill="1" applyBorder="1" applyAlignment="1" applyProtection="1">
      <alignment horizontal="center" vertical="center" wrapText="1"/>
    </xf>
    <xf numFmtId="44" fontId="6" fillId="0" borderId="7" xfId="2" applyNumberFormat="1" applyFont="1" applyFill="1" applyBorder="1" applyAlignment="1" applyProtection="1">
      <alignment horizontal="center" vertical="center" wrapText="1"/>
    </xf>
    <xf numFmtId="44" fontId="6" fillId="0" borderId="11" xfId="2" applyNumberFormat="1" applyFont="1" applyFill="1" applyBorder="1" applyAlignment="1" applyProtection="1">
      <alignment horizontal="center" vertical="center" wrapText="1"/>
    </xf>
    <xf numFmtId="44" fontId="6" fillId="0" borderId="6" xfId="2" applyNumberFormat="1" applyFont="1" applyFill="1" applyBorder="1" applyAlignment="1" applyProtection="1">
      <alignment horizontal="left" vertical="center" wrapText="1"/>
    </xf>
    <xf numFmtId="44" fontId="6" fillId="0" borderId="11" xfId="2" applyNumberFormat="1" applyFont="1" applyFill="1" applyBorder="1" applyAlignment="1" applyProtection="1">
      <alignment horizontal="left" vertical="center" wrapText="1"/>
    </xf>
    <xf numFmtId="0" fontId="6" fillId="0" borderId="0" xfId="2" applyFont="1" applyFill="1" applyBorder="1" applyAlignment="1" applyProtection="1">
      <alignment horizontal="left" vertical="center" wrapText="1" indent="1"/>
      <protection locked="0"/>
    </xf>
    <xf numFmtId="0" fontId="6" fillId="0" borderId="12" xfId="2" applyFont="1" applyFill="1" applyBorder="1" applyAlignment="1" applyProtection="1">
      <alignment horizontal="left" vertical="center" wrapText="1" indent="1"/>
      <protection locked="0"/>
    </xf>
    <xf numFmtId="0" fontId="6" fillId="0" borderId="0" xfId="2" applyFont="1" applyFill="1" applyBorder="1" applyAlignment="1" applyProtection="1">
      <alignment horizontal="left" vertical="center" wrapText="1"/>
    </xf>
    <xf numFmtId="0" fontId="6" fillId="0" borderId="13" xfId="2" applyFont="1" applyFill="1" applyBorder="1" applyAlignment="1" applyProtection="1">
      <alignment horizontal="left" vertical="center" wrapText="1" indent="1"/>
      <protection locked="0"/>
    </xf>
    <xf numFmtId="0" fontId="6" fillId="0" borderId="13" xfId="2" applyFont="1" applyFill="1" applyBorder="1" applyAlignment="1" applyProtection="1">
      <alignment horizontal="center" vertical="center" wrapText="1"/>
      <protection locked="0"/>
    </xf>
    <xf numFmtId="164" fontId="8" fillId="0" borderId="2" xfId="2" applyNumberFormat="1" applyFont="1" applyFill="1" applyBorder="1" applyAlignment="1" applyProtection="1">
      <alignment horizontal="center" vertical="center" wrapText="1"/>
    </xf>
    <xf numFmtId="0" fontId="9" fillId="0" borderId="0" xfId="0" applyFont="1" applyFill="1"/>
    <xf numFmtId="44" fontId="9" fillId="0" borderId="10" xfId="0" applyNumberFormat="1" applyFont="1" applyFill="1" applyBorder="1" applyAlignment="1">
      <alignment vertical="center"/>
    </xf>
    <xf numFmtId="0" fontId="2" fillId="0" borderId="6" xfId="0" applyFont="1" applyFill="1" applyBorder="1" applyAlignment="1">
      <alignment horizontal="center" vertical="center"/>
    </xf>
    <xf numFmtId="44" fontId="9" fillId="0" borderId="11" xfId="0" applyNumberFormat="1" applyFont="1" applyFill="1" applyBorder="1" applyAlignment="1">
      <alignment vertical="center"/>
    </xf>
    <xf numFmtId="0" fontId="8" fillId="0" borderId="1" xfId="2" applyFont="1" applyFill="1" applyBorder="1" applyAlignment="1" applyProtection="1">
      <alignment horizontal="center" vertical="center" wrapText="1"/>
      <protection locked="0"/>
    </xf>
    <xf numFmtId="0" fontId="9" fillId="0" borderId="3" xfId="0" applyFont="1" applyFill="1" applyBorder="1" applyAlignment="1">
      <alignment horizontal="center" vertical="center"/>
    </xf>
    <xf numFmtId="0" fontId="8" fillId="0" borderId="6" xfId="2" applyFont="1" applyFill="1" applyBorder="1" applyAlignment="1" applyProtection="1">
      <alignment horizontal="center" vertical="center" wrapText="1"/>
      <protection locked="0"/>
    </xf>
    <xf numFmtId="0" fontId="9" fillId="0" borderId="7" xfId="0" applyFont="1" applyFill="1" applyBorder="1" applyAlignment="1">
      <alignment horizontal="center" vertical="center"/>
    </xf>
    <xf numFmtId="164" fontId="8" fillId="0" borderId="14" xfId="2" applyNumberFormat="1" applyFont="1" applyFill="1" applyBorder="1" applyAlignment="1" applyProtection="1">
      <alignment horizontal="center" vertical="center" wrapText="1"/>
    </xf>
    <xf numFmtId="44" fontId="8" fillId="0" borderId="15" xfId="2" applyNumberFormat="1" applyFont="1" applyFill="1" applyBorder="1" applyAlignment="1" applyProtection="1">
      <alignment horizontal="left" vertical="center" wrapText="1"/>
    </xf>
    <xf numFmtId="0" fontId="7" fillId="4" borderId="4" xfId="2" applyFont="1" applyFill="1" applyBorder="1" applyAlignment="1" applyProtection="1">
      <alignment horizontal="left" vertical="center" wrapText="1"/>
      <protection locked="0"/>
    </xf>
    <xf numFmtId="0" fontId="7" fillId="4" borderId="4" xfId="2" applyFont="1" applyFill="1" applyBorder="1" applyAlignment="1">
      <alignment horizontal="left" vertical="center" wrapText="1"/>
    </xf>
    <xf numFmtId="1" fontId="7" fillId="4" borderId="4" xfId="2" applyNumberFormat="1" applyFont="1" applyFill="1" applyBorder="1" applyAlignment="1" applyProtection="1">
      <alignment horizontal="left" vertical="center" wrapText="1"/>
      <protection locked="0"/>
    </xf>
    <xf numFmtId="0" fontId="7" fillId="4" borderId="4" xfId="2" applyFont="1" applyFill="1" applyBorder="1" applyAlignment="1" applyProtection="1">
      <alignment horizontal="left" vertical="center" wrapText="1"/>
    </xf>
    <xf numFmtId="169" fontId="7" fillId="4" borderId="4" xfId="2" applyNumberFormat="1" applyFont="1" applyFill="1" applyBorder="1" applyAlignment="1" applyProtection="1">
      <alignment horizontal="left" vertical="center" wrapText="1"/>
      <protection locked="0"/>
    </xf>
    <xf numFmtId="3" fontId="7" fillId="4" borderId="4" xfId="2" applyNumberFormat="1" applyFont="1" applyFill="1" applyBorder="1" applyAlignment="1" applyProtection="1">
      <alignment horizontal="left" vertical="center" wrapText="1"/>
    </xf>
    <xf numFmtId="0" fontId="7" fillId="4" borderId="4" xfId="0" applyFont="1" applyFill="1" applyBorder="1" applyAlignment="1">
      <alignment horizontal="left" vertical="center"/>
    </xf>
    <xf numFmtId="0" fontId="11" fillId="0" borderId="4" xfId="0" applyFont="1" applyBorder="1" applyAlignment="1">
      <alignment horizontal="left"/>
    </xf>
    <xf numFmtId="169" fontId="7" fillId="0" borderId="4" xfId="2" applyNumberFormat="1" applyFont="1" applyFill="1" applyBorder="1" applyAlignment="1" applyProtection="1">
      <alignment horizontal="left" vertical="center" wrapText="1"/>
      <protection locked="0"/>
    </xf>
    <xf numFmtId="0" fontId="12" fillId="0" borderId="4" xfId="0" applyFont="1" applyBorder="1" applyAlignment="1">
      <alignment horizontal="left" vertical="center"/>
    </xf>
    <xf numFmtId="0" fontId="7" fillId="4" borderId="4" xfId="0" applyFont="1" applyFill="1" applyBorder="1" applyAlignment="1">
      <alignment horizontal="left"/>
    </xf>
    <xf numFmtId="0" fontId="11" fillId="0" borderId="4" xfId="0" applyFont="1" applyBorder="1"/>
    <xf numFmtId="0" fontId="7" fillId="4" borderId="4" xfId="2" applyFont="1" applyFill="1" applyBorder="1" applyAlignment="1" applyProtection="1">
      <alignment horizontal="left" vertical="center" wrapText="1" readingOrder="1"/>
    </xf>
    <xf numFmtId="165" fontId="7" fillId="4" borderId="4" xfId="2" applyNumberFormat="1" applyFont="1" applyFill="1" applyBorder="1" applyAlignment="1" applyProtection="1">
      <alignment horizontal="left" vertical="center" wrapText="1" readingOrder="1"/>
    </xf>
    <xf numFmtId="0" fontId="7" fillId="4" borderId="4" xfId="2" applyNumberFormat="1" applyFont="1" applyFill="1" applyBorder="1" applyAlignment="1" applyProtection="1">
      <alignment horizontal="left" vertical="center" wrapText="1" readingOrder="1"/>
      <protection locked="0"/>
    </xf>
    <xf numFmtId="1" fontId="7" fillId="4" borderId="4" xfId="2" applyNumberFormat="1" applyFont="1" applyFill="1" applyBorder="1" applyAlignment="1" applyProtection="1">
      <alignment horizontal="left" vertical="center" wrapText="1" readingOrder="1"/>
    </xf>
    <xf numFmtId="0" fontId="14" fillId="4" borderId="4" xfId="0" applyFont="1" applyFill="1" applyBorder="1" applyAlignment="1">
      <alignment horizontal="left" vertical="center" readingOrder="1"/>
    </xf>
    <xf numFmtId="0" fontId="7" fillId="0" borderId="4" xfId="2" applyFont="1" applyFill="1" applyBorder="1" applyAlignment="1">
      <alignment horizontal="left" vertical="center" wrapText="1" readingOrder="1"/>
    </xf>
    <xf numFmtId="0" fontId="7" fillId="0" borderId="4" xfId="2" applyFont="1" applyFill="1" applyBorder="1" applyAlignment="1" applyProtection="1">
      <alignment horizontal="left" vertical="center" wrapText="1" readingOrder="1"/>
      <protection locked="0"/>
    </xf>
    <xf numFmtId="0" fontId="13" fillId="0" borderId="4" xfId="0" applyFont="1" applyBorder="1" applyAlignment="1">
      <alignment horizontal="left" vertical="center"/>
    </xf>
    <xf numFmtId="0" fontId="13" fillId="0" borderId="4" xfId="0" applyFont="1" applyFill="1" applyBorder="1" applyAlignment="1">
      <alignment horizontal="left" vertical="center"/>
    </xf>
    <xf numFmtId="37" fontId="13" fillId="0" borderId="4" xfId="0" applyNumberFormat="1" applyFont="1" applyBorder="1" applyAlignment="1">
      <alignment horizontal="left" vertical="center"/>
    </xf>
    <xf numFmtId="0" fontId="2" fillId="0" borderId="5" xfId="0" applyFont="1" applyFill="1" applyBorder="1" applyAlignment="1">
      <alignment horizontal="center" vertical="center"/>
    </xf>
    <xf numFmtId="167" fontId="9" fillId="0" borderId="9" xfId="0" applyNumberFormat="1" applyFont="1" applyFill="1" applyBorder="1" applyAlignment="1">
      <alignment horizontal="center" vertical="center"/>
    </xf>
    <xf numFmtId="167" fontId="9" fillId="0" borderId="11" xfId="0" applyNumberFormat="1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left" vertical="center" textRotation="65" readingOrder="1"/>
    </xf>
    <xf numFmtId="0" fontId="14" fillId="4" borderId="0" xfId="0" applyFont="1" applyFill="1" applyBorder="1" applyAlignment="1">
      <alignment horizontal="left" vertical="center" readingOrder="1"/>
    </xf>
    <xf numFmtId="0" fontId="7" fillId="4" borderId="0" xfId="0" applyFont="1" applyFill="1" applyBorder="1" applyAlignment="1">
      <alignment horizontal="left" vertical="center" readingOrder="1"/>
    </xf>
    <xf numFmtId="3" fontId="14" fillId="4" borderId="0" xfId="0" applyNumberFormat="1" applyFont="1" applyFill="1" applyBorder="1" applyAlignment="1">
      <alignment horizontal="left" vertical="center" readingOrder="1"/>
    </xf>
    <xf numFmtId="7" fontId="9" fillId="0" borderId="0" xfId="0" applyNumberFormat="1" applyFont="1" applyFill="1"/>
    <xf numFmtId="0" fontId="14" fillId="4" borderId="0" xfId="0" applyFont="1" applyFill="1" applyBorder="1" applyAlignment="1">
      <alignment horizontal="right" vertical="center" readingOrder="1"/>
    </xf>
    <xf numFmtId="169" fontId="7" fillId="4" borderId="4" xfId="2" applyNumberFormat="1" applyFont="1" applyFill="1" applyBorder="1" applyAlignment="1" applyProtection="1">
      <alignment horizontal="right" vertical="center" wrapText="1" readingOrder="1"/>
      <protection locked="0"/>
    </xf>
    <xf numFmtId="169" fontId="7" fillId="4" borderId="4" xfId="2" applyNumberFormat="1" applyFont="1" applyFill="1" applyBorder="1" applyAlignment="1" applyProtection="1">
      <alignment horizontal="right" vertical="center" wrapText="1" readingOrder="1"/>
    </xf>
    <xf numFmtId="3" fontId="7" fillId="4" borderId="4" xfId="2" applyNumberFormat="1" applyFont="1" applyFill="1" applyBorder="1" applyAlignment="1" applyProtection="1">
      <alignment horizontal="right" vertical="center" wrapText="1" readingOrder="1"/>
    </xf>
    <xf numFmtId="0" fontId="15" fillId="4" borderId="0" xfId="0" applyFont="1" applyFill="1" applyBorder="1" applyAlignment="1">
      <alignment horizontal="right" vertical="center" readingOrder="1"/>
    </xf>
    <xf numFmtId="44" fontId="7" fillId="4" borderId="4" xfId="2" applyNumberFormat="1" applyFont="1" applyFill="1" applyBorder="1" applyAlignment="1" applyProtection="1">
      <alignment horizontal="right" vertical="center" wrapText="1" readingOrder="1"/>
    </xf>
    <xf numFmtId="44" fontId="10" fillId="4" borderId="4" xfId="2" applyNumberFormat="1" applyFont="1" applyFill="1" applyBorder="1" applyAlignment="1" applyProtection="1">
      <alignment horizontal="right" vertical="center" wrapText="1" readingOrder="1"/>
    </xf>
    <xf numFmtId="1" fontId="7" fillId="4" borderId="4" xfId="2" applyNumberFormat="1" applyFont="1" applyFill="1" applyBorder="1" applyAlignment="1" applyProtection="1">
      <alignment horizontal="left" vertical="center" wrapText="1" readingOrder="1"/>
      <protection locked="0"/>
    </xf>
    <xf numFmtId="0" fontId="7" fillId="4" borderId="4" xfId="2" applyFont="1" applyFill="1" applyBorder="1" applyAlignment="1" applyProtection="1">
      <alignment horizontal="left" vertical="center" wrapText="1" readingOrder="1"/>
      <protection locked="0"/>
    </xf>
    <xf numFmtId="0" fontId="7" fillId="4" borderId="4" xfId="2" applyFont="1" applyFill="1" applyBorder="1" applyAlignment="1">
      <alignment horizontal="left" vertical="center" wrapText="1" readingOrder="1"/>
    </xf>
    <xf numFmtId="0" fontId="0" fillId="4" borderId="4" xfId="0" applyFont="1" applyFill="1" applyBorder="1" applyAlignment="1">
      <alignment horizontal="right" readingOrder="1"/>
    </xf>
    <xf numFmtId="167" fontId="0" fillId="4" borderId="4" xfId="0" applyNumberFormat="1" applyFont="1" applyFill="1" applyBorder="1" applyAlignment="1">
      <alignment horizontal="left" readingOrder="1"/>
    </xf>
    <xf numFmtId="0" fontId="0" fillId="4" borderId="4" xfId="0" applyFont="1" applyFill="1" applyBorder="1" applyAlignment="1">
      <alignment horizontal="left" readingOrder="1"/>
    </xf>
    <xf numFmtId="0" fontId="5" fillId="0" borderId="4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166" fontId="7" fillId="4" borderId="4" xfId="2" applyNumberFormat="1" applyFont="1" applyFill="1" applyBorder="1" applyAlignment="1" applyProtection="1">
      <alignment horizontal="left" vertical="center" wrapText="1" readingOrder="1"/>
    </xf>
    <xf numFmtId="164" fontId="0" fillId="0" borderId="0" xfId="3" applyNumberFormat="1" applyFont="1"/>
    <xf numFmtId="164" fontId="0" fillId="0" borderId="0" xfId="0" applyNumberFormat="1"/>
    <xf numFmtId="164" fontId="0" fillId="0" borderId="0" xfId="0" applyNumberFormat="1" applyAlignment="1">
      <alignment wrapText="1"/>
    </xf>
    <xf numFmtId="0" fontId="10" fillId="4" borderId="4" xfId="1" applyFont="1" applyFill="1" applyBorder="1" applyAlignment="1">
      <alignment horizontal="center" vertical="center" textRotation="60" wrapText="1" readingOrder="1"/>
    </xf>
    <xf numFmtId="0" fontId="10" fillId="4" borderId="4" xfId="0" applyFont="1" applyFill="1" applyBorder="1" applyAlignment="1">
      <alignment horizontal="left" textRotation="65"/>
    </xf>
    <xf numFmtId="0" fontId="10" fillId="4" borderId="4" xfId="1" applyFont="1" applyFill="1" applyBorder="1" applyAlignment="1" applyProtection="1">
      <alignment horizontal="center" textRotation="60" wrapText="1"/>
      <protection locked="0"/>
    </xf>
    <xf numFmtId="49" fontId="10" fillId="4" borderId="4" xfId="1" applyNumberFormat="1" applyFont="1" applyFill="1" applyBorder="1" applyAlignment="1" applyProtection="1">
      <alignment horizontal="center" textRotation="60" wrapText="1"/>
      <protection locked="0"/>
    </xf>
    <xf numFmtId="168" fontId="10" fillId="4" borderId="4" xfId="1" applyNumberFormat="1" applyFont="1" applyFill="1" applyBorder="1" applyAlignment="1" applyProtection="1">
      <alignment horizontal="center" textRotation="60" wrapText="1"/>
      <protection locked="0"/>
    </xf>
    <xf numFmtId="164" fontId="10" fillId="4" borderId="4" xfId="1" applyNumberFormat="1" applyFont="1" applyFill="1" applyBorder="1" applyAlignment="1" applyProtection="1">
      <alignment horizontal="center" textRotation="60" wrapText="1"/>
      <protection locked="0"/>
    </xf>
    <xf numFmtId="0" fontId="6" fillId="0" borderId="4" xfId="4" applyFont="1" applyBorder="1"/>
    <xf numFmtId="0" fontId="6" fillId="0" borderId="4" xfId="4" applyFont="1" applyBorder="1" applyAlignment="1"/>
    <xf numFmtId="0" fontId="9" fillId="0" borderId="4" xfId="0" applyFont="1" applyFill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3" fillId="0" borderId="4" xfId="0" applyFont="1" applyFill="1" applyBorder="1" applyAlignment="1">
      <alignment horizontal="left" vertical="center" wrapText="1" readingOrder="1"/>
    </xf>
    <xf numFmtId="0" fontId="13" fillId="0" borderId="4" xfId="0" applyFont="1" applyFill="1" applyBorder="1" applyAlignment="1">
      <alignment horizontal="left" vertical="center" readingOrder="1"/>
    </xf>
    <xf numFmtId="0" fontId="14" fillId="0" borderId="4" xfId="0" applyNumberFormat="1" applyFont="1" applyFill="1" applyBorder="1" applyAlignment="1">
      <alignment horizontal="left" vertical="center" wrapText="1" readingOrder="1"/>
    </xf>
    <xf numFmtId="0" fontId="14" fillId="0" borderId="4" xfId="0" applyFont="1" applyFill="1" applyBorder="1" applyAlignment="1">
      <alignment horizontal="left" vertical="center" readingOrder="1"/>
    </xf>
    <xf numFmtId="0" fontId="7" fillId="0" borderId="4" xfId="2" applyFont="1" applyFill="1" applyBorder="1" applyAlignment="1" applyProtection="1">
      <alignment horizontal="left" vertical="center" wrapText="1" readingOrder="1"/>
    </xf>
    <xf numFmtId="169" fontId="7" fillId="0" borderId="4" xfId="2" applyNumberFormat="1" applyFont="1" applyFill="1" applyBorder="1" applyAlignment="1" applyProtection="1">
      <alignment horizontal="right" vertical="center" wrapText="1" readingOrder="1"/>
      <protection locked="0"/>
    </xf>
    <xf numFmtId="3" fontId="7" fillId="0" borderId="4" xfId="2" applyNumberFormat="1" applyFont="1" applyFill="1" applyBorder="1" applyAlignment="1" applyProtection="1">
      <alignment horizontal="right" vertical="center" wrapText="1" readingOrder="1"/>
    </xf>
    <xf numFmtId="44" fontId="7" fillId="0" borderId="4" xfId="2" applyNumberFormat="1" applyFont="1" applyFill="1" applyBorder="1" applyAlignment="1" applyProtection="1">
      <alignment horizontal="right" vertical="center" wrapText="1" readingOrder="1"/>
    </xf>
    <xf numFmtId="44" fontId="10" fillId="0" borderId="4" xfId="2" applyNumberFormat="1" applyFont="1" applyFill="1" applyBorder="1" applyAlignment="1" applyProtection="1">
      <alignment horizontal="right" vertical="center" wrapText="1" readingOrder="1"/>
    </xf>
    <xf numFmtId="0" fontId="7" fillId="0" borderId="4" xfId="4" applyFont="1" applyFill="1" applyBorder="1" applyAlignment="1">
      <alignment horizontal="left" vertical="center"/>
    </xf>
    <xf numFmtId="165" fontId="7" fillId="0" borderId="4" xfId="2" applyNumberFormat="1" applyFont="1" applyFill="1" applyBorder="1" applyAlignment="1" applyProtection="1">
      <alignment horizontal="left" vertical="center" wrapText="1" readingOrder="1"/>
    </xf>
    <xf numFmtId="166" fontId="7" fillId="0" borderId="4" xfId="2" applyNumberFormat="1" applyFont="1" applyFill="1" applyBorder="1" applyAlignment="1" applyProtection="1">
      <alignment horizontal="left" vertical="center" wrapText="1" readingOrder="1"/>
    </xf>
    <xf numFmtId="0" fontId="14" fillId="0" borderId="4" xfId="0" applyFont="1" applyFill="1" applyBorder="1" applyAlignment="1">
      <alignment horizontal="left" vertical="center" wrapText="1" readingOrder="1"/>
    </xf>
    <xf numFmtId="0" fontId="7" fillId="0" borderId="4" xfId="4" applyFont="1" applyBorder="1" applyAlignment="1">
      <alignment horizontal="left" vertical="center"/>
    </xf>
    <xf numFmtId="1" fontId="7" fillId="0" borderId="4" xfId="2" applyNumberFormat="1" applyFont="1" applyFill="1" applyBorder="1" applyAlignment="1" applyProtection="1">
      <alignment horizontal="left" vertical="center" wrapText="1" readingOrder="1"/>
      <protection locked="0"/>
    </xf>
    <xf numFmtId="169" fontId="13" fillId="0" borderId="4" xfId="0" applyNumberFormat="1" applyFont="1" applyFill="1" applyBorder="1" applyAlignment="1">
      <alignment horizontal="right" vertical="center" readingOrder="1"/>
    </xf>
    <xf numFmtId="0" fontId="14" fillId="4" borderId="4" xfId="0" applyFont="1" applyFill="1" applyBorder="1" applyAlignment="1">
      <alignment horizontal="left" vertical="center" wrapText="1" readingOrder="1"/>
    </xf>
    <xf numFmtId="0" fontId="14" fillId="4" borderId="4" xfId="0" applyNumberFormat="1" applyFont="1" applyFill="1" applyBorder="1" applyAlignment="1">
      <alignment horizontal="left" vertical="center" wrapText="1" readingOrder="1"/>
    </xf>
    <xf numFmtId="0" fontId="14" fillId="0" borderId="4" xfId="0" applyFont="1" applyFill="1" applyBorder="1" applyAlignment="1">
      <alignment horizontal="right" vertical="center" readingOrder="1"/>
    </xf>
    <xf numFmtId="0" fontId="7" fillId="0" borderId="4" xfId="2" applyNumberFormat="1" applyFont="1" applyFill="1" applyBorder="1" applyAlignment="1" applyProtection="1">
      <alignment horizontal="left" vertical="center" wrapText="1" readingOrder="1"/>
      <protection locked="0"/>
    </xf>
    <xf numFmtId="0" fontId="7" fillId="0" borderId="4" xfId="0" applyNumberFormat="1" applyFont="1" applyFill="1" applyBorder="1" applyAlignment="1">
      <alignment horizontal="left" vertical="center"/>
    </xf>
    <xf numFmtId="0" fontId="13" fillId="0" borderId="4" xfId="0" applyFont="1" applyBorder="1" applyAlignment="1">
      <alignment horizontal="left" vertical="center" readingOrder="1"/>
    </xf>
    <xf numFmtId="0" fontId="7" fillId="0" borderId="4" xfId="0" applyFont="1" applyFill="1" applyBorder="1" applyAlignment="1">
      <alignment horizontal="left" vertical="center" wrapText="1" readingOrder="1"/>
    </xf>
    <xf numFmtId="14" fontId="7" fillId="4" borderId="4" xfId="0" applyNumberFormat="1" applyFont="1" applyFill="1" applyBorder="1" applyAlignment="1">
      <alignment horizontal="left" vertical="center" wrapText="1" readingOrder="1"/>
    </xf>
    <xf numFmtId="0" fontId="7" fillId="0" borderId="4" xfId="0" applyFont="1" applyFill="1" applyBorder="1" applyAlignment="1">
      <alignment horizontal="left" vertical="center" readingOrder="1"/>
    </xf>
    <xf numFmtId="0" fontId="7" fillId="4" borderId="4" xfId="0" applyFont="1" applyFill="1" applyBorder="1" applyAlignment="1">
      <alignment horizontal="left" vertical="center" wrapText="1" readingOrder="1"/>
    </xf>
    <xf numFmtId="0" fontId="14" fillId="0" borderId="0" xfId="0" applyFont="1" applyFill="1" applyBorder="1" applyAlignment="1">
      <alignment horizontal="left" vertical="center" readingOrder="1"/>
    </xf>
    <xf numFmtId="44" fontId="9" fillId="0" borderId="9" xfId="0" applyNumberFormat="1" applyFont="1" applyFill="1" applyBorder="1" applyAlignment="1">
      <alignment vertical="center"/>
    </xf>
    <xf numFmtId="0" fontId="3" fillId="0" borderId="24" xfId="2" applyFont="1" applyFill="1" applyBorder="1" applyAlignment="1" applyProtection="1">
      <alignment horizontal="center" vertical="center"/>
      <protection locked="0"/>
    </xf>
    <xf numFmtId="0" fontId="3" fillId="0" borderId="25" xfId="2" applyFont="1" applyFill="1" applyBorder="1" applyAlignment="1" applyProtection="1">
      <alignment horizontal="center" vertical="center"/>
      <protection locked="0"/>
    </xf>
    <xf numFmtId="0" fontId="3" fillId="0" borderId="26" xfId="2" applyFont="1" applyFill="1" applyBorder="1" applyAlignment="1" applyProtection="1">
      <alignment horizontal="center" vertical="center"/>
      <protection locked="0"/>
    </xf>
    <xf numFmtId="0" fontId="6" fillId="8" borderId="27" xfId="0" applyNumberFormat="1" applyFont="1" applyFill="1" applyBorder="1"/>
    <xf numFmtId="0" fontId="6" fillId="0" borderId="0" xfId="0" applyFont="1"/>
    <xf numFmtId="0" fontId="6" fillId="0" borderId="4" xfId="0" applyFont="1" applyBorder="1"/>
    <xf numFmtId="0" fontId="8" fillId="6" borderId="4" xfId="4" applyFont="1" applyFill="1" applyBorder="1"/>
    <xf numFmtId="0" fontId="8" fillId="6" borderId="4" xfId="4" applyFont="1" applyFill="1" applyBorder="1" applyAlignment="1">
      <alignment wrapText="1"/>
    </xf>
    <xf numFmtId="0" fontId="8" fillId="6" borderId="4" xfId="0" applyFont="1" applyFill="1" applyBorder="1" applyAlignment="1"/>
    <xf numFmtId="0" fontId="8" fillId="6" borderId="4" xfId="0" applyFont="1" applyFill="1" applyBorder="1" applyAlignment="1">
      <alignment wrapText="1"/>
    </xf>
    <xf numFmtId="0" fontId="18" fillId="0" borderId="0" xfId="0" applyFont="1"/>
    <xf numFmtId="0" fontId="6" fillId="8" borderId="4" xfId="0" applyNumberFormat="1" applyFont="1" applyFill="1" applyBorder="1"/>
    <xf numFmtId="170" fontId="6" fillId="0" borderId="4" xfId="0" applyNumberFormat="1" applyFont="1" applyBorder="1"/>
    <xf numFmtId="0" fontId="6" fillId="0" borderId="20" xfId="4" applyFont="1" applyBorder="1" applyAlignment="1"/>
    <xf numFmtId="0" fontId="6" fillId="7" borderId="21" xfId="4" applyFont="1" applyFill="1" applyBorder="1" applyAlignment="1"/>
    <xf numFmtId="0" fontId="6" fillId="0" borderId="0" xfId="4" applyFont="1"/>
    <xf numFmtId="0" fontId="6" fillId="0" borderId="22" xfId="4" applyFont="1" applyBorder="1" applyAlignment="1"/>
    <xf numFmtId="0" fontId="8" fillId="7" borderId="23" xfId="4" applyFont="1" applyFill="1" applyBorder="1" applyAlignment="1"/>
    <xf numFmtId="0" fontId="18" fillId="0" borderId="4" xfId="0" applyFont="1" applyBorder="1"/>
    <xf numFmtId="3" fontId="18" fillId="0" borderId="4" xfId="0" applyNumberFormat="1" applyFont="1" applyBorder="1"/>
    <xf numFmtId="3" fontId="19" fillId="0" borderId="0" xfId="0" applyNumberFormat="1" applyFont="1"/>
    <xf numFmtId="0" fontId="20" fillId="0" borderId="0" xfId="0" applyFont="1"/>
    <xf numFmtId="0" fontId="6" fillId="0" borderId="0" xfId="0" applyNumberFormat="1" applyFont="1" applyFill="1" applyBorder="1"/>
    <xf numFmtId="0" fontId="6" fillId="0" borderId="0" xfId="0" applyFont="1" applyFill="1" applyBorder="1"/>
    <xf numFmtId="0" fontId="7" fillId="5" borderId="4" xfId="0" applyFont="1" applyFill="1" applyBorder="1" applyAlignment="1" applyProtection="1">
      <alignment horizontal="left" vertical="center" wrapText="1"/>
      <protection locked="0"/>
    </xf>
    <xf numFmtId="3" fontId="7" fillId="4" borderId="4" xfId="2" applyNumberFormat="1" applyFont="1" applyFill="1" applyBorder="1" applyAlignment="1" applyProtection="1">
      <alignment horizontal="left" vertical="center" wrapText="1"/>
      <protection locked="0"/>
    </xf>
    <xf numFmtId="44" fontId="7" fillId="4" borderId="4" xfId="2" applyNumberFormat="1" applyFont="1" applyFill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/>
      <protection locked="0"/>
    </xf>
    <xf numFmtId="0" fontId="11" fillId="0" borderId="4" xfId="0" applyFont="1" applyBorder="1" applyAlignment="1" applyProtection="1">
      <alignment horizontal="left"/>
      <protection locked="0"/>
    </xf>
    <xf numFmtId="0" fontId="12" fillId="0" borderId="4" xfId="0" applyFont="1" applyBorder="1" applyAlignment="1" applyProtection="1">
      <alignment horizontal="left"/>
      <protection locked="0"/>
    </xf>
    <xf numFmtId="0" fontId="12" fillId="0" borderId="4" xfId="0" applyFont="1" applyBorder="1" applyAlignment="1" applyProtection="1">
      <alignment horizontal="left" vertical="center"/>
      <protection locked="0"/>
    </xf>
    <xf numFmtId="44" fontId="7" fillId="4" borderId="4" xfId="3" applyFont="1" applyFill="1" applyBorder="1" applyAlignment="1" applyProtection="1">
      <alignment horizontal="left"/>
      <protection locked="0"/>
    </xf>
    <xf numFmtId="0" fontId="10" fillId="4" borderId="4" xfId="2" applyFont="1" applyFill="1" applyBorder="1" applyAlignment="1">
      <alignment horizontal="left" vertical="center" wrapText="1" readingOrder="1"/>
    </xf>
    <xf numFmtId="0" fontId="10" fillId="0" borderId="4" xfId="2" applyFont="1" applyFill="1" applyBorder="1" applyAlignment="1">
      <alignment horizontal="left" vertical="center" wrapText="1" readingOrder="1"/>
    </xf>
    <xf numFmtId="0" fontId="10" fillId="0" borderId="4" xfId="0" applyFont="1" applyFill="1" applyBorder="1" applyAlignment="1">
      <alignment horizontal="left" vertical="center" wrapText="1" readingOrder="1"/>
    </xf>
    <xf numFmtId="14" fontId="10" fillId="4" borderId="4" xfId="0" applyNumberFormat="1" applyFont="1" applyFill="1" applyBorder="1" applyAlignment="1">
      <alignment horizontal="left" vertical="center" wrapText="1" readingOrder="1"/>
    </xf>
    <xf numFmtId="0" fontId="21" fillId="0" borderId="4" xfId="0" applyFont="1" applyFill="1" applyBorder="1" applyAlignment="1">
      <alignment horizontal="left" vertical="center" readingOrder="1"/>
    </xf>
    <xf numFmtId="0" fontId="10" fillId="0" borderId="4" xfId="0" applyFont="1" applyFill="1" applyBorder="1" applyAlignment="1">
      <alignment horizontal="left" vertical="center" readingOrder="1"/>
    </xf>
    <xf numFmtId="0" fontId="10" fillId="4" borderId="0" xfId="0" applyFont="1" applyFill="1" applyBorder="1" applyAlignment="1">
      <alignment horizontal="left" vertical="center" readingOrder="1"/>
    </xf>
    <xf numFmtId="0" fontId="2" fillId="0" borderId="14" xfId="0" applyFont="1" applyFill="1" applyBorder="1" applyAlignment="1">
      <alignment horizontal="center" vertical="top" wrapText="1"/>
    </xf>
    <xf numFmtId="0" fontId="2" fillId="0" borderId="17" xfId="0" applyFont="1" applyFill="1" applyBorder="1" applyAlignment="1">
      <alignment horizontal="center" vertical="top" wrapText="1"/>
    </xf>
    <xf numFmtId="0" fontId="2" fillId="0" borderId="16" xfId="0" applyFont="1" applyFill="1" applyBorder="1" applyAlignment="1">
      <alignment horizontal="center" vertical="top" wrapText="1"/>
    </xf>
    <xf numFmtId="7" fontId="2" fillId="0" borderId="15" xfId="0" applyNumberFormat="1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4" fillId="4" borderId="4" xfId="2" applyFont="1" applyFill="1" applyBorder="1" applyAlignment="1" applyProtection="1">
      <alignment horizontal="center" vertical="center" wrapText="1"/>
    </xf>
  </cellXfs>
  <cellStyles count="5">
    <cellStyle name="60% - Accent1" xfId="2" builtinId="32"/>
    <cellStyle name="Accent1" xfId="1" builtinId="29"/>
    <cellStyle name="Currency" xfId="3" builtinId="4"/>
    <cellStyle name="Normal" xfId="0" builtinId="0"/>
    <cellStyle name="Normal 2" xfId="4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numFmt numFmtId="164" formatCode="&quot;$&quot;#,##0.00"/>
    </dxf>
    <dxf>
      <numFmt numFmtId="164" formatCode="&quot;$&quot;#,##0.00"/>
    </dxf>
    <dxf>
      <alignment wrapText="1" readingOrder="0"/>
    </dxf>
    <dxf>
      <numFmt numFmtId="164" formatCode="&quot;$&quot;#,##0.00"/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</dxfs>
  <tableStyles count="3" defaultTableStyle="TableStyleMedium2" defaultPivotStyle="PivotStyleLight16">
    <tableStyle name="Table Style 1" pivot="0" count="1">
      <tableStyleElement type="firstRowStripe" dxfId="20"/>
    </tableStyle>
    <tableStyle name="Table Style 2" pivot="0" count="2">
      <tableStyleElement type="headerRow" dxfId="19"/>
      <tableStyleElement type="firstRowStripe" dxfId="18"/>
    </tableStyle>
    <tableStyle name="Table Style 3" pivot="0" count="2">
      <tableStyleElement type="headerRow" dxfId="17"/>
      <tableStyleElement type="firstRowStripe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1396.501375694446" createdVersion="4" refreshedVersion="4" minRefreshableVersion="3" recordCount="761">
  <cacheSource type="worksheet">
    <worksheetSource ref="A1:U1048576" sheet="April 2013 - Data"/>
  </cacheSource>
  <cacheFields count="21">
    <cacheField name="Department / Read date  3/31/2013" numFmtId="0">
      <sharedItems containsBlank="1"/>
    </cacheField>
    <cacheField name="General Ledger" numFmtId="0">
      <sharedItems containsBlank="1"/>
    </cacheField>
    <cacheField name="GL Description" numFmtId="0">
      <sharedItems containsBlank="1" count="72">
        <s v="Academic Advising"/>
        <s v="Admissions Office"/>
        <s v="Printer Services"/>
        <s v="ROTC-Air Force"/>
        <s v="ROTC-Army"/>
        <s v="AOF - Academic Advising"/>
        <s v="Sports Information"/>
        <s v="Track &amp; Cross Country"/>
        <s v="Soccer"/>
        <s v="Soccer - Women"/>
        <s v="Administrative"/>
        <s v="Auxiliary Administration"/>
        <s v="UMA-Band"/>
        <s v="Biology"/>
        <s v="Carroll Biology Fund"/>
        <s v="Business Executive"/>
        <s v="Institute Planning"/>
        <s v="Treasurers Office"/>
        <s v="Student Union"/>
        <s v="Career Services and Placement"/>
        <s v="Duplicating"/>
        <s v="Center for Leadership &amp; Ethics"/>
        <s v="UMA-Counselors Office"/>
        <s v="Chemistry"/>
        <s v="Civil Engineering"/>
        <s v="UMA-Commandant's Office"/>
        <s v="Communications &amp; Marketing"/>
        <s v="Comptroller's Office"/>
        <s v="Drug &amp; Alcohol Abuse"/>
        <s v="Dean of the Faculty"/>
        <s v="Economics"/>
        <s v="Electrical Engineering"/>
        <s v="English"/>
        <s v="Financial Aid Administration"/>
        <s v="Football"/>
        <s v="History"/>
        <s v="Honor Court"/>
        <s v="Personnel Administration"/>
        <s v="AUX-Student Health"/>
        <s v="IST"/>
        <s v="Institutional Analysis"/>
        <s v="International Programs"/>
        <s v="International Studies Depart"/>
        <s v="AUX-Laundry &amp; Pressing"/>
        <s v="Post Mail"/>
        <s v="Mathematics"/>
        <s v="Math Education Resource Center"/>
        <s v="Mechanical Engineering"/>
        <s v="AUX-Military Store"/>
        <s v="Learning Programs"/>
        <s v="Modern Languages"/>
        <s v="Museum"/>
        <s v="ROTC-Navy"/>
        <s v="Office of Construction"/>
        <s v="Physical Education"/>
        <s v="Physical Plant Administration"/>
        <s v="Cameron Physics &amp; Astronomy"/>
        <s v="Post Security"/>
        <s v="Libraries"/>
        <s v="Protocol Office"/>
        <s v="Philosophy &amp; Psychology"/>
        <s v="Purchasing Office"/>
        <s v="Registration &amp; Records"/>
        <s v="Stone Wall Jackson House"/>
        <s v="Superintendents Office"/>
        <s v="AUX-Tailor Shop"/>
        <s v="Undergraduate Research"/>
        <s v="Institute Writing Program"/>
        <m/>
        <e v="#N/A" u="1"/>
        <s v="E&amp;G-Cadet Counseling" u="1"/>
        <s v="MERC Operating" u="1"/>
      </sharedItems>
    </cacheField>
    <cacheField name="Building" numFmtId="0">
      <sharedItems containsBlank="1"/>
    </cacheField>
    <cacheField name="Room" numFmtId="0">
      <sharedItems containsBlank="1" containsMixedTypes="1" containsNumber="1" containsInteger="1" minValue="1" maxValue="3116"/>
    </cacheField>
    <cacheField name="Model" numFmtId="0">
      <sharedItems containsBlank="1"/>
    </cacheField>
    <cacheField name="Device Type" numFmtId="0">
      <sharedItems containsBlank="1"/>
    </cacheField>
    <cacheField name="Ricoh Tag" numFmtId="0">
      <sharedItems containsString="0" containsBlank="1" containsNumber="1" containsInteger="1" minValue="17099400" maxValue="17099852"/>
    </cacheField>
    <cacheField name="Total BW Click Count" numFmtId="0">
      <sharedItems containsString="0" containsBlank="1" containsNumber="1" containsInteger="1" minValue="0" maxValue="666580"/>
    </cacheField>
    <cacheField name="Total Color Click Count" numFmtId="0">
      <sharedItems containsString="0" containsBlank="1" containsNumber="1" containsInteger="1" minValue="0" maxValue="80261"/>
    </cacheField>
    <cacheField name="BW Click Charge" numFmtId="0">
      <sharedItems containsString="0" containsBlank="1" containsNumber="1" minValue="0" maxValue="1235.9349"/>
    </cacheField>
    <cacheField name="Color Click Charge" numFmtId="0">
      <sharedItems containsString="0" containsBlank="1" containsNumber="1" minValue="0" maxValue="1597.6679999999999"/>
    </cacheField>
    <cacheField name="Device Total Click Charge" numFmtId="0">
      <sharedItems containsString="0" containsBlank="1" containsNumber="1" minValue="0" maxValue="1848.3863999999999"/>
    </cacheField>
    <cacheField name="Serial Number" numFmtId="0">
      <sharedItems containsBlank="1"/>
    </cacheField>
    <cacheField name="IP Address" numFmtId="0">
      <sharedItems containsBlank="1"/>
    </cacheField>
    <cacheField name="CPC BW" numFmtId="0">
      <sharedItems containsString="0" containsBlank="1" containsNumber="1" minValue="2.07E-2" maxValue="2.6200000000000001E-2"/>
    </cacheField>
    <cacheField name="CPC Color" numFmtId="0">
      <sharedItems containsString="0" containsBlank="1" containsNumber="1" minValue="8.6999999999999994E-2" maxValue="0.11799999999999999"/>
    </cacheField>
    <cacheField name="Prev BW Click Count" numFmtId="0">
      <sharedItems containsString="0" containsBlank="1" containsNumber="1" containsInteger="1" minValue="0" maxValue="257652"/>
    </cacheField>
    <cacheField name="Current BW Click Count" numFmtId="0">
      <sharedItems containsString="0" containsBlank="1" containsNumber="1" containsInteger="1" minValue="0" maxValue="317359"/>
    </cacheField>
    <cacheField name="Prev Color Click Count" numFmtId="0">
      <sharedItems containsString="0" containsBlank="1" containsNumber="1" containsInteger="1" minValue="0" maxValue="77523"/>
    </cacheField>
    <cacheField name="Current Color Click Count" numFmtId="0">
      <sharedItems containsString="0" containsBlank="1" containsNumber="1" containsInteger="1" minValue="0" maxValue="958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61">
  <r>
    <s v="Academic Advising"/>
    <s v="10_07_205_90300_5521"/>
    <x v="0"/>
    <s v="Shell Hall"/>
    <n v="301"/>
    <s v="AF SPC242DN"/>
    <s v="PTR"/>
    <n v="17099684"/>
    <n v="234"/>
    <n v="165"/>
    <n v="6.1308000000000007"/>
    <n v="19.47"/>
    <n v="25.6008"/>
    <s v="T202P700442"/>
    <s v="144.75.180.103"/>
    <n v="2.6200000000000001E-2"/>
    <n v="0.11799999999999999"/>
    <n v="2529"/>
    <n v="2763"/>
    <n v="834"/>
    <n v="999"/>
  </r>
  <r>
    <s v="Addmissions"/>
    <s v="10_03_054_01100_5521"/>
    <x v="1"/>
    <s v="Moody Hall"/>
    <n v="104"/>
    <s v="AF SP4310N"/>
    <s v="PTR"/>
    <n v="17099824"/>
    <n v="43"/>
    <n v="0"/>
    <n v="1.1266"/>
    <n v="0"/>
    <n v="1.1266"/>
    <s v="T1129010634"/>
    <s v="144.75.184.23"/>
    <n v="2.6200000000000001E-2"/>
    <n v="0.11799999999999999"/>
    <n v="505"/>
    <n v="548"/>
    <n v="0"/>
    <n v="0"/>
  </r>
  <r>
    <s v="Admissions"/>
    <s v="10_03_054_01100_5521"/>
    <x v="1"/>
    <s v="307 Letcher"/>
    <n v="204"/>
    <s v="AF MPC3502"/>
    <s v="MFP"/>
    <n v="17099493"/>
    <n v="2045"/>
    <n v="2677"/>
    <n v="42.331499999999998"/>
    <n v="232.89899999999997"/>
    <n v="275.23049999999995"/>
    <s v="W502L600872"/>
    <s v="144.75.215.48"/>
    <n v="2.07E-2"/>
    <n v="8.6999999999999994E-2"/>
    <n v="41492"/>
    <n v="43537"/>
    <n v="22039"/>
    <n v="24716"/>
  </r>
  <r>
    <s v="Admissions"/>
    <s v="10_03_054_01100_5521"/>
    <x v="1"/>
    <s v="309 Letcher"/>
    <n v="200"/>
    <s v="AF SPC430DN"/>
    <s v="PTR"/>
    <n v="17099785"/>
    <n v="262"/>
    <n v="682"/>
    <n v="6.8643999999999998"/>
    <n v="80.475999999999999"/>
    <n v="87.340400000000002"/>
    <s v="S9329101091"/>
    <s v="144.75.186.31  "/>
    <n v="2.6200000000000001E-2"/>
    <n v="0.11799999999999999"/>
    <n v="1512"/>
    <n v="1774"/>
    <n v="3151"/>
    <n v="3833"/>
  </r>
  <r>
    <s v="Admissions"/>
    <s v="10_03_054_01100_5521"/>
    <x v="1"/>
    <s v="309 Letcher"/>
    <n v="201"/>
    <s v="AF SP4310N"/>
    <s v="PTR"/>
    <n v="17099780"/>
    <n v="468"/>
    <n v="0"/>
    <n v="12.261600000000001"/>
    <n v="0"/>
    <n v="12.261600000000001"/>
    <s v="T1128911219"/>
    <s v="144.75.215.43"/>
    <n v="2.6200000000000001E-2"/>
    <n v="0.11799999999999999"/>
    <n v="948"/>
    <n v="1416"/>
    <n v="0"/>
    <n v="0"/>
  </r>
  <r>
    <s v="Admissions"/>
    <s v="10_03_054_01100_5521"/>
    <x v="1"/>
    <s v="309 Letcher"/>
    <n v="201"/>
    <s v="AF SP4310N"/>
    <s v="PTR"/>
    <n v="17099512"/>
    <n v="2"/>
    <n v="0"/>
    <n v="5.2400000000000002E-2"/>
    <n v="0"/>
    <n v="5.2400000000000002E-2"/>
    <s v="T1129010877"/>
    <s v="144.75.186.30"/>
    <n v="2.6200000000000001E-2"/>
    <n v="0.11799999999999999"/>
    <n v="50"/>
    <n v="52"/>
    <n v="0"/>
    <n v="0"/>
  </r>
  <r>
    <s v="Admissions"/>
    <s v="10_03_054_01100_5521"/>
    <x v="1"/>
    <s v="309 Letcher"/>
    <n v="302"/>
    <s v="AF SPC242DN"/>
    <s v="PTR"/>
    <n v="17099423"/>
    <n v="53"/>
    <n v="130"/>
    <n v="1.3886000000000001"/>
    <n v="15.34"/>
    <n v="16.7286"/>
    <s v="T202P700463"/>
    <s v="144.75.186.29"/>
    <n v="2.6200000000000001E-2"/>
    <n v="0.11799999999999999"/>
    <n v="255"/>
    <n v="308"/>
    <n v="766"/>
    <n v="896"/>
  </r>
  <r>
    <s v="Admissions"/>
    <s v="10_03_054_01100_5521"/>
    <x v="1"/>
    <s v="309 Letcher"/>
    <n v="306"/>
    <s v="AF SPC242DN"/>
    <s v="PTR"/>
    <n v="17099731"/>
    <n v="279"/>
    <n v="111"/>
    <n v="7.3098000000000001"/>
    <n v="13.097999999999999"/>
    <n v="20.407799999999998"/>
    <s v="T202P600637"/>
    <s v="144.75.186.28"/>
    <n v="2.6200000000000001E-2"/>
    <n v="0.11799999999999999"/>
    <n v="1730"/>
    <n v="2009"/>
    <n v="672"/>
    <n v="783"/>
  </r>
  <r>
    <s v="Admissions"/>
    <s v="10_03_054_01100_5521"/>
    <x v="1"/>
    <s v="309 Letcher"/>
    <n v="306"/>
    <s v="AF SPC242DN"/>
    <s v="PTR"/>
    <n v="17099511"/>
    <n v="31"/>
    <n v="58"/>
    <n v="0.81220000000000003"/>
    <n v="6.8439999999999994"/>
    <n v="7.6561999999999992"/>
    <s v="T202P700465"/>
    <s v="144.75.186.25"/>
    <n v="2.6200000000000001E-2"/>
    <n v="0.11799999999999999"/>
    <n v="445"/>
    <n v="476"/>
    <n v="557"/>
    <n v="615"/>
  </r>
  <r>
    <s v="ADV"/>
    <s v="10_03_064_50550_5521"/>
    <x v="2"/>
    <s v="Carroll Hall"/>
    <s v="210C"/>
    <s v="AF SP4310N"/>
    <s v="PTR"/>
    <n v="17099562"/>
    <n v="148"/>
    <n v="0"/>
    <n v="3.8776000000000002"/>
    <n v="0"/>
    <n v="3.8776000000000002"/>
    <s v="T1128911292"/>
    <s v="144.75.195.20"/>
    <n v="2.6200000000000001E-2"/>
    <n v="0.11799999999999999"/>
    <n v="3771"/>
    <n v="3919"/>
    <n v="0"/>
    <n v="0"/>
  </r>
  <r>
    <s v="ADV"/>
    <s v="10_03_064_50550_5521"/>
    <x v="2"/>
    <s v="Carroll Hall"/>
    <s v="210C"/>
    <s v="AF SPC242DN"/>
    <s v="PTR"/>
    <n v="17099741"/>
    <n v="89"/>
    <n v="119"/>
    <n v="2.3318000000000003"/>
    <n v="14.042"/>
    <n v="16.373799999999999"/>
    <s v="T202P801019"/>
    <s v="144.75.195.97"/>
    <n v="2.6200000000000001E-2"/>
    <n v="0.11799999999999999"/>
    <n v="47"/>
    <n v="136"/>
    <n v="71"/>
    <n v="190"/>
  </r>
  <r>
    <s v="Air Force Rotc"/>
    <s v="10_03_011_02100_5521"/>
    <x v="3"/>
    <s v="Kilbourne Hall"/>
    <n v="2012"/>
    <s v="AF SP4310N"/>
    <s v="PTR"/>
    <n v="17099443"/>
    <n v="0"/>
    <n v="0"/>
    <n v="0"/>
    <n v="0"/>
    <n v="0"/>
    <s v="T1129010871"/>
    <s v="144.75.187.135"/>
    <n v="2.6200000000000001E-2"/>
    <n v="0.11799999999999999"/>
    <n v="321"/>
    <n v="321"/>
    <n v="0"/>
    <n v="0"/>
  </r>
  <r>
    <s v="Air Force Rotc"/>
    <s v="10_03_011_02100_5521"/>
    <x v="3"/>
    <s v="Kilbourne Hall"/>
    <n v="2018"/>
    <s v="AF SP4310N"/>
    <s v="PTR"/>
    <n v="17099438"/>
    <n v="6"/>
    <n v="0"/>
    <n v="0.15720000000000001"/>
    <n v="0"/>
    <n v="0.15720000000000001"/>
    <s v="T1129010832"/>
    <s v="144.75.187.138"/>
    <n v="2.6200000000000001E-2"/>
    <n v="0.11799999999999999"/>
    <n v="844"/>
    <n v="850"/>
    <n v="0"/>
    <n v="0"/>
  </r>
  <r>
    <s v="Army Rotc"/>
    <s v="10_03_011_04100_5521"/>
    <x v="4"/>
    <s v="Kilbourne Hall"/>
    <n v="1024"/>
    <s v="AF SP4310N"/>
    <s v="PTR"/>
    <n v="17099705"/>
    <n v="0"/>
    <n v="0"/>
    <n v="0"/>
    <n v="0"/>
    <n v="0"/>
    <s v="T1128911220"/>
    <s v="144.75.187.127"/>
    <n v="2.6200000000000001E-2"/>
    <n v="0.11799999999999999"/>
    <n v="119"/>
    <n v="119"/>
    <n v="0"/>
    <n v="0"/>
  </r>
  <r>
    <s v="Army Rotc"/>
    <s v="10_03_011_04100_5521"/>
    <x v="4"/>
    <s v="Kilbourne Hall"/>
    <n v="1027"/>
    <s v="AF SP4310N"/>
    <s v="PTR"/>
    <n v="17099737"/>
    <n v="165"/>
    <n v="0"/>
    <n v="4.3230000000000004"/>
    <n v="0"/>
    <n v="4.3230000000000004"/>
    <s v="T1129011362"/>
    <s v="144.75.187.151"/>
    <n v="2.6200000000000001E-2"/>
    <n v="0.11799999999999999"/>
    <n v="132"/>
    <n v="297"/>
    <n v="0"/>
    <n v="0"/>
  </r>
  <r>
    <s v="Army Rotc"/>
    <s v="10_03_011_04100_5521"/>
    <x v="4"/>
    <s v="Kilbourne Hall"/>
    <n v="1027"/>
    <s v="AF SP4310N"/>
    <s v="PTR"/>
    <n v="17099738"/>
    <n v="49"/>
    <n v="0"/>
    <n v="1.2838000000000001"/>
    <n v="0"/>
    <n v="1.2838000000000001"/>
    <s v="T1129012368"/>
    <s v="144.75.187.148"/>
    <n v="2.6200000000000001E-2"/>
    <n v="0.11799999999999999"/>
    <n v="297"/>
    <n v="346"/>
    <n v="0"/>
    <n v="0"/>
  </r>
  <r>
    <s v="Army Rotc"/>
    <s v="10_03_011_04100_5521"/>
    <x v="4"/>
    <s v="Kilbourne Hall"/>
    <n v="1030"/>
    <s v="AF SP4310N"/>
    <s v="PTR"/>
    <n v="17099719"/>
    <n v="189"/>
    <n v="0"/>
    <n v="4.9518000000000004"/>
    <n v="0"/>
    <n v="4.9518000000000004"/>
    <s v="T1129010918"/>
    <s v="144.75.187.124"/>
    <n v="2.6200000000000001E-2"/>
    <n v="0.11799999999999999"/>
    <n v="2399"/>
    <n v="2588"/>
    <n v="0"/>
    <n v="0"/>
  </r>
  <r>
    <s v="Army Rotc"/>
    <s v="10_03_011_04100_5521"/>
    <x v="4"/>
    <s v="Kilbourne Hall"/>
    <n v="2020"/>
    <s v="AF SP4310N"/>
    <s v="PTR"/>
    <n v="17099714"/>
    <n v="113"/>
    <n v="0"/>
    <n v="2.9606000000000003"/>
    <n v="0"/>
    <n v="2.9606000000000003"/>
    <s v="T1129010890"/>
    <s v="144.75.187.101"/>
    <n v="2.6200000000000001E-2"/>
    <n v="0.11799999999999999"/>
    <n v="794"/>
    <n v="907"/>
    <n v="0"/>
    <n v="0"/>
  </r>
  <r>
    <s v="Army Rotc"/>
    <s v="10_03_011_04100_5521"/>
    <x v="4"/>
    <s v="Kilbourne Hall"/>
    <n v="2022"/>
    <s v="AF MPC3502"/>
    <s v="MFP"/>
    <n v="17099434"/>
    <n v="10563"/>
    <n v="1101"/>
    <n v="218.6541"/>
    <n v="95.786999999999992"/>
    <n v="314.44110000000001"/>
    <s v="W502L600854"/>
    <s v="144.75.187.122"/>
    <n v="2.07E-2"/>
    <n v="8.6999999999999994E-2"/>
    <n v="85021"/>
    <n v="95584"/>
    <n v="8124"/>
    <n v="9225"/>
  </r>
  <r>
    <s v="Army Rotc"/>
    <s v="10_03_011_04100_5521"/>
    <x v="4"/>
    <s v="Kilbourne Hall"/>
    <n v="2023"/>
    <s v="AF SP4310N"/>
    <s v="PTR"/>
    <n v="17099435"/>
    <n v="86"/>
    <n v="0"/>
    <n v="2.2532000000000001"/>
    <n v="0"/>
    <n v="2.2532000000000001"/>
    <s v="T1129010902"/>
    <s v="144.75.187.16"/>
    <n v="2.6200000000000001E-2"/>
    <n v="0.11799999999999999"/>
    <n v="616"/>
    <n v="702"/>
    <n v="0"/>
    <n v="0"/>
  </r>
  <r>
    <s v="Army Rotc"/>
    <s v="10_03_011_04100_5521"/>
    <x v="4"/>
    <s v="Kilbourne Hall"/>
    <n v="2029"/>
    <s v="AF SP4310N"/>
    <s v="PTR"/>
    <n v="17099446"/>
    <n v="29"/>
    <n v="0"/>
    <n v="0.75980000000000003"/>
    <n v="0"/>
    <n v="0.75980000000000003"/>
    <s v="T1129010869"/>
    <s v="144.75.187.137"/>
    <n v="2.6200000000000001E-2"/>
    <n v="0.11799999999999999"/>
    <n v="308"/>
    <n v="337"/>
    <n v="0"/>
    <n v="0"/>
  </r>
  <r>
    <s v="Army Rotc"/>
    <s v="10_03_011_04100_5521"/>
    <x v="4"/>
    <s v="Kilbourne Hall"/>
    <n v="2051"/>
    <s v="AF SP4310N"/>
    <s v="PTR"/>
    <n v="17099715"/>
    <n v="7"/>
    <n v="0"/>
    <n v="0.18340000000000001"/>
    <n v="0"/>
    <n v="0.18340000000000001"/>
    <s v="T1129010910"/>
    <s v="144.75.187.111"/>
    <n v="2.6200000000000001E-2"/>
    <n v="0.11799999999999999"/>
    <n v="504"/>
    <n v="511"/>
    <n v="0"/>
    <n v="0"/>
  </r>
  <r>
    <s v="Army Rotc"/>
    <s v="10_03_011_04100_5521"/>
    <x v="4"/>
    <s v="Kilbourne Hall"/>
    <n v="2052"/>
    <s v="AF SP4310N"/>
    <s v="PTR"/>
    <n v="17099852"/>
    <n v="2"/>
    <n v="0"/>
    <n v="5.2400000000000002E-2"/>
    <n v="0"/>
    <n v="5.2400000000000002E-2"/>
    <s v="T1129010839"/>
    <s v="144.75.187.102"/>
    <n v="2.6200000000000001E-2"/>
    <n v="0.11799999999999999"/>
    <n v="5"/>
    <n v="7"/>
    <n v="0"/>
    <n v="0"/>
  </r>
  <r>
    <s v="Army Rotc"/>
    <s v="10_03_011_04100_5521"/>
    <x v="4"/>
    <s v="Kilbourne Hall"/>
    <n v="2053"/>
    <s v="AF SP4310N"/>
    <s v="PTR"/>
    <n v="17099437"/>
    <n v="154"/>
    <n v="0"/>
    <n v="4.0348000000000006"/>
    <n v="0"/>
    <n v="4.0348000000000006"/>
    <s v="T1129010748"/>
    <s v="144.75.187.112"/>
    <n v="2.6200000000000001E-2"/>
    <n v="0.11799999999999999"/>
    <n v="1512"/>
    <n v="1666"/>
    <n v="0"/>
    <n v="0"/>
  </r>
  <r>
    <s v="Army Rotc"/>
    <s v="10_03_011_04100_5521"/>
    <x v="4"/>
    <s v="Kilbourne Hall"/>
    <n v="2056"/>
    <s v="AF SP4310N"/>
    <s v="PTR"/>
    <n v="17099436"/>
    <n v="385"/>
    <n v="0"/>
    <n v="10.087"/>
    <n v="0"/>
    <n v="10.087"/>
    <s v="T1129010837"/>
    <s v="144.75.187.131"/>
    <n v="2.6200000000000001E-2"/>
    <n v="0.11799999999999999"/>
    <n v="2029"/>
    <n v="2414"/>
    <n v="0"/>
    <n v="0"/>
  </r>
  <r>
    <s v="Army Rotc"/>
    <s v="10_03_011_04100_5521"/>
    <x v="4"/>
    <s v="Kilbourne Hall"/>
    <n v="2057"/>
    <s v="AF SP4310N"/>
    <s v="PTR"/>
    <n v="17099444"/>
    <n v="870"/>
    <n v="0"/>
    <n v="22.794"/>
    <n v="0"/>
    <n v="22.794"/>
    <s v="T1129010677"/>
    <s v="144.75.187.133"/>
    <n v="2.6200000000000001E-2"/>
    <n v="0.11799999999999999"/>
    <n v="3865"/>
    <n v="4735"/>
    <n v="0"/>
    <n v="0"/>
  </r>
  <r>
    <s v="Army Rotc"/>
    <s v="10_03_011_04100_5521"/>
    <x v="4"/>
    <s v="Kilbourne Hall"/>
    <n v="2058"/>
    <s v="AF SP4310N"/>
    <s v="PTR"/>
    <n v="17099851"/>
    <n v="17"/>
    <n v="0"/>
    <n v="0.44540000000000002"/>
    <n v="0"/>
    <n v="0.44540000000000002"/>
    <s v="T1129010898"/>
    <s v="144.75.187.114"/>
    <n v="2.6200000000000001E-2"/>
    <n v="0.11799999999999999"/>
    <n v="5"/>
    <n v="22"/>
    <n v="0"/>
    <n v="0"/>
  </r>
  <r>
    <s v="Army Rotc"/>
    <s v="10_03_011_04100_5521"/>
    <x v="4"/>
    <s v="Kilbourne Hall"/>
    <n v="2060"/>
    <s v="AF SP4310N"/>
    <s v="PTR"/>
    <n v="17099430"/>
    <n v="158"/>
    <n v="0"/>
    <n v="4.1395999999999997"/>
    <n v="0"/>
    <n v="4.1395999999999997"/>
    <s v="T1129010760"/>
    <s v="144.75.187.119"/>
    <n v="2.6200000000000001E-2"/>
    <n v="0.11799999999999999"/>
    <n v="561"/>
    <n v="719"/>
    <n v="0"/>
    <n v="0"/>
  </r>
  <r>
    <s v="Army Rotc"/>
    <s v="10_03_011_04100_5521"/>
    <x v="4"/>
    <s v="Kilbourne Hall"/>
    <n v="2061"/>
    <s v="AF SP4310N"/>
    <s v="PTR"/>
    <n v="17099442"/>
    <n v="199"/>
    <n v="0"/>
    <n v="5.2138"/>
    <n v="0"/>
    <n v="5.2138"/>
    <s v="T1129010681"/>
    <s v="144.75.187.136"/>
    <n v="2.6200000000000001E-2"/>
    <n v="0.11799999999999999"/>
    <n v="1133"/>
    <n v="1332"/>
    <n v="0"/>
    <n v="0"/>
  </r>
  <r>
    <s v="Army Rotc"/>
    <s v="10_03_011_04100_5521"/>
    <x v="4"/>
    <s v="Kilbourne Hall"/>
    <n v="2063"/>
    <s v="AF SP4310N"/>
    <s v="PTR"/>
    <n v="17099427"/>
    <n v="223"/>
    <n v="0"/>
    <n v="5.8426"/>
    <n v="0"/>
    <n v="5.8426"/>
    <s v="T1129010874"/>
    <s v="144.75.187.118"/>
    <n v="2.6200000000000001E-2"/>
    <n v="0.11799999999999999"/>
    <n v="1572"/>
    <n v="1795"/>
    <n v="0"/>
    <n v="0"/>
  </r>
  <r>
    <s v="Army Rotc"/>
    <s v="10_03_011_04100_5521"/>
    <x v="4"/>
    <s v="Kilbourne Hall"/>
    <n v="2064"/>
    <s v="AF SP4310N"/>
    <s v="PTR"/>
    <n v="17099439"/>
    <n v="197"/>
    <n v="0"/>
    <n v="5.1614000000000004"/>
    <n v="0"/>
    <n v="5.1614000000000004"/>
    <s v="T1129010823"/>
    <s v="144.75.187.140"/>
    <n v="2.6200000000000001E-2"/>
    <n v="0.11799999999999999"/>
    <n v="979"/>
    <n v="1176"/>
    <n v="0"/>
    <n v="0"/>
  </r>
  <r>
    <s v="Army Rotc"/>
    <s v="10_03_011_04100_5521"/>
    <x v="4"/>
    <s v="Kilbourne Hall"/>
    <n v="2066"/>
    <s v="AF SP4310N"/>
    <s v="PTR"/>
    <n v="17099426"/>
    <n v="131"/>
    <n v="0"/>
    <n v="3.4321999999999999"/>
    <n v="0"/>
    <n v="3.4321999999999999"/>
    <s v="T1129010820"/>
    <s v="144.75.187.121"/>
    <n v="2.6200000000000001E-2"/>
    <n v="0.11799999999999999"/>
    <n v="458"/>
    <n v="589"/>
    <n v="0"/>
    <n v="0"/>
  </r>
  <r>
    <s v="Army Rotc"/>
    <s v="10_03_011_04100_5521"/>
    <x v="4"/>
    <s v="Kilbourne Hall"/>
    <n v="2067"/>
    <s v="AF SP4310N"/>
    <s v="PTR"/>
    <n v="17099425"/>
    <n v="208"/>
    <n v="0"/>
    <n v="5.4496000000000002"/>
    <n v="0"/>
    <n v="5.4496000000000002"/>
    <s v="T1129010889"/>
    <s v="144.75.187.123"/>
    <n v="2.6200000000000001E-2"/>
    <n v="0.11799999999999999"/>
    <n v="1172"/>
    <n v="1380"/>
    <n v="0"/>
    <n v="0"/>
  </r>
  <r>
    <s v="Army Rotc"/>
    <s v="10_03_011_04100_5521"/>
    <x v="4"/>
    <s v="Kilbourne Hall"/>
    <n v="2068"/>
    <s v="AF SP4310N"/>
    <s v="PTR"/>
    <n v="17099829"/>
    <n v="143"/>
    <n v="0"/>
    <n v="3.7465999999999999"/>
    <n v="0"/>
    <n v="3.7465999999999999"/>
    <s v="T1129012371"/>
    <s v="144.75.187.149"/>
    <n v="2.6200000000000001E-2"/>
    <n v="0.11799999999999999"/>
    <n v="211"/>
    <n v="354"/>
    <n v="0"/>
    <n v="0"/>
  </r>
  <r>
    <s v="Army Rotc"/>
    <s v="10_03_011_04100_5521"/>
    <x v="4"/>
    <s v="Kilbourne Hall"/>
    <n v="2070"/>
    <s v="AF SP4310N"/>
    <s v="PTR"/>
    <n v="17099428"/>
    <n v="94"/>
    <n v="0"/>
    <n v="2.4628000000000001"/>
    <n v="0"/>
    <n v="2.4628000000000001"/>
    <s v="T1129010900"/>
    <s v="144.75.187.132"/>
    <n v="2.6200000000000001E-2"/>
    <n v="0.11799999999999999"/>
    <n v="1306"/>
    <n v="1400"/>
    <n v="0"/>
    <n v="0"/>
  </r>
  <r>
    <s v="Athletic Advising"/>
    <s v="40_00_052_06550_5521"/>
    <x v="5"/>
    <s v="Carroll Hall"/>
    <n v="210"/>
    <s v="AF MPC2051"/>
    <s v="MFP"/>
    <n v="17099459"/>
    <n v="8227"/>
    <n v="433"/>
    <n v="170.2989"/>
    <n v="37.670999999999999"/>
    <n v="207.9699"/>
    <s v="V9725401429"/>
    <s v="144.75.195.41"/>
    <n v="2.07E-2"/>
    <n v="8.6999999999999994E-2"/>
    <n v="41732"/>
    <n v="49959"/>
    <n v="3496"/>
    <n v="3929"/>
  </r>
  <r>
    <s v="Athletic Communications"/>
    <s v="30_00_310_06104_5521"/>
    <x v="6"/>
    <s v="Smith Hall"/>
    <n v="116"/>
    <s v="AF MP301SP"/>
    <s v="MFP"/>
    <n v="17099531"/>
    <n v="1251"/>
    <n v="0"/>
    <n v="25.895699999999998"/>
    <n v="0"/>
    <n v="25.895699999999998"/>
    <s v="W912P602286"/>
    <s v="144.75.179.49"/>
    <n v="2.07E-2"/>
    <n v="8.6999999999999994E-2"/>
    <n v="6785"/>
    <n v="8036"/>
    <n v="0"/>
    <n v="0"/>
  </r>
  <r>
    <s v="Athletics"/>
    <s v="30_00_310_06020_5521"/>
    <x v="7"/>
    <s v="Cameron Hall"/>
    <n v="231"/>
    <s v="AF SP4310N"/>
    <s v="PTR"/>
    <n v="17099560"/>
    <n v="520"/>
    <n v="0"/>
    <n v="13.624000000000001"/>
    <n v="0"/>
    <n v="13.624000000000001"/>
    <s v="T1129010426"/>
    <s v="144.75.183.68"/>
    <n v="2.6200000000000001E-2"/>
    <n v="0.11799999999999999"/>
    <n v="3600"/>
    <n v="4120"/>
    <n v="0"/>
    <n v="0"/>
  </r>
  <r>
    <s v="Athletics"/>
    <s v="30_00_310_06090_5521"/>
    <x v="8"/>
    <s v="Cameron Hall"/>
    <n v="245"/>
    <s v="AF SP4310N"/>
    <s v="PTR"/>
    <n v="17099557"/>
    <n v="93"/>
    <n v="0"/>
    <n v="2.4366000000000003"/>
    <n v="0"/>
    <n v="2.4366000000000003"/>
    <s v="T1129010429"/>
    <s v="144.75.183.65"/>
    <n v="2.6200000000000001E-2"/>
    <n v="0.11799999999999999"/>
    <n v="948"/>
    <n v="1041"/>
    <n v="0"/>
    <n v="0"/>
  </r>
  <r>
    <s v="Athletics"/>
    <s v="30_00_310_06095_5521"/>
    <x v="9"/>
    <s v="Cameron Hall"/>
    <n v="239"/>
    <s v="AF SP4310N"/>
    <s v="PTR"/>
    <n v="17099565"/>
    <n v="341"/>
    <n v="0"/>
    <n v="8.9342000000000006"/>
    <n v="0"/>
    <n v="8.9342000000000006"/>
    <s v="T1129010419"/>
    <s v="144.75.183.69"/>
    <n v="2.6200000000000001E-2"/>
    <n v="0.11799999999999999"/>
    <n v="777"/>
    <n v="1118"/>
    <n v="0"/>
    <n v="0"/>
  </r>
  <r>
    <s v="Athletics"/>
    <s v="30_00_310_06110_5521"/>
    <x v="10"/>
    <s v="Cameron Hall"/>
    <n v="204"/>
    <s v="AF MP301SP"/>
    <s v="MFP"/>
    <n v="17099507"/>
    <n v="1453"/>
    <n v="0"/>
    <n v="30.077099999999998"/>
    <n v="0"/>
    <n v="30.077099999999998"/>
    <s v="W912P602280"/>
    <s v="144.75.183.73"/>
    <n v="2.07E-2"/>
    <n v="8.6999999999999994E-2"/>
    <n v="13733"/>
    <n v="15186"/>
    <n v="0"/>
    <n v="0"/>
  </r>
  <r>
    <s v="Athletics"/>
    <s v="30_00_310_06110_5521"/>
    <x v="10"/>
    <s v="Cameron Hall"/>
    <n v="235"/>
    <s v="AF MPC6501"/>
    <s v="MFP"/>
    <n v="17099490"/>
    <n v="8890"/>
    <n v="2334"/>
    <n v="184.023"/>
    <n v="203.05799999999999"/>
    <n v="387.08100000000002"/>
    <s v="V7620400078"/>
    <s v="144.75.183.56"/>
    <n v="2.07E-2"/>
    <n v="8.6999999999999994E-2"/>
    <n v="44575"/>
    <n v="53465"/>
    <n v="16173"/>
    <n v="18507"/>
  </r>
  <r>
    <s v="Athletics"/>
    <s v="30_00_310_06110_5521"/>
    <x v="10"/>
    <s v="Cameron Hall"/>
    <n v="241"/>
    <s v="AF SP4310N"/>
    <s v="PTR"/>
    <n v="17099552"/>
    <n v="783"/>
    <n v="0"/>
    <n v="20.514600000000002"/>
    <n v="0"/>
    <n v="20.514600000000002"/>
    <s v="T1129010427"/>
    <s v="144.75.183.9"/>
    <n v="2.6200000000000001E-2"/>
    <n v="0.11799999999999999"/>
    <n v="4560"/>
    <n v="5343"/>
    <n v="0"/>
    <n v="0"/>
  </r>
  <r>
    <s v="Athletics"/>
    <s v="30_00_310_06110_5521"/>
    <x v="10"/>
    <s v="Cameron Hall"/>
    <n v="242"/>
    <s v="AF SP4310N"/>
    <s v="PTR"/>
    <n v="17099553"/>
    <n v="244"/>
    <n v="0"/>
    <n v="6.3928000000000003"/>
    <n v="0"/>
    <n v="6.3928000000000003"/>
    <s v="T1129010420"/>
    <s v="144.75.183.64"/>
    <n v="2.6200000000000001E-2"/>
    <n v="0.11799999999999999"/>
    <n v="1332"/>
    <n v="1576"/>
    <n v="0"/>
    <n v="0"/>
  </r>
  <r>
    <s v="Athletics"/>
    <s v="30_00_310_06110_5521"/>
    <x v="10"/>
    <s v="Cameron Hall"/>
    <n v="302"/>
    <s v="AF MPC2051"/>
    <s v="MFP"/>
    <n v="17099722"/>
    <n v="1020"/>
    <n v="1717"/>
    <n v="21.114000000000001"/>
    <n v="149.37899999999999"/>
    <n v="170.49299999999999"/>
    <s v="V9725401418"/>
    <s v="144.75.183.52"/>
    <n v="2.07E-2"/>
    <n v="8.6999999999999994E-2"/>
    <n v="6989"/>
    <n v="8009"/>
    <n v="15368"/>
    <n v="17085"/>
  </r>
  <r>
    <s v="Athletics"/>
    <s v="30_00_310_06110_5521"/>
    <x v="10"/>
    <s v="Cameron Hall"/>
    <n v="312"/>
    <s v="AF SP4310N"/>
    <s v="PTR"/>
    <n v="17099555"/>
    <n v="244"/>
    <n v="0"/>
    <n v="6.3928000000000003"/>
    <n v="0"/>
    <n v="6.3928000000000003"/>
    <s v="T1129010428"/>
    <s v="144.75.183.67"/>
    <n v="2.6200000000000001E-2"/>
    <n v="0.11799999999999999"/>
    <n v="1861"/>
    <n v="2105"/>
    <n v="0"/>
    <n v="0"/>
  </r>
  <r>
    <s v="Athletics"/>
    <s v="30_00_310_06110_5521"/>
    <x v="10"/>
    <s v="Cameron Hall"/>
    <n v="314"/>
    <s v="AF SP4310N"/>
    <s v="PTR"/>
    <n v="17099558"/>
    <n v="229"/>
    <n v="0"/>
    <n v="5.9998000000000005"/>
    <n v="0"/>
    <n v="5.9998000000000005"/>
    <s v="T1129010421"/>
    <s v="144.75.183.62"/>
    <n v="2.6200000000000001E-2"/>
    <n v="0.11799999999999999"/>
    <n v="2100"/>
    <n v="2329"/>
    <n v="0"/>
    <n v="0"/>
  </r>
  <r>
    <s v="Athletics"/>
    <s v="30_00_310_06110_5521"/>
    <x v="10"/>
    <s v="Cameron Hall"/>
    <n v="317"/>
    <s v="AF SP4310N"/>
    <s v="PTR"/>
    <n v="17099554"/>
    <n v="209"/>
    <n v="0"/>
    <n v="5.4758000000000004"/>
    <n v="0"/>
    <n v="5.4758000000000004"/>
    <s v="T1129010385"/>
    <s v="144.75.183.63"/>
    <n v="2.6200000000000001E-2"/>
    <n v="0.11799999999999999"/>
    <n v="694"/>
    <n v="903"/>
    <n v="0"/>
    <n v="0"/>
  </r>
  <r>
    <s v="Auxiliary Services"/>
    <s v="10_08_309_82115_5521"/>
    <x v="11"/>
    <s v="Cocke Hall"/>
    <n v="502"/>
    <s v="AF MPC2051"/>
    <s v="MFP"/>
    <n v="17099424"/>
    <n v="1017"/>
    <n v="36"/>
    <n v="21.0519"/>
    <n v="3.1319999999999997"/>
    <n v="24.183900000000001"/>
    <s v="V9725500651"/>
    <s v="144.75.177.32"/>
    <n v="2.07E-2"/>
    <n v="8.6999999999999994E-2"/>
    <n v="6728"/>
    <n v="7745"/>
    <n v="821"/>
    <n v="857"/>
  </r>
  <r>
    <s v="Band"/>
    <s v="10_07_205_30200_5521"/>
    <x v="12"/>
    <s v="Shell Hall"/>
    <n v="207"/>
    <s v="AF MP301SP"/>
    <s v="MFP"/>
    <n v="17099460"/>
    <n v="774"/>
    <n v="0"/>
    <n v="16.021799999999999"/>
    <n v="0"/>
    <n v="16.021799999999999"/>
    <s v="W912P602276"/>
    <s v="144.75.180.76"/>
    <n v="2.07E-2"/>
    <n v="8.6999999999999994E-2"/>
    <n v="6616"/>
    <n v="7390"/>
    <n v="0"/>
    <n v="0"/>
  </r>
  <r>
    <s v="Biology"/>
    <s v="10_03_011_10100_5521"/>
    <x v="13"/>
    <s v="Maury Brooke"/>
    <n v="219"/>
    <s v="AF SP4310N"/>
    <s v="PTR"/>
    <n v="17099760"/>
    <n v="306"/>
    <n v="0"/>
    <n v="8.0172000000000008"/>
    <n v="0"/>
    <n v="8.0172000000000008"/>
    <s v="T1129011348"/>
    <s v="144.75.202.70"/>
    <n v="2.6200000000000001E-2"/>
    <n v="0.11799999999999999"/>
    <n v="906"/>
    <n v="1212"/>
    <n v="0"/>
    <n v="0"/>
  </r>
  <r>
    <s v="Biology"/>
    <s v="10_03_011_10100_5521"/>
    <x v="13"/>
    <s v="Maury Brooke"/>
    <s v="216A"/>
    <s v="AF SP4310N"/>
    <s v="PTR"/>
    <n v="17099814"/>
    <n v="68"/>
    <n v="0"/>
    <n v="1.7816000000000001"/>
    <n v="0"/>
    <n v="1.7816000000000001"/>
    <s v="T1128911357"/>
    <s v="144.75.202.38"/>
    <n v="2.6200000000000001E-2"/>
    <n v="0.11799999999999999"/>
    <n v="169"/>
    <n v="237"/>
    <n v="0"/>
    <n v="0"/>
  </r>
  <r>
    <s v="Biology"/>
    <s v="10_03_064_50550_5521"/>
    <x v="2"/>
    <s v="Maury Brooke"/>
    <s v="204A"/>
    <s v="AF SP4310N"/>
    <s v="PTR"/>
    <n v="17099708"/>
    <n v="150"/>
    <n v="0"/>
    <n v="3.93"/>
    <n v="0"/>
    <n v="3.93"/>
    <s v="T1129011358"/>
    <s v="144.75.202.47"/>
    <n v="2.6200000000000001E-2"/>
    <n v="0.11799999999999999"/>
    <n v="472"/>
    <n v="622"/>
    <n v="0"/>
    <n v="0"/>
  </r>
  <r>
    <s v="Biology"/>
    <s v="40_00_011_10250_5521"/>
    <x v="14"/>
    <s v="Mallory Hall"/>
    <n v="207"/>
    <s v="AF SP4310N"/>
    <s v="PTR"/>
    <n v="17099734"/>
    <n v="174"/>
    <n v="0"/>
    <n v="4.5587999999999997"/>
    <n v="0"/>
    <n v="4.5587999999999997"/>
    <s v="T1129012363"/>
    <s v="144.75.182.92"/>
    <n v="2.6200000000000001E-2"/>
    <n v="0.11799999999999999"/>
    <n v="320"/>
    <n v="494"/>
    <n v="0"/>
    <n v="0"/>
  </r>
  <r>
    <s v="Biology"/>
    <s v="40_00_011_10250_5521"/>
    <x v="14"/>
    <s v="Maury Brooke"/>
    <n v="203"/>
    <s v="AF SP4310N"/>
    <s v="PTR"/>
    <n v="17099613"/>
    <n v="1807"/>
    <n v="0"/>
    <n v="47.343400000000003"/>
    <n v="0"/>
    <n v="47.343400000000003"/>
    <s v="T1129011365"/>
    <s v="144.75.202.56"/>
    <n v="2.6200000000000001E-2"/>
    <n v="0.11799999999999999"/>
    <n v="7117"/>
    <n v="8924"/>
    <n v="0"/>
    <n v="0"/>
  </r>
  <r>
    <s v="Biology"/>
    <s v="40_00_011_10250_5521"/>
    <x v="14"/>
    <s v="Maury Brooke"/>
    <n v="203"/>
    <s v="AF MPC2051"/>
    <s v="MFP"/>
    <n v="17099484"/>
    <n v="3096"/>
    <n v="1516"/>
    <n v="64.087199999999996"/>
    <n v="131.892"/>
    <n v="195.97919999999999"/>
    <s v="V9725401445"/>
    <s v="144.75.191.21"/>
    <n v="2.07E-2"/>
    <n v="8.6999999999999994E-2"/>
    <n v="16505"/>
    <n v="19601"/>
    <n v="2396"/>
    <n v="3912"/>
  </r>
  <r>
    <s v="Biology"/>
    <s v="40_00_011_10250_5521"/>
    <x v="14"/>
    <s v="Maury Brooke"/>
    <s v="203A"/>
    <s v="AF SP4310N"/>
    <s v="PTR"/>
    <n v="17099611"/>
    <n v="1325"/>
    <n v="0"/>
    <n v="34.715000000000003"/>
    <n v="0"/>
    <n v="34.715000000000003"/>
    <s v="T1128911356"/>
    <s v="144.75.202.51"/>
    <n v="2.6200000000000001E-2"/>
    <n v="0.11799999999999999"/>
    <n v="3967"/>
    <n v="5292"/>
    <n v="0"/>
    <n v="0"/>
  </r>
  <r>
    <s v="Biology"/>
    <s v="40_00_011_10250_5521"/>
    <x v="14"/>
    <s v="Maury Brooke"/>
    <s v="203B"/>
    <s v="AF SP4310N"/>
    <s v="PTR"/>
    <n v="17099569"/>
    <n v="194"/>
    <n v="0"/>
    <n v="5.0828000000000007"/>
    <n v="0"/>
    <n v="5.0828000000000007"/>
    <s v="T1129011364"/>
    <s v="144.75.202.58"/>
    <n v="2.6200000000000001E-2"/>
    <n v="0.11799999999999999"/>
    <n v="548"/>
    <n v="742"/>
    <n v="0"/>
    <n v="0"/>
  </r>
  <r>
    <s v="Biology"/>
    <s v="40_00_011_10250_5521"/>
    <x v="14"/>
    <s v="Maury Brooke"/>
    <s v="203C"/>
    <s v="AF SP4310N"/>
    <s v="PTR"/>
    <n v="17099612"/>
    <n v="63"/>
    <n v="0"/>
    <n v="1.6506000000000001"/>
    <n v="0"/>
    <n v="1.6506000000000001"/>
    <s v="T1128911365"/>
    <s v="144.75.202.44"/>
    <n v="2.6200000000000001E-2"/>
    <n v="0.11799999999999999"/>
    <n v="588"/>
    <n v="651"/>
    <n v="0"/>
    <n v="0"/>
  </r>
  <r>
    <s v="Biology"/>
    <s v="40_00_011_10250_5521"/>
    <x v="14"/>
    <s v="Maury Brooke"/>
    <s v="203D"/>
    <s v="AF SP4310N"/>
    <s v="PTR"/>
    <n v="17099568"/>
    <n v="351"/>
    <n v="0"/>
    <n v="9.196200000000001"/>
    <n v="0"/>
    <n v="9.196200000000001"/>
    <s v="T1129012361"/>
    <s v="144.75.202.57"/>
    <n v="2.6200000000000001E-2"/>
    <n v="0.11799999999999999"/>
    <n v="839"/>
    <n v="1190"/>
    <n v="0"/>
    <n v="0"/>
  </r>
  <r>
    <s v="Business Office"/>
    <s v="10_03_062_16100_5521"/>
    <x v="15"/>
    <s v="Smith Hall"/>
    <n v="301"/>
    <s v="AF SP4310N"/>
    <s v="PTR"/>
    <n v="17099696"/>
    <n v="585"/>
    <n v="0"/>
    <n v="15.327"/>
    <n v="0"/>
    <n v="15.327"/>
    <s v="T1129012215"/>
    <s v="144.75.179.113"/>
    <n v="2.6200000000000001E-2"/>
    <n v="0.11799999999999999"/>
    <n v="2689"/>
    <n v="3274"/>
    <n v="0"/>
    <n v="0"/>
  </r>
  <r>
    <s v="Business Office"/>
    <s v="10_03_062_16100_5521"/>
    <x v="15"/>
    <s v="Smith Hall"/>
    <n v="302"/>
    <s v="AF SPC242DN"/>
    <s v="PTR"/>
    <n v="17099750"/>
    <n v="1050"/>
    <n v="1365"/>
    <n v="27.51"/>
    <n v="161.07"/>
    <n v="188.57999999999998"/>
    <s v="T202P801022"/>
    <s v="144.75.179.112"/>
    <n v="2.6200000000000001E-2"/>
    <n v="0.11799999999999999"/>
    <n v="281"/>
    <n v="1331"/>
    <n v="549"/>
    <n v="1914"/>
  </r>
  <r>
    <s v="Business Office"/>
    <s v="10_03_062_16100_5521"/>
    <x v="15"/>
    <s v="Smith Hall"/>
    <n v="303"/>
    <s v="AF SPC242DN"/>
    <s v="PTR"/>
    <n v="17099739"/>
    <n v="44"/>
    <n v="218"/>
    <n v="1.1528"/>
    <n v="25.724"/>
    <n v="26.876799999999999"/>
    <s v="T202P901338"/>
    <s v="144.75.179.122"/>
    <n v="2.6200000000000001E-2"/>
    <n v="0.11799999999999999"/>
    <n v="95"/>
    <n v="139"/>
    <n v="237"/>
    <n v="455"/>
  </r>
  <r>
    <s v="Business Office"/>
    <s v="10_03_062_16150_5521"/>
    <x v="16"/>
    <s v="Smith Hall"/>
    <n v="303"/>
    <s v="AF SP4310N"/>
    <s v="PTR"/>
    <n v="17099709"/>
    <n v="777"/>
    <n v="0"/>
    <n v="20.357400000000002"/>
    <n v="0"/>
    <n v="20.357400000000002"/>
    <s v="T1128911215"/>
    <s v="144.75.179.115"/>
    <n v="2.6200000000000001E-2"/>
    <n v="0.11799999999999999"/>
    <n v="1591"/>
    <n v="2368"/>
    <n v="0"/>
    <n v="0"/>
  </r>
  <r>
    <s v="Business Office"/>
    <s v="10_03_062_16150_5521"/>
    <x v="16"/>
    <s v="Smith Hall"/>
    <n v="303"/>
    <s v="AF SPC242DN"/>
    <s v="PTR"/>
    <n v="17099513"/>
    <n v="0"/>
    <n v="0"/>
    <n v="0"/>
    <n v="0"/>
    <n v="0"/>
    <s v="T202P700462"/>
    <s v="144.75.179.112"/>
    <n v="2.6200000000000001E-2"/>
    <n v="0.11799999999999999"/>
    <n v="0"/>
    <n v="0"/>
    <n v="0"/>
    <n v="0"/>
  </r>
  <r>
    <s v="Business Office"/>
    <s v="10_03_062_16150_5521"/>
    <x v="16"/>
    <s v="Smith Hall"/>
    <n v="304"/>
    <s v="AF MPC3502"/>
    <s v="MFP"/>
    <n v="17099529"/>
    <n v="11100"/>
    <n v="7742"/>
    <n v="229.77"/>
    <n v="673.55399999999997"/>
    <n v="903.32399999999996"/>
    <s v="W502L600725"/>
    <s v="144.75.179.35"/>
    <n v="2.07E-2"/>
    <n v="8.6999999999999994E-2"/>
    <n v="26054"/>
    <n v="37154"/>
    <n v="21767"/>
    <n v="29509"/>
  </r>
  <r>
    <s v="Business Office"/>
    <s v="10_03_062_98100_5521"/>
    <x v="17"/>
    <s v="Smith Hall"/>
    <n v="303"/>
    <s v="AF SP4310N"/>
    <s v="PTR"/>
    <n v="17099711"/>
    <n v="2499"/>
    <n v="0"/>
    <n v="65.473799999999997"/>
    <n v="0"/>
    <n v="65.473799999999997"/>
    <s v="T1128911216"/>
    <s v="144.75.179.65"/>
    <n v="2.6200000000000001E-2"/>
    <n v="0.11799999999999999"/>
    <n v="11038"/>
    <n v="13537"/>
    <n v="0"/>
    <n v="0"/>
  </r>
  <r>
    <s v="Business Office"/>
    <s v="10_03_062_98100_5521"/>
    <x v="17"/>
    <s v="Smith Hall"/>
    <n v="305"/>
    <s v="AF SP4310N"/>
    <s v="PTR"/>
    <n v="17099710"/>
    <n v="1766"/>
    <n v="0"/>
    <n v="46.269200000000005"/>
    <n v="0"/>
    <n v="46.269200000000005"/>
    <s v="T1129012239"/>
    <s v="144.75.179.114"/>
    <n v="2.6200000000000001E-2"/>
    <n v="0.11799999999999999"/>
    <n v="4542"/>
    <n v="6308"/>
    <n v="0"/>
    <n v="0"/>
  </r>
  <r>
    <s v="Cadet Life"/>
    <s v="10_08_307_18380_5521"/>
    <x v="18"/>
    <s v="Lejeune Hall"/>
    <n v="3115"/>
    <s v="AF MPC2051"/>
    <s v="MFP"/>
    <n v="17099486"/>
    <n v="1084"/>
    <n v="35"/>
    <n v="22.438800000000001"/>
    <n v="3.0449999999999999"/>
    <n v="25.483800000000002"/>
    <s v="V9725401441"/>
    <s v="144.75.149.13"/>
    <n v="2.07E-2"/>
    <n v="8.6999999999999994E-2"/>
    <n v="20927"/>
    <n v="22011"/>
    <n v="809"/>
    <n v="844"/>
  </r>
  <r>
    <s v="Cadet Life"/>
    <s v="10_08_307_18380_5521"/>
    <x v="18"/>
    <s v="Lejeune Hall"/>
    <n v="3116"/>
    <s v="AF SP4310N"/>
    <s v="PTR"/>
    <n v="17099717"/>
    <n v="312"/>
    <n v="0"/>
    <n v="8.1744000000000003"/>
    <n v="0"/>
    <n v="8.1744000000000003"/>
    <s v="T1129010915"/>
    <s v="144.75.149.11"/>
    <n v="2.6200000000000001E-2"/>
    <n v="0.11799999999999999"/>
    <n v="778"/>
    <n v="1090"/>
    <n v="0"/>
    <n v="0"/>
  </r>
  <r>
    <s v="Career Services / Financial Aid"/>
    <s v="10_03_053_20300_5521"/>
    <x v="19"/>
    <s v="Carroll Hall"/>
    <n v="311"/>
    <s v="AF SP4310N"/>
    <s v="PTR"/>
    <n v="17099570"/>
    <n v="441"/>
    <n v="0"/>
    <n v="11.5542"/>
    <n v="0"/>
    <n v="11.5542"/>
    <s v="T1128910754"/>
    <s v="144.75.195.25"/>
    <n v="2.6200000000000001E-2"/>
    <n v="0.11799999999999999"/>
    <n v="2373"/>
    <n v="2814"/>
    <n v="0"/>
    <n v="0"/>
  </r>
  <r>
    <s v="Career Services / Financial Aid"/>
    <s v="10_03_053_20300_5521"/>
    <x v="19"/>
    <s v="Carroll Hall"/>
    <n v="312"/>
    <s v="AF SP4310N"/>
    <s v="PTR"/>
    <n v="17099618"/>
    <n v="1563"/>
    <n v="0"/>
    <n v="40.950600000000001"/>
    <n v="0"/>
    <n v="40.950600000000001"/>
    <s v="T1128911369"/>
    <s v="144.75.195.109"/>
    <n v="2.6200000000000001E-2"/>
    <n v="0.11799999999999999"/>
    <n v="7918"/>
    <n v="9481"/>
    <n v="0"/>
    <n v="0"/>
  </r>
  <r>
    <s v="Career Services / Financial Aid"/>
    <s v="10_03_053_20300_5521"/>
    <x v="19"/>
    <s v="Carroll Hall"/>
    <n v="313"/>
    <s v="AF SP4310N"/>
    <s v="PTR"/>
    <n v="17099617"/>
    <n v="420"/>
    <n v="0"/>
    <n v="11.004000000000001"/>
    <n v="0"/>
    <n v="11.004000000000001"/>
    <s v="T1128911361"/>
    <s v="144.75.195.81"/>
    <n v="2.6200000000000001E-2"/>
    <n v="0.11799999999999999"/>
    <n v="806"/>
    <n v="1226"/>
    <n v="0"/>
    <n v="0"/>
  </r>
  <r>
    <s v="Career Services / Financial Aid"/>
    <s v="10_03_064_32145_5521"/>
    <x v="20"/>
    <s v="Carroll Hall"/>
    <n v="307"/>
    <s v="AF MPC6501"/>
    <s v="MFP"/>
    <n v="17099420"/>
    <n v="20678"/>
    <n v="877"/>
    <n v="428.03460000000001"/>
    <n v="76.298999999999992"/>
    <n v="504.33359999999999"/>
    <s v="V7620400172"/>
    <s v="144.75.195.225"/>
    <n v="2.07E-2"/>
    <n v="8.6999999999999994E-2"/>
    <n v="191062"/>
    <n v="211740"/>
    <n v="14613"/>
    <n v="15490"/>
  </r>
  <r>
    <s v="Center for Leadership &amp; Ethics"/>
    <s v="30_00_045_61150_5521"/>
    <x v="21"/>
    <s v="Center for Leadership &amp; Ethics"/>
    <n v="102"/>
    <s v="AF SPC242DN"/>
    <s v="PTR"/>
    <n v="17099779"/>
    <n v="0"/>
    <n v="0"/>
    <n v="0"/>
    <n v="0"/>
    <n v="0"/>
    <s v="T202P600366"/>
    <s v="144.75.215.67"/>
    <n v="2.6200000000000001E-2"/>
    <n v="0.11799999999999999"/>
    <n v="30"/>
    <n v="30"/>
    <n v="8"/>
    <n v="8"/>
  </r>
  <r>
    <s v="Center for Leadership &amp; Ethics"/>
    <s v="30_00_045_61150_5521"/>
    <x v="21"/>
    <s v="Center for Leadership &amp; Ethics"/>
    <n v="201"/>
    <s v="AF SP4310N"/>
    <s v="PTR"/>
    <n v="17099694"/>
    <n v="110"/>
    <n v="0"/>
    <n v="2.8820000000000001"/>
    <n v="0"/>
    <n v="2.8820000000000001"/>
    <s v="T1129011351"/>
    <s v="144.75.215.30"/>
    <n v="2.6200000000000001E-2"/>
    <n v="0.11799999999999999"/>
    <n v="252"/>
    <n v="362"/>
    <n v="0"/>
    <n v="0"/>
  </r>
  <r>
    <s v="Center for Leadership &amp; Ethics"/>
    <s v="30_00_045_61150_5521"/>
    <x v="21"/>
    <s v="Center for Leadership &amp; Ethics"/>
    <n v="201"/>
    <s v="AF SP4310N"/>
    <s v="PTR"/>
    <n v="17099602"/>
    <n v="908"/>
    <n v="0"/>
    <n v="23.7896"/>
    <n v="0"/>
    <n v="23.7896"/>
    <s v="T1129012327"/>
    <s v="144.75.215.10"/>
    <n v="2.6200000000000001E-2"/>
    <n v="0.11799999999999999"/>
    <n v="5142"/>
    <n v="6050"/>
    <n v="0"/>
    <n v="0"/>
  </r>
  <r>
    <s v="Center for Leadership &amp; Ethics"/>
    <s v="30_00_045_61150_5521"/>
    <x v="21"/>
    <s v="Center for Leadership &amp; Ethics"/>
    <n v="201"/>
    <s v="AF MPC2051"/>
    <s v="MFP"/>
    <n v="17099534"/>
    <n v="5902"/>
    <n v="2572"/>
    <n v="122.17139999999999"/>
    <n v="223.76399999999998"/>
    <n v="345.93539999999996"/>
    <s v="V9725400756"/>
    <s v="144.75.215.6"/>
    <n v="2.07E-2"/>
    <n v="8.6999999999999994E-2"/>
    <n v="16774"/>
    <n v="22676"/>
    <n v="9576"/>
    <n v="12148"/>
  </r>
  <r>
    <s v="Chaplains Office"/>
    <s v="10_07_205_24100_5521"/>
    <x v="22"/>
    <s v="Old Hospital"/>
    <n v="202"/>
    <s v="AF MP301SP"/>
    <s v="MFP"/>
    <n v="17099532"/>
    <n v="1002"/>
    <n v="0"/>
    <n v="20.741399999999999"/>
    <n v="0"/>
    <n v="20.741399999999999"/>
    <s v="W912P601485"/>
    <s v="144.75.180.73"/>
    <n v="2.07E-2"/>
    <n v="8.6999999999999994E-2"/>
    <n v="6561"/>
    <n v="7563"/>
    <n v="0"/>
    <n v="0"/>
  </r>
  <r>
    <s v="Chemistry"/>
    <s v="10_03_011_26100_5521"/>
    <x v="23"/>
    <s v="Maury Brooke"/>
    <n v="105"/>
    <s v="AF SP4310N"/>
    <s v="PTR"/>
    <n v="17099816"/>
    <n v="84"/>
    <n v="0"/>
    <n v="2.2008000000000001"/>
    <n v="0"/>
    <n v="2.2008000000000001"/>
    <s v="T1129010633"/>
    <s v="Not Networked"/>
    <n v="2.6200000000000001E-2"/>
    <n v="0.11799999999999999"/>
    <n v="8"/>
    <n v="92"/>
    <n v="0"/>
    <n v="0"/>
  </r>
  <r>
    <s v="Chemistry"/>
    <s v="10_03_011_26100_5521"/>
    <x v="23"/>
    <s v="Maury Brooke"/>
    <n v="303"/>
    <s v="AF SP4310N"/>
    <s v="PTR"/>
    <n v="17099615"/>
    <n v="441"/>
    <n v="0"/>
    <n v="11.5542"/>
    <n v="0"/>
    <n v="11.5542"/>
    <s v="T1129011366"/>
    <s v="144.75.202.14"/>
    <n v="2.6200000000000001E-2"/>
    <n v="0.11799999999999999"/>
    <n v="9288"/>
    <n v="9729"/>
    <n v="0"/>
    <n v="0"/>
  </r>
  <r>
    <s v="Chemistry"/>
    <s v="10_03_011_26100_5521"/>
    <x v="23"/>
    <s v="Maury Brooke"/>
    <n v="402"/>
    <s v="AF SP4310N"/>
    <s v="PTR"/>
    <n v="17099823"/>
    <n v="0"/>
    <n v="0"/>
    <n v="0"/>
    <n v="0"/>
    <n v="0"/>
    <s v="T1128911469"/>
    <s v="144.75.202.89"/>
    <n v="2.6200000000000001E-2"/>
    <n v="0.11799999999999999"/>
    <n v="8"/>
    <n v="8"/>
    <n v="0"/>
    <n v="0"/>
  </r>
  <r>
    <s v="Chemistry"/>
    <s v="10_03_011_26100_5521"/>
    <x v="23"/>
    <s v="Maury Brooke"/>
    <n v="411"/>
    <s v="AF SP4310N"/>
    <s v="PTR"/>
    <n v="17099822"/>
    <n v="229"/>
    <n v="0"/>
    <n v="5.9998000000000005"/>
    <n v="0"/>
    <n v="5.9998000000000005"/>
    <s v="T1129010904"/>
    <s v="144.75.202.76"/>
    <n v="2.6200000000000001E-2"/>
    <n v="0.11799999999999999"/>
    <n v="182"/>
    <n v="411"/>
    <n v="0"/>
    <n v="0"/>
  </r>
  <r>
    <s v="Chemistry"/>
    <s v="10_03_011_26100_5521"/>
    <x v="23"/>
    <s v="Maury Brooke"/>
    <n v="415"/>
    <s v="AF SP4310N"/>
    <s v="PTR"/>
    <n v="17099812"/>
    <n v="108"/>
    <n v="0"/>
    <n v="2.8296000000000001"/>
    <n v="0"/>
    <n v="2.8296000000000001"/>
    <s v="T1129010621"/>
    <s v="Not Networked"/>
    <n v="2.6200000000000001E-2"/>
    <n v="0.11799999999999999"/>
    <n v="548"/>
    <n v="656"/>
    <n v="0"/>
    <n v="0"/>
  </r>
  <r>
    <s v="Chemistry"/>
    <s v="10_03_011_26100_5521"/>
    <x v="23"/>
    <s v="Maury Brooke"/>
    <n v="415"/>
    <s v="AF SP4310N"/>
    <s v="PTR"/>
    <n v="17099794"/>
    <n v="4"/>
    <n v="0"/>
    <n v="0.1048"/>
    <n v="0"/>
    <n v="0.1048"/>
    <s v="T1129010906"/>
    <s v="Not Networked"/>
    <n v="2.6200000000000001E-2"/>
    <n v="0.11799999999999999"/>
    <n v="115"/>
    <n v="119"/>
    <n v="0"/>
    <n v="0"/>
  </r>
  <r>
    <s v="Chemistry"/>
    <s v="10_03_011_26100_5521"/>
    <x v="23"/>
    <s v="Maury Brooke"/>
    <n v="415"/>
    <s v="AF SP4310N"/>
    <s v="PTR"/>
    <n v="17099795"/>
    <n v="2"/>
    <n v="0"/>
    <n v="5.2400000000000002E-2"/>
    <n v="0"/>
    <n v="5.2400000000000002E-2"/>
    <s v="T1129010908"/>
    <s v="Not Networked"/>
    <n v="2.6200000000000001E-2"/>
    <n v="0.11799999999999999"/>
    <n v="5"/>
    <n v="7"/>
    <n v="0"/>
    <n v="0"/>
  </r>
  <r>
    <s v="Chemistry"/>
    <s v="10_03_011_26100_5521"/>
    <x v="23"/>
    <s v="Maury Brooke"/>
    <n v="415"/>
    <s v="AF SP4310N"/>
    <s v="PTR"/>
    <n v="17099811"/>
    <n v="116"/>
    <n v="0"/>
    <n v="3.0392000000000001"/>
    <n v="0"/>
    <n v="3.0392000000000001"/>
    <s v="T1129010922"/>
    <s v="144.75.202.75"/>
    <n v="2.6200000000000001E-2"/>
    <n v="0.11799999999999999"/>
    <n v="333"/>
    <n v="449"/>
    <n v="0"/>
    <n v="0"/>
  </r>
  <r>
    <s v="Chemistry"/>
    <s v="10_03_011_26100_5521"/>
    <x v="23"/>
    <s v="Maury Brooke"/>
    <n v="415"/>
    <s v="AF SP4310N"/>
    <s v="PTR"/>
    <n v="17099796"/>
    <n v="45"/>
    <n v="0"/>
    <n v="1.179"/>
    <n v="0"/>
    <n v="1.179"/>
    <s v="T1129012350"/>
    <s v="Not Networked"/>
    <n v="2.6200000000000001E-2"/>
    <n v="0.11799999999999999"/>
    <n v="288"/>
    <n v="333"/>
    <n v="0"/>
    <n v="0"/>
  </r>
  <r>
    <s v="Chemistry"/>
    <s v="10_03_011_26100_5521"/>
    <x v="23"/>
    <s v="Maury Brooke"/>
    <n v="415"/>
    <s v="AF SP4310N"/>
    <s v="PTR"/>
    <n v="17099793"/>
    <n v="11"/>
    <n v="0"/>
    <n v="0.28820000000000001"/>
    <n v="0"/>
    <n v="0.28820000000000001"/>
    <s v="T1129012364"/>
    <s v="Not Networked"/>
    <n v="2.6200000000000001E-2"/>
    <n v="0.11799999999999999"/>
    <n v="138"/>
    <n v="149"/>
    <n v="0"/>
    <n v="0"/>
  </r>
  <r>
    <s v="Chemistry"/>
    <s v="10_03_011_26100_5521"/>
    <x v="23"/>
    <s v="Maury Brooke"/>
    <s v="303E"/>
    <s v="AF MPC3502"/>
    <s v="MFP"/>
    <n v="17099462"/>
    <n v="11012"/>
    <n v="729"/>
    <n v="227.94839999999999"/>
    <n v="63.422999999999995"/>
    <n v="291.37139999999999"/>
    <s v="W502L601221"/>
    <s v="144.75.202.45"/>
    <n v="2.07E-2"/>
    <n v="8.6999999999999994E-2"/>
    <n v="56414"/>
    <n v="67426"/>
    <n v="2079"/>
    <n v="2808"/>
  </r>
  <r>
    <s v="Chemistry"/>
    <s v="10_03_011_26100_5521"/>
    <x v="23"/>
    <s v="Maury Brooke"/>
    <s v="403H"/>
    <s v="AF SP4310N"/>
    <s v="PTR"/>
    <n v="17099616"/>
    <n v="1940"/>
    <n v="0"/>
    <n v="50.828000000000003"/>
    <n v="0"/>
    <n v="50.828000000000003"/>
    <s v="T1129011350"/>
    <s v="144.75.202.13"/>
    <n v="2.6200000000000001E-2"/>
    <n v="0.11799999999999999"/>
    <n v="8857"/>
    <n v="10797"/>
    <n v="0"/>
    <n v="0"/>
  </r>
  <r>
    <s v="Civil &amp; Environmental Eng."/>
    <s v="10_03_011_28100_5521"/>
    <x v="24"/>
    <s v="Nichols Hall"/>
    <n v="410"/>
    <s v="AF SP4310N"/>
    <s v="PTR"/>
    <n v="17099752"/>
    <n v="89"/>
    <n v="0"/>
    <n v="2.3318000000000003"/>
    <n v="0"/>
    <n v="2.3318000000000003"/>
    <s v="T1128812156"/>
    <s v="144.75.189.88"/>
    <n v="2.6200000000000001E-2"/>
    <n v="0.11799999999999999"/>
    <n v="728"/>
    <n v="817"/>
    <n v="0"/>
    <n v="0"/>
  </r>
  <r>
    <s v="Civil &amp; Environmental Eng."/>
    <s v="10_03_011_28100_5521"/>
    <x v="24"/>
    <s v="Nichols Hall"/>
    <n v="609"/>
    <s v="AF SP4310N"/>
    <s v="PTR"/>
    <n v="17099621"/>
    <n v="1060"/>
    <n v="0"/>
    <n v="27.772000000000002"/>
    <n v="0"/>
    <n v="27.772000000000002"/>
    <s v="T1129011096"/>
    <s v="144.75.193.196"/>
    <n v="2.6200000000000001E-2"/>
    <n v="0.11799999999999999"/>
    <n v="1643"/>
    <n v="2703"/>
    <n v="0"/>
    <n v="0"/>
  </r>
  <r>
    <s v="Civil &amp; Environmental Eng."/>
    <s v="10_03_011_28100_5521"/>
    <x v="24"/>
    <s v="Nichols Hall"/>
    <n v="609"/>
    <s v="AF MPC4502"/>
    <s v="MFP"/>
    <n v="17099782"/>
    <n v="15757"/>
    <n v="1195"/>
    <n v="326.16989999999998"/>
    <n v="103.96499999999999"/>
    <n v="430.13489999999996"/>
    <s v="W512L700506"/>
    <s v="144.75.193.90"/>
    <n v="2.07E-2"/>
    <n v="8.6999999999999994E-2"/>
    <n v="120811"/>
    <n v="136568"/>
    <n v="24544"/>
    <n v="25739"/>
  </r>
  <r>
    <s v="Civil &amp; Environmental Eng."/>
    <s v="10_03_064_50550_5521"/>
    <x v="2"/>
    <s v="Nichols Hall"/>
    <n v="601"/>
    <s v="AF SP4310N"/>
    <s v="PTR"/>
    <n v="17099768"/>
    <n v="16805"/>
    <n v="0"/>
    <n v="440.291"/>
    <n v="0"/>
    <n v="440.291"/>
    <s v="T1128811663"/>
    <s v="144.75.193.42"/>
    <n v="2.6200000000000001E-2"/>
    <n v="0.11799999999999999"/>
    <n v="70469"/>
    <n v="87274"/>
    <n v="0"/>
    <n v="0"/>
  </r>
  <r>
    <s v="Civil &amp; Environmental Eng."/>
    <s v="10_03_064_50550_5521"/>
    <x v="2"/>
    <s v="Nichols Hall"/>
    <n v="602"/>
    <s v="AF SPC242DN"/>
    <s v="PTR"/>
    <n v="17099837"/>
    <n v="2"/>
    <n v="1"/>
    <n v="5.2400000000000002E-2"/>
    <n v="0.11799999999999999"/>
    <n v="0.1704"/>
    <s v="T202P700468"/>
    <s v="144.75.193.106"/>
    <n v="2.6200000000000001E-2"/>
    <n v="0.11799999999999999"/>
    <n v="4"/>
    <n v="6"/>
    <n v="0"/>
    <n v="1"/>
  </r>
  <r>
    <s v="Commandant's Office"/>
    <s v="10_07_205_30150_5521"/>
    <x v="25"/>
    <s v="Old Barracks"/>
    <n v="1"/>
    <s v="AF MPC4502"/>
    <s v="MFP"/>
    <n v="17099497"/>
    <n v="7802"/>
    <n v="3121"/>
    <n v="161.50139999999999"/>
    <n v="271.52699999999999"/>
    <n v="433.02839999999998"/>
    <s v="W512L601992"/>
    <s v="144.75.190.18"/>
    <n v="2.07E-2"/>
    <n v="8.6999999999999994E-2"/>
    <n v="33458"/>
    <n v="41260"/>
    <n v="6009"/>
    <n v="9130"/>
  </r>
  <r>
    <s v="Commandant's Office"/>
    <s v="10_07_205_30150_5521"/>
    <x v="25"/>
    <s v="Old Barracks"/>
    <n v="131"/>
    <s v="AF SP4310N"/>
    <s v="PTR"/>
    <n v="17099704"/>
    <n v="841"/>
    <n v="0"/>
    <n v="22.034200000000002"/>
    <n v="0"/>
    <n v="22.034200000000002"/>
    <s v="T1129012235"/>
    <s v="144.75.190.21"/>
    <n v="2.6200000000000001E-2"/>
    <n v="0.11799999999999999"/>
    <n v="4094"/>
    <n v="4935"/>
    <n v="0"/>
    <n v="0"/>
  </r>
  <r>
    <s v="Commandant's Office"/>
    <s v="10_07_205_30150_5521"/>
    <x v="25"/>
    <s v="Old Barracks"/>
    <n v="139"/>
    <s v="AF SP4310N"/>
    <s v="PTR"/>
    <n v="17099713"/>
    <n v="2618"/>
    <n v="0"/>
    <n v="68.5916"/>
    <n v="0"/>
    <n v="68.5916"/>
    <s v="T1128911518"/>
    <s v="144.75.190.14"/>
    <n v="2.6200000000000001E-2"/>
    <n v="0.11799999999999999"/>
    <n v="13163"/>
    <n v="15781"/>
    <n v="0"/>
    <n v="0"/>
  </r>
  <r>
    <s v="Commandant's Office"/>
    <s v="10_07_205_30150_5521"/>
    <x v="25"/>
    <s v="Old Barracks"/>
    <s v="135C"/>
    <s v="AF SP4310N"/>
    <s v="PTR"/>
    <n v="17099703"/>
    <n v="3962"/>
    <n v="0"/>
    <n v="103.8044"/>
    <n v="0"/>
    <n v="103.8044"/>
    <s v="T1129012232"/>
    <s v="144.75.190.22"/>
    <n v="2.6200000000000001E-2"/>
    <n v="0.11799999999999999"/>
    <n v="13992"/>
    <n v="17954"/>
    <n v="0"/>
    <n v="0"/>
  </r>
  <r>
    <s v="Commandant's Office"/>
    <s v="10_07_205_30150_5521"/>
    <x v="25"/>
    <s v="Old Barracks"/>
    <s v="135D"/>
    <s v="AF SP4310N"/>
    <s v="PTR"/>
    <n v="17099707"/>
    <n v="828"/>
    <n v="0"/>
    <n v="21.6936"/>
    <n v="0"/>
    <n v="21.6936"/>
    <s v="T1128911517"/>
    <s v="144.75.190.36"/>
    <n v="2.6200000000000001E-2"/>
    <n v="0.11799999999999999"/>
    <n v="4164"/>
    <n v="4992"/>
    <n v="0"/>
    <n v="0"/>
  </r>
  <r>
    <s v="Commandant's Office"/>
    <s v="10_07_205_30150_5521"/>
    <x v="25"/>
    <s v="Old Barracks"/>
    <s v="B5"/>
    <s v="AF SP4310N"/>
    <s v="PTR"/>
    <n v="17099761"/>
    <n v="149"/>
    <n v="0"/>
    <n v="3.9038000000000004"/>
    <n v="0"/>
    <n v="3.9038000000000004"/>
    <s v="T1129010625"/>
    <s v="144.75.190.42"/>
    <n v="2.6200000000000001E-2"/>
    <n v="0.11799999999999999"/>
    <n v="148"/>
    <n v="297"/>
    <n v="0"/>
    <n v="0"/>
  </r>
  <r>
    <s v="Commandant's Office"/>
    <s v="30_00_310_06110_5521"/>
    <x v="10"/>
    <s v="Kilbourne Hall"/>
    <s v="Rifle Range"/>
    <s v="AF SP4310N"/>
    <s v="PTR"/>
    <n v="17099797"/>
    <n v="0"/>
    <n v="0"/>
    <n v="0"/>
    <n v="0"/>
    <n v="0"/>
    <s v="T1129010627"/>
    <s v="144.75.187.120"/>
    <n v="2.6200000000000001E-2"/>
    <n v="0.11799999999999999"/>
    <n v="204"/>
    <n v="204"/>
    <n v="0"/>
    <n v="0"/>
  </r>
  <r>
    <s v="Commandant's Office"/>
    <s v="30_00_310_06110_5521"/>
    <x v="10"/>
    <s v="Old Barracks"/>
    <s v="3C-14"/>
    <s v="AF SP4310N"/>
    <s v="PTR"/>
    <n v="17099762"/>
    <n v="559"/>
    <n v="0"/>
    <n v="14.645800000000001"/>
    <n v="0"/>
    <n v="14.645800000000001"/>
    <s v="T1129010629"/>
    <s v="144.75.155.56"/>
    <n v="2.6200000000000001E-2"/>
    <n v="0.11799999999999999"/>
    <n v="734"/>
    <n v="1293"/>
    <n v="0"/>
    <n v="0"/>
  </r>
  <r>
    <s v="Communications and Marketing"/>
    <s v="10_03_065_88100_5521"/>
    <x v="26"/>
    <s v="Smith Hall"/>
    <n v="111"/>
    <s v="AF MP301SP"/>
    <s v="MFP"/>
    <n v="17099530"/>
    <n v="1187"/>
    <n v="0"/>
    <n v="24.570899999999998"/>
    <n v="0"/>
    <n v="24.570899999999998"/>
    <s v="W912P602281"/>
    <s v="144.75.179.81"/>
    <n v="2.07E-2"/>
    <n v="8.6999999999999994E-2"/>
    <n v="5950"/>
    <n v="7137"/>
    <n v="0"/>
    <n v="0"/>
  </r>
  <r>
    <s v="Communications and Marketing"/>
    <s v="10_03_065_88100_5521"/>
    <x v="26"/>
    <s v="Smith Hall"/>
    <s v="114A"/>
    <s v="AF SP4310N"/>
    <s v="PTR"/>
    <n v="17099697"/>
    <n v="212"/>
    <n v="0"/>
    <n v="5.5544000000000002"/>
    <n v="0"/>
    <n v="5.5544000000000002"/>
    <s v="T1128911218"/>
    <s v="144.75.179.110"/>
    <n v="2.6200000000000001E-2"/>
    <n v="0.11799999999999999"/>
    <n v="1005"/>
    <n v="1217"/>
    <n v="0"/>
    <n v="0"/>
  </r>
  <r>
    <s v="Comptrollers"/>
    <s v="10_03_062_32100_5521"/>
    <x v="27"/>
    <s v="Smith Hall"/>
    <n v="320"/>
    <s v="AF SP4310N"/>
    <s v="PTR"/>
    <n v="17099695"/>
    <n v="2389"/>
    <n v="0"/>
    <n v="62.591799999999999"/>
    <n v="0"/>
    <n v="62.591799999999999"/>
    <s v="T1129012230"/>
    <s v="144.75.179.43"/>
    <n v="2.6200000000000001E-2"/>
    <n v="0.11799999999999999"/>
    <n v="11383"/>
    <n v="13772"/>
    <n v="0"/>
    <n v="0"/>
  </r>
  <r>
    <s v="Comptrollers"/>
    <s v="10_03_062_32100_5521"/>
    <x v="27"/>
    <s v="Smith Hall"/>
    <n v="320"/>
    <s v="AF MP4002"/>
    <s v="MFP"/>
    <n v="17099414"/>
    <n v="5968"/>
    <n v="0"/>
    <n v="123.5376"/>
    <n v="0"/>
    <n v="123.5376"/>
    <s v="W523L101576"/>
    <s v="144.75.179.234"/>
    <n v="2.07E-2"/>
    <n v="8.6999999999999994E-2"/>
    <n v="9327"/>
    <n v="15295"/>
    <n v="0"/>
    <n v="0"/>
  </r>
  <r>
    <s v="Counseling"/>
    <s v="10_08_308_52175_5521"/>
    <x v="28"/>
    <s v="Infirmary"/>
    <n v="203"/>
    <s v="AF SP4310N"/>
    <s v="PTR"/>
    <n v="17099636"/>
    <n v="1"/>
    <n v="0"/>
    <n v="2.6200000000000001E-2"/>
    <n v="0"/>
    <n v="2.6200000000000001E-2"/>
    <s v="T1128911167"/>
    <s v="144.75.176.49"/>
    <n v="2.6200000000000001E-2"/>
    <n v="0.11799999999999999"/>
    <n v="386"/>
    <n v="387"/>
    <n v="0"/>
    <n v="0"/>
  </r>
  <r>
    <s v="Counseling"/>
    <s v="10_08_308_52175_5521"/>
    <x v="28"/>
    <s v="Infirmary"/>
    <n v="204"/>
    <s v="AF SP4310N"/>
    <s v="PTR"/>
    <n v="17099603"/>
    <n v="379"/>
    <n v="0"/>
    <n v="9.9298000000000002"/>
    <n v="0"/>
    <n v="9.9298000000000002"/>
    <s v="T1128911209"/>
    <s v="144.75.176.50"/>
    <n v="2.6200000000000001E-2"/>
    <n v="0.11799999999999999"/>
    <n v="1968"/>
    <n v="2347"/>
    <n v="0"/>
    <n v="0"/>
  </r>
  <r>
    <s v="Counseling"/>
    <s v="10_08_308_52175_5521"/>
    <x v="28"/>
    <s v="Infirmary"/>
    <n v="205"/>
    <s v="AF MPC2051"/>
    <s v="MFP"/>
    <n v="17099417"/>
    <n v="1941"/>
    <n v="102"/>
    <n v="40.178699999999999"/>
    <n v="8.8739999999999988"/>
    <n v="49.052700000000002"/>
    <s v="V9734900016"/>
    <s v="144.75.176.32"/>
    <n v="2.07E-2"/>
    <n v="8.6999999999999994E-2"/>
    <n v="2699"/>
    <n v="4640"/>
    <n v="97"/>
    <n v="199"/>
  </r>
  <r>
    <s v="Counseling"/>
    <s v="10_08_308_52175_5521"/>
    <x v="28"/>
    <s v="Infirmary"/>
    <n v="213"/>
    <s v="AF SP4310N"/>
    <s v="PTR"/>
    <n v="17099604"/>
    <n v="284"/>
    <n v="0"/>
    <n v="7.4408000000000003"/>
    <n v="0"/>
    <n v="7.4408000000000003"/>
    <s v="T1128911212"/>
    <s v="144.75.176.48"/>
    <n v="2.6200000000000001E-2"/>
    <n v="0.11799999999999999"/>
    <n v="955"/>
    <n v="1239"/>
    <n v="0"/>
    <n v="0"/>
  </r>
  <r>
    <s v="Dean's Office"/>
    <s v="10_03_045_34100_5521"/>
    <x v="29"/>
    <s v="Smith Hall"/>
    <n v="201"/>
    <s v="AF SP4310N"/>
    <s v="PTR"/>
    <n v="17099687"/>
    <n v="815"/>
    <n v="0"/>
    <n v="21.353000000000002"/>
    <n v="0"/>
    <n v="21.353000000000002"/>
    <s v="T1128911197"/>
    <s v="144.75.179.4"/>
    <n v="2.6200000000000001E-2"/>
    <n v="0.11799999999999999"/>
    <n v="2990"/>
    <n v="3805"/>
    <n v="0"/>
    <n v="0"/>
  </r>
  <r>
    <s v="Dean's Office"/>
    <s v="10_03_045_34100_5521"/>
    <x v="29"/>
    <s v="Smith Hall"/>
    <n v="212"/>
    <s v="AF SP4310N"/>
    <s v="PTR"/>
    <n v="17099699"/>
    <n v="113"/>
    <n v="0"/>
    <n v="2.9606000000000003"/>
    <n v="0"/>
    <n v="2.9606000000000003"/>
    <s v="T1128911227"/>
    <s v="144.75.179.56"/>
    <n v="2.6200000000000001E-2"/>
    <n v="0.11799999999999999"/>
    <n v="759"/>
    <n v="872"/>
    <n v="0"/>
    <n v="0"/>
  </r>
  <r>
    <s v="Dean's Office"/>
    <s v="10_03_045_34100_5521"/>
    <x v="29"/>
    <s v="Smith Hall"/>
    <n v="213"/>
    <s v="AF SP4310N"/>
    <s v="PTR"/>
    <n v="17099686"/>
    <n v="334"/>
    <n v="0"/>
    <n v="8.7507999999999999"/>
    <n v="0"/>
    <n v="8.7507999999999999"/>
    <s v="T1128911226"/>
    <s v="144.75.179.101"/>
    <n v="2.6200000000000001E-2"/>
    <n v="0.11799999999999999"/>
    <n v="1929"/>
    <n v="2263"/>
    <n v="0"/>
    <n v="0"/>
  </r>
  <r>
    <s v="Dean's Office"/>
    <s v="10_03_045_34100_5521"/>
    <x v="29"/>
    <s v="Smith Hall"/>
    <n v="216"/>
    <s v="AF SP4310N"/>
    <s v="PTR"/>
    <n v="17099730"/>
    <n v="1661"/>
    <n v="0"/>
    <n v="43.5182"/>
    <n v="0"/>
    <n v="43.5182"/>
    <s v="T1128710864"/>
    <s v="144.75.179.11"/>
    <n v="2.6200000000000001E-2"/>
    <n v="0.11799999999999999"/>
    <n v="2758"/>
    <n v="4419"/>
    <n v="0"/>
    <n v="0"/>
  </r>
  <r>
    <s v="Dean's Office"/>
    <s v="10_03_045_34100_5521"/>
    <x v="29"/>
    <s v="Smith Hall"/>
    <n v="216"/>
    <s v="AF MPC2051"/>
    <s v="MFP"/>
    <n v="17099499"/>
    <n v="928"/>
    <n v="18"/>
    <n v="19.209599999999998"/>
    <n v="1.5659999999999998"/>
    <n v="20.775599999999997"/>
    <s v="V9725401451"/>
    <s v="144.75.179.99"/>
    <n v="2.07E-2"/>
    <n v="8.6999999999999994E-2"/>
    <n v="9619"/>
    <n v="10547"/>
    <n v="790"/>
    <n v="808"/>
  </r>
  <r>
    <s v="Economics &amp; Business"/>
    <s v="10_03_011_36100_5521"/>
    <x v="30"/>
    <s v="Scott Shipp Hall"/>
    <n v="307"/>
    <s v="AF SP4310N"/>
    <s v="PTR"/>
    <n v="17099831"/>
    <n v="725"/>
    <n v="0"/>
    <n v="18.995000000000001"/>
    <n v="0"/>
    <n v="18.995000000000001"/>
    <s v="T1128710860"/>
    <s v="144.75.213.35"/>
    <n v="2.6200000000000001E-2"/>
    <n v="0.11799999999999999"/>
    <n v="3599"/>
    <n v="4324"/>
    <n v="0"/>
    <n v="0"/>
  </r>
  <r>
    <s v="Economics &amp; Business"/>
    <s v="10_03_011_36100_5521"/>
    <x v="30"/>
    <s v="Scott Shipp Hall"/>
    <n v="318"/>
    <s v="AF SP4310N"/>
    <s v="PTR"/>
    <n v="17099440"/>
    <n v="0"/>
    <n v="0"/>
    <n v="0"/>
    <n v="0"/>
    <n v="0"/>
    <s v="T1129010899"/>
    <s v="144.75.214.41"/>
    <n v="2.6200000000000001E-2"/>
    <n v="0.11799999999999999"/>
    <n v="477"/>
    <n v="477"/>
    <n v="0"/>
    <n v="0"/>
  </r>
  <r>
    <s v="Economics &amp; Business"/>
    <s v="10_03_011_36100_5521"/>
    <x v="30"/>
    <s v="Scott Shipp Hall"/>
    <n v="320"/>
    <s v="AF SP4310N"/>
    <s v="PTR"/>
    <n v="17099771"/>
    <n v="10893"/>
    <n v="0"/>
    <n v="285.39660000000003"/>
    <n v="0"/>
    <n v="285.39660000000003"/>
    <s v="T1128712307"/>
    <s v="144.75.214.34"/>
    <n v="2.6200000000000001E-2"/>
    <n v="0.11799999999999999"/>
    <n v="55960"/>
    <n v="66853"/>
    <n v="0"/>
    <n v="0"/>
  </r>
  <r>
    <s v="Economics &amp; Business"/>
    <s v="10_03_011_36100_5521"/>
    <x v="30"/>
    <s v="Scott Shipp Hall"/>
    <n v="331"/>
    <s v="AF SP4310N"/>
    <s v="PTR"/>
    <n v="17099723"/>
    <n v="824"/>
    <n v="0"/>
    <n v="21.588799999999999"/>
    <n v="0"/>
    <n v="21.588799999999999"/>
    <s v="T1128911184"/>
    <s v="144.75.208.26"/>
    <n v="2.6200000000000001E-2"/>
    <n v="0.11799999999999999"/>
    <n v="1575"/>
    <n v="2399"/>
    <n v="0"/>
    <n v="0"/>
  </r>
  <r>
    <s v="Economics &amp; Business"/>
    <s v="10_03_011_36100_5521"/>
    <x v="30"/>
    <s v="Scott Shipp Hall"/>
    <n v="337"/>
    <s v="AF MPC4502"/>
    <s v="MFP"/>
    <n v="17099456"/>
    <n v="22694"/>
    <n v="2220"/>
    <n v="469.76580000000001"/>
    <n v="193.14"/>
    <n v="662.9058"/>
    <s v="W512L601991"/>
    <s v="144.75.208.32"/>
    <n v="2.07E-2"/>
    <n v="8.6999999999999994E-2"/>
    <n v="140366"/>
    <n v="163060"/>
    <n v="9366"/>
    <n v="11586"/>
  </r>
  <r>
    <s v="Economics &amp; Business"/>
    <s v="10_03_011_36100_5521"/>
    <x v="30"/>
    <s v="Scott Shipp Hall"/>
    <n v="345"/>
    <s v="AF SP4310N"/>
    <s v="PTR"/>
    <n v="17099813"/>
    <n v="1408"/>
    <n v="0"/>
    <n v="36.889600000000002"/>
    <n v="0"/>
    <n v="36.889600000000002"/>
    <s v="T1128811965"/>
    <s v="144.75.208.37"/>
    <n v="2.6200000000000001E-2"/>
    <n v="0.11799999999999999"/>
    <n v="9216"/>
    <n v="10624"/>
    <n v="0"/>
    <n v="0"/>
  </r>
  <r>
    <s v="Economics &amp; Business"/>
    <s v="10_03_011_36100_5521"/>
    <x v="30"/>
    <s v="Scott Shipp Hall"/>
    <n v="346"/>
    <s v="AF SPC242DN"/>
    <s v="PTR"/>
    <n v="17099643"/>
    <n v="33"/>
    <n v="67"/>
    <n v="0.86460000000000004"/>
    <n v="7.9059999999999997"/>
    <n v="8.7706"/>
    <s v="T202P700467"/>
    <s v="144.75.208.40"/>
    <n v="2.6200000000000001E-2"/>
    <n v="0.11799999999999999"/>
    <n v="218"/>
    <n v="251"/>
    <n v="271"/>
    <n v="338"/>
  </r>
  <r>
    <s v="Electrical &amp; Computer Eng."/>
    <s v="10_03_011_38100_5521"/>
    <x v="31"/>
    <s v="Nichols Hall"/>
    <n v="502"/>
    <s v="AF SP4310N"/>
    <s v="PTR"/>
    <n v="17099626"/>
    <n v="82"/>
    <n v="0"/>
    <n v="2.1484000000000001"/>
    <n v="0"/>
    <n v="2.1484000000000001"/>
    <s v="T1129011159"/>
    <s v="144.75.193.195"/>
    <n v="2.6200000000000001E-2"/>
    <n v="0.11799999999999999"/>
    <n v="264"/>
    <n v="346"/>
    <n v="0"/>
    <n v="0"/>
  </r>
  <r>
    <s v="Electrical &amp; Computer Eng."/>
    <s v="10_03_011_38100_5521"/>
    <x v="31"/>
    <s v="Nichols Hall"/>
    <n v="507"/>
    <s v="AF SP4310N"/>
    <s v="PTR"/>
    <n v="17099587"/>
    <n v="17"/>
    <n v="0"/>
    <n v="0.44540000000000002"/>
    <n v="0"/>
    <n v="0.44540000000000002"/>
    <s v="T1129011158"/>
    <s v="144.75.193.192"/>
    <n v="2.6200000000000001E-2"/>
    <n v="0.11799999999999999"/>
    <n v="520"/>
    <n v="537"/>
    <n v="0"/>
    <n v="0"/>
  </r>
  <r>
    <s v="Electrical &amp; Computer Eng."/>
    <s v="10_03_011_38100_5521"/>
    <x v="31"/>
    <s v="Nichols Hall"/>
    <n v="508"/>
    <s v="AF MPC3502"/>
    <s v="MFP"/>
    <n v="17099466"/>
    <n v="1233"/>
    <n v="389"/>
    <n v="25.523099999999999"/>
    <n v="33.842999999999996"/>
    <n v="59.366099999999996"/>
    <s v="V9725600283"/>
    <s v="144.75.193.30"/>
    <n v="2.07E-2"/>
    <n v="8.6999999999999994E-2"/>
    <n v="8636"/>
    <n v="9869"/>
    <n v="800"/>
    <n v="1189"/>
  </r>
  <r>
    <s v="Electrical &amp; Computer Eng."/>
    <s v="10_03_011_38100_5521"/>
    <x v="31"/>
    <s v="Nichols Hall"/>
    <n v="509"/>
    <s v="AF SP4310N"/>
    <s v="PTR"/>
    <n v="17099614"/>
    <n v="107"/>
    <n v="0"/>
    <n v="2.8033999999999999"/>
    <n v="0"/>
    <n v="2.8033999999999999"/>
    <s v="T1129011173"/>
    <s v="144.75.193.191"/>
    <n v="2.6200000000000001E-2"/>
    <n v="0.11799999999999999"/>
    <n v="385"/>
    <n v="492"/>
    <n v="0"/>
    <n v="0"/>
  </r>
  <r>
    <s v="Electrical &amp; Computer Eng."/>
    <s v="10_03_011_38100_5521"/>
    <x v="31"/>
    <s v="Nichols Hall"/>
    <n v="605"/>
    <s v="AF SP4310N"/>
    <s v="PTR"/>
    <n v="17099625"/>
    <n v="63"/>
    <n v="0"/>
    <n v="1.6506000000000001"/>
    <n v="0"/>
    <n v="1.6506000000000001"/>
    <s v="T1129011106"/>
    <s v="144.75.193.131"/>
    <n v="2.6200000000000001E-2"/>
    <n v="0.11799999999999999"/>
    <n v="446"/>
    <n v="509"/>
    <n v="0"/>
    <n v="0"/>
  </r>
  <r>
    <s v="Electrical &amp; Computer Eng."/>
    <s v="10_03_011_38100_5521"/>
    <x v="31"/>
    <s v="Nichols Hall"/>
    <n v="620"/>
    <s v="AF SP4310N"/>
    <s v="PTR"/>
    <n v="17099619"/>
    <n v="219"/>
    <n v="0"/>
    <n v="5.7378"/>
    <n v="0"/>
    <n v="5.7378"/>
    <s v="T1129011160"/>
    <s v="144.75.193.180"/>
    <n v="2.6200000000000001E-2"/>
    <n v="0.11799999999999999"/>
    <n v="1027"/>
    <n v="1246"/>
    <n v="0"/>
    <n v="0"/>
  </r>
  <r>
    <s v="Electrical &amp; Computer Eng."/>
    <s v="10_03_064_50550_5521"/>
    <x v="2"/>
    <s v="Nichols Hall"/>
    <n v="404"/>
    <s v="AF SP4310N"/>
    <s v="PTR"/>
    <n v="17099764"/>
    <n v="2666"/>
    <n v="0"/>
    <n v="69.849199999999996"/>
    <n v="0"/>
    <n v="69.849199999999996"/>
    <s v="T1128811953"/>
    <s v="144.75.193.69"/>
    <n v="2.6200000000000001E-2"/>
    <n v="0.11799999999999999"/>
    <n v="12093"/>
    <n v="14759"/>
    <n v="0"/>
    <n v="0"/>
  </r>
  <r>
    <s v="Electrical &amp; Computer Eng."/>
    <s v="10_03_064_50550_5521"/>
    <x v="2"/>
    <s v="Nichols Hall"/>
    <n v="407"/>
    <s v="AF SP4310N"/>
    <s v="PTR"/>
    <n v="17099788"/>
    <n v="563"/>
    <n v="0"/>
    <n v="14.7506"/>
    <n v="0"/>
    <n v="14.7506"/>
    <s v="T1128710825"/>
    <s v="144.75.189.87"/>
    <n v="2.6200000000000001E-2"/>
    <n v="0.11799999999999999"/>
    <n v="2296"/>
    <n v="2859"/>
    <n v="0"/>
    <n v="0"/>
  </r>
  <r>
    <s v="Electrical &amp; Computer Eng."/>
    <s v="10_03_064_50550_5521"/>
    <x v="2"/>
    <s v="Nichols Hall"/>
    <n v="408"/>
    <s v="AF SPC242DN"/>
    <s v="PTR"/>
    <n v="17099769"/>
    <n v="51"/>
    <n v="13"/>
    <n v="1.3362000000000001"/>
    <n v="1.5339999999999998"/>
    <n v="2.8701999999999996"/>
    <s v="T202P600356"/>
    <s v="144.75.193.128"/>
    <n v="2.6200000000000001E-2"/>
    <n v="0.11799999999999999"/>
    <n v="570"/>
    <n v="621"/>
    <n v="241"/>
    <n v="254"/>
  </r>
  <r>
    <s v="Electrical &amp; Computer Eng."/>
    <s v="10_03_064_50550_5521"/>
    <x v="2"/>
    <s v="Nichols Hall"/>
    <n v="426"/>
    <s v="AF SP4310N"/>
    <s v="PTR"/>
    <n v="17099766"/>
    <n v="240"/>
    <n v="0"/>
    <n v="6.2880000000000003"/>
    <n v="0"/>
    <n v="6.2880000000000003"/>
    <s v="T1128811955"/>
    <s v="144.75.193.74"/>
    <n v="2.6200000000000001E-2"/>
    <n v="0.11799999999999999"/>
    <n v="3494"/>
    <n v="3734"/>
    <n v="0"/>
    <n v="0"/>
  </r>
  <r>
    <s v="Electrical &amp; Computer Eng."/>
    <s v="10_03_064_50550_5521"/>
    <x v="2"/>
    <s v="Nichols Hall"/>
    <n v="427"/>
    <s v="AF SP4310N"/>
    <s v="PTR"/>
    <n v="17099767"/>
    <n v="355"/>
    <n v="0"/>
    <n v="9.3010000000000002"/>
    <n v="0"/>
    <n v="9.3010000000000002"/>
    <s v="T1128811954"/>
    <s v="144.75.193.212"/>
    <n v="2.6200000000000001E-2"/>
    <n v="0.11799999999999999"/>
    <n v="1344"/>
    <n v="1699"/>
    <n v="0"/>
    <n v="0"/>
  </r>
  <r>
    <s v="Electrical &amp; Computer Eng."/>
    <s v="10_03_064_50550_5521"/>
    <x v="2"/>
    <s v="Nichols Hall"/>
    <n v="428"/>
    <s v="AF SP4310N"/>
    <s v="PTR"/>
    <n v="17099765"/>
    <n v="353"/>
    <n v="0"/>
    <n v="9.2485999999999997"/>
    <n v="0"/>
    <n v="9.2485999999999997"/>
    <s v="T1128811911"/>
    <s v="144.75.193.178"/>
    <n v="2.6200000000000001E-2"/>
    <n v="0.11799999999999999"/>
    <n v="1885"/>
    <n v="2238"/>
    <n v="0"/>
    <n v="0"/>
  </r>
  <r>
    <s v="Electrical &amp; Computer Eng."/>
    <s v="10_03_064_50550_5521"/>
    <x v="2"/>
    <s v="Nichols Hall"/>
    <n v="506"/>
    <s v="AF SP4310N"/>
    <s v="PTR"/>
    <n v="17099627"/>
    <n v="87"/>
    <n v="0"/>
    <n v="2.2793999999999999"/>
    <n v="0"/>
    <n v="2.2793999999999999"/>
    <s v="T1129011165"/>
    <s v="144.75.193.12"/>
    <n v="2.6200000000000001E-2"/>
    <n v="0.11799999999999999"/>
    <n v="800"/>
    <n v="887"/>
    <n v="0"/>
    <n v="0"/>
  </r>
  <r>
    <s v="English &amp; Fine Arts"/>
    <s v="10_03_011_40100_5521"/>
    <x v="32"/>
    <s v="Scott Shipp Hall"/>
    <n v="206"/>
    <s v="AF SP4310N"/>
    <s v="PTR"/>
    <n v="17099540"/>
    <n v="398"/>
    <n v="0"/>
    <n v="10.4276"/>
    <n v="0"/>
    <n v="10.4276"/>
    <s v="T1128910783"/>
    <s v="144.75.206.31"/>
    <n v="2.6200000000000001E-2"/>
    <n v="0.11799999999999999"/>
    <n v="2008"/>
    <n v="2406"/>
    <n v="0"/>
    <n v="0"/>
  </r>
  <r>
    <s v="English &amp; Fine Arts"/>
    <s v="10_03_011_40100_5521"/>
    <x v="32"/>
    <s v="Scott Shipp Hall"/>
    <n v="220"/>
    <s v="AF SP4310N"/>
    <s v="PTR"/>
    <n v="17099539"/>
    <n v="747"/>
    <n v="0"/>
    <n v="19.571400000000001"/>
    <n v="0"/>
    <n v="19.571400000000001"/>
    <s v="T1128910784"/>
    <s v="144.75.207.55"/>
    <n v="2.6200000000000001E-2"/>
    <n v="0.11799999999999999"/>
    <n v="3089"/>
    <n v="3836"/>
    <n v="0"/>
    <n v="0"/>
  </r>
  <r>
    <s v="English &amp; Fine Arts"/>
    <s v="10_03_011_40100_5521"/>
    <x v="32"/>
    <s v="Scott Shipp Hall"/>
    <n v="221"/>
    <s v="AF SPC242DN"/>
    <s v="PTR"/>
    <n v="17099516"/>
    <n v="215"/>
    <n v="82"/>
    <n v="5.633"/>
    <n v="9.6760000000000002"/>
    <n v="15.309000000000001"/>
    <s v="T202P700476"/>
    <s v="144.75.207.58"/>
    <n v="2.6200000000000001E-2"/>
    <n v="0.11799999999999999"/>
    <n v="1300"/>
    <n v="1515"/>
    <n v="921"/>
    <n v="1003"/>
  </r>
  <r>
    <s v="English &amp; Fine Arts"/>
    <s v="10_03_011_40100_5521"/>
    <x v="32"/>
    <s v="Scott Shipp Hall"/>
    <n v="222"/>
    <s v="AF SP4310N"/>
    <s v="PTR"/>
    <n v="17099538"/>
    <n v="546"/>
    <n v="0"/>
    <n v="14.305200000000001"/>
    <n v="0"/>
    <n v="14.305200000000001"/>
    <s v="T1128910785"/>
    <s v="144.75.207.53"/>
    <n v="2.6200000000000001E-2"/>
    <n v="0.11799999999999999"/>
    <n v="2940"/>
    <n v="3486"/>
    <n v="0"/>
    <n v="0"/>
  </r>
  <r>
    <s v="English &amp; Fine Arts"/>
    <s v="10_03_011_40100_5521"/>
    <x v="32"/>
    <s v="Scott Shipp Hall"/>
    <n v="223"/>
    <s v="AF SP4310N"/>
    <s v="PTR"/>
    <n v="17099514"/>
    <n v="1169"/>
    <n v="0"/>
    <n v="30.627800000000001"/>
    <n v="0"/>
    <n v="30.627800000000001"/>
    <s v="T1128910768"/>
    <s v="144.75.207.50"/>
    <n v="2.6200000000000001E-2"/>
    <n v="0.11799999999999999"/>
    <n v="5793"/>
    <n v="6962"/>
    <n v="0"/>
    <n v="0"/>
  </r>
  <r>
    <s v="English &amp; Fine Arts"/>
    <s v="10_03_011_40100_5521"/>
    <x v="32"/>
    <s v="Scott Shipp Hall"/>
    <n v="224"/>
    <s v="AF SP4310N"/>
    <s v="PTR"/>
    <n v="17099517"/>
    <n v="684"/>
    <n v="0"/>
    <n v="17.9208"/>
    <n v="0"/>
    <n v="17.9208"/>
    <s v="T1128910777"/>
    <s v="144.75.207.57"/>
    <n v="2.6200000000000001E-2"/>
    <n v="0.11799999999999999"/>
    <n v="2845"/>
    <n v="3529"/>
    <n v="0"/>
    <n v="0"/>
  </r>
  <r>
    <s v="English &amp; Fine Arts"/>
    <s v="10_03_011_40100_5521"/>
    <x v="32"/>
    <s v="Scott Shipp Hall"/>
    <n v="226"/>
    <s v="AF SP4310N"/>
    <s v="PTR"/>
    <n v="17099521"/>
    <n v="285"/>
    <n v="0"/>
    <n v="7.4670000000000005"/>
    <n v="0"/>
    <n v="7.4670000000000005"/>
    <s v="T1128910772"/>
    <s v="144.75.207.34"/>
    <n v="2.6200000000000001E-2"/>
    <n v="0.11799999999999999"/>
    <n v="2497"/>
    <n v="2782"/>
    <n v="0"/>
    <n v="0"/>
  </r>
  <r>
    <s v="English &amp; Fine Arts"/>
    <s v="10_03_011_40100_5521"/>
    <x v="32"/>
    <s v="Scott Shipp Hall"/>
    <n v="227"/>
    <s v="AF MPC3502"/>
    <s v="MFP"/>
    <n v="17099453"/>
    <n v="22769"/>
    <n v="1388"/>
    <n v="471.31829999999997"/>
    <n v="120.75599999999999"/>
    <n v="592.07429999999999"/>
    <s v="W502L700053"/>
    <s v="144.75.195.87"/>
    <n v="2.07E-2"/>
    <n v="8.6999999999999994E-2"/>
    <n v="37378"/>
    <n v="60147"/>
    <n v="5801"/>
    <n v="7189"/>
  </r>
  <r>
    <s v="English &amp; Fine Arts"/>
    <s v="10_03_011_40100_5521"/>
    <x v="32"/>
    <s v="Scott Shipp Hall"/>
    <n v="231"/>
    <s v="AF SP4310N"/>
    <s v="PTR"/>
    <n v="17099537"/>
    <n v="445"/>
    <n v="0"/>
    <n v="11.659000000000001"/>
    <n v="0"/>
    <n v="11.659000000000001"/>
    <s v="T1128910781"/>
    <s v="144.75.207.52"/>
    <n v="2.6200000000000001E-2"/>
    <n v="0.11799999999999999"/>
    <n v="3928"/>
    <n v="4373"/>
    <n v="0"/>
    <n v="0"/>
  </r>
  <r>
    <s v="English &amp; Fine Arts"/>
    <s v="10_03_011_40100_5521"/>
    <x v="32"/>
    <s v="Scott Shipp Hall"/>
    <n v="232"/>
    <s v="AF SP4310N"/>
    <s v="PTR"/>
    <n v="17099519"/>
    <n v="240"/>
    <n v="0"/>
    <n v="6.2880000000000003"/>
    <n v="0"/>
    <n v="6.2880000000000003"/>
    <s v="T1128910767"/>
    <s v="144.75.207.54"/>
    <n v="2.6200000000000001E-2"/>
    <n v="0.11799999999999999"/>
    <n v="2265"/>
    <n v="2505"/>
    <n v="0"/>
    <n v="0"/>
  </r>
  <r>
    <s v="English &amp; Fine Arts"/>
    <s v="10_03_011_40100_5521"/>
    <x v="32"/>
    <s v="Scott Shipp Hall"/>
    <n v="236"/>
    <s v="AF SP4310N"/>
    <s v="PTR"/>
    <n v="17099518"/>
    <n v="289"/>
    <n v="0"/>
    <n v="7.5718000000000005"/>
    <n v="0"/>
    <n v="7.5718000000000005"/>
    <s v="T1128910789"/>
    <s v="144.75.207.56"/>
    <n v="2.6200000000000001E-2"/>
    <n v="0.11799999999999999"/>
    <n v="2590"/>
    <n v="2879"/>
    <n v="0"/>
    <n v="0"/>
  </r>
  <r>
    <s v="English &amp; Fine Arts"/>
    <s v="10_03_011_40100_5521"/>
    <x v="32"/>
    <s v="Scott Shipp Hall"/>
    <n v="323"/>
    <s v="AF SP4310N"/>
    <s v="PTR"/>
    <n v="17099559"/>
    <n v="1306"/>
    <n v="0"/>
    <n v="34.217199999999998"/>
    <n v="0"/>
    <n v="34.217199999999998"/>
    <s v="T1128910788"/>
    <s v="144.75.214.43"/>
    <n v="2.6200000000000001E-2"/>
    <n v="0.11799999999999999"/>
    <n v="5140"/>
    <n v="6446"/>
    <n v="0"/>
    <n v="0"/>
  </r>
  <r>
    <s v="Financial Aid"/>
    <s v="10_03_055_42100_5521"/>
    <x v="33"/>
    <s v="Carroll Hall"/>
    <n v="302"/>
    <s v="AF SP4310N"/>
    <s v="PTR"/>
    <n v="17099574"/>
    <n v="2290"/>
    <n v="0"/>
    <n v="59.998000000000005"/>
    <n v="0"/>
    <n v="59.998000000000005"/>
    <s v="T1128911268"/>
    <s v="144.75.195.101"/>
    <n v="2.6200000000000001E-2"/>
    <n v="0.11799999999999999"/>
    <n v="3309"/>
    <n v="5599"/>
    <n v="0"/>
    <n v="0"/>
  </r>
  <r>
    <s v="Financial Aid"/>
    <s v="10_03_055_42100_5521"/>
    <x v="33"/>
    <s v="Carroll Hall"/>
    <s v="302A"/>
    <s v="AF SP4310N"/>
    <s v="PTR"/>
    <n v="17099835"/>
    <n v="1423"/>
    <n v="0"/>
    <n v="37.282600000000002"/>
    <n v="0"/>
    <n v="37.282600000000002"/>
    <s v="T1129010125"/>
    <s v="144.75.195.38"/>
    <n v="2.6200000000000001E-2"/>
    <n v="0.11799999999999999"/>
    <n v="439"/>
    <n v="1862"/>
    <n v="0"/>
    <n v="0"/>
  </r>
  <r>
    <s v="Financial Aid"/>
    <s v="10_03_055_42100_5521"/>
    <x v="33"/>
    <s v="Carroll Hall"/>
    <s v="302B"/>
    <s v="AF SP4310N"/>
    <s v="PTR"/>
    <n v="17099572"/>
    <n v="780"/>
    <n v="0"/>
    <n v="20.436"/>
    <n v="0"/>
    <n v="20.436"/>
    <s v="T1128811968"/>
    <s v="144.75.195.10"/>
    <n v="2.6200000000000001E-2"/>
    <n v="0.11799999999999999"/>
    <n v="6744"/>
    <n v="7524"/>
    <n v="0"/>
    <n v="0"/>
  </r>
  <r>
    <s v="Financial Aid"/>
    <s v="10_03_055_42100_5521"/>
    <x v="33"/>
    <s v="Carroll Hall"/>
    <s v="302D"/>
    <s v="AF SP4310N"/>
    <s v="PTR"/>
    <n v="17099573"/>
    <n v="1100"/>
    <n v="0"/>
    <n v="28.82"/>
    <n v="0"/>
    <n v="28.82"/>
    <s v="T1128911366"/>
    <s v="144.75.195.102"/>
    <n v="2.6200000000000001E-2"/>
    <n v="0.11799999999999999"/>
    <n v="4357"/>
    <n v="5457"/>
    <n v="0"/>
    <n v="0"/>
  </r>
  <r>
    <s v="Football Department"/>
    <s v="30_00_310_06000_5521"/>
    <x v="34"/>
    <s v="Clarkson McKenna Hall"/>
    <n v="307"/>
    <s v="AF SP4310N"/>
    <s v="PTR"/>
    <n v="17099623"/>
    <n v="164"/>
    <n v="0"/>
    <n v="4.2968000000000002"/>
    <n v="0"/>
    <n v="4.2968000000000002"/>
    <s v="T1129012226"/>
    <s v="144.75.216.21"/>
    <n v="2.6200000000000001E-2"/>
    <n v="0.11799999999999999"/>
    <n v="475"/>
    <n v="639"/>
    <n v="0"/>
    <n v="0"/>
  </r>
  <r>
    <s v="Football Office"/>
    <s v="30_00_310_06000_5521"/>
    <x v="34"/>
    <s v="Clarkson McKenna Hall"/>
    <n v="312"/>
    <s v="AF MPC3502"/>
    <s v="MFP"/>
    <n v="17099481"/>
    <n v="13248"/>
    <n v="10971"/>
    <n v="274.23359999999997"/>
    <n v="954.47699999999998"/>
    <n v="1228.7105999999999"/>
    <s v="W502L600898"/>
    <s v="144.75.216.14"/>
    <n v="2.07E-2"/>
    <n v="8.6999999999999994E-2"/>
    <n v="56026"/>
    <n v="69274"/>
    <n v="20027"/>
    <n v="30998"/>
  </r>
  <r>
    <s v="Guard Room"/>
    <s v="10_07_205_30150_5521"/>
    <x v="25"/>
    <s v="Old Barracks"/>
    <n v="123"/>
    <s v="AF SP4310N"/>
    <s v="PTR"/>
    <n v="17099783"/>
    <n v="982"/>
    <n v="0"/>
    <n v="25.728400000000001"/>
    <n v="0"/>
    <n v="25.728400000000001"/>
    <s v="T1128811958"/>
    <s v="144.75.190.30"/>
    <n v="2.6200000000000001E-2"/>
    <n v="0.11799999999999999"/>
    <n v="6657"/>
    <n v="7639"/>
    <n v="0"/>
    <n v="0"/>
  </r>
  <r>
    <s v="History"/>
    <s v="10_03_011_48100_5521"/>
    <x v="35"/>
    <s v="Scott Shipp Hall"/>
    <n v="521"/>
    <s v="AF SP4310N"/>
    <s v="PTR"/>
    <n v="17099544"/>
    <n v="134"/>
    <n v="0"/>
    <n v="3.5108000000000001"/>
    <n v="0"/>
    <n v="3.5108000000000001"/>
    <s v="T1129010431"/>
    <s v="144.75.213.44"/>
    <n v="2.6200000000000001E-2"/>
    <n v="0.11799999999999999"/>
    <n v="802"/>
    <n v="936"/>
    <n v="0"/>
    <n v="0"/>
  </r>
  <r>
    <s v="History"/>
    <s v="10_03_011_48100_5521"/>
    <x v="35"/>
    <s v="Scott Shipp Hall"/>
    <n v="523"/>
    <s v="AF SP4310N"/>
    <s v="PTR"/>
    <n v="17099543"/>
    <n v="447"/>
    <n v="0"/>
    <n v="11.711400000000001"/>
    <n v="0"/>
    <n v="11.711400000000001"/>
    <s v="T1129010430"/>
    <s v="144.75.213.39"/>
    <n v="2.6200000000000001E-2"/>
    <n v="0.11799999999999999"/>
    <n v="1928"/>
    <n v="2375"/>
    <n v="0"/>
    <n v="0"/>
  </r>
  <r>
    <s v="History"/>
    <s v="10_03_011_48100_5521"/>
    <x v="35"/>
    <s v="Scott Shipp Hall"/>
    <n v="528"/>
    <s v="AF MPC2051"/>
    <s v="MFP"/>
    <n v="17099485"/>
    <n v="2172"/>
    <n v="56"/>
    <n v="44.9604"/>
    <n v="4.8719999999999999"/>
    <n v="49.8324"/>
    <s v="V9725501224"/>
    <s v="144.75.213.36"/>
    <n v="2.07E-2"/>
    <n v="8.6999999999999994E-2"/>
    <n v="24424"/>
    <n v="26596"/>
    <n v="644"/>
    <n v="700"/>
  </r>
  <r>
    <s v="History"/>
    <s v="10_03_011_48100_5521"/>
    <x v="35"/>
    <s v="Scott Shipp Hall"/>
    <n v="532"/>
    <s v="AF SP4310N"/>
    <s v="PTR"/>
    <n v="17099545"/>
    <n v="27"/>
    <n v="0"/>
    <n v="0.70740000000000003"/>
    <n v="0"/>
    <n v="0.70740000000000003"/>
    <s v="T1129010422"/>
    <s v="144.75.213.42"/>
    <n v="2.6200000000000001E-2"/>
    <n v="0.11799999999999999"/>
    <n v="226"/>
    <n v="253"/>
    <n v="0"/>
    <n v="0"/>
  </r>
  <r>
    <s v="History"/>
    <s v="10_03_011_48100_5521"/>
    <x v="35"/>
    <s v="Scott Shipp Hall"/>
    <n v="536"/>
    <s v="AF SP4310N"/>
    <s v="PTR"/>
    <n v="17099546"/>
    <n v="523"/>
    <n v="0"/>
    <n v="13.7026"/>
    <n v="0"/>
    <n v="13.7026"/>
    <s v="T1129010424"/>
    <s v="144.75.213.26"/>
    <n v="2.6200000000000001E-2"/>
    <n v="0.11799999999999999"/>
    <n v="6484"/>
    <n v="7007"/>
    <n v="0"/>
    <n v="0"/>
  </r>
  <r>
    <s v="Honor Court"/>
    <s v="10_08_308_94175_5521"/>
    <x v="36"/>
    <s v="Shell Hall"/>
    <n v="404"/>
    <s v="AF SP4310N"/>
    <s v="PTR"/>
    <n v="17099655"/>
    <n v="195"/>
    <n v="0"/>
    <n v="5.109"/>
    <n v="0"/>
    <n v="5.109"/>
    <s v="T1129012231"/>
    <s v="144.75.180.104"/>
    <n v="2.6200000000000001E-2"/>
    <n v="0.11799999999999999"/>
    <n v="771"/>
    <n v="966"/>
    <n v="0"/>
    <n v="0"/>
  </r>
  <r>
    <s v="Honor Court"/>
    <s v="10_08_308_94175_5521"/>
    <x v="36"/>
    <s v="Shell Hall"/>
    <n v="411"/>
    <s v="AF MP301SP"/>
    <s v="MFP"/>
    <n v="17099433"/>
    <n v="3040"/>
    <n v="0"/>
    <n v="62.927999999999997"/>
    <n v="0"/>
    <n v="62.927999999999997"/>
    <s v="W912P602240"/>
    <s v="144.75.180.70"/>
    <n v="2.07E-2"/>
    <n v="8.6999999999999994E-2"/>
    <n v="8639"/>
    <n v="11679"/>
    <n v="0"/>
    <n v="0"/>
  </r>
  <r>
    <s v="Human Resources"/>
    <s v="10_03_063_74100_5521"/>
    <x v="37"/>
    <s v="305 Letcher Avenue"/>
    <n v="301"/>
    <s v="AF SP4310N"/>
    <s v="PTR"/>
    <n v="17099422"/>
    <n v="878"/>
    <n v="0"/>
    <n v="23.003600000000002"/>
    <n v="0"/>
    <n v="23.003600000000002"/>
    <s v="T1129010803"/>
    <s v="144.75.215.9"/>
    <n v="2.6200000000000001E-2"/>
    <n v="0.11799999999999999"/>
    <n v="3808"/>
    <n v="4686"/>
    <n v="0"/>
    <n v="0"/>
  </r>
  <r>
    <s v="Human Resources"/>
    <s v="10_03_063_74100_5521"/>
    <x v="37"/>
    <s v="305 Letcher Avenue"/>
    <n v="301"/>
    <s v="AF SP4310N"/>
    <s v="PTR"/>
    <n v="17099508"/>
    <n v="501"/>
    <n v="0"/>
    <n v="13.126200000000001"/>
    <n v="0"/>
    <n v="13.126200000000001"/>
    <s v="T1129010833"/>
    <s v="144.75.215.14"/>
    <n v="2.6200000000000001E-2"/>
    <n v="0.11799999999999999"/>
    <n v="2654"/>
    <n v="3155"/>
    <n v="0"/>
    <n v="0"/>
  </r>
  <r>
    <s v="Human Resources"/>
    <s v="10_03_063_74100_5521"/>
    <x v="37"/>
    <s v="305 Letcher Avenue"/>
    <n v="303"/>
    <s v="AF SP4310N"/>
    <s v="PTR"/>
    <n v="17099441"/>
    <n v="323"/>
    <n v="0"/>
    <n v="8.4626000000000001"/>
    <n v="0"/>
    <n v="8.4626000000000001"/>
    <s v="T1129010888"/>
    <s v="144.75.215.69"/>
    <n v="2.6200000000000001E-2"/>
    <n v="0.11799999999999999"/>
    <n v="2362"/>
    <n v="2685"/>
    <n v="0"/>
    <n v="0"/>
  </r>
  <r>
    <s v="Human Resources"/>
    <s v="10_03_063_74100_5521"/>
    <x v="37"/>
    <s v="305 Letcher Avenue"/>
    <n v="303"/>
    <s v="AF SP4310N"/>
    <s v="PTR"/>
    <n v="17099510"/>
    <n v="418"/>
    <n v="0"/>
    <n v="10.951600000000001"/>
    <n v="0"/>
    <n v="10.951600000000001"/>
    <s v="T1129010891"/>
    <s v="144.75.215.52"/>
    <n v="2.6200000000000001E-2"/>
    <n v="0.11799999999999999"/>
    <n v="1929"/>
    <n v="2347"/>
    <n v="0"/>
    <n v="0"/>
  </r>
  <r>
    <s v="Human Resources"/>
    <s v="10_03_063_74100_5521"/>
    <x v="37"/>
    <s v="305 Letcher Avenue"/>
    <n v="303"/>
    <s v="AF SP4310N"/>
    <s v="PTR"/>
    <n v="17099509"/>
    <n v="1454"/>
    <n v="0"/>
    <n v="38.094799999999999"/>
    <n v="0"/>
    <n v="38.094799999999999"/>
    <s v="T1129010903"/>
    <s v="144.75.215.22"/>
    <n v="2.6200000000000001E-2"/>
    <n v="0.11799999999999999"/>
    <n v="7743"/>
    <n v="9197"/>
    <n v="0"/>
    <n v="0"/>
  </r>
  <r>
    <s v="Human Resources"/>
    <s v="10_03_063_74100_5521"/>
    <x v="37"/>
    <s v="305 Letcher Avenue"/>
    <n v="305"/>
    <s v="AF MPC2051"/>
    <s v="MFP"/>
    <n v="17099494"/>
    <n v="5659"/>
    <n v="550"/>
    <n v="117.1413"/>
    <n v="47.849999999999994"/>
    <n v="164.9913"/>
    <s v="V9725401440"/>
    <s v="144.75.215.28"/>
    <n v="2.07E-2"/>
    <n v="8.6999999999999994E-2"/>
    <n v="14716"/>
    <n v="20375"/>
    <n v="2033"/>
    <n v="2583"/>
  </r>
  <r>
    <s v="Infirmary"/>
    <s v="10_08_305_80150_5521"/>
    <x v="38"/>
    <s v="Infirmary"/>
    <n v="113"/>
    <s v="AF SP4310N"/>
    <s v="PTR"/>
    <n v="17099605"/>
    <n v="3400"/>
    <n v="0"/>
    <n v="89.08"/>
    <n v="0"/>
    <n v="89.08"/>
    <s v="T1129010432"/>
    <s v="144.75.176.29"/>
    <n v="2.6200000000000001E-2"/>
    <n v="0.11799999999999999"/>
    <n v="11273"/>
    <n v="14673"/>
    <n v="0"/>
    <n v="0"/>
  </r>
  <r>
    <s v="Infirmary"/>
    <s v="10_08_305_80150_5521"/>
    <x v="38"/>
    <s v="Infirmary"/>
    <n v="121"/>
    <s v="AF MPC2051"/>
    <s v="MFP"/>
    <n v="17099496"/>
    <n v="2593"/>
    <n v="291"/>
    <n v="53.6751"/>
    <n v="25.316999999999997"/>
    <n v="78.992099999999994"/>
    <s v="V9725401162"/>
    <s v="144.75.176.21"/>
    <n v="2.07E-2"/>
    <n v="8.6999999999999994E-2"/>
    <n v="15814"/>
    <n v="18407"/>
    <n v="1859"/>
    <n v="2150"/>
  </r>
  <r>
    <s v="Infirmary"/>
    <s v="10_08_305_80150_5521"/>
    <x v="38"/>
    <s v="Infirmary"/>
    <n v="219"/>
    <s v="AF SP4310N"/>
    <s v="PTR"/>
    <n v="17099635"/>
    <n v="983"/>
    <n v="0"/>
    <n v="25.7546"/>
    <n v="0"/>
    <n v="25.7546"/>
    <s v="T1128710823"/>
    <s v="144.75.176.20"/>
    <n v="2.6200000000000001E-2"/>
    <n v="0.11799999999999999"/>
    <n v="5850"/>
    <n v="6833"/>
    <n v="0"/>
    <n v="0"/>
  </r>
  <r>
    <s v="Infirmary"/>
    <s v="10_08_305_80150_5521"/>
    <x v="38"/>
    <s v="Infirmary"/>
    <n v="219"/>
    <s v="AF MPC2051"/>
    <s v="MFP"/>
    <n v="17099495"/>
    <n v="665"/>
    <n v="10"/>
    <n v="13.765499999999999"/>
    <n v="0.86999999999999988"/>
    <n v="14.635499999999999"/>
    <s v="V9725401375"/>
    <s v="144.75.176.46"/>
    <n v="2.07E-2"/>
    <n v="8.6999999999999994E-2"/>
    <n v="4459"/>
    <n v="5124"/>
    <n v="268"/>
    <n v="278"/>
  </r>
  <r>
    <s v="Information Technology"/>
    <s v="10_03_043_50100_5521"/>
    <x v="39"/>
    <s v="Nichols Hall"/>
    <n v="308"/>
    <s v="AF SP4310N"/>
    <s v="PTR"/>
    <n v="17099640"/>
    <n v="237"/>
    <n v="0"/>
    <n v="6.2094000000000005"/>
    <n v="0"/>
    <n v="6.2094000000000005"/>
    <s v="T1129011126"/>
    <s v="144.75.5.68"/>
    <n v="2.6200000000000001E-2"/>
    <n v="0.11799999999999999"/>
    <n v="1512"/>
    <n v="1749"/>
    <n v="0"/>
    <n v="0"/>
  </r>
  <r>
    <s v="Information Technology"/>
    <s v="10_03_043_50100_5521"/>
    <x v="39"/>
    <s v="Nichols Hall"/>
    <n v="315"/>
    <s v="AF SPC242DN"/>
    <s v="PTR"/>
    <n v="17099629"/>
    <n v="408"/>
    <n v="6"/>
    <n v="10.6896"/>
    <n v="0.70799999999999996"/>
    <n v="11.4"/>
    <s v="T202P700480"/>
    <s v="144.75.5.68"/>
    <n v="2.6200000000000001E-2"/>
    <n v="0.11799999999999999"/>
    <n v="3465"/>
    <n v="3873"/>
    <n v="48"/>
    <n v="54"/>
  </r>
  <r>
    <s v="Information Technology"/>
    <s v="10_03_043_50100_5521"/>
    <x v="39"/>
    <s v="Nichols Hall"/>
    <n v="343"/>
    <s v="AF MPC4502"/>
    <s v="MFP"/>
    <n v="17099400"/>
    <n v="4286"/>
    <n v="522"/>
    <n v="88.720200000000006"/>
    <n v="45.413999999999994"/>
    <n v="134.13419999999999"/>
    <s v="W512L601973"/>
    <s v="144.75.5.14"/>
    <n v="2.07E-2"/>
    <n v="8.6999999999999994E-2"/>
    <n v="32812"/>
    <n v="37098"/>
    <n v="3176"/>
    <n v="3698"/>
  </r>
  <r>
    <s v="Information Technology"/>
    <s v="10_03_064_50550_5521"/>
    <x v="2"/>
    <s v="Mallory Hall"/>
    <n v="414"/>
    <s v="AF SP4310N"/>
    <s v="PTR"/>
    <n v="17099786"/>
    <n v="7634"/>
    <n v="0"/>
    <n v="200.01080000000002"/>
    <n v="0"/>
    <n v="200.01080000000002"/>
    <s v="T1128811629"/>
    <s v="144.75.182.193"/>
    <n v="2.6200000000000001E-2"/>
    <n v="0.11799999999999999"/>
    <n v="26000"/>
    <n v="33634"/>
    <n v="0"/>
    <n v="0"/>
  </r>
  <r>
    <s v="Information Technology"/>
    <s v="10_03_064_50550_5521"/>
    <x v="2"/>
    <s v="New Barracks"/>
    <s v="C11"/>
    <s v="AF MP4002"/>
    <s v="MFP"/>
    <n v="17099482"/>
    <n v="27447"/>
    <n v="0"/>
    <n v="568.15290000000005"/>
    <n v="0"/>
    <n v="568.15290000000005"/>
    <s v="W522L700688"/>
    <s v="144.75.188.50"/>
    <n v="2.07E-2"/>
    <n v="8.6999999999999994E-2"/>
    <n v="205159"/>
    <n v="232606"/>
    <n v="0"/>
    <n v="0"/>
  </r>
  <r>
    <s v="Information Technology"/>
    <s v="10_03_064_50550_5521"/>
    <x v="2"/>
    <s v="New Barracks"/>
    <s v="C11"/>
    <s v="AF MP4002"/>
    <s v="MFP"/>
    <n v="17099483"/>
    <n v="59707"/>
    <n v="0"/>
    <n v="1235.9349"/>
    <n v="0"/>
    <n v="1235.9349"/>
    <s v="W522L700693"/>
    <s v="144.75.188.60"/>
    <n v="2.07E-2"/>
    <n v="8.6999999999999994E-2"/>
    <n v="257652"/>
    <n v="317359"/>
    <n v="0"/>
    <n v="0"/>
  </r>
  <r>
    <s v="Information Technology"/>
    <s v="10_03_064_50550_5521"/>
    <x v="2"/>
    <s v="Nichols Hall"/>
    <n v="304"/>
    <s v="AF SP4310N"/>
    <s v="PTR"/>
    <n v="17099645"/>
    <n v="403"/>
    <n v="0"/>
    <n v="10.5586"/>
    <n v="0"/>
    <n v="10.5586"/>
    <s v="T1129011163"/>
    <s v="144.75.189.15"/>
    <n v="2.6200000000000001E-2"/>
    <n v="0.11799999999999999"/>
    <n v="1140"/>
    <n v="1543"/>
    <n v="0"/>
    <n v="0"/>
  </r>
  <r>
    <s v="Information Technology"/>
    <s v="10_03_064_50550_5521"/>
    <x v="2"/>
    <s v="Nichols Hall"/>
    <n v="342"/>
    <s v="AF SPC242DN"/>
    <s v="PTR"/>
    <n v="17099740"/>
    <n v="0"/>
    <n v="0"/>
    <n v="0"/>
    <n v="0"/>
    <n v="0"/>
    <s v="T202P600371"/>
    <s v="144.75.193.75"/>
    <n v="2.6200000000000001E-2"/>
    <n v="0.11799999999999999"/>
    <n v="0"/>
    <n v="0"/>
    <n v="0"/>
    <n v="0"/>
  </r>
  <r>
    <s v="Information Technology"/>
    <s v="10_03_064_50550_5521"/>
    <x v="2"/>
    <s v="Nichols Hall"/>
    <n v="342"/>
    <s v="AF SPC242DN"/>
    <s v="PTR"/>
    <n v="17099522"/>
    <n v="0"/>
    <n v="0"/>
    <n v="0"/>
    <n v="0"/>
    <n v="0"/>
    <s v="T202P700447"/>
    <m/>
    <n v="2.6200000000000001E-2"/>
    <n v="0.11799999999999999"/>
    <n v="0"/>
    <n v="0"/>
    <n v="0"/>
    <n v="0"/>
  </r>
  <r>
    <s v="Information Technology"/>
    <s v="10_03_064_50550_5521"/>
    <x v="2"/>
    <s v="Nichols Hall"/>
    <n v="343"/>
    <s v="AF SP4310N"/>
    <s v="PTR"/>
    <n v="17099575"/>
    <n v="299"/>
    <n v="0"/>
    <n v="7.8338000000000001"/>
    <n v="0"/>
    <n v="7.8338000000000001"/>
    <s v="T1128910753"/>
    <m/>
    <n v="2.6200000000000001E-2"/>
    <n v="0.11799999999999999"/>
    <n v="2284"/>
    <n v="2583"/>
    <n v="0"/>
    <n v="0"/>
  </r>
  <r>
    <s v="Information Technology"/>
    <s v="10_03_064_50550_5521"/>
    <x v="2"/>
    <s v="Scott Shipp Hall"/>
    <n v="117"/>
    <s v="AF SP4310N"/>
    <s v="PTR"/>
    <n v="17099501"/>
    <n v="1835"/>
    <n v="0"/>
    <n v="48.077000000000005"/>
    <n v="0"/>
    <n v="48.077000000000005"/>
    <s v="T1128911519"/>
    <s v="114.75.205.24"/>
    <n v="2.6200000000000001E-2"/>
    <n v="0.11799999999999999"/>
    <n v="34719"/>
    <n v="36554"/>
    <n v="0"/>
    <n v="0"/>
  </r>
  <r>
    <s v="Institute Planning"/>
    <s v="10_03_062_16150_5521"/>
    <x v="16"/>
    <s v="320 Institute Hill"/>
    <n v="301"/>
    <s v="AF SP4310N"/>
    <s v="PTR"/>
    <n v="17099561"/>
    <n v="309"/>
    <n v="0"/>
    <n v="8.0958000000000006"/>
    <n v="0"/>
    <n v="8.0958000000000006"/>
    <s v="T1129010870"/>
    <s v="144.75.201.9"/>
    <n v="2.6200000000000001E-2"/>
    <n v="0.11799999999999999"/>
    <n v="1993"/>
    <n v="2302"/>
    <n v="0"/>
    <n v="0"/>
  </r>
  <r>
    <s v="Institutional Research"/>
    <s v="10_03_045_54100_5521"/>
    <x v="40"/>
    <s v="Smith Hall"/>
    <n v="101"/>
    <s v="AF MPC2051"/>
    <s v="MFP"/>
    <n v="17099527"/>
    <n v="594"/>
    <n v="0"/>
    <n v="12.2958"/>
    <n v="0"/>
    <n v="12.2958"/>
    <s v="V9725500667"/>
    <s v="144.75.179.233"/>
    <n v="2.07E-2"/>
    <n v="8.6999999999999994E-2"/>
    <n v="1127"/>
    <n v="1721"/>
    <n v="13"/>
    <n v="13"/>
  </r>
  <r>
    <s v="International Programs"/>
    <s v="10_03_045_55100_5521"/>
    <x v="41"/>
    <s v="Old Hospital"/>
    <n v="101"/>
    <s v="AF MP301SP"/>
    <s v="MFP"/>
    <n v="17099533"/>
    <n v="1031"/>
    <n v="0"/>
    <n v="21.341699999999999"/>
    <n v="0"/>
    <n v="21.341699999999999"/>
    <s v="W912P601488"/>
    <s v="144.75.180.72"/>
    <n v="2.07E-2"/>
    <n v="8.6999999999999994E-2"/>
    <n v="2780"/>
    <n v="3811"/>
    <n v="0"/>
    <n v="0"/>
  </r>
  <r>
    <s v="International Programs"/>
    <s v="10_03_045_55100_5521"/>
    <x v="41"/>
    <s v="Old Hospital"/>
    <n v="102"/>
    <s v="AF SPC242DN"/>
    <s v="PTR"/>
    <n v="17099693"/>
    <n v="441"/>
    <n v="149"/>
    <n v="11.5542"/>
    <n v="17.582000000000001"/>
    <n v="29.136200000000002"/>
    <s v="T202P700459"/>
    <s v="144.75.180.56"/>
    <n v="2.6200000000000001E-2"/>
    <n v="0.11799999999999999"/>
    <n v="1057"/>
    <n v="1498"/>
    <n v="295"/>
    <n v="444"/>
  </r>
  <r>
    <s v="International Studies"/>
    <s v="40_00_045_56350_5521"/>
    <x v="42"/>
    <s v="Scott Shipp Hall"/>
    <n v="429"/>
    <s v="AF SP4310N"/>
    <s v="PTR"/>
    <n v="17099547"/>
    <n v="688"/>
    <n v="0"/>
    <n v="18.025600000000001"/>
    <n v="0"/>
    <n v="18.025600000000001"/>
    <s v="T1128910774"/>
    <s v="144.75.210.44"/>
    <n v="2.6200000000000001E-2"/>
    <n v="0.11799999999999999"/>
    <n v="4623"/>
    <n v="5311"/>
    <n v="0"/>
    <n v="0"/>
  </r>
  <r>
    <s v="International Studies"/>
    <s v="40_00_045_56350_5521"/>
    <x v="42"/>
    <s v="Scott Shipp Hall"/>
    <n v="432"/>
    <s v="AF SP4310N"/>
    <s v="PTR"/>
    <n v="17099549"/>
    <n v="3345"/>
    <n v="0"/>
    <n v="87.63900000000001"/>
    <n v="0"/>
    <n v="87.63900000000001"/>
    <s v="T1129010425"/>
    <s v="144.75.213.47"/>
    <n v="2.6200000000000001E-2"/>
    <n v="0.11799999999999999"/>
    <n v="6360"/>
    <n v="9705"/>
    <n v="0"/>
    <n v="0"/>
  </r>
  <r>
    <s v="International Studies"/>
    <s v="40_00_045_56350_5521"/>
    <x v="42"/>
    <s v="Scott Shipp Hall"/>
    <n v="434"/>
    <s v="AF SP4310N"/>
    <s v="PTR"/>
    <n v="17099550"/>
    <n v="164"/>
    <n v="0"/>
    <n v="4.2968000000000002"/>
    <n v="0"/>
    <n v="4.2968000000000002"/>
    <s v="T1129010389"/>
    <s v="144.75.210.27"/>
    <n v="2.6200000000000001E-2"/>
    <n v="0.11799999999999999"/>
    <n v="1064"/>
    <n v="1228"/>
    <n v="0"/>
    <n v="0"/>
  </r>
  <r>
    <s v="International Studies"/>
    <s v="40_00_045_56350_5521"/>
    <x v="42"/>
    <s v="Scott Shipp Hall"/>
    <n v="444"/>
    <s v="AF MPC5502"/>
    <s v="MFP"/>
    <n v="17099404"/>
    <n v="9213"/>
    <n v="156"/>
    <n v="190.70910000000001"/>
    <n v="13.571999999999999"/>
    <n v="204.28110000000001"/>
    <s v="W542LB00047"/>
    <s v="144.75.210.33"/>
    <n v="2.07E-2"/>
    <n v="8.6999999999999994E-2"/>
    <n v="53561"/>
    <n v="62774"/>
    <n v="1579"/>
    <n v="1735"/>
  </r>
  <r>
    <s v="Laundry"/>
    <s v="10_08_303_82240_5521"/>
    <x v="43"/>
    <s v="Richardson Hall"/>
    <n v="201"/>
    <s v="AF SPC242DN"/>
    <s v="PTR"/>
    <n v="17099622"/>
    <n v="2"/>
    <n v="42"/>
    <n v="5.2400000000000002E-2"/>
    <n v="4.9559999999999995"/>
    <n v="5.0084"/>
    <s v="T202P700340"/>
    <s v="144.75.195.95"/>
    <n v="2.6200000000000001E-2"/>
    <n v="0.11799999999999999"/>
    <n v="90"/>
    <n v="92"/>
    <n v="75"/>
    <n v="117"/>
  </r>
  <r>
    <s v="Laundry"/>
    <s v="10_08_303_82240_5521"/>
    <x v="43"/>
    <s v="Richardson Hall"/>
    <n v="201"/>
    <s v="AF MP301SP"/>
    <s v="MFP"/>
    <n v="17099401"/>
    <n v="1135"/>
    <n v="0"/>
    <n v="23.494499999999999"/>
    <n v="0"/>
    <n v="23.494499999999999"/>
    <s v="W912P602288"/>
    <s v="144.75.195.6"/>
    <n v="2.07E-2"/>
    <n v="8.6999999999999994E-2"/>
    <n v="7177"/>
    <n v="8312"/>
    <n v="0"/>
    <n v="0"/>
  </r>
  <r>
    <s v="Mail Services"/>
    <s v="10_03_064_82140_5521"/>
    <x v="44"/>
    <s v="New Barracks"/>
    <s v="C10"/>
    <s v="AF MP301SP"/>
    <s v="MFP"/>
    <n v="17099535"/>
    <n v="1119"/>
    <n v="0"/>
    <n v="23.1633"/>
    <n v="0"/>
    <n v="23.1633"/>
    <s v="W912P602291"/>
    <s v="144.75.130.87"/>
    <n v="2.07E-2"/>
    <n v="8.6999999999999994E-2"/>
    <n v="8461"/>
    <n v="9580"/>
    <n v="0"/>
    <n v="0"/>
  </r>
  <r>
    <s v="Math &amp; Computer Science"/>
    <s v="10_03_011_64100_5521"/>
    <x v="45"/>
    <s v="Mallory Hall"/>
    <n v="415"/>
    <s v="AF SP4310N"/>
    <s v="PTR"/>
    <n v="17099579"/>
    <n v="1101"/>
    <n v="0"/>
    <n v="28.8462"/>
    <n v="0"/>
    <n v="28.8462"/>
    <s v="T1129011355"/>
    <s v="144.75.182.61"/>
    <n v="2.6200000000000001E-2"/>
    <n v="0.11799999999999999"/>
    <n v="3172"/>
    <n v="4273"/>
    <n v="0"/>
    <n v="0"/>
  </r>
  <r>
    <s v="Math &amp; Computer Science"/>
    <s v="10_03_011_64100_5521"/>
    <x v="45"/>
    <s v="Mallory Hall"/>
    <n v="416"/>
    <s v="AF MPC4502"/>
    <s v="MFP"/>
    <n v="17099492"/>
    <n v="24809"/>
    <n v="995"/>
    <n v="513.54629999999997"/>
    <n v="86.564999999999998"/>
    <n v="600.11130000000003"/>
    <s v="W512L601983"/>
    <s v="144.75.182.151"/>
    <n v="2.07E-2"/>
    <n v="8.6999999999999994E-2"/>
    <n v="197082"/>
    <n v="221891"/>
    <n v="16750"/>
    <n v="17745"/>
  </r>
  <r>
    <s v="Math &amp; Computer Science"/>
    <s v="10_03_011_64100_5521"/>
    <x v="45"/>
    <s v="Mallory Hall"/>
    <n v="425"/>
    <s v="AF SP4310N"/>
    <s v="PTR"/>
    <n v="17099582"/>
    <n v="132"/>
    <n v="0"/>
    <n v="3.4584000000000001"/>
    <n v="0"/>
    <n v="3.4584000000000001"/>
    <s v="T1129011357"/>
    <s v="144.75.182.239"/>
    <n v="2.6200000000000001E-2"/>
    <n v="0.11799999999999999"/>
    <n v="1822"/>
    <n v="1954"/>
    <n v="0"/>
    <n v="0"/>
  </r>
  <r>
    <s v="Math &amp; Computer Science"/>
    <s v="10_03_064_50550_5521"/>
    <x v="2"/>
    <s v="Mallory Hall"/>
    <n v="315"/>
    <s v="AF MP301SP"/>
    <s v="MFP"/>
    <n v="17099464"/>
    <n v="766"/>
    <n v="0"/>
    <n v="15.856199999999999"/>
    <n v="0"/>
    <n v="15.856199999999999"/>
    <s v="W912P602284"/>
    <s v="144.75.182.242"/>
    <n v="2.07E-2"/>
    <n v="8.6999999999999994E-2"/>
    <n v="435"/>
    <n v="1201"/>
    <n v="0"/>
    <n v="0"/>
  </r>
  <r>
    <s v="Math &amp; Computer Science"/>
    <s v="10_03_064_50550_5521"/>
    <x v="2"/>
    <s v="Mallory Hall"/>
    <n v="318"/>
    <s v="AF SP4310N"/>
    <s v="PTR"/>
    <n v="17099583"/>
    <n v="415"/>
    <n v="0"/>
    <n v="10.873000000000001"/>
    <n v="0"/>
    <n v="10.873000000000001"/>
    <s v="T1129011352"/>
    <s v="144.75.182.246"/>
    <n v="2.6200000000000001E-2"/>
    <n v="0.11799999999999999"/>
    <n v="1023"/>
    <n v="1438"/>
    <n v="0"/>
    <n v="0"/>
  </r>
  <r>
    <s v="Mathematics"/>
    <s v="10_03_011_67100_5521"/>
    <x v="46"/>
    <s v="Preston Library"/>
    <n v="700"/>
    <s v="AF MPC2051"/>
    <s v="MFP"/>
    <n v="17099505"/>
    <n v="661"/>
    <n v="175"/>
    <n v="13.682700000000001"/>
    <n v="15.225"/>
    <n v="28.907699999999998"/>
    <s v="V9725501242"/>
    <s v="144.75.181.16"/>
    <n v="2.07E-2"/>
    <n v="8.6999999999999994E-2"/>
    <n v="2595"/>
    <n v="3256"/>
    <n v="794"/>
    <n v="969"/>
  </r>
  <r>
    <s v="Mechanical Engineering"/>
    <s v="10_03_011_66100_5521"/>
    <x v="47"/>
    <s v="Nichols Hall"/>
    <n v="709"/>
    <s v="AF SPC242DN"/>
    <s v="PTR"/>
    <n v="17099632"/>
    <n v="738"/>
    <n v="125"/>
    <n v="19.335599999999999"/>
    <n v="14.75"/>
    <n v="34.085599999999999"/>
    <s v="T202P600942"/>
    <s v="144.75.193.118"/>
    <n v="2.6200000000000001E-2"/>
    <n v="0.11799999999999999"/>
    <n v="2674"/>
    <n v="3412"/>
    <n v="538"/>
    <n v="663"/>
  </r>
  <r>
    <s v="Mechanical Engineering"/>
    <s v="10_03_011_66100_5521"/>
    <x v="47"/>
    <s v="Nichols Hall"/>
    <n v="709"/>
    <s v="AF MPC2051"/>
    <s v="MFP"/>
    <n v="17099465"/>
    <n v="8283"/>
    <n v="502"/>
    <n v="171.4581"/>
    <n v="43.673999999999999"/>
    <n v="215.13210000000001"/>
    <s v="W512L601966"/>
    <s v="144.75.193.6"/>
    <n v="2.07E-2"/>
    <n v="8.6999999999999994E-2"/>
    <n v="57669"/>
    <n v="65952"/>
    <n v="3341"/>
    <n v="3843"/>
  </r>
  <r>
    <s v="Mechanical Engineering"/>
    <s v="10_03_011_66100_5521"/>
    <x v="47"/>
    <s v="Nichols Hall"/>
    <n v="717"/>
    <s v="AF SP4310N"/>
    <s v="PTR"/>
    <n v="17099586"/>
    <n v="27"/>
    <n v="0"/>
    <n v="0.70740000000000003"/>
    <n v="0"/>
    <n v="0.70740000000000003"/>
    <s v="T1129011154"/>
    <s v="144.75.193.197"/>
    <n v="2.6200000000000001E-2"/>
    <n v="0.11799999999999999"/>
    <n v="117"/>
    <n v="144"/>
    <n v="0"/>
    <n v="0"/>
  </r>
  <r>
    <s v="Mechanical Engineering"/>
    <s v="10_03_064_50550_5521"/>
    <x v="2"/>
    <s v="Nichols Hall"/>
    <n v="701"/>
    <s v="AF SP4310N"/>
    <s v="PTR"/>
    <n v="17099770"/>
    <n v="14089"/>
    <n v="0"/>
    <n v="369.1318"/>
    <n v="0"/>
    <n v="369.1318"/>
    <s v="T1128811962"/>
    <s v="144.75.193.230"/>
    <n v="2.6200000000000001E-2"/>
    <n v="0.11799999999999999"/>
    <n v="87830"/>
    <n v="101919"/>
    <n v="0"/>
    <n v="0"/>
  </r>
  <r>
    <s v="Mechanical Engineering"/>
    <s v="10_03_064_50550_5521"/>
    <x v="2"/>
    <s v="Nichols Hall"/>
    <n v="701"/>
    <s v="AF SP4310N"/>
    <s v="PTR"/>
    <n v="17099633"/>
    <n v="1508"/>
    <n v="0"/>
    <n v="39.509599999999999"/>
    <n v="0"/>
    <n v="39.509599999999999"/>
    <s v="T1129011167"/>
    <s v="144.75.193.199"/>
    <n v="2.6200000000000001E-2"/>
    <n v="0.11799999999999999"/>
    <n v="10"/>
    <n v="1518"/>
    <n v="0"/>
    <n v="0"/>
  </r>
  <r>
    <s v="Mechanical Engineering"/>
    <s v="10_03_064_50550_5521"/>
    <x v="2"/>
    <s v="Nichols Hall"/>
    <n v="708"/>
    <s v="AF SP4310N"/>
    <s v="PTR"/>
    <n v="17099624"/>
    <n v="260"/>
    <n v="0"/>
    <n v="6.8120000000000003"/>
    <n v="0"/>
    <n v="6.8120000000000003"/>
    <s v="T1129011168"/>
    <s v="144.75.193.198"/>
    <n v="2.6200000000000001E-2"/>
    <n v="0.11799999999999999"/>
    <n v="1275"/>
    <n v="1535"/>
    <n v="0"/>
    <n v="0"/>
  </r>
  <r>
    <s v="Military Store"/>
    <s v="10_08_302_82190_5521"/>
    <x v="48"/>
    <s v="Kilbourne Hall"/>
    <s v="QMD"/>
    <s v="AF MPC2051"/>
    <s v="MFP"/>
    <n v="17099416"/>
    <n v="408"/>
    <n v="23"/>
    <n v="8.4456000000000007"/>
    <n v="2.0009999999999999"/>
    <n v="10.4466"/>
    <s v="V9734900029"/>
    <s v="144.75.187.37"/>
    <n v="2.07E-2"/>
    <n v="8.6999999999999994E-2"/>
    <n v="1740"/>
    <n v="2148"/>
    <n v="33"/>
    <n v="56"/>
  </r>
  <r>
    <s v="Military Store"/>
    <s v="10_08_302_82190_5521"/>
    <x v="48"/>
    <s v="Richardson Hall"/>
    <n v="401"/>
    <s v="AF SP4310N"/>
    <s v="PTR"/>
    <n v="17099589"/>
    <n v="130"/>
    <n v="0"/>
    <n v="3.4060000000000001"/>
    <n v="0"/>
    <n v="3.4060000000000001"/>
    <s v="T1129012233"/>
    <s v="144.75.180.101"/>
    <n v="2.6200000000000001E-2"/>
    <n v="0.11799999999999999"/>
    <n v="463"/>
    <n v="593"/>
    <n v="0"/>
    <n v="0"/>
  </r>
  <r>
    <s v="Military Store"/>
    <s v="10_08_302_82190_5521"/>
    <x v="48"/>
    <s v="Richardson Hall"/>
    <n v="401"/>
    <s v="AF SPC242DN"/>
    <s v="PTR"/>
    <n v="17099724"/>
    <n v="390"/>
    <n v="213"/>
    <n v="10.218"/>
    <n v="25.134"/>
    <n v="35.352000000000004"/>
    <s v="T202P801021"/>
    <s v="144.75.180.11"/>
    <n v="2.6200000000000001E-2"/>
    <n v="0.11799999999999999"/>
    <n v="1189"/>
    <n v="1579"/>
    <n v="316"/>
    <n v="529"/>
  </r>
  <r>
    <s v="Military Store"/>
    <s v="10_08_302_82190_5521"/>
    <x v="48"/>
    <s v="Richardson Hall"/>
    <n v="401"/>
    <s v="AF MPC2051"/>
    <s v="MFP"/>
    <n v="17099491"/>
    <n v="1474"/>
    <n v="816"/>
    <n v="30.511800000000001"/>
    <n v="70.99199999999999"/>
    <n v="101.50379999999998"/>
    <s v="V9725700303"/>
    <s v="144.75.180.200"/>
    <n v="2.07E-2"/>
    <n v="8.6999999999999994E-2"/>
    <n v="6916"/>
    <n v="8390"/>
    <n v="3743"/>
    <n v="4559"/>
  </r>
  <r>
    <s v="Miller Academic Center"/>
    <s v="10_03_054_60100_5521"/>
    <x v="49"/>
    <s v="Carroll Hall"/>
    <n v="202"/>
    <s v="AF SP4310N"/>
    <s v="PTR"/>
    <n v="17099755"/>
    <n v="2264"/>
    <n v="0"/>
    <n v="59.316800000000001"/>
    <n v="0"/>
    <n v="59.316800000000001"/>
    <s v="T1128911512"/>
    <s v="144.75.195.65"/>
    <n v="2.6200000000000001E-2"/>
    <n v="0.11799999999999999"/>
    <n v="12304"/>
    <n v="14568"/>
    <n v="0"/>
    <n v="0"/>
  </r>
  <r>
    <s v="Miller Academic Center"/>
    <s v="10_03_054_60100_5521"/>
    <x v="49"/>
    <s v="Carroll Hall"/>
    <n v="203"/>
    <s v="AF SP4310N"/>
    <s v="PTR"/>
    <n v="17099584"/>
    <n v="221"/>
    <n v="0"/>
    <n v="5.7902000000000005"/>
    <n v="0"/>
    <n v="5.7902000000000005"/>
    <s v="T1128911370"/>
    <s v="144.75.195.92"/>
    <n v="2.6200000000000001E-2"/>
    <n v="0.11799999999999999"/>
    <n v="1469"/>
    <n v="1690"/>
    <n v="0"/>
    <n v="0"/>
  </r>
  <r>
    <s v="Miller Academic Center"/>
    <s v="10_03_054_60100_5521"/>
    <x v="49"/>
    <s v="Carroll Hall"/>
    <n v="206"/>
    <s v="AF SP4310N"/>
    <s v="PTR"/>
    <n v="17099825"/>
    <n v="657"/>
    <n v="0"/>
    <n v="17.2134"/>
    <n v="0"/>
    <n v="17.2134"/>
    <s v="T1129010623"/>
    <s v="144.75.195.90"/>
    <n v="2.6200000000000001E-2"/>
    <n v="0.11799999999999999"/>
    <n v="1195"/>
    <n v="1852"/>
    <n v="0"/>
    <n v="0"/>
  </r>
  <r>
    <s v="Miller Academic Center"/>
    <s v="10_03_054_60100_5521"/>
    <x v="49"/>
    <s v="Carroll Hall"/>
    <n v="209"/>
    <s v="AF SP4310N"/>
    <s v="PTR"/>
    <n v="17099577"/>
    <n v="0"/>
    <n v="0"/>
    <n v="0"/>
    <n v="0"/>
    <n v="0"/>
    <s v="T1128911363"/>
    <s v="144.75.195.229"/>
    <n v="2.6200000000000001E-2"/>
    <n v="0.11799999999999999"/>
    <n v="31"/>
    <n v="31"/>
    <n v="0"/>
    <n v="0"/>
  </r>
  <r>
    <s v="Miller Academic Center"/>
    <s v="10_03_054_60100_5521"/>
    <x v="49"/>
    <s v="Carroll Hall"/>
    <s v="207A"/>
    <s v="AF SP4310N"/>
    <s v="PTR"/>
    <n v="17099754"/>
    <n v="1177"/>
    <n v="0"/>
    <n v="30.837400000000002"/>
    <n v="0"/>
    <n v="30.837400000000002"/>
    <s v="T1128811582"/>
    <s v="144.75.195.46"/>
    <n v="2.6200000000000001E-2"/>
    <n v="0.11799999999999999"/>
    <n v="4781"/>
    <n v="5958"/>
    <n v="0"/>
    <n v="0"/>
  </r>
  <r>
    <s v="Modern Languages"/>
    <s v="10_03_011_68100_5521"/>
    <x v="50"/>
    <s v="Scott Shipp Hall"/>
    <n v="416"/>
    <s v="AF SP4310N"/>
    <s v="PTR"/>
    <n v="17099542"/>
    <n v="2755"/>
    <n v="0"/>
    <n v="72.180999999999997"/>
    <n v="0"/>
    <n v="72.180999999999997"/>
    <s v="T1128910773"/>
    <s v="144.75.209.67"/>
    <n v="2.6200000000000001E-2"/>
    <n v="0.11799999999999999"/>
    <n v="7892"/>
    <n v="10647"/>
    <n v="0"/>
    <n v="0"/>
  </r>
  <r>
    <s v="Modern Languages"/>
    <s v="10_03_011_68100_5521"/>
    <x v="50"/>
    <s v="Scott Shipp Hall"/>
    <n v="424"/>
    <s v="AF SP4310N"/>
    <s v="PTR"/>
    <n v="17099548"/>
    <n v="521"/>
    <n v="0"/>
    <n v="13.6502"/>
    <n v="0"/>
    <n v="13.6502"/>
    <s v="T1128910782"/>
    <s v="144.75.209.70"/>
    <n v="2.6200000000000001E-2"/>
    <n v="0.11799999999999999"/>
    <n v="3226"/>
    <n v="3747"/>
    <n v="0"/>
    <n v="0"/>
  </r>
  <r>
    <s v="Modern Languages"/>
    <s v="10_03_011_68100_5521"/>
    <x v="50"/>
    <s v="Scott Shipp Hall"/>
    <n v="541"/>
    <s v="AF SP4310N"/>
    <s v="PTR"/>
    <n v="17099551"/>
    <n v="642"/>
    <n v="0"/>
    <n v="16.820399999999999"/>
    <n v="0"/>
    <n v="16.820399999999999"/>
    <s v="T1129011164"/>
    <s v="144.75.213.45"/>
    <n v="2.6200000000000001E-2"/>
    <n v="0.11799999999999999"/>
    <n v="3778"/>
    <n v="4420"/>
    <n v="0"/>
    <n v="0"/>
  </r>
  <r>
    <s v="Modern Languages"/>
    <s v="10_03_064_50550_5521"/>
    <x v="2"/>
    <s v="Scott Shipp Hall"/>
    <n v="418"/>
    <s v="AF SP4310N"/>
    <s v="PTR"/>
    <n v="17099520"/>
    <n v="20004"/>
    <n v="0"/>
    <n v="524.10480000000007"/>
    <n v="0"/>
    <n v="524.10480000000007"/>
    <s v="T1128910780"/>
    <s v="144.75.209.11"/>
    <n v="2.6200000000000001E-2"/>
    <n v="0.11799999999999999"/>
    <n v="75306"/>
    <n v="95310"/>
    <n v="0"/>
    <n v="0"/>
  </r>
  <r>
    <s v="Modern Languages"/>
    <s v="10_03_064_50550_5521"/>
    <x v="2"/>
    <s v="Scott Shipp Hall"/>
    <n v="425"/>
    <s v="AF MPC3502"/>
    <s v="MFP"/>
    <n v="17099405"/>
    <n v="7887"/>
    <n v="430"/>
    <n v="163.26089999999999"/>
    <n v="37.409999999999997"/>
    <n v="200.67089999999999"/>
    <s v="W502LA00634"/>
    <s v="144.75.209.65"/>
    <n v="2.07E-2"/>
    <n v="8.6999999999999994E-2"/>
    <n v="35171"/>
    <n v="43058"/>
    <n v="1844"/>
    <n v="2274"/>
  </r>
  <r>
    <s v="Museum Operations"/>
    <s v="10_03_031_70100_5521"/>
    <x v="51"/>
    <s v="Jackson Memorial"/>
    <n v="105"/>
    <s v="AF MPC2051"/>
    <s v="MFP"/>
    <n v="17099721"/>
    <n v="1112"/>
    <n v="590"/>
    <n v="23.0184"/>
    <n v="51.33"/>
    <n v="74.348399999999998"/>
    <s v="V9725401442"/>
    <s v="144.75.194.6"/>
    <n v="2.07E-2"/>
    <n v="8.6999999999999994E-2"/>
    <n v="12197"/>
    <n v="13309"/>
    <n v="5526"/>
    <n v="6116"/>
  </r>
  <r>
    <s v="Naval Rotc"/>
    <s v="10_03_011_72100_5521"/>
    <x v="52"/>
    <s v="Kilbourne Hall"/>
    <n v="2080"/>
    <s v="AF SP4310N"/>
    <s v="PTR"/>
    <n v="17099431"/>
    <n v="20"/>
    <n v="0"/>
    <n v="0.52400000000000002"/>
    <n v="0"/>
    <n v="0.52400000000000002"/>
    <s v="T1129010836"/>
    <s v="144.75.187.107"/>
    <n v="2.6200000000000001E-2"/>
    <n v="0.11799999999999999"/>
    <n v="1912"/>
    <n v="1932"/>
    <n v="0"/>
    <n v="0"/>
  </r>
  <r>
    <s v="Naval Rotc"/>
    <s v="10_03_011_72100_5521"/>
    <x v="52"/>
    <s v="Kilbourne Hall"/>
    <n v="2082"/>
    <s v="AF SP4310N"/>
    <s v="PTR"/>
    <n v="17099506"/>
    <n v="284"/>
    <n v="0"/>
    <n v="7.4408000000000003"/>
    <n v="0"/>
    <n v="7.4408000000000003"/>
    <s v="T1129010744"/>
    <s v="144.75.187.31"/>
    <n v="2.6200000000000001E-2"/>
    <n v="0.11799999999999999"/>
    <n v="1394"/>
    <n v="1678"/>
    <n v="0"/>
    <n v="0"/>
  </r>
  <r>
    <s v="Naval Rotc"/>
    <s v="10_03_011_72100_5521"/>
    <x v="52"/>
    <s v="Kilbourne Hall"/>
    <n v="2090"/>
    <s v="AF SP4310N"/>
    <s v="PTR"/>
    <n v="17099429"/>
    <n v="30"/>
    <n v="0"/>
    <n v="0.78600000000000003"/>
    <n v="0"/>
    <n v="0.78600000000000003"/>
    <s v="T1129010868"/>
    <s v="144.75.187.115"/>
    <n v="2.6200000000000001E-2"/>
    <n v="0.11799999999999999"/>
    <n v="529"/>
    <n v="559"/>
    <n v="0"/>
    <n v="0"/>
  </r>
  <r>
    <s v="Newspaper"/>
    <s v="10_08_307_18380_5521"/>
    <x v="18"/>
    <s v="New Barracks"/>
    <s v="News Paper Office"/>
    <s v="AF MP301SP"/>
    <s v="MFP"/>
    <n v="17099701"/>
    <n v="0"/>
    <n v="0"/>
    <n v="0"/>
    <n v="0"/>
    <n v="0"/>
    <s v="W912P602285"/>
    <s v="144.75.86.16"/>
    <n v="2.07E-2"/>
    <n v="8.6999999999999994E-2"/>
    <n v="62"/>
    <n v="62"/>
    <n v="0"/>
    <n v="0"/>
  </r>
  <r>
    <s v="OC Hole"/>
    <s v="10_07_205_30150_5521"/>
    <x v="25"/>
    <s v="New Barracks"/>
    <s v="3-303"/>
    <s v="AF MP301SP"/>
    <s v="MFP"/>
    <n v="17099536"/>
    <n v="234"/>
    <n v="0"/>
    <n v="4.8437999999999999"/>
    <n v="0"/>
    <n v="4.8437999999999999"/>
    <s v="W912P602290"/>
    <s v="144.75.143.18"/>
    <n v="2.07E-2"/>
    <n v="8.6999999999999994E-2"/>
    <n v="1131"/>
    <n v="1365"/>
    <n v="0"/>
    <n v="0"/>
  </r>
  <r>
    <s v="Office of Construction"/>
    <s v="26_23_901_14788_5521"/>
    <x v="53"/>
    <s v="320 Institute Hill"/>
    <n v="306"/>
    <s v="AF SP4310N"/>
    <s v="PTR"/>
    <n v="17099567"/>
    <n v="980"/>
    <n v="0"/>
    <n v="25.676000000000002"/>
    <n v="0"/>
    <n v="25.676000000000002"/>
    <s v="T1129010901"/>
    <s v="144.75.201.21"/>
    <n v="2.6200000000000001E-2"/>
    <n v="0.11799999999999999"/>
    <n v="1771"/>
    <n v="2751"/>
    <n v="0"/>
    <n v="0"/>
  </r>
  <r>
    <s v="Office of Construction"/>
    <s v="26_23_901_14788_5521"/>
    <x v="53"/>
    <s v="320 Institute Hill"/>
    <s v="Hallway"/>
    <s v="AF MPC3502"/>
    <s v="MFP"/>
    <n v="17099488"/>
    <n v="1497"/>
    <n v="1566"/>
    <n v="30.9879"/>
    <n v="136.24199999999999"/>
    <n v="167.22989999999999"/>
    <s v="W502L700003"/>
    <s v="144.75.201.7"/>
    <n v="2.07E-2"/>
    <n v="8.6999999999999994E-2"/>
    <n v="11907"/>
    <n v="13404"/>
    <n v="9975"/>
    <n v="11541"/>
  </r>
  <r>
    <s v="Old Barracks"/>
    <s v="10_03_064_32145_5521"/>
    <x v="20"/>
    <s v="Old Barracks"/>
    <s v="B8"/>
    <s v="AF SPC242DN"/>
    <s v="PTR"/>
    <n v="17099702"/>
    <n v="100"/>
    <n v="186"/>
    <n v="2.62"/>
    <n v="21.948"/>
    <n v="24.568000000000001"/>
    <s v="T202P700470"/>
    <s v="144.75.190.50"/>
    <n v="2.6200000000000001E-2"/>
    <n v="0.11799999999999999"/>
    <n v="248"/>
    <n v="348"/>
    <n v="503"/>
    <n v="689"/>
  </r>
  <r>
    <s v="Physical Education"/>
    <s v="10_03_011_76100_5521"/>
    <x v="54"/>
    <s v="Cocke Hall"/>
    <n v="201"/>
    <s v="AF SPC242DN"/>
    <s v="PTR"/>
    <n v="17099541"/>
    <n v="123"/>
    <n v="0"/>
    <n v="3.2225999999999999"/>
    <n v="0"/>
    <n v="3.2225999999999999"/>
    <s v="T202P700454"/>
    <s v="144.75.177.29"/>
    <n v="2.6200000000000001E-2"/>
    <n v="0.11799999999999999"/>
    <n v="800"/>
    <n v="923"/>
    <n v="1"/>
    <n v="1"/>
  </r>
  <r>
    <s v="Physical Education"/>
    <s v="10_03_011_76100_5521"/>
    <x v="54"/>
    <s v="Cocke Hall"/>
    <n v="316"/>
    <s v="AF SP4310N"/>
    <s v="PTR"/>
    <n v="17099792"/>
    <n v="184"/>
    <n v="0"/>
    <n v="4.8208000000000002"/>
    <n v="0"/>
    <n v="4.8208000000000002"/>
    <s v="T1129012317"/>
    <s v="144.75.177.43"/>
    <n v="2.6200000000000001E-2"/>
    <n v="0.11799999999999999"/>
    <n v="876"/>
    <n v="1060"/>
    <n v="0"/>
    <n v="0"/>
  </r>
  <r>
    <s v="Physical Education"/>
    <s v="10_03_011_76100_5521"/>
    <x v="54"/>
    <s v="Cocke Hall"/>
    <n v="320"/>
    <s v="AF SP4310N"/>
    <s v="PTR"/>
    <n v="17099598"/>
    <n v="537"/>
    <n v="0"/>
    <n v="14.0694"/>
    <n v="0"/>
    <n v="14.0694"/>
    <s v="T1128911213"/>
    <s v="144.75.177.49"/>
    <n v="2.6200000000000001E-2"/>
    <n v="0.11799999999999999"/>
    <n v="3492"/>
    <n v="4029"/>
    <n v="0"/>
    <n v="0"/>
  </r>
  <r>
    <s v="Physical Education"/>
    <s v="10_03_011_76100_5521"/>
    <x v="54"/>
    <s v="Cocke Hall"/>
    <n v="328"/>
    <s v="AF MPC3502"/>
    <s v="MFP"/>
    <n v="17099461"/>
    <n v="9297"/>
    <n v="41"/>
    <n v="192.4479"/>
    <n v="3.5669999999999997"/>
    <n v="196.01490000000001"/>
    <s v="W502L700470"/>
    <s v="144.75.177.38"/>
    <n v="2.07E-2"/>
    <n v="8.6999999999999994E-2"/>
    <n v="46663"/>
    <n v="55960"/>
    <n v="592"/>
    <n v="633"/>
  </r>
  <r>
    <s v="Physical Education"/>
    <s v="10_03_011_76100_5521"/>
    <x v="54"/>
    <s v="Cocke Hall"/>
    <s v="320C"/>
    <s v="AF SP4310N"/>
    <s v="PTR"/>
    <n v="17099720"/>
    <n v="235"/>
    <n v="0"/>
    <n v="6.157"/>
    <n v="0"/>
    <n v="6.157"/>
    <s v="T1128810903"/>
    <s v="144.75.177.33"/>
    <n v="2.6200000000000001E-2"/>
    <n v="0.11799999999999999"/>
    <n v="2373"/>
    <n v="2608"/>
    <n v="0"/>
    <n v="0"/>
  </r>
  <r>
    <s v="Physical Plant"/>
    <s v="10_03_071_14100_5521"/>
    <x v="55"/>
    <s v="Physical Plant"/>
    <n v="110"/>
    <s v="AF MP301SP"/>
    <s v="MFP"/>
    <n v="17099402"/>
    <n v="1385"/>
    <n v="0"/>
    <n v="28.669499999999999"/>
    <n v="0"/>
    <n v="28.669499999999999"/>
    <s v="W912P602228"/>
    <s v="144.75.218.8"/>
    <n v="2.07E-2"/>
    <n v="8.6999999999999994E-2"/>
    <n v="8062"/>
    <n v="9447"/>
    <n v="0"/>
    <n v="0"/>
  </r>
  <r>
    <s v="Physical Plant"/>
    <s v="10_03_071_14100_5521"/>
    <x v="55"/>
    <s v="Physical Plant"/>
    <n v="118"/>
    <s v="AF MPC2051"/>
    <s v="MFP"/>
    <n v="17099787"/>
    <n v="3798"/>
    <n v="1254"/>
    <n v="78.618600000000001"/>
    <n v="109.098"/>
    <n v="187.7166"/>
    <s v="V9725401439"/>
    <s v="144.75.218.6"/>
    <n v="2.07E-2"/>
    <n v="8.6999999999999994E-2"/>
    <n v="23676"/>
    <n v="27474"/>
    <n v="7390"/>
    <n v="8644"/>
  </r>
  <r>
    <s v="Physical Plant"/>
    <s v="10_03_071_14100_5521"/>
    <x v="55"/>
    <s v="Physical Plant"/>
    <n v="126"/>
    <s v="AF SP4310N"/>
    <s v="PTR"/>
    <n v="17099599"/>
    <n v="826"/>
    <n v="0"/>
    <n v="21.641200000000001"/>
    <n v="0"/>
    <n v="21.641200000000001"/>
    <s v="T1129012156"/>
    <s v="144.75.218.7"/>
    <n v="2.6200000000000001E-2"/>
    <n v="0.11799999999999999"/>
    <n v="2448"/>
    <n v="3274"/>
    <n v="0"/>
    <n v="0"/>
  </r>
  <r>
    <s v="Physical Plant"/>
    <s v="10_03_071_14100_5521"/>
    <x v="55"/>
    <s v="Physical Plant"/>
    <n v="132"/>
    <s v="AF SP4310N"/>
    <s v="PTR"/>
    <n v="17099600"/>
    <n v="749"/>
    <n v="0"/>
    <n v="19.623799999999999"/>
    <n v="0"/>
    <n v="19.623799999999999"/>
    <s v="T1129012227"/>
    <s v="144.75.218.55"/>
    <n v="2.6200000000000001E-2"/>
    <n v="0.11799999999999999"/>
    <n v="1946"/>
    <n v="2695"/>
    <n v="0"/>
    <n v="0"/>
  </r>
  <r>
    <s v="Physical Plant"/>
    <s v="10_03_071_14100_5521"/>
    <x v="55"/>
    <s v="Physical Plant"/>
    <n v="135"/>
    <s v="AF SP4310N"/>
    <s v="PTR"/>
    <n v="17099601"/>
    <n v="130"/>
    <n v="0"/>
    <n v="3.4060000000000001"/>
    <n v="0"/>
    <n v="3.4060000000000001"/>
    <s v="T1129012236"/>
    <s v="144.75.218.57"/>
    <n v="2.6200000000000001E-2"/>
    <n v="0.11799999999999999"/>
    <n v="393"/>
    <n v="523"/>
    <n v="0"/>
    <n v="0"/>
  </r>
  <r>
    <s v="Physics &amp; Astronomy"/>
    <s v="10_03_064_50550_5521"/>
    <x v="2"/>
    <s v="Mallory Hall"/>
    <n v="214"/>
    <s v="AF SP4310N"/>
    <s v="PTR"/>
    <n v="17099580"/>
    <n v="22"/>
    <n v="0"/>
    <n v="0.57640000000000002"/>
    <n v="0"/>
    <n v="0.57640000000000002"/>
    <s v="T1129011291"/>
    <s v="144.75.182.178"/>
    <n v="2.6200000000000001E-2"/>
    <n v="0.11799999999999999"/>
    <n v="3083"/>
    <n v="3105"/>
    <n v="0"/>
    <n v="0"/>
  </r>
  <r>
    <s v="Physics &amp; Astronomy"/>
    <s v="40_00_011_78500_5521"/>
    <x v="56"/>
    <s v="Mallory Hall"/>
    <n v="124"/>
    <s v="AF SP4310N"/>
    <s v="PTR"/>
    <n v="17099689"/>
    <n v="84"/>
    <n v="0"/>
    <n v="2.2008000000000001"/>
    <n v="0"/>
    <n v="2.2008000000000001"/>
    <s v="T1129011274"/>
    <s v="144.75.182.85"/>
    <n v="2.6200000000000001E-2"/>
    <n v="0.11799999999999999"/>
    <n v="468"/>
    <n v="552"/>
    <n v="0"/>
    <n v="0"/>
  </r>
  <r>
    <s v="Physics &amp; Astronomy"/>
    <s v="40_00_011_78500_5521"/>
    <x v="56"/>
    <s v="Mallory Hall"/>
    <n v="324"/>
    <s v="AF MPC3502"/>
    <s v="MFP"/>
    <n v="17099463"/>
    <n v="9454"/>
    <n v="2454"/>
    <n v="195.6978"/>
    <n v="213.49799999999999"/>
    <n v="409.19579999999996"/>
    <s v="W502L601236"/>
    <s v="144.75.182.208"/>
    <n v="2.07E-2"/>
    <n v="8.6999999999999994E-2"/>
    <n v="43464"/>
    <n v="52918"/>
    <n v="6439"/>
    <n v="8893"/>
  </r>
  <r>
    <s v="Physics &amp; Astronomy"/>
    <s v="40_00_011_78500_5521"/>
    <x v="56"/>
    <s v="Mallory Hall"/>
    <n v="328"/>
    <s v="AF SP4310N"/>
    <s v="PTR"/>
    <n v="17099588"/>
    <n v="236"/>
    <n v="0"/>
    <n v="6.1832000000000003"/>
    <n v="0"/>
    <n v="6.1832000000000003"/>
    <s v="T1129011359"/>
    <s v="144.75.182.15"/>
    <n v="2.6200000000000001E-2"/>
    <n v="0.11799999999999999"/>
    <n v="918"/>
    <n v="1154"/>
    <n v="0"/>
    <n v="0"/>
  </r>
  <r>
    <s v="Post Police"/>
    <s v="10_03_071_81100_5521"/>
    <x v="57"/>
    <s v="BOQ"/>
    <n v="200"/>
    <s v="AF SPC242DN"/>
    <s v="PTR"/>
    <n v="17099451"/>
    <n v="403"/>
    <n v="586"/>
    <n v="10.5586"/>
    <n v="69.147999999999996"/>
    <n v="79.706599999999995"/>
    <s v="T202P700469"/>
    <s v="144.75.6.17"/>
    <n v="2.6200000000000001E-2"/>
    <n v="0.11799999999999999"/>
    <n v="2110"/>
    <n v="2513"/>
    <n v="1076"/>
    <n v="1662"/>
  </r>
  <r>
    <s v="Post Police"/>
    <s v="10_03_071_81100_5521"/>
    <x v="57"/>
    <s v="BOQ"/>
    <n v="201"/>
    <s v="AF MP301SP"/>
    <s v="MFP"/>
    <n v="17099406"/>
    <n v="735"/>
    <n v="0"/>
    <n v="15.214499999999999"/>
    <n v="0"/>
    <n v="15.214499999999999"/>
    <s v="W912P903531"/>
    <s v="144.75.6.24"/>
    <n v="2.07E-2"/>
    <n v="8.6999999999999994E-2"/>
    <n v="3159"/>
    <n v="3894"/>
    <n v="0"/>
    <n v="0"/>
  </r>
  <r>
    <s v="Post Police"/>
    <s v="10_03_071_81100_5521"/>
    <x v="57"/>
    <s v="BOQ"/>
    <n v="203"/>
    <s v="AF MPC2051"/>
    <s v="MFP"/>
    <n v="17099455"/>
    <n v="1811"/>
    <n v="378"/>
    <n v="37.487699999999997"/>
    <n v="32.885999999999996"/>
    <n v="70.373699999999985"/>
    <s v="V9725501168"/>
    <s v="144.75.6.20"/>
    <n v="2.07E-2"/>
    <n v="8.6999999999999994E-2"/>
    <n v="14826"/>
    <n v="16637"/>
    <n v="998"/>
    <n v="1376"/>
  </r>
  <r>
    <s v="Post Police"/>
    <s v="10_03_071_81100_5521"/>
    <x v="57"/>
    <s v="BOQ"/>
    <n v="300"/>
    <s v="AF SPC242DN"/>
    <s v="PTR"/>
    <n v="17099725"/>
    <n v="76"/>
    <n v="217"/>
    <n v="1.9912000000000001"/>
    <n v="25.605999999999998"/>
    <n v="27.597199999999997"/>
    <s v="T202P801071"/>
    <s v="144.75.6.28"/>
    <n v="2.6200000000000001E-2"/>
    <n v="0.11799999999999999"/>
    <n v="233"/>
    <n v="309"/>
    <n v="485"/>
    <n v="702"/>
  </r>
  <r>
    <s v="Post Police"/>
    <s v="10_03_071_81100_5521"/>
    <x v="57"/>
    <s v="BOQ"/>
    <n v="301"/>
    <s v="AF SP4310N"/>
    <s v="PTR"/>
    <n v="17099736"/>
    <n v="118"/>
    <n v="0"/>
    <n v="3.0916000000000001"/>
    <n v="0"/>
    <n v="3.0916000000000001"/>
    <s v="T1129010631"/>
    <s v="144.75.6.30"/>
    <n v="2.6200000000000001E-2"/>
    <n v="0.11799999999999999"/>
    <n v="122"/>
    <n v="240"/>
    <n v="0"/>
    <n v="0"/>
  </r>
  <r>
    <s v="Preston Library"/>
    <s v="10_03_041_62100_5521"/>
    <x v="58"/>
    <s v="Preston Library"/>
    <n v="302"/>
    <s v="AF SP4310N"/>
    <s v="PTR"/>
    <n v="17099502"/>
    <n v="1412"/>
    <n v="0"/>
    <n v="36.994399999999999"/>
    <n v="0"/>
    <n v="36.994399999999999"/>
    <s v="T1128911524"/>
    <s v="144.75.197.12"/>
    <n v="2.6200000000000001E-2"/>
    <n v="0.11799999999999999"/>
    <n v="7328"/>
    <n v="8740"/>
    <n v="0"/>
    <n v="0"/>
  </r>
  <r>
    <s v="Preston Library"/>
    <s v="10_03_041_62100_5521"/>
    <x v="58"/>
    <s v="Preston Library"/>
    <n v="303"/>
    <s v="AF SP4310N"/>
    <s v="PTR"/>
    <n v="17099504"/>
    <n v="2024"/>
    <n v="0"/>
    <n v="53.028800000000004"/>
    <n v="0"/>
    <n v="53.028800000000004"/>
    <s v="T1128811633"/>
    <s v="144.75.197.11"/>
    <n v="2.6200000000000001E-2"/>
    <n v="0.11799999999999999"/>
    <n v="6698"/>
    <n v="8722"/>
    <n v="0"/>
    <n v="0"/>
  </r>
  <r>
    <s v="Preston Library"/>
    <s v="10_03_041_62100_5521"/>
    <x v="58"/>
    <s v="Preston Library"/>
    <n v="401"/>
    <s v="AF SP4310N"/>
    <s v="PTR"/>
    <n v="17099526"/>
    <n v="579"/>
    <n v="0"/>
    <n v="15.1698"/>
    <n v="0"/>
    <n v="15.1698"/>
    <s v="T1128811625"/>
    <s v="144.75.196.12"/>
    <n v="2.6200000000000001E-2"/>
    <n v="0.11799999999999999"/>
    <n v="6057"/>
    <n v="6636"/>
    <n v="0"/>
    <n v="0"/>
  </r>
  <r>
    <s v="Preston Library"/>
    <s v="10_03_041_62100_5521"/>
    <x v="58"/>
    <s v="Preston Library"/>
    <n v="401"/>
    <s v="AF SP4310N"/>
    <s v="PTR"/>
    <n v="17099641"/>
    <n v="262"/>
    <n v="0"/>
    <n v="6.8643999999999998"/>
    <n v="0"/>
    <n v="6.8643999999999998"/>
    <s v="T1129011155"/>
    <s v="144.75.196.9"/>
    <n v="2.6200000000000001E-2"/>
    <n v="0.11799999999999999"/>
    <n v="694"/>
    <n v="956"/>
    <n v="0"/>
    <n v="0"/>
  </r>
  <r>
    <s v="Preston Library"/>
    <s v="10_03_041_62100_5521"/>
    <x v="58"/>
    <s v="Preston Library"/>
    <n v="500"/>
    <s v="AF SP4310N"/>
    <s v="PTR"/>
    <n v="17099525"/>
    <n v="1521"/>
    <n v="0"/>
    <n v="39.850200000000001"/>
    <n v="0"/>
    <n v="39.850200000000001"/>
    <s v="T1128911520"/>
    <s v="144.75.185.13"/>
    <n v="2.6200000000000001E-2"/>
    <n v="0.11799999999999999"/>
    <n v="6021"/>
    <n v="7542"/>
    <n v="0"/>
    <n v="0"/>
  </r>
  <r>
    <s v="Preston Library"/>
    <s v="10_03_041_62100_5521"/>
    <x v="58"/>
    <s v="Preston Library"/>
    <n v="501"/>
    <s v="AF SP4310N"/>
    <s v="PTR"/>
    <n v="17099523"/>
    <n v="8746"/>
    <n v="0"/>
    <n v="229.14520000000002"/>
    <n v="0"/>
    <n v="229.14520000000002"/>
    <s v="T1128712304"/>
    <s v="144.75.196.71"/>
    <n v="2.6200000000000001E-2"/>
    <n v="0.11799999999999999"/>
    <n v="55883"/>
    <n v="64629"/>
    <n v="0"/>
    <n v="0"/>
  </r>
  <r>
    <s v="Preston Library"/>
    <s v="10_03_041_62100_5521"/>
    <x v="58"/>
    <s v="Preston Library"/>
    <n v="501"/>
    <s v="AF SP4310N"/>
    <s v="PTR"/>
    <n v="17099830"/>
    <n v="1843"/>
    <n v="0"/>
    <n v="48.2866"/>
    <n v="0"/>
    <n v="48.2866"/>
    <s v="T1129010873"/>
    <s v="144.75.185.41"/>
    <n v="2.6200000000000001E-2"/>
    <n v="0.11799999999999999"/>
    <n v="112"/>
    <n v="1955"/>
    <n v="0"/>
    <n v="0"/>
  </r>
  <r>
    <s v="Preston Library"/>
    <s v="10_03_041_62100_5521"/>
    <x v="58"/>
    <s v="Preston Library"/>
    <n v="501"/>
    <s v="AF SP4310N"/>
    <s v="PTR"/>
    <n v="17099634"/>
    <n v="588"/>
    <n v="0"/>
    <n v="15.4056"/>
    <n v="0"/>
    <n v="15.4056"/>
    <s v="T1129011038"/>
    <s v="144.75.196.8"/>
    <n v="2.6200000000000001E-2"/>
    <n v="0.11799999999999999"/>
    <n v="2469"/>
    <n v="3057"/>
    <n v="0"/>
    <n v="0"/>
  </r>
  <r>
    <s v="Preston Library"/>
    <s v="10_03_041_62100_5521"/>
    <x v="58"/>
    <s v="Preston Library"/>
    <n v="502"/>
    <s v="AF SP4310N"/>
    <s v="PTR"/>
    <n v="17099524"/>
    <n v="1029"/>
    <n v="0"/>
    <n v="26.959800000000001"/>
    <n v="0"/>
    <n v="26.959800000000001"/>
    <s v="T1128911511"/>
    <s v="144.75.185.11"/>
    <n v="2.6200000000000001E-2"/>
    <n v="0.11799999999999999"/>
    <n v="9466"/>
    <n v="10495"/>
    <n v="0"/>
    <n v="0"/>
  </r>
  <r>
    <s v="Preston Library"/>
    <s v="10_03_041_62100_5521"/>
    <x v="58"/>
    <s v="Preston Library"/>
    <n v="650"/>
    <s v="AF SP4310N"/>
    <s v="PTR"/>
    <n v="17099445"/>
    <n v="1345"/>
    <n v="0"/>
    <n v="35.239000000000004"/>
    <n v="0"/>
    <n v="35.239000000000004"/>
    <s v="T1128811936"/>
    <s v="144.75.185.100"/>
    <n v="2.6200000000000001E-2"/>
    <n v="0.11799999999999999"/>
    <n v="7563"/>
    <n v="8908"/>
    <n v="0"/>
    <n v="0"/>
  </r>
  <r>
    <s v="Preston Library"/>
    <s v="10_03_041_62100_5521"/>
    <x v="58"/>
    <s v="Preston Library"/>
    <s v="300A"/>
    <s v="AF SP4310N"/>
    <s v="PTR"/>
    <n v="17099503"/>
    <n v="2648"/>
    <n v="0"/>
    <n v="69.377600000000001"/>
    <n v="0"/>
    <n v="69.377600000000001"/>
    <s v="T1128710718"/>
    <s v="144.75.197.15"/>
    <n v="2.6200000000000001E-2"/>
    <n v="0.11799999999999999"/>
    <n v="14950"/>
    <n v="17598"/>
    <n v="0"/>
    <n v="0"/>
  </r>
  <r>
    <s v="Preston Library"/>
    <s v="10_03_041_62100_5521"/>
    <x v="58"/>
    <s v="Preston Library"/>
    <s v="400B"/>
    <s v="AF SPC242DN"/>
    <s v="PTR"/>
    <n v="17099630"/>
    <n v="25"/>
    <n v="84"/>
    <n v="0.65500000000000003"/>
    <n v="9.911999999999999"/>
    <n v="10.566999999999998"/>
    <s v="T202P600824"/>
    <s v="144.75.196.7"/>
    <n v="2.6200000000000001E-2"/>
    <n v="0.11799999999999999"/>
    <n v="587"/>
    <n v="612"/>
    <n v="1524"/>
    <n v="1608"/>
  </r>
  <r>
    <s v="Preston Library"/>
    <s v="10_03_041_62100_5521"/>
    <x v="58"/>
    <s v="Preston Library"/>
    <s v="400B"/>
    <s v="AF MPC2051"/>
    <s v="MFP"/>
    <n v="17099487"/>
    <n v="578"/>
    <n v="16"/>
    <n v="11.964599999999999"/>
    <n v="1.3919999999999999"/>
    <n v="13.356599999999998"/>
    <s v="V9725401436"/>
    <s v="144.75.196.28"/>
    <n v="2.07E-2"/>
    <n v="8.6999999999999994E-2"/>
    <n v="1948"/>
    <n v="2526"/>
    <n v="47"/>
    <n v="63"/>
  </r>
  <r>
    <s v="Preston Library"/>
    <s v="10_03_041_62100_5521"/>
    <x v="58"/>
    <s v="Preston Library"/>
    <s v="Circ Desk"/>
    <s v="AF MPC2051"/>
    <s v="MFP"/>
    <n v="17099432"/>
    <n v="3761"/>
    <n v="690"/>
    <n v="77.852699999999999"/>
    <n v="60.029999999999994"/>
    <n v="137.8827"/>
    <s v="V9725500671"/>
    <s v="144.75.185.38"/>
    <n v="2.07E-2"/>
    <n v="8.6999999999999994E-2"/>
    <n v="23834"/>
    <n v="27595"/>
    <n v="5816"/>
    <n v="6506"/>
  </r>
  <r>
    <s v="Preston Library"/>
    <s v="10_03_064_50550_5521"/>
    <x v="2"/>
    <s v="Preston Library"/>
    <n v="503"/>
    <s v="AF SP4310N"/>
    <s v="PTR"/>
    <n v="17099631"/>
    <n v="9149"/>
    <n v="0"/>
    <n v="239.7038"/>
    <n v="0"/>
    <n v="239.7038"/>
    <s v="T1129011161"/>
    <s v="144.75.185.49"/>
    <n v="2.6200000000000001E-2"/>
    <n v="0.11799999999999999"/>
    <n v="61674"/>
    <n v="70823"/>
    <n v="0"/>
    <n v="0"/>
  </r>
  <r>
    <s v="Preston Library"/>
    <s v="10_03_064_50550_5521"/>
    <x v="2"/>
    <s v="Preston Library"/>
    <n v="601"/>
    <s v="AF SP4310N"/>
    <s v="PTR"/>
    <n v="17099706"/>
    <n v="6626"/>
    <n v="0"/>
    <n v="173.60120000000001"/>
    <n v="0"/>
    <n v="173.60120000000001"/>
    <s v="T1129010306"/>
    <s v="144.74.185.15"/>
    <n v="2.6200000000000001E-2"/>
    <n v="0.11799999999999999"/>
    <n v="18328"/>
    <n v="24954"/>
    <n v="0"/>
    <n v="0"/>
  </r>
  <r>
    <s v="Protocol Office"/>
    <s v="10_03_065_84100_5521"/>
    <x v="59"/>
    <s v="303A Letcher Avenue"/>
    <n v="300"/>
    <s v="AF SPC430DN"/>
    <s v="PTR"/>
    <n v="17099718"/>
    <n v="2"/>
    <n v="0"/>
    <n v="5.2400000000000002E-2"/>
    <n v="0"/>
    <n v="5.2400000000000002E-2"/>
    <s v="S9329101012"/>
    <s v="144.75.178.13"/>
    <n v="2.6200000000000001E-2"/>
    <n v="0.11799999999999999"/>
    <n v="871"/>
    <n v="873"/>
    <n v="87"/>
    <n v="87"/>
  </r>
  <r>
    <s v="Protocol Office"/>
    <s v="10_03_065_84100_5521"/>
    <x v="59"/>
    <s v="303A Letcher Avenue"/>
    <n v="300"/>
    <s v="AF MPC2051"/>
    <s v="MFP"/>
    <n v="17099528"/>
    <n v="104"/>
    <n v="3"/>
    <n v="2.1528"/>
    <n v="0.26100000000000001"/>
    <n v="2.4138000000000002"/>
    <s v="V9725401454"/>
    <s v="144.75.178.18"/>
    <n v="2.07E-2"/>
    <n v="8.6999999999999994E-2"/>
    <n v="29759"/>
    <n v="29863"/>
    <n v="220"/>
    <n v="223"/>
  </r>
  <r>
    <s v="Protocol Office"/>
    <s v="10_03_065_84100_5521"/>
    <x v="59"/>
    <s v="303A Letcher Avenue"/>
    <n v="301"/>
    <s v="AF SP4310N"/>
    <s v="PTR"/>
    <n v="17099571"/>
    <n v="403"/>
    <n v="0"/>
    <n v="10.5586"/>
    <n v="0"/>
    <n v="10.5586"/>
    <s v="T1128911364"/>
    <s v="144.75.178.24"/>
    <n v="2.6200000000000001E-2"/>
    <n v="0.11799999999999999"/>
    <n v="681"/>
    <n v="1084"/>
    <n v="0"/>
    <n v="0"/>
  </r>
  <r>
    <s v="Psychology &amp; Philosophy"/>
    <s v="10_03_011_86100_5521"/>
    <x v="60"/>
    <s v="Carroll Hall"/>
    <n v="403"/>
    <s v="AF MPC4502"/>
    <s v="MFP"/>
    <n v="17099452"/>
    <n v="11294"/>
    <n v="636"/>
    <n v="233.78579999999999"/>
    <n v="55.331999999999994"/>
    <n v="289.11779999999999"/>
    <s v="W512L601987"/>
    <s v="144.75.195.105"/>
    <n v="2.07E-2"/>
    <n v="8.6999999999999994E-2"/>
    <n v="83586"/>
    <n v="94880"/>
    <n v="2745"/>
    <n v="3381"/>
  </r>
  <r>
    <s v="Psychology &amp; Philosophy"/>
    <s v="10_03_011_86100_5521"/>
    <x v="60"/>
    <s v="Carroll Hall"/>
    <n v="406"/>
    <s v="AF SPC242DN"/>
    <s v="PTR"/>
    <n v="17099758"/>
    <n v="41"/>
    <n v="36"/>
    <n v="1.0742"/>
    <n v="4.2479999999999993"/>
    <n v="5.3221999999999996"/>
    <s v="T202P700273"/>
    <s v="144.75.195.106"/>
    <n v="2.6200000000000001E-2"/>
    <n v="0.11799999999999999"/>
    <n v="753"/>
    <n v="794"/>
    <n v="381"/>
    <n v="417"/>
  </r>
  <r>
    <s v="Psychology &amp; Philosophy"/>
    <s v="10_03_011_86100_5521"/>
    <x v="60"/>
    <s v="Carroll Hall"/>
    <n v="411"/>
    <s v="AF SP4310N"/>
    <s v="PTR"/>
    <n v="17099757"/>
    <n v="382"/>
    <n v="0"/>
    <n v="10.0084"/>
    <n v="0"/>
    <n v="10.0084"/>
    <s v="T1128911358"/>
    <s v="144.75.195.9"/>
    <n v="2.6200000000000001E-2"/>
    <n v="0.11799999999999999"/>
    <n v="2574"/>
    <n v="2956"/>
    <n v="0"/>
    <n v="0"/>
  </r>
  <r>
    <s v="Psychology &amp; Philosophy"/>
    <s v="10_03_011_86100_5521"/>
    <x v="60"/>
    <s v="Carroll Hall"/>
    <n v="414"/>
    <s v="AF SP4310N"/>
    <s v="PTR"/>
    <n v="17099585"/>
    <n v="1140"/>
    <n v="0"/>
    <n v="29.868000000000002"/>
    <n v="0"/>
    <n v="29.868000000000002"/>
    <s v="T1128911367"/>
    <s v="144.75.195.32"/>
    <n v="2.6200000000000001E-2"/>
    <n v="0.11799999999999999"/>
    <n v="4603"/>
    <n v="5743"/>
    <n v="0"/>
    <n v="0"/>
  </r>
  <r>
    <s v="Psychology &amp; Philosophy"/>
    <s v="10_03_011_86100_5521"/>
    <x v="60"/>
    <s v="Carroll Hall"/>
    <s v="301A"/>
    <s v="AF SP4310N"/>
    <s v="PTR"/>
    <n v="17099578"/>
    <n v="2293"/>
    <n v="0"/>
    <n v="60.076599999999999"/>
    <n v="0"/>
    <n v="60.076599999999999"/>
    <s v="T1128911371"/>
    <s v="144.75.195.91"/>
    <n v="2.6200000000000001E-2"/>
    <n v="0.11799999999999999"/>
    <n v="7208"/>
    <n v="9501"/>
    <n v="0"/>
    <n v="0"/>
  </r>
  <r>
    <s v="Psychology &amp; Philosophy"/>
    <s v="10_03_011_86100_5521"/>
    <x v="60"/>
    <s v="Cocke Hall"/>
    <n v="506"/>
    <s v="AF SP4310N"/>
    <s v="PTR"/>
    <n v="17099826"/>
    <n v="24"/>
    <n v="0"/>
    <n v="0.62880000000000003"/>
    <n v="0"/>
    <n v="0.62880000000000003"/>
    <s v="T1129012228"/>
    <s v="144.75.177.30"/>
    <n v="2.6200000000000001E-2"/>
    <n v="0.11799999999999999"/>
    <n v="36"/>
    <n v="60"/>
    <n v="0"/>
    <n v="0"/>
  </r>
  <r>
    <s v="Purchasing"/>
    <s v="10_03_064_32105_5521"/>
    <x v="61"/>
    <s v="Smith Hall"/>
    <n v="314"/>
    <s v="AF MP4002"/>
    <s v="MFP"/>
    <n v="17099500"/>
    <n v="3442"/>
    <n v="0"/>
    <n v="71.249399999999994"/>
    <n v="0"/>
    <n v="71.249399999999994"/>
    <s v="W522L700681"/>
    <s v="144.75.179.66"/>
    <n v="2.07E-2"/>
    <n v="8.6999999999999994E-2"/>
    <n v="12158"/>
    <n v="15600"/>
    <n v="0"/>
    <n v="0"/>
  </r>
  <r>
    <s v="Registrar Office"/>
    <s v="10_03_054_90100_5521"/>
    <x v="62"/>
    <s v="Shell Hall"/>
    <n v="302"/>
    <s v="AF SP4310N"/>
    <s v="PTR"/>
    <n v="17099753"/>
    <n v="28"/>
    <n v="0"/>
    <n v="0.73360000000000003"/>
    <n v="0"/>
    <n v="0.73360000000000003"/>
    <s v="T1129010912"/>
    <s v="144.75.180.47"/>
    <n v="2.6200000000000001E-2"/>
    <n v="0.11799999999999999"/>
    <n v="148"/>
    <n v="176"/>
    <n v="0"/>
    <n v="0"/>
  </r>
  <r>
    <s v="Registrar Office"/>
    <s v="10_03_054_90100_5521"/>
    <x v="62"/>
    <s v="Shell Hall"/>
    <n v="303"/>
    <s v="AF SP4310N"/>
    <s v="PTR"/>
    <n v="17099685"/>
    <n v="3285"/>
    <n v="0"/>
    <n v="86.067000000000007"/>
    <n v="0"/>
    <n v="86.067000000000007"/>
    <s v="T1129012238"/>
    <s v="144.75.180.38"/>
    <n v="2.6200000000000001E-2"/>
    <n v="0.11799999999999999"/>
    <n v="6593"/>
    <n v="9878"/>
    <n v="0"/>
    <n v="0"/>
  </r>
  <r>
    <s v="Registrar Office"/>
    <s v="10_03_054_90100_5521"/>
    <x v="62"/>
    <s v="Shell Hall"/>
    <n v="303"/>
    <s v="AF SP4310N"/>
    <s v="PTR"/>
    <n v="17099700"/>
    <n v="1550"/>
    <n v="0"/>
    <n v="40.61"/>
    <n v="0"/>
    <n v="40.61"/>
    <s v="T1129012240"/>
    <s v="144.75.180.42"/>
    <n v="2.6200000000000001E-2"/>
    <n v="0.11799999999999999"/>
    <n v="11836"/>
    <n v="13386"/>
    <n v="0"/>
    <n v="0"/>
  </r>
  <r>
    <s v="Registrar Office"/>
    <s v="10_03_054_90100_5521"/>
    <x v="62"/>
    <s v="Shell Hall"/>
    <n v="311"/>
    <s v="AF SP4310N"/>
    <s v="PTR"/>
    <n v="17099656"/>
    <n v="493"/>
    <n v="0"/>
    <n v="12.916600000000001"/>
    <n v="0"/>
    <n v="12.916600000000001"/>
    <s v="T1129012229"/>
    <s v="144.75.180.58"/>
    <n v="2.6200000000000001E-2"/>
    <n v="0.11799999999999999"/>
    <n v="5750"/>
    <n v="6243"/>
    <n v="0"/>
    <n v="0"/>
  </r>
  <r>
    <s v="Registrar Office"/>
    <s v="10_03_054_90100_5521"/>
    <x v="62"/>
    <s v="Shell Hall"/>
    <n v="312"/>
    <s v="AF SPC242DN"/>
    <s v="PTR"/>
    <n v="17099646"/>
    <n v="634"/>
    <n v="16"/>
    <n v="16.610800000000001"/>
    <n v="1.8879999999999999"/>
    <n v="18.498800000000003"/>
    <s v="T202P700458"/>
    <s v="144.75.180.41"/>
    <n v="2.6200000000000001E-2"/>
    <n v="0.11799999999999999"/>
    <n v="4568"/>
    <n v="5202"/>
    <n v="472"/>
    <n v="488"/>
  </r>
  <r>
    <s v="Scott Shipp Fair Use"/>
    <s v="10_03_064_32145_5521"/>
    <x v="20"/>
    <s v="Scott Shipp Hall"/>
    <n v="512"/>
    <s v="AF MP6001"/>
    <s v="MFP"/>
    <n v="17099480"/>
    <n v="13270"/>
    <n v="0"/>
    <n v="274.68900000000002"/>
    <n v="0"/>
    <n v="274.68900000000002"/>
    <s v="V6925300966"/>
    <s v="144.75.212.17"/>
    <n v="2.07E-2"/>
    <n v="8.6999999999999994E-2"/>
    <n v="37106"/>
    <n v="50376"/>
    <n v="0"/>
    <n v="0"/>
  </r>
  <r>
    <s v="Smith Hall"/>
    <s v="10_03_064_32145_5521"/>
    <x v="20"/>
    <s v="Smith Hall"/>
    <n v="208"/>
    <s v="AF MP6001"/>
    <s v="MFP"/>
    <n v="17099419"/>
    <n v="19599"/>
    <n v="0"/>
    <n v="405.69929999999999"/>
    <n v="0"/>
    <n v="405.69929999999999"/>
    <s v="V6925301072"/>
    <s v="144.75.179.230"/>
    <n v="2.07E-2"/>
    <n v="8.6999999999999994E-2"/>
    <n v="38714"/>
    <n v="58313"/>
    <n v="0"/>
    <n v="0"/>
  </r>
  <r>
    <s v="Smith Hall"/>
    <s v="10_03_064_32145_5521"/>
    <x v="20"/>
    <s v="Smith Hall"/>
    <n v="208"/>
    <s v="AF MPC6501"/>
    <s v="MFP"/>
    <n v="17099421"/>
    <n v="12112"/>
    <n v="18364"/>
    <n v="250.7184"/>
    <n v="1597.6679999999999"/>
    <n v="1848.3863999999999"/>
    <s v="V7620500472"/>
    <s v="144.75.179.103"/>
    <n v="2.07E-2"/>
    <n v="8.6999999999999994E-2"/>
    <n v="49848"/>
    <n v="61960"/>
    <n v="77523"/>
    <n v="95887"/>
  </r>
  <r>
    <s v="Sport Medicine"/>
    <s v="30_00_310_06110_5521"/>
    <x v="10"/>
    <s v="Cameron Hall"/>
    <n v="215"/>
    <s v="AF SP4310N"/>
    <s v="PTR"/>
    <n v="17099566"/>
    <n v="400"/>
    <n v="0"/>
    <n v="10.48"/>
    <n v="0"/>
    <n v="10.48"/>
    <s v="T1129010423"/>
    <s v="144.75.183.71"/>
    <n v="2.6200000000000001E-2"/>
    <n v="0.11799999999999999"/>
    <n v="1227"/>
    <n v="1627"/>
    <n v="0"/>
    <n v="0"/>
  </r>
  <r>
    <s v="Stone Wall Jackson House"/>
    <s v="30_00_031_70275_5505"/>
    <x v="63"/>
    <s v="Stone Wall Jackson House"/>
    <s v="Floor 2"/>
    <s v="AF MPC2051"/>
    <s v="MFP"/>
    <n v="17099841"/>
    <n v="94"/>
    <n v="10"/>
    <n v="1.9458"/>
    <n v="0.86999999999999988"/>
    <n v="2.8157999999999999"/>
    <s v="V9735000740"/>
    <s v="144.75.181.13"/>
    <n v="2.07E-2"/>
    <n v="8.6999999999999994E-2"/>
    <n v="5"/>
    <n v="99"/>
    <n v="0"/>
    <n v="10"/>
  </r>
  <r>
    <s v="Stone Wall Jackson House"/>
    <s v="30_00_031_70275_5505"/>
    <x v="63"/>
    <s v="Stone Wall Jackson House"/>
    <s v="Floor 3"/>
    <s v="AF SP4310N"/>
    <s v="PTR"/>
    <n v="17099842"/>
    <n v="218"/>
    <n v="0"/>
    <n v="5.7116000000000007"/>
    <n v="0"/>
    <n v="5.7116000000000007"/>
    <s v="T1129012328"/>
    <s v="144.75.181.14"/>
    <n v="2.6200000000000001E-2"/>
    <n v="0.11799999999999999"/>
    <n v="17"/>
    <n v="235"/>
    <n v="0"/>
    <n v="0"/>
  </r>
  <r>
    <s v="Stone Wall Jackson House"/>
    <s v="30_00_031_70275_5505"/>
    <x v="63"/>
    <s v="Stone Wall Jackson House"/>
    <s v="Gift Shop"/>
    <s v="AF SPC242DN"/>
    <s v="PTR"/>
    <n v="17099827"/>
    <n v="411"/>
    <n v="60"/>
    <n v="10.7682"/>
    <n v="7.08"/>
    <n v="17.848199999999999"/>
    <s v="T202P901345"/>
    <s v="144.75.181.15"/>
    <n v="2.6200000000000001E-2"/>
    <n v="0.11799999999999999"/>
    <n v="687"/>
    <n v="1098"/>
    <n v="66"/>
    <n v="126"/>
  </r>
  <r>
    <s v="Superintendents Office"/>
    <s v="10_03_061_94100_5521"/>
    <x v="64"/>
    <s v="Smith Hall"/>
    <n v="201"/>
    <s v="AF MPC3502"/>
    <s v="MFP"/>
    <n v="17099498"/>
    <n v="3576"/>
    <n v="3705"/>
    <n v="74.023200000000003"/>
    <n v="322.33499999999998"/>
    <n v="396.35820000000001"/>
    <s v="W502L600891"/>
    <s v="144.75.179.53"/>
    <n v="2.07E-2"/>
    <n v="8.6999999999999994E-2"/>
    <n v="13104"/>
    <n v="16680"/>
    <n v="11009"/>
    <n v="14714"/>
  </r>
  <r>
    <s v="Superintendent's Office"/>
    <s v="10_03_061_94100_5521"/>
    <x v="64"/>
    <s v="Smith Hall"/>
    <n v="201"/>
    <s v="AF SP4310N"/>
    <s v="PTR"/>
    <n v="17099784"/>
    <n v="391"/>
    <n v="0"/>
    <n v="10.244200000000001"/>
    <n v="0"/>
    <n v="10.244200000000001"/>
    <s v="T1128811618"/>
    <s v="144.75.179.77"/>
    <n v="2.6200000000000001E-2"/>
    <n v="0.11799999999999999"/>
    <n v="1527"/>
    <n v="1918"/>
    <n v="0"/>
    <n v="0"/>
  </r>
  <r>
    <s v="Superintendent's Office"/>
    <s v="10_03_061_94100_5521"/>
    <x v="64"/>
    <s v="Smith Hall"/>
    <n v="201"/>
    <s v="AF SP4310N"/>
    <s v="PTR"/>
    <n v="17099688"/>
    <n v="698"/>
    <n v="0"/>
    <n v="18.287600000000001"/>
    <n v="0"/>
    <n v="18.287600000000001"/>
    <s v="T1128911097"/>
    <s v="144.75.179.107"/>
    <n v="2.6200000000000001E-2"/>
    <n v="0.11799999999999999"/>
    <n v="3135"/>
    <n v="3833"/>
    <n v="0"/>
    <n v="0"/>
  </r>
  <r>
    <s v="Superintendent's Office"/>
    <s v="10_03_061_94100_5521"/>
    <x v="64"/>
    <s v="Smith Hall"/>
    <n v="201"/>
    <s v="AF SP4310N"/>
    <s v="PTR"/>
    <n v="17099712"/>
    <n v="1508"/>
    <n v="0"/>
    <n v="39.509599999999999"/>
    <n v="0"/>
    <n v="39.509599999999999"/>
    <s v="T1128911224"/>
    <s v="144.75.179.108"/>
    <n v="2.6200000000000001E-2"/>
    <n v="0.11799999999999999"/>
    <n v="7413"/>
    <n v="8921"/>
    <n v="0"/>
    <n v="0"/>
  </r>
  <r>
    <s v="Superintendent's Office"/>
    <s v="10_03_061_94100_5521"/>
    <x v="64"/>
    <s v="Smith Hall"/>
    <n v="201"/>
    <s v="AF SP4310N"/>
    <s v="PTR"/>
    <n v="17099698"/>
    <n v="372"/>
    <n v="0"/>
    <n v="9.7464000000000013"/>
    <n v="0"/>
    <n v="9.7464000000000013"/>
    <s v="T1128911225"/>
    <s v="144.75.179.109"/>
    <n v="2.6200000000000001E-2"/>
    <n v="0.11799999999999999"/>
    <n v="1318"/>
    <n v="1690"/>
    <n v="0"/>
    <n v="0"/>
  </r>
  <r>
    <s v="Tailor Shop"/>
    <s v="10_08_302_82230_5521"/>
    <x v="65"/>
    <s v="Kilbourne Hall"/>
    <s v="Tailor Shop"/>
    <s v="AF SP4310N"/>
    <s v="PTR"/>
    <n v="17099415"/>
    <n v="0"/>
    <n v="0"/>
    <n v="0"/>
    <n v="0"/>
    <n v="0"/>
    <s v="T1129010838"/>
    <s v="144.75.187.152"/>
    <n v="2.6200000000000001E-2"/>
    <n v="0.11799999999999999"/>
    <n v="9"/>
    <n v="9"/>
    <n v="0"/>
    <n v="0"/>
  </r>
  <r>
    <s v="Tailor Shop"/>
    <s v="10_08_302_82230_5521"/>
    <x v="65"/>
    <s v="Richardson Hall"/>
    <s v="Tailor Shop"/>
    <s v="AF SP4310N"/>
    <s v="PTR"/>
    <n v="17099610"/>
    <n v="691"/>
    <n v="0"/>
    <n v="18.104200000000002"/>
    <n v="0"/>
    <n v="18.104200000000002"/>
    <s v="T1129012234"/>
    <s v="144.75.180.89"/>
    <n v="2.6200000000000001E-2"/>
    <n v="0.11799999999999999"/>
    <n v="3603"/>
    <n v="4294"/>
    <n v="0"/>
    <n v="0"/>
  </r>
  <r>
    <s v="VMI Center for Undergraduate Research"/>
    <s v="10_03_011_34175_5521"/>
    <x v="66"/>
    <s v="Preston Library"/>
    <s v="300D"/>
    <s v="AF MPC3502"/>
    <s v="MFP"/>
    <n v="17099489"/>
    <n v="646"/>
    <n v="124"/>
    <n v="13.372199999999999"/>
    <n v="10.787999999999998"/>
    <n v="24.160199999999996"/>
    <s v="W502L700081"/>
    <s v="144.75.197.69"/>
    <n v="2.07E-2"/>
    <n v="8.6999999999999994E-2"/>
    <n v="5658"/>
    <n v="6304"/>
    <n v="135"/>
    <n v="259"/>
  </r>
  <r>
    <s v="VMI Center for Undergraduate Research"/>
    <s v="10_03_011_34175_5521"/>
    <x v="66"/>
    <s v="Preston Library"/>
    <s v="300E"/>
    <s v="AF SP4310N"/>
    <s v="PTR"/>
    <n v="17099642"/>
    <n v="227"/>
    <n v="0"/>
    <n v="5.9474"/>
    <n v="0"/>
    <n v="5.9474"/>
    <s v="T1129011354"/>
    <s v="144.75.197.37"/>
    <n v="2.6200000000000001E-2"/>
    <n v="0.11799999999999999"/>
    <n v="1821"/>
    <n v="2048"/>
    <n v="0"/>
    <n v="0"/>
  </r>
  <r>
    <s v="Writing Center"/>
    <s v="10_03_045_99200_5521"/>
    <x v="67"/>
    <s v="Carroll Hall"/>
    <n v="215"/>
    <s v="AF SP4310N"/>
    <s v="PTR"/>
    <n v="17099563"/>
    <n v="2389"/>
    <n v="0"/>
    <n v="62.591799999999999"/>
    <n v="0"/>
    <n v="62.591799999999999"/>
    <s v="T1128910778"/>
    <s v="144.75.195.34"/>
    <n v="2.6200000000000001E-2"/>
    <n v="0.11799999999999999"/>
    <n v="7938"/>
    <n v="10327"/>
    <n v="0"/>
    <n v="0"/>
  </r>
  <r>
    <s v="Writing Center"/>
    <s v="10_03_045_99200_5521"/>
    <x v="67"/>
    <s v="Carroll Hall"/>
    <n v="217"/>
    <s v="AF MPC2051"/>
    <s v="MFP"/>
    <n v="17099458"/>
    <n v="158"/>
    <n v="0"/>
    <n v="3.2706"/>
    <n v="0"/>
    <n v="3.2706"/>
    <s v="V9725401426"/>
    <s v="144.75.207.26"/>
    <n v="2.07E-2"/>
    <n v="8.6999999999999994E-2"/>
    <n v="88937"/>
    <n v="89095"/>
    <n v="5149"/>
    <n v="5149"/>
  </r>
  <r>
    <s v="Writing Center"/>
    <s v="10_03_045_99200_5521"/>
    <x v="67"/>
    <s v="Carroll Hall"/>
    <n v="219"/>
    <s v="AF SP4310N"/>
    <s v="PTR"/>
    <n v="17099576"/>
    <n v="0"/>
    <n v="0"/>
    <n v="0"/>
    <n v="0"/>
    <n v="0"/>
    <s v="T1128910779"/>
    <s v="144.75.195.99"/>
    <n v="2.6200000000000001E-2"/>
    <n v="0.11799999999999999"/>
    <n v="23"/>
    <n v="23"/>
    <n v="0"/>
    <n v="0"/>
  </r>
  <r>
    <m/>
    <m/>
    <x v="68"/>
    <m/>
    <m/>
    <m/>
    <m/>
    <m/>
    <n v="666580"/>
    <n v="80261"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73" firstHeaderRow="1" firstDataRow="1" firstDataCol="1"/>
  <pivotFields count="21">
    <pivotField showAll="0" defaultSubtotal="0"/>
    <pivotField showAll="0"/>
    <pivotField axis="axisRow" showAll="0">
      <items count="73">
        <item x="0"/>
        <item x="10"/>
        <item x="1"/>
        <item x="5"/>
        <item x="11"/>
        <item x="43"/>
        <item x="48"/>
        <item x="38"/>
        <item x="65"/>
        <item x="15"/>
        <item x="56"/>
        <item x="19"/>
        <item x="14"/>
        <item x="21"/>
        <item x="23"/>
        <item x="24"/>
        <item x="26"/>
        <item x="27"/>
        <item x="29"/>
        <item x="20"/>
        <item m="1" x="70"/>
        <item x="30"/>
        <item x="31"/>
        <item x="32"/>
        <item x="34"/>
        <item x="35"/>
        <item x="36"/>
        <item x="16"/>
        <item x="67"/>
        <item x="40"/>
        <item x="41"/>
        <item x="42"/>
        <item x="39"/>
        <item x="49"/>
        <item x="58"/>
        <item x="45"/>
        <item x="47"/>
        <item m="1" x="71"/>
        <item x="50"/>
        <item x="51"/>
        <item x="53"/>
        <item x="37"/>
        <item x="60"/>
        <item x="54"/>
        <item x="55"/>
        <item x="44"/>
        <item x="2"/>
        <item x="59"/>
        <item x="61"/>
        <item x="62"/>
        <item x="3"/>
        <item x="4"/>
        <item x="52"/>
        <item x="8"/>
        <item x="9"/>
        <item x="6"/>
        <item x="18"/>
        <item x="64"/>
        <item x="7"/>
        <item x="17"/>
        <item x="12"/>
        <item x="25"/>
        <item x="22"/>
        <item x="66"/>
        <item m="1" x="69"/>
        <item x="68"/>
        <item x="13"/>
        <item x="28"/>
        <item x="33"/>
        <item x="57"/>
        <item x="63"/>
        <item x="4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Items count="1">
    <i/>
  </colItems>
  <dataFields count="1">
    <dataField name="Sum of Device Total Click Charge" fld="12" baseField="2" baseItem="65" numFmtId="164"/>
  </dataFields>
  <formats count="4">
    <format dxfId="14">
      <pivotArea dataOnly="0" labelOnly="1" outline="0" axis="axisValues" fieldPosition="0"/>
    </format>
    <format dxfId="13">
      <pivotArea dataOnly="0" labelOnly="1" outline="0" axis="axisValues" fieldPosition="0"/>
    </format>
    <format dxfId="12">
      <pivotArea grandRow="1" outline="0" collapsedLevelsAreSubtotals="1" fieldPosition="0"/>
    </format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U296" totalsRowShown="0">
  <autoFilter ref="A1:U296"/>
  <tableColumns count="21">
    <tableColumn id="1" name="Department / Read date  3/31/2013"/>
    <tableColumn id="2" name="General Ledger"/>
    <tableColumn id="3" name="GL Description"/>
    <tableColumn id="4" name="Building"/>
    <tableColumn id="5" name="Room"/>
    <tableColumn id="6" name="Model"/>
    <tableColumn id="7" name="Device Type"/>
    <tableColumn id="8" name="Ricoh Tag"/>
    <tableColumn id="9" name="Total BW Click Count"/>
    <tableColumn id="10" name="Total Color Click Count"/>
    <tableColumn id="11" name="BW Click Charge"/>
    <tableColumn id="12" name="Color Click Charge"/>
    <tableColumn id="13" name="Device Total Click Charge"/>
    <tableColumn id="14" name="Serial Number"/>
    <tableColumn id="15" name="IP Address"/>
    <tableColumn id="16" name="CPC BW"/>
    <tableColumn id="17" name="CPC Color"/>
    <tableColumn id="18" name="Prev BW Click Count"/>
    <tableColumn id="19" name="Current BW Click Count"/>
    <tableColumn id="20" name="Prev Color Click Count"/>
    <tableColumn id="21" name="Current Color Click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44.75.179.112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847"/>
  <sheetViews>
    <sheetView tabSelected="1" zoomScale="50" zoomScaleNormal="50" zoomScaleSheetLayoutView="75" workbookViewId="0">
      <pane ySplit="1" topLeftCell="A2" activePane="bottomLeft" state="frozen"/>
      <selection pane="bottomLeft"/>
    </sheetView>
  </sheetViews>
  <sheetFormatPr defaultColWidth="9.109375" defaultRowHeight="15.6" outlineLevelRow="2" outlineLevelCol="1" x14ac:dyDescent="0.3"/>
  <cols>
    <col min="1" max="1" width="23" style="64" customWidth="1"/>
    <col min="2" max="2" width="32" style="65" bestFit="1" customWidth="1"/>
    <col min="3" max="3" width="24.109375" style="64" customWidth="1"/>
    <col min="4" max="4" width="21.88671875" style="64" customWidth="1"/>
    <col min="5" max="5" width="13.109375" style="64" bestFit="1" customWidth="1"/>
    <col min="6" max="6" width="17.44140625" style="64" customWidth="1"/>
    <col min="7" max="7" width="7.5546875" style="64" customWidth="1"/>
    <col min="8" max="8" width="13.5546875" style="68" customWidth="1"/>
    <col min="9" max="9" width="13.33203125" style="68" customWidth="1"/>
    <col min="10" max="10" width="11.109375" style="68" customWidth="1"/>
    <col min="11" max="11" width="13.88671875" style="68" bestFit="1" customWidth="1"/>
    <col min="12" max="12" width="12.5546875" style="68" bestFit="1" customWidth="1"/>
    <col min="13" max="13" width="16.88671875" style="72" customWidth="1"/>
    <col min="14" max="14" width="19.109375" style="64" hidden="1" customWidth="1" outlineLevel="1"/>
    <col min="15" max="15" width="20.5546875" style="64" hidden="1" customWidth="1" outlineLevel="1"/>
    <col min="16" max="16" width="11.88671875" style="64" hidden="1" customWidth="1" outlineLevel="1"/>
    <col min="17" max="17" width="10.44140625" style="64" hidden="1" customWidth="1" outlineLevel="1"/>
    <col min="18" max="18" width="14.33203125" style="66" hidden="1" customWidth="1" outlineLevel="1"/>
    <col min="19" max="19" width="11" style="64" hidden="1" customWidth="1" outlineLevel="1"/>
    <col min="20" max="21" width="9.88671875" style="64" hidden="1" customWidth="1" outlineLevel="1"/>
    <col min="22" max="22" width="9.109375" style="64" collapsed="1"/>
    <col min="23" max="16384" width="9.109375" style="64"/>
  </cols>
  <sheetData>
    <row r="1" spans="1:22" s="63" customFormat="1" ht="114.75" customHeight="1" x14ac:dyDescent="0.3">
      <c r="A1" s="90" t="s">
        <v>857</v>
      </c>
      <c r="B1" s="90" t="s">
        <v>668</v>
      </c>
      <c r="C1" s="90" t="s">
        <v>0</v>
      </c>
      <c r="D1" s="90" t="s">
        <v>1</v>
      </c>
      <c r="E1" s="90" t="s">
        <v>2</v>
      </c>
      <c r="F1" s="90" t="s">
        <v>3</v>
      </c>
      <c r="G1" s="90" t="s">
        <v>6</v>
      </c>
      <c r="H1" s="90" t="s">
        <v>669</v>
      </c>
      <c r="I1" s="90" t="s">
        <v>670</v>
      </c>
      <c r="J1" s="90" t="s">
        <v>671</v>
      </c>
      <c r="K1" s="90" t="s">
        <v>672</v>
      </c>
      <c r="L1" s="90" t="s">
        <v>9</v>
      </c>
      <c r="M1" s="90" t="s">
        <v>10</v>
      </c>
      <c r="N1" s="90" t="s">
        <v>4</v>
      </c>
      <c r="O1" s="90" t="s">
        <v>5</v>
      </c>
      <c r="P1" s="90" t="s">
        <v>673</v>
      </c>
      <c r="Q1" s="90" t="s">
        <v>674</v>
      </c>
      <c r="R1" s="90" t="s">
        <v>675</v>
      </c>
      <c r="S1" s="90" t="s">
        <v>676</v>
      </c>
      <c r="T1" s="90" t="s">
        <v>7</v>
      </c>
      <c r="U1" s="90" t="s">
        <v>8</v>
      </c>
      <c r="V1" s="90"/>
    </row>
    <row r="2" spans="1:22" ht="30" customHeight="1" outlineLevel="2" x14ac:dyDescent="0.25">
      <c r="A2" s="77" t="s">
        <v>544</v>
      </c>
      <c r="B2" s="77" t="s">
        <v>342</v>
      </c>
      <c r="C2" s="55" t="str">
        <f>VLOOKUP(B2,Tables!$G$2:$H$90,2,FALSE)</f>
        <v>Academic Advising</v>
      </c>
      <c r="D2" s="76" t="s">
        <v>335</v>
      </c>
      <c r="E2" s="75">
        <v>301</v>
      </c>
      <c r="F2" s="76" t="s">
        <v>90</v>
      </c>
      <c r="G2" s="50" t="str">
        <f>VLOOKUP(F2,Tables!$D$2:$E$20,2,FALSE)</f>
        <v>PTR</v>
      </c>
      <c r="H2" s="69">
        <v>17099684</v>
      </c>
      <c r="I2" s="71">
        <f>SUM(S2-R2)</f>
        <v>234</v>
      </c>
      <c r="J2" s="71">
        <f>SUM(U2-T2)</f>
        <v>165</v>
      </c>
      <c r="K2" s="73">
        <f>SUM(I2*$P2)</f>
        <v>6.1308000000000007</v>
      </c>
      <c r="L2" s="73">
        <f>SUM(J2*$Q2)</f>
        <v>19.47</v>
      </c>
      <c r="M2" s="74">
        <f>K2+L2</f>
        <v>25.6008</v>
      </c>
      <c r="N2" s="76" t="s">
        <v>343</v>
      </c>
      <c r="O2" s="76" t="s">
        <v>344</v>
      </c>
      <c r="P2" s="51">
        <f>IF(G2="MFP",Tables!$B$2,Tables!$B$5)</f>
        <v>2.6200000000000001E-2</v>
      </c>
      <c r="Q2" s="86">
        <f>IF(G2="MFP",Tables!$B$3,Tables!$B$6)</f>
        <v>0.11799999999999999</v>
      </c>
      <c r="R2" s="59">
        <f>VLOOKUP($N2,'Meter Comparison'!$C$2:$G$314,2,FALSE)</f>
        <v>2529</v>
      </c>
      <c r="S2" s="59">
        <f>VLOOKUP($N2,'Meter Comparison'!$C$2:$G$314,3,FALSE)</f>
        <v>2763</v>
      </c>
      <c r="T2" s="59">
        <f>VLOOKUP($N2,'Meter Comparison'!$C$2:$G$314,4,FALSE)</f>
        <v>834</v>
      </c>
      <c r="U2" s="59">
        <f>VLOOKUP($N2,'Meter Comparison'!$C$2:$G$314,5,FALSE)</f>
        <v>999</v>
      </c>
    </row>
    <row r="3" spans="1:22" ht="30" customHeight="1" outlineLevel="1" x14ac:dyDescent="0.25">
      <c r="A3" s="77"/>
      <c r="B3" s="160" t="s">
        <v>1051</v>
      </c>
      <c r="C3" s="55"/>
      <c r="D3" s="76"/>
      <c r="E3" s="75"/>
      <c r="F3" s="76"/>
      <c r="G3" s="50"/>
      <c r="H3" s="69"/>
      <c r="I3" s="71"/>
      <c r="J3" s="71"/>
      <c r="K3" s="73"/>
      <c r="L3" s="73"/>
      <c r="M3" s="74">
        <f>SUBTOTAL(9,M2:M2)</f>
        <v>25.6008</v>
      </c>
      <c r="N3" s="76"/>
      <c r="O3" s="76"/>
      <c r="P3" s="51"/>
      <c r="Q3" s="86"/>
      <c r="R3" s="59"/>
      <c r="S3" s="59"/>
      <c r="T3" s="59"/>
      <c r="U3" s="59"/>
    </row>
    <row r="4" spans="1:22" ht="30" customHeight="1" outlineLevel="2" x14ac:dyDescent="0.25">
      <c r="A4" s="77" t="s">
        <v>952</v>
      </c>
      <c r="B4" s="122" t="s">
        <v>305</v>
      </c>
      <c r="C4" s="55" t="str">
        <f>VLOOKUP(B4,Tables!$G$2:$H$90,2,FALSE)</f>
        <v>Admissions Office</v>
      </c>
      <c r="D4" s="112" t="s">
        <v>953</v>
      </c>
      <c r="E4" s="102">
        <v>104</v>
      </c>
      <c r="F4" s="103" t="s">
        <v>15</v>
      </c>
      <c r="G4" s="50" t="str">
        <f>VLOOKUP(F4,Tables!$D$2:$E$20,2,FALSE)</f>
        <v>PTR</v>
      </c>
      <c r="H4" s="69">
        <v>17099824</v>
      </c>
      <c r="I4" s="106">
        <f t="shared" ref="I4:I11" si="0">SUM(S4-R4)</f>
        <v>43</v>
      </c>
      <c r="J4" s="106">
        <f t="shared" ref="J4:J11" si="1">SUM(U4-T4)</f>
        <v>0</v>
      </c>
      <c r="K4" s="107">
        <f t="shared" ref="K4:K11" si="2">SUM(I4*$P4)</f>
        <v>1.1266</v>
      </c>
      <c r="L4" s="107">
        <f t="shared" ref="L4:L11" si="3">SUM(J4*$Q4)</f>
        <v>0</v>
      </c>
      <c r="M4" s="108">
        <f t="shared" ref="M4:M11" si="4">K4+L4</f>
        <v>1.1266</v>
      </c>
      <c r="N4" s="113" t="s">
        <v>879</v>
      </c>
      <c r="O4" s="54" t="s">
        <v>954</v>
      </c>
      <c r="P4" s="51">
        <f>IF(G4="MFP",Tables!$B$2,Tables!$B$5)</f>
        <v>2.6200000000000001E-2</v>
      </c>
      <c r="Q4" s="86">
        <f>IF(G4="MFP",Tables!$B$3,Tables!$B$6)</f>
        <v>0.11799999999999999</v>
      </c>
      <c r="R4" s="59">
        <f>VLOOKUP($N4,'Meter Comparison'!$C$2:$G$314,2,FALSE)</f>
        <v>505</v>
      </c>
      <c r="S4" s="59">
        <f>VLOOKUP($N4,'Meter Comparison'!$C$2:$G$314,3,FALSE)</f>
        <v>548</v>
      </c>
      <c r="T4" s="59">
        <f>VLOOKUP($N4,'Meter Comparison'!$C$2:$G$314,4,FALSE)</f>
        <v>0</v>
      </c>
      <c r="U4" s="59">
        <f>VLOOKUP($N4,'Meter Comparison'!$C$2:$G$314,5,FALSE)</f>
        <v>0</v>
      </c>
    </row>
    <row r="5" spans="1:22" ht="30" customHeight="1" outlineLevel="2" x14ac:dyDescent="0.25">
      <c r="A5" s="77" t="s">
        <v>304</v>
      </c>
      <c r="B5" s="77" t="s">
        <v>305</v>
      </c>
      <c r="C5" s="55" t="str">
        <f>VLOOKUP(B5,Tables!$G$2:$H$90,2,FALSE)</f>
        <v>Admissions Office</v>
      </c>
      <c r="D5" s="76" t="s">
        <v>306</v>
      </c>
      <c r="E5" s="75">
        <v>204</v>
      </c>
      <c r="F5" s="76" t="s">
        <v>24</v>
      </c>
      <c r="G5" s="50" t="str">
        <f>VLOOKUP(F5,Tables!$D$2:$E$20,2,FALSE)</f>
        <v>MFP</v>
      </c>
      <c r="H5" s="69">
        <v>17099493</v>
      </c>
      <c r="I5" s="71">
        <f t="shared" si="0"/>
        <v>2045</v>
      </c>
      <c r="J5" s="71">
        <f t="shared" si="1"/>
        <v>2677</v>
      </c>
      <c r="K5" s="73">
        <f t="shared" si="2"/>
        <v>42.331499999999998</v>
      </c>
      <c r="L5" s="73">
        <f t="shared" si="3"/>
        <v>232.89899999999997</v>
      </c>
      <c r="M5" s="74">
        <f t="shared" si="4"/>
        <v>275.23049999999995</v>
      </c>
      <c r="N5" s="76" t="s">
        <v>307</v>
      </c>
      <c r="O5" s="76" t="s">
        <v>308</v>
      </c>
      <c r="P5" s="51">
        <f>IF(G5="MFP",Tables!$B$2,Tables!$B$5)</f>
        <v>2.07E-2</v>
      </c>
      <c r="Q5" s="86">
        <f>IF(G5="MFP",Tables!$B$3,Tables!$B$6)</f>
        <v>8.6999999999999994E-2</v>
      </c>
      <c r="R5" s="59">
        <f>VLOOKUP($N5,'Meter Comparison'!$C$2:$G$314,2,FALSE)</f>
        <v>41492</v>
      </c>
      <c r="S5" s="59">
        <f>VLOOKUP($N5,'Meter Comparison'!$C$2:$G$314,3,FALSE)</f>
        <v>43537</v>
      </c>
      <c r="T5" s="59">
        <f>VLOOKUP($N5,'Meter Comparison'!$C$2:$G$314,4,FALSE)</f>
        <v>22039</v>
      </c>
      <c r="U5" s="59">
        <f>VLOOKUP($N5,'Meter Comparison'!$C$2:$G$314,5,FALSE)</f>
        <v>24716</v>
      </c>
    </row>
    <row r="6" spans="1:22" ht="30" customHeight="1" outlineLevel="2" x14ac:dyDescent="0.25">
      <c r="A6" s="77" t="s">
        <v>304</v>
      </c>
      <c r="B6" s="77" t="s">
        <v>305</v>
      </c>
      <c r="C6" s="55" t="str">
        <f>VLOOKUP(B6,Tables!$G$2:$H$90,2,FALSE)</f>
        <v>Admissions Office</v>
      </c>
      <c r="D6" s="76" t="s">
        <v>662</v>
      </c>
      <c r="E6" s="75">
        <v>200</v>
      </c>
      <c r="F6" s="76" t="s">
        <v>732</v>
      </c>
      <c r="G6" s="50" t="str">
        <f>VLOOKUP(F6,Tables!$D$2:$E$20,2,FALSE)</f>
        <v>PTR</v>
      </c>
      <c r="H6" s="69">
        <v>17099785</v>
      </c>
      <c r="I6" s="71">
        <f t="shared" si="0"/>
        <v>262</v>
      </c>
      <c r="J6" s="71">
        <f t="shared" si="1"/>
        <v>682</v>
      </c>
      <c r="K6" s="73">
        <f t="shared" si="2"/>
        <v>6.8643999999999998</v>
      </c>
      <c r="L6" s="73">
        <f t="shared" si="3"/>
        <v>80.475999999999999</v>
      </c>
      <c r="M6" s="74">
        <f t="shared" si="4"/>
        <v>87.340400000000002</v>
      </c>
      <c r="N6" s="76" t="s">
        <v>733</v>
      </c>
      <c r="O6" s="76" t="s">
        <v>734</v>
      </c>
      <c r="P6" s="51">
        <f>IF(G6="MFP",Tables!$B$2,Tables!$B$5)</f>
        <v>2.6200000000000001E-2</v>
      </c>
      <c r="Q6" s="86">
        <f>IF(G6="MFP",Tables!$B$3,Tables!$B$6)</f>
        <v>0.11799999999999999</v>
      </c>
      <c r="R6" s="59">
        <f>VLOOKUP($N6,'Meter Comparison'!$C$2:$G$314,2,FALSE)</f>
        <v>1512</v>
      </c>
      <c r="S6" s="59">
        <f>VLOOKUP($N6,'Meter Comparison'!$C$2:$G$314,3,FALSE)</f>
        <v>1774</v>
      </c>
      <c r="T6" s="59">
        <f>VLOOKUP($N6,'Meter Comparison'!$C$2:$G$314,4,FALSE)</f>
        <v>3151</v>
      </c>
      <c r="U6" s="59">
        <f>VLOOKUP($N6,'Meter Comparison'!$C$2:$G$314,5,FALSE)</f>
        <v>3833</v>
      </c>
      <c r="V6" s="126"/>
    </row>
    <row r="7" spans="1:22" ht="30" customHeight="1" outlineLevel="2" x14ac:dyDescent="0.25">
      <c r="A7" s="77" t="s">
        <v>304</v>
      </c>
      <c r="B7" s="77" t="s">
        <v>305</v>
      </c>
      <c r="C7" s="55" t="str">
        <f>VLOOKUP(B7,Tables!$G$2:$H$90,2,FALSE)</f>
        <v>Admissions Office</v>
      </c>
      <c r="D7" s="76" t="s">
        <v>662</v>
      </c>
      <c r="E7" s="75">
        <v>201</v>
      </c>
      <c r="F7" s="76" t="s">
        <v>15</v>
      </c>
      <c r="G7" s="50" t="str">
        <f>VLOOKUP(F7,Tables!$D$2:$E$20,2,FALSE)</f>
        <v>PTR</v>
      </c>
      <c r="H7" s="69">
        <v>17099780</v>
      </c>
      <c r="I7" s="71">
        <f t="shared" si="0"/>
        <v>468</v>
      </c>
      <c r="J7" s="71">
        <f t="shared" si="1"/>
        <v>0</v>
      </c>
      <c r="K7" s="73">
        <f t="shared" si="2"/>
        <v>12.261600000000001</v>
      </c>
      <c r="L7" s="73">
        <f t="shared" si="3"/>
        <v>0</v>
      </c>
      <c r="M7" s="74">
        <f t="shared" si="4"/>
        <v>12.261600000000001</v>
      </c>
      <c r="N7" s="76" t="s">
        <v>318</v>
      </c>
      <c r="O7" s="76" t="s">
        <v>319</v>
      </c>
      <c r="P7" s="51">
        <f>IF(G7="MFP",Tables!$B$2,Tables!$B$5)</f>
        <v>2.6200000000000001E-2</v>
      </c>
      <c r="Q7" s="86">
        <f>IF(G7="MFP",Tables!$B$3,Tables!$B$6)</f>
        <v>0.11799999999999999</v>
      </c>
      <c r="R7" s="59">
        <f>VLOOKUP($N7,'Meter Comparison'!$C$2:$G$314,2,FALSE)</f>
        <v>948</v>
      </c>
      <c r="S7" s="59">
        <f>VLOOKUP($N7,'Meter Comparison'!$C$2:$G$314,3,FALSE)</f>
        <v>1416</v>
      </c>
      <c r="T7" s="59">
        <f>VLOOKUP($N7,'Meter Comparison'!$C$2:$G$314,4,FALSE)</f>
        <v>0</v>
      </c>
      <c r="U7" s="59">
        <f>VLOOKUP($N7,'Meter Comparison'!$C$2:$G$314,5,FALSE)</f>
        <v>0</v>
      </c>
    </row>
    <row r="8" spans="1:22" ht="30" customHeight="1" outlineLevel="2" x14ac:dyDescent="0.25">
      <c r="A8" s="55" t="s">
        <v>304</v>
      </c>
      <c r="B8" s="55" t="s">
        <v>305</v>
      </c>
      <c r="C8" s="55" t="str">
        <f>VLOOKUP(B8,Tables!$G$2:$H$90,2,FALSE)</f>
        <v>Admissions Office</v>
      </c>
      <c r="D8" s="56" t="s">
        <v>662</v>
      </c>
      <c r="E8" s="114">
        <v>201</v>
      </c>
      <c r="F8" s="56" t="s">
        <v>15</v>
      </c>
      <c r="G8" s="50" t="str">
        <f>VLOOKUP(F8,Tables!$D$2:$E$20,2,FALSE)</f>
        <v>PTR</v>
      </c>
      <c r="H8" s="105">
        <v>17099512</v>
      </c>
      <c r="I8" s="106">
        <f t="shared" si="0"/>
        <v>2</v>
      </c>
      <c r="J8" s="106">
        <f t="shared" si="1"/>
        <v>0</v>
      </c>
      <c r="K8" s="107">
        <f t="shared" si="2"/>
        <v>5.2400000000000002E-2</v>
      </c>
      <c r="L8" s="107">
        <f t="shared" si="3"/>
        <v>0</v>
      </c>
      <c r="M8" s="108">
        <f t="shared" si="4"/>
        <v>5.2400000000000002E-2</v>
      </c>
      <c r="N8" s="56" t="s">
        <v>321</v>
      </c>
      <c r="O8" s="56" t="s">
        <v>322</v>
      </c>
      <c r="P8" s="51">
        <f>IF(G8="MFP",Tables!$B$2,Tables!$B$5)</f>
        <v>2.6200000000000001E-2</v>
      </c>
      <c r="Q8" s="86">
        <f>IF(G8="MFP",Tables!$B$3,Tables!$B$6)</f>
        <v>0.11799999999999999</v>
      </c>
      <c r="R8" s="59">
        <f>VLOOKUP($N8,'Meter Comparison'!$C$2:$G$314,2,FALSE)</f>
        <v>50</v>
      </c>
      <c r="S8" s="59">
        <f>VLOOKUP($N8,'Meter Comparison'!$C$2:$G$314,3,FALSE)</f>
        <v>52</v>
      </c>
      <c r="T8" s="59">
        <f>VLOOKUP($N8,'Meter Comparison'!$C$2:$G$314,4,FALSE)</f>
        <v>0</v>
      </c>
      <c r="U8" s="59">
        <f>VLOOKUP($N8,'Meter Comparison'!$C$2:$G$314,5,FALSE)</f>
        <v>0</v>
      </c>
    </row>
    <row r="9" spans="1:22" ht="30" customHeight="1" outlineLevel="2" x14ac:dyDescent="0.25">
      <c r="A9" s="77" t="s">
        <v>304</v>
      </c>
      <c r="B9" s="77" t="s">
        <v>305</v>
      </c>
      <c r="C9" s="55" t="str">
        <f>VLOOKUP(B9,Tables!$G$2:$H$90,2,FALSE)</f>
        <v>Admissions Office</v>
      </c>
      <c r="D9" s="76" t="s">
        <v>662</v>
      </c>
      <c r="E9" s="75">
        <v>302</v>
      </c>
      <c r="F9" s="76" t="s">
        <v>90</v>
      </c>
      <c r="G9" s="50" t="str">
        <f>VLOOKUP(F9,Tables!$D$2:$E$20,2,FALSE)</f>
        <v>PTR</v>
      </c>
      <c r="H9" s="69">
        <v>17099423</v>
      </c>
      <c r="I9" s="71">
        <f t="shared" si="0"/>
        <v>53</v>
      </c>
      <c r="J9" s="71">
        <f t="shared" si="1"/>
        <v>130</v>
      </c>
      <c r="K9" s="73">
        <f t="shared" si="2"/>
        <v>1.3886000000000001</v>
      </c>
      <c r="L9" s="73">
        <f t="shared" si="3"/>
        <v>15.34</v>
      </c>
      <c r="M9" s="74">
        <f t="shared" si="4"/>
        <v>16.7286</v>
      </c>
      <c r="N9" s="76" t="s">
        <v>314</v>
      </c>
      <c r="O9" s="76" t="s">
        <v>315</v>
      </c>
      <c r="P9" s="51">
        <f>IF(G9="MFP",Tables!$B$2,Tables!$B$5)</f>
        <v>2.6200000000000001E-2</v>
      </c>
      <c r="Q9" s="86">
        <f>IF(G9="MFP",Tables!$B$3,Tables!$B$6)</f>
        <v>0.11799999999999999</v>
      </c>
      <c r="R9" s="59">
        <f>VLOOKUP($N9,'Meter Comparison'!$C$2:$G$314,2,FALSE)</f>
        <v>255</v>
      </c>
      <c r="S9" s="59">
        <f>VLOOKUP($N9,'Meter Comparison'!$C$2:$G$314,3,FALSE)</f>
        <v>308</v>
      </c>
      <c r="T9" s="59">
        <f>VLOOKUP($N9,'Meter Comparison'!$C$2:$G$314,4,FALSE)</f>
        <v>766</v>
      </c>
      <c r="U9" s="59">
        <f>VLOOKUP($N9,'Meter Comparison'!$C$2:$G$314,5,FALSE)</f>
        <v>896</v>
      </c>
    </row>
    <row r="10" spans="1:22" ht="30" customHeight="1" outlineLevel="2" x14ac:dyDescent="0.25">
      <c r="A10" s="77" t="s">
        <v>304</v>
      </c>
      <c r="B10" s="77" t="s">
        <v>305</v>
      </c>
      <c r="C10" s="55" t="str">
        <f>VLOOKUP(B10,Tables!$G$2:$H$90,2,FALSE)</f>
        <v>Admissions Office</v>
      </c>
      <c r="D10" s="76" t="s">
        <v>662</v>
      </c>
      <c r="E10" s="75">
        <v>306</v>
      </c>
      <c r="F10" s="76" t="s">
        <v>90</v>
      </c>
      <c r="G10" s="50" t="str">
        <f>VLOOKUP(F10,Tables!$D$2:$E$20,2,FALSE)</f>
        <v>PTR</v>
      </c>
      <c r="H10" s="69">
        <v>17099731</v>
      </c>
      <c r="I10" s="71">
        <f t="shared" si="0"/>
        <v>279</v>
      </c>
      <c r="J10" s="71">
        <f t="shared" si="1"/>
        <v>111</v>
      </c>
      <c r="K10" s="73">
        <f t="shared" si="2"/>
        <v>7.3098000000000001</v>
      </c>
      <c r="L10" s="73">
        <f t="shared" si="3"/>
        <v>13.097999999999999</v>
      </c>
      <c r="M10" s="74">
        <f t="shared" si="4"/>
        <v>20.407799999999998</v>
      </c>
      <c r="N10" s="76" t="s">
        <v>320</v>
      </c>
      <c r="O10" s="76" t="s">
        <v>313</v>
      </c>
      <c r="P10" s="51">
        <f>IF(G10="MFP",Tables!$B$2,Tables!$B$5)</f>
        <v>2.6200000000000001E-2</v>
      </c>
      <c r="Q10" s="86">
        <f>IF(G10="MFP",Tables!$B$3,Tables!$B$6)</f>
        <v>0.11799999999999999</v>
      </c>
      <c r="R10" s="59">
        <f>VLOOKUP($N10,'Meter Comparison'!$C$2:$G$314,2,FALSE)</f>
        <v>1730</v>
      </c>
      <c r="S10" s="59">
        <f>VLOOKUP($N10,'Meter Comparison'!$C$2:$G$314,3,FALSE)</f>
        <v>2009</v>
      </c>
      <c r="T10" s="59">
        <f>VLOOKUP($N10,'Meter Comparison'!$C$2:$G$314,4,FALSE)</f>
        <v>672</v>
      </c>
      <c r="U10" s="59">
        <f>VLOOKUP($N10,'Meter Comparison'!$C$2:$G$314,5,FALSE)</f>
        <v>783</v>
      </c>
    </row>
    <row r="11" spans="1:22" ht="30" customHeight="1" outlineLevel="2" x14ac:dyDescent="0.25">
      <c r="A11" s="77" t="s">
        <v>304</v>
      </c>
      <c r="B11" s="77" t="s">
        <v>305</v>
      </c>
      <c r="C11" s="55" t="str">
        <f>VLOOKUP(B11,Tables!$G$2:$H$90,2,FALSE)</f>
        <v>Admissions Office</v>
      </c>
      <c r="D11" s="76" t="s">
        <v>662</v>
      </c>
      <c r="E11" s="75">
        <v>306</v>
      </c>
      <c r="F11" s="76" t="s">
        <v>90</v>
      </c>
      <c r="G11" s="50" t="str">
        <f>VLOOKUP(F11,Tables!$D$2:$E$20,2,FALSE)</f>
        <v>PTR</v>
      </c>
      <c r="H11" s="69">
        <v>17099511</v>
      </c>
      <c r="I11" s="71">
        <f t="shared" si="0"/>
        <v>31</v>
      </c>
      <c r="J11" s="71">
        <f t="shared" si="1"/>
        <v>58</v>
      </c>
      <c r="K11" s="73">
        <f t="shared" si="2"/>
        <v>0.81220000000000003</v>
      </c>
      <c r="L11" s="73">
        <f t="shared" si="3"/>
        <v>6.8439999999999994</v>
      </c>
      <c r="M11" s="74">
        <f t="shared" si="4"/>
        <v>7.6561999999999992</v>
      </c>
      <c r="N11" s="76" t="s">
        <v>316</v>
      </c>
      <c r="O11" s="76" t="s">
        <v>317</v>
      </c>
      <c r="P11" s="51">
        <f>IF(G11="MFP",Tables!$B$2,Tables!$B$5)</f>
        <v>2.6200000000000001E-2</v>
      </c>
      <c r="Q11" s="86">
        <f>IF(G11="MFP",Tables!$B$3,Tables!$B$6)</f>
        <v>0.11799999999999999</v>
      </c>
      <c r="R11" s="59">
        <f>VLOOKUP($N11,'Meter Comparison'!$C$2:$G$314,2,FALSE)</f>
        <v>445</v>
      </c>
      <c r="S11" s="59">
        <f>VLOOKUP($N11,'Meter Comparison'!$C$2:$G$314,3,FALSE)</f>
        <v>476</v>
      </c>
      <c r="T11" s="59">
        <f>VLOOKUP($N11,'Meter Comparison'!$C$2:$G$314,4,FALSE)</f>
        <v>557</v>
      </c>
      <c r="U11" s="59">
        <f>VLOOKUP($N11,'Meter Comparison'!$C$2:$G$314,5,FALSE)</f>
        <v>615</v>
      </c>
    </row>
    <row r="12" spans="1:22" ht="30" customHeight="1" outlineLevel="1" x14ac:dyDescent="0.25">
      <c r="A12" s="77"/>
      <c r="B12" s="160" t="s">
        <v>1052</v>
      </c>
      <c r="C12" s="55"/>
      <c r="D12" s="76"/>
      <c r="E12" s="75"/>
      <c r="F12" s="76"/>
      <c r="G12" s="50"/>
      <c r="H12" s="69"/>
      <c r="I12" s="71"/>
      <c r="J12" s="71"/>
      <c r="K12" s="73"/>
      <c r="L12" s="73"/>
      <c r="M12" s="74">
        <f>SUBTOTAL(9,M4:M11)</f>
        <v>420.80409999999989</v>
      </c>
      <c r="N12" s="76"/>
      <c r="O12" s="76"/>
      <c r="P12" s="51"/>
      <c r="Q12" s="86"/>
      <c r="R12" s="59"/>
      <c r="S12" s="59"/>
      <c r="T12" s="59"/>
      <c r="U12" s="59"/>
    </row>
    <row r="13" spans="1:22" ht="30" customHeight="1" outlineLevel="2" x14ac:dyDescent="0.25">
      <c r="A13" s="55" t="s">
        <v>432</v>
      </c>
      <c r="B13" s="55" t="s">
        <v>422</v>
      </c>
      <c r="C13" s="55" t="str">
        <f>VLOOKUP(B13,Tables!$G$2:$H$90,2,FALSE)</f>
        <v>Printer Services</v>
      </c>
      <c r="D13" s="56" t="s">
        <v>221</v>
      </c>
      <c r="E13" s="114" t="s">
        <v>433</v>
      </c>
      <c r="F13" s="56" t="s">
        <v>15</v>
      </c>
      <c r="G13" s="50" t="str">
        <f>VLOOKUP(F13,Tables!$D$2:$E$20,2,FALSE)</f>
        <v>PTR</v>
      </c>
      <c r="H13" s="105">
        <v>17099562</v>
      </c>
      <c r="I13" s="106">
        <f>SUM(S13-R13)</f>
        <v>148</v>
      </c>
      <c r="J13" s="106">
        <f>SUM(U13-T13)</f>
        <v>0</v>
      </c>
      <c r="K13" s="107">
        <f>SUM(I13*$P13)</f>
        <v>3.8776000000000002</v>
      </c>
      <c r="L13" s="107">
        <f>SUM(J13*$Q13)</f>
        <v>0</v>
      </c>
      <c r="M13" s="108">
        <f>K13+L13</f>
        <v>3.8776000000000002</v>
      </c>
      <c r="N13" s="56" t="s">
        <v>434</v>
      </c>
      <c r="O13" s="56" t="s">
        <v>435</v>
      </c>
      <c r="P13" s="51">
        <f>IF(G13="MFP",Tables!$B$2,Tables!$B$5)</f>
        <v>2.6200000000000001E-2</v>
      </c>
      <c r="Q13" s="86">
        <f>IF(G13="MFP",Tables!$B$3,Tables!$B$6)</f>
        <v>0.11799999999999999</v>
      </c>
      <c r="R13" s="59">
        <f>VLOOKUP($N13,'Meter Comparison'!$C$2:$G$314,2,FALSE)</f>
        <v>3771</v>
      </c>
      <c r="S13" s="59">
        <f>VLOOKUP($N13,'Meter Comparison'!$C$2:$G$314,3,FALSE)</f>
        <v>3919</v>
      </c>
      <c r="T13" s="59">
        <f>VLOOKUP($N13,'Meter Comparison'!$C$2:$G$314,4,FALSE)</f>
        <v>0</v>
      </c>
      <c r="U13" s="59">
        <f>VLOOKUP($N13,'Meter Comparison'!$C$2:$G$314,5,FALSE)</f>
        <v>0</v>
      </c>
    </row>
    <row r="14" spans="1:22" ht="30" customHeight="1" outlineLevel="2" x14ac:dyDescent="0.25">
      <c r="A14" s="77" t="s">
        <v>432</v>
      </c>
      <c r="B14" s="122" t="s">
        <v>422</v>
      </c>
      <c r="C14" s="55" t="str">
        <f>VLOOKUP(B14,Tables!$G$2:$H$90,2,FALSE)</f>
        <v>Printer Services</v>
      </c>
      <c r="D14" s="112" t="s">
        <v>221</v>
      </c>
      <c r="E14" s="102" t="s">
        <v>433</v>
      </c>
      <c r="F14" s="103" t="s">
        <v>90</v>
      </c>
      <c r="G14" s="50" t="str">
        <f>VLOOKUP(F14,Tables!$D$2:$E$20,2,FALSE)</f>
        <v>PTR</v>
      </c>
      <c r="H14" s="69">
        <v>17099741</v>
      </c>
      <c r="I14" s="106">
        <f>SUM(S14-R14)</f>
        <v>89</v>
      </c>
      <c r="J14" s="106">
        <f>SUM(U14-T14)</f>
        <v>119</v>
      </c>
      <c r="K14" s="107">
        <f>SUM(I14*$P14)</f>
        <v>2.3318000000000003</v>
      </c>
      <c r="L14" s="107">
        <f>SUM(J14*$Q14)</f>
        <v>14.042</v>
      </c>
      <c r="M14" s="108">
        <f>K14+L14</f>
        <v>16.373799999999999</v>
      </c>
      <c r="N14" s="113" t="s">
        <v>899</v>
      </c>
      <c r="O14" s="54" t="s">
        <v>978</v>
      </c>
      <c r="P14" s="51">
        <f>IF(G14="MFP",Tables!$B$2,Tables!$B$5)</f>
        <v>2.6200000000000001E-2</v>
      </c>
      <c r="Q14" s="86">
        <f>IF(G14="MFP",Tables!$B$3,Tables!$B$6)</f>
        <v>0.11799999999999999</v>
      </c>
      <c r="R14" s="59">
        <f>VLOOKUP($N14,'Meter Comparison'!$C$2:$G$314,2,FALSE)</f>
        <v>47</v>
      </c>
      <c r="S14" s="59">
        <f>VLOOKUP($N14,'Meter Comparison'!$C$2:$G$314,3,FALSE)</f>
        <v>136</v>
      </c>
      <c r="T14" s="59">
        <f>VLOOKUP($N14,'Meter Comparison'!$C$2:$G$314,4,FALSE)</f>
        <v>71</v>
      </c>
      <c r="U14" s="59">
        <f>VLOOKUP($N14,'Meter Comparison'!$C$2:$G$314,5,FALSE)</f>
        <v>190</v>
      </c>
    </row>
    <row r="15" spans="1:22" ht="30" customHeight="1" outlineLevel="1" x14ac:dyDescent="0.25">
      <c r="A15" s="77"/>
      <c r="B15" s="162" t="s">
        <v>1053</v>
      </c>
      <c r="C15" s="55"/>
      <c r="D15" s="112"/>
      <c r="E15" s="102"/>
      <c r="F15" s="103"/>
      <c r="G15" s="50"/>
      <c r="H15" s="69"/>
      <c r="I15" s="106"/>
      <c r="J15" s="106"/>
      <c r="K15" s="107"/>
      <c r="L15" s="107"/>
      <c r="M15" s="108">
        <f>SUBTOTAL(9,M13:M14)</f>
        <v>20.2514</v>
      </c>
      <c r="N15" s="113"/>
      <c r="O15" s="54"/>
      <c r="P15" s="51"/>
      <c r="Q15" s="86"/>
      <c r="R15" s="59"/>
      <c r="S15" s="59"/>
      <c r="T15" s="59"/>
      <c r="U15" s="59"/>
    </row>
    <row r="16" spans="1:22" ht="30" customHeight="1" outlineLevel="2" x14ac:dyDescent="0.25">
      <c r="A16" s="77" t="s">
        <v>11</v>
      </c>
      <c r="B16" s="77" t="s">
        <v>12</v>
      </c>
      <c r="C16" s="55" t="str">
        <f>VLOOKUP(B16,Tables!$G$2:$H$90,2,FALSE)</f>
        <v>ROTC-Air Force</v>
      </c>
      <c r="D16" s="76" t="s">
        <v>14</v>
      </c>
      <c r="E16" s="75">
        <v>2012</v>
      </c>
      <c r="F16" s="76" t="s">
        <v>15</v>
      </c>
      <c r="G16" s="50" t="str">
        <f>VLOOKUP(F16,Tables!$D$2:$E$20,2,FALSE)</f>
        <v>PTR</v>
      </c>
      <c r="H16" s="69">
        <v>17099443</v>
      </c>
      <c r="I16" s="71">
        <f>SUM(S16-R16)</f>
        <v>0</v>
      </c>
      <c r="J16" s="71">
        <f>SUM(U16-T16)</f>
        <v>0</v>
      </c>
      <c r="K16" s="73">
        <f>SUM(I16*$P16)</f>
        <v>0</v>
      </c>
      <c r="L16" s="73">
        <f>SUM(J16*$Q16)</f>
        <v>0</v>
      </c>
      <c r="M16" s="74">
        <f>K16+L16</f>
        <v>0</v>
      </c>
      <c r="N16" s="76" t="s">
        <v>16</v>
      </c>
      <c r="O16" s="76" t="s">
        <v>17</v>
      </c>
      <c r="P16" s="51">
        <f>IF(G16="MFP",Tables!$B$2,Tables!$B$5)</f>
        <v>2.6200000000000001E-2</v>
      </c>
      <c r="Q16" s="86">
        <f>IF(G16="MFP",Tables!$B$3,Tables!$B$6)</f>
        <v>0.11799999999999999</v>
      </c>
      <c r="R16" s="59">
        <f>VLOOKUP($N16,'Meter Comparison'!$C$2:$G$314,2,FALSE)</f>
        <v>321</v>
      </c>
      <c r="S16" s="59">
        <f>VLOOKUP($N16,'Meter Comparison'!$C$2:$G$314,3,FALSE)</f>
        <v>321</v>
      </c>
      <c r="T16" s="59">
        <f>VLOOKUP($N16,'Meter Comparison'!$C$2:$G$314,4,FALSE)</f>
        <v>0</v>
      </c>
      <c r="U16" s="59">
        <f>VLOOKUP($N16,'Meter Comparison'!$C$2:$G$314,5,FALSE)</f>
        <v>0</v>
      </c>
    </row>
    <row r="17" spans="1:21" ht="30" customHeight="1" outlineLevel="2" x14ac:dyDescent="0.25">
      <c r="A17" s="55" t="s">
        <v>11</v>
      </c>
      <c r="B17" s="55" t="s">
        <v>12</v>
      </c>
      <c r="C17" s="55" t="str">
        <f>VLOOKUP(B17,Tables!$G$2:$H$90,2,FALSE)</f>
        <v>ROTC-Air Force</v>
      </c>
      <c r="D17" s="56" t="s">
        <v>14</v>
      </c>
      <c r="E17" s="114">
        <v>2018</v>
      </c>
      <c r="F17" s="56" t="s">
        <v>15</v>
      </c>
      <c r="G17" s="50" t="str">
        <f>VLOOKUP(F17,Tables!$D$2:$E$20,2,FALSE)</f>
        <v>PTR</v>
      </c>
      <c r="H17" s="105">
        <v>17099438</v>
      </c>
      <c r="I17" s="106">
        <f>SUM(S17-R17)</f>
        <v>6</v>
      </c>
      <c r="J17" s="106">
        <f>SUM(U17-T17)</f>
        <v>0</v>
      </c>
      <c r="K17" s="107">
        <f>SUM(I17*$P17)</f>
        <v>0.15720000000000001</v>
      </c>
      <c r="L17" s="107">
        <f>SUM(J17*$Q17)</f>
        <v>0</v>
      </c>
      <c r="M17" s="108">
        <f>K17+L17</f>
        <v>0.15720000000000001</v>
      </c>
      <c r="N17" s="103" t="s">
        <v>19</v>
      </c>
      <c r="O17" s="56" t="s">
        <v>20</v>
      </c>
      <c r="P17" s="51">
        <f>IF(G17="MFP",Tables!$B$2,Tables!$B$5)</f>
        <v>2.6200000000000001E-2</v>
      </c>
      <c r="Q17" s="86">
        <f>IF(G17="MFP",Tables!$B$3,Tables!$B$6)</f>
        <v>0.11799999999999999</v>
      </c>
      <c r="R17" s="59">
        <f>VLOOKUP($N17,'Meter Comparison'!$C$2:$G$314,2,FALSE)</f>
        <v>844</v>
      </c>
      <c r="S17" s="59">
        <f>VLOOKUP($N17,'Meter Comparison'!$C$2:$G$314,3,FALSE)</f>
        <v>850</v>
      </c>
      <c r="T17" s="59">
        <f>VLOOKUP($N17,'Meter Comparison'!$C$2:$G$314,4,FALSE)</f>
        <v>0</v>
      </c>
      <c r="U17" s="59">
        <f>VLOOKUP($N17,'Meter Comparison'!$C$2:$G$314,5,FALSE)</f>
        <v>0</v>
      </c>
    </row>
    <row r="18" spans="1:21" ht="30" customHeight="1" outlineLevel="1" x14ac:dyDescent="0.25">
      <c r="A18" s="55"/>
      <c r="B18" s="161" t="s">
        <v>1054</v>
      </c>
      <c r="C18" s="55"/>
      <c r="D18" s="56"/>
      <c r="E18" s="114"/>
      <c r="F18" s="56"/>
      <c r="G18" s="50"/>
      <c r="H18" s="105"/>
      <c r="I18" s="106"/>
      <c r="J18" s="106"/>
      <c r="K18" s="107"/>
      <c r="L18" s="107"/>
      <c r="M18" s="108">
        <f>SUBTOTAL(9,M16:M17)</f>
        <v>0.15720000000000001</v>
      </c>
      <c r="N18" s="103"/>
      <c r="O18" s="56"/>
      <c r="P18" s="51"/>
      <c r="Q18" s="86"/>
      <c r="R18" s="59"/>
      <c r="S18" s="59"/>
      <c r="T18" s="59"/>
      <c r="U18" s="59"/>
    </row>
    <row r="19" spans="1:21" ht="30" customHeight="1" outlineLevel="2" x14ac:dyDescent="0.25">
      <c r="A19" s="55" t="s">
        <v>21</v>
      </c>
      <c r="B19" s="55" t="s">
        <v>22</v>
      </c>
      <c r="C19" s="55" t="str">
        <f>VLOOKUP(B19,Tables!$G$2:$H$90,2,FALSE)</f>
        <v>ROTC-Army</v>
      </c>
      <c r="D19" s="56" t="s">
        <v>14</v>
      </c>
      <c r="E19" s="114">
        <v>1024</v>
      </c>
      <c r="F19" s="56" t="s">
        <v>15</v>
      </c>
      <c r="G19" s="50" t="str">
        <f>VLOOKUP(F19,Tables!$D$2:$E$20,2,FALSE)</f>
        <v>PTR</v>
      </c>
      <c r="H19" s="105">
        <v>17099705</v>
      </c>
      <c r="I19" s="106">
        <f t="shared" ref="I19:I40" si="5">SUM(S19-R19)</f>
        <v>0</v>
      </c>
      <c r="J19" s="106">
        <f t="shared" ref="J19:J40" si="6">SUM(U19-T19)</f>
        <v>0</v>
      </c>
      <c r="K19" s="107">
        <f t="shared" ref="K19:K40" si="7">SUM(I19*$P19)</f>
        <v>0</v>
      </c>
      <c r="L19" s="107">
        <f t="shared" ref="L19:L40" si="8">SUM(J19*$Q19)</f>
        <v>0</v>
      </c>
      <c r="M19" s="108">
        <f t="shared" ref="M19:M40" si="9">K19+L19</f>
        <v>0</v>
      </c>
      <c r="N19" s="56" t="s">
        <v>922</v>
      </c>
      <c r="O19" s="56" t="s">
        <v>1003</v>
      </c>
      <c r="P19" s="51">
        <f>IF(G19="MFP",Tables!$B$2,Tables!$B$5)</f>
        <v>2.6200000000000001E-2</v>
      </c>
      <c r="Q19" s="86">
        <f>IF(G19="MFP",Tables!$B$3,Tables!$B$6)</f>
        <v>0.11799999999999999</v>
      </c>
      <c r="R19" s="59">
        <f>VLOOKUP($N19,'Meter Comparison'!$C$2:$G$314,2,FALSE)</f>
        <v>119</v>
      </c>
      <c r="S19" s="59">
        <f>VLOOKUP($N19,'Meter Comparison'!$C$2:$G$314,3,FALSE)</f>
        <v>119</v>
      </c>
      <c r="T19" s="59">
        <f>VLOOKUP($N19,'Meter Comparison'!$C$2:$G$314,4,FALSE)</f>
        <v>0</v>
      </c>
      <c r="U19" s="59">
        <f>VLOOKUP($N19,'Meter Comparison'!$C$2:$G$314,5,FALSE)</f>
        <v>0</v>
      </c>
    </row>
    <row r="20" spans="1:21" ht="30" customHeight="1" outlineLevel="2" x14ac:dyDescent="0.25">
      <c r="A20" s="77" t="s">
        <v>21</v>
      </c>
      <c r="B20" s="122" t="s">
        <v>22</v>
      </c>
      <c r="C20" s="55" t="str">
        <f>VLOOKUP(B20,Tables!$G$2:$H$90,2,FALSE)</f>
        <v>ROTC-Army</v>
      </c>
      <c r="D20" s="112" t="s">
        <v>14</v>
      </c>
      <c r="E20" s="102">
        <v>1027</v>
      </c>
      <c r="F20" s="103" t="s">
        <v>15</v>
      </c>
      <c r="G20" s="50" t="str">
        <f>VLOOKUP(F20,Tables!$D$2:$E$20,2,FALSE)</f>
        <v>PTR</v>
      </c>
      <c r="H20" s="69">
        <v>17099737</v>
      </c>
      <c r="I20" s="106">
        <f t="shared" si="5"/>
        <v>165</v>
      </c>
      <c r="J20" s="106">
        <f t="shared" si="6"/>
        <v>0</v>
      </c>
      <c r="K20" s="107">
        <f t="shared" si="7"/>
        <v>4.3230000000000004</v>
      </c>
      <c r="L20" s="107">
        <f t="shared" si="8"/>
        <v>0</v>
      </c>
      <c r="M20" s="108">
        <f t="shared" si="9"/>
        <v>4.3230000000000004</v>
      </c>
      <c r="N20" s="58" t="s">
        <v>888</v>
      </c>
      <c r="O20" s="54" t="s">
        <v>968</v>
      </c>
      <c r="P20" s="51">
        <f>IF(G20="MFP",Tables!$B$2,Tables!$B$5)</f>
        <v>2.6200000000000001E-2</v>
      </c>
      <c r="Q20" s="86">
        <f>IF(G20="MFP",Tables!$B$3,Tables!$B$6)</f>
        <v>0.11799999999999999</v>
      </c>
      <c r="R20" s="59">
        <f>VLOOKUP($N20,'Meter Comparison'!$C$2:$G$314,2,FALSE)</f>
        <v>132</v>
      </c>
      <c r="S20" s="59">
        <f>VLOOKUP($N20,'Meter Comparison'!$C$2:$G$314,3,FALSE)</f>
        <v>297</v>
      </c>
      <c r="T20" s="59">
        <f>VLOOKUP($N20,'Meter Comparison'!$C$2:$G$314,4,FALSE)</f>
        <v>0</v>
      </c>
      <c r="U20" s="59">
        <f>VLOOKUP($N20,'Meter Comparison'!$C$2:$G$314,5,FALSE)</f>
        <v>0</v>
      </c>
    </row>
    <row r="21" spans="1:21" ht="30" customHeight="1" outlineLevel="2" x14ac:dyDescent="0.25">
      <c r="A21" s="77" t="s">
        <v>21</v>
      </c>
      <c r="B21" s="122" t="s">
        <v>22</v>
      </c>
      <c r="C21" s="55" t="str">
        <f>VLOOKUP(B21,Tables!$G$2:$H$90,2,FALSE)</f>
        <v>ROTC-Army</v>
      </c>
      <c r="D21" s="112" t="s">
        <v>14</v>
      </c>
      <c r="E21" s="102">
        <v>1027</v>
      </c>
      <c r="F21" s="103" t="s">
        <v>15</v>
      </c>
      <c r="G21" s="50" t="str">
        <f>VLOOKUP(F21,Tables!$D$2:$E$20,2,FALSE)</f>
        <v>PTR</v>
      </c>
      <c r="H21" s="69">
        <v>17099738</v>
      </c>
      <c r="I21" s="106">
        <f t="shared" si="5"/>
        <v>49</v>
      </c>
      <c r="J21" s="106">
        <f t="shared" si="6"/>
        <v>0</v>
      </c>
      <c r="K21" s="107">
        <f t="shared" si="7"/>
        <v>1.2838000000000001</v>
      </c>
      <c r="L21" s="107">
        <f t="shared" si="8"/>
        <v>0</v>
      </c>
      <c r="M21" s="108">
        <f t="shared" si="9"/>
        <v>1.2838000000000001</v>
      </c>
      <c r="N21" s="113" t="s">
        <v>894</v>
      </c>
      <c r="O21" s="54" t="s">
        <v>973</v>
      </c>
      <c r="P21" s="51">
        <f>IF(G21="MFP",Tables!$B$2,Tables!$B$5)</f>
        <v>2.6200000000000001E-2</v>
      </c>
      <c r="Q21" s="86">
        <f>IF(G21="MFP",Tables!$B$3,Tables!$B$6)</f>
        <v>0.11799999999999999</v>
      </c>
      <c r="R21" s="59">
        <f>VLOOKUP($N21,'Meter Comparison'!$C$2:$G$314,2,FALSE)</f>
        <v>297</v>
      </c>
      <c r="S21" s="59">
        <f>VLOOKUP($N21,'Meter Comparison'!$C$2:$G$314,3,FALSE)</f>
        <v>346</v>
      </c>
      <c r="T21" s="59">
        <f>VLOOKUP($N21,'Meter Comparison'!$C$2:$G$314,4,FALSE)</f>
        <v>0</v>
      </c>
      <c r="U21" s="59">
        <f>VLOOKUP($N21,'Meter Comparison'!$C$2:$G$314,5,FALSE)</f>
        <v>0</v>
      </c>
    </row>
    <row r="22" spans="1:21" ht="30" customHeight="1" outlineLevel="2" x14ac:dyDescent="0.25">
      <c r="A22" s="103" t="s">
        <v>21</v>
      </c>
      <c r="B22" s="124" t="s">
        <v>22</v>
      </c>
      <c r="C22" s="55" t="str">
        <f>VLOOKUP(B22,Tables!$G$2:$H$90,2,FALSE)</f>
        <v>ROTC-Army</v>
      </c>
      <c r="D22" s="103" t="s">
        <v>14</v>
      </c>
      <c r="E22" s="103">
        <v>1030</v>
      </c>
      <c r="F22" s="56" t="s">
        <v>962</v>
      </c>
      <c r="G22" s="50" t="str">
        <f>VLOOKUP(F22,Tables!$D$2:$E$20,2,FALSE)</f>
        <v>PTR</v>
      </c>
      <c r="H22" s="105">
        <v>17099719</v>
      </c>
      <c r="I22" s="106">
        <f t="shared" si="5"/>
        <v>189</v>
      </c>
      <c r="J22" s="106">
        <f t="shared" si="6"/>
        <v>0</v>
      </c>
      <c r="K22" s="107">
        <f t="shared" si="7"/>
        <v>4.9518000000000004</v>
      </c>
      <c r="L22" s="107">
        <f t="shared" si="8"/>
        <v>0</v>
      </c>
      <c r="M22" s="108">
        <f t="shared" si="9"/>
        <v>4.9518000000000004</v>
      </c>
      <c r="N22" s="56" t="s">
        <v>923</v>
      </c>
      <c r="O22" s="56" t="s">
        <v>963</v>
      </c>
      <c r="P22" s="51">
        <f>IF(G22="MFP",Tables!$B$2,Tables!$B$5)</f>
        <v>2.6200000000000001E-2</v>
      </c>
      <c r="Q22" s="86">
        <f>IF(G22="MFP",Tables!$B$3,Tables!$B$6)</f>
        <v>0.11799999999999999</v>
      </c>
      <c r="R22" s="59">
        <f>VLOOKUP($N22,'Meter Comparison'!$C$2:$G$314,2,FALSE)</f>
        <v>2399</v>
      </c>
      <c r="S22" s="59">
        <f>VLOOKUP($N22,'Meter Comparison'!$C$2:$G$314,3,FALSE)</f>
        <v>2588</v>
      </c>
      <c r="T22" s="59">
        <f>VLOOKUP($N22,'Meter Comparison'!$C$2:$G$314,4,FALSE)</f>
        <v>0</v>
      </c>
      <c r="U22" s="59">
        <f>VLOOKUP($N22,'Meter Comparison'!$C$2:$G$314,5,FALSE)</f>
        <v>0</v>
      </c>
    </row>
    <row r="23" spans="1:21" ht="30" customHeight="1" outlineLevel="2" x14ac:dyDescent="0.25">
      <c r="A23" s="77" t="s">
        <v>21</v>
      </c>
      <c r="B23" s="122" t="s">
        <v>22</v>
      </c>
      <c r="C23" s="55" t="str">
        <f>VLOOKUP(B23,Tables!$G$2:$H$90,2,FALSE)</f>
        <v>ROTC-Army</v>
      </c>
      <c r="D23" s="112" t="s">
        <v>14</v>
      </c>
      <c r="E23" s="102">
        <v>2020</v>
      </c>
      <c r="F23" s="103" t="s">
        <v>15</v>
      </c>
      <c r="G23" s="50" t="str">
        <f>VLOOKUP(F23,Tables!$D$2:$E$20,2,FALSE)</f>
        <v>PTR</v>
      </c>
      <c r="H23" s="69">
        <v>17099714</v>
      </c>
      <c r="I23" s="106">
        <f t="shared" si="5"/>
        <v>113</v>
      </c>
      <c r="J23" s="106">
        <f t="shared" si="6"/>
        <v>0</v>
      </c>
      <c r="K23" s="107">
        <f t="shared" si="7"/>
        <v>2.9606000000000003</v>
      </c>
      <c r="L23" s="107">
        <f t="shared" si="8"/>
        <v>0</v>
      </c>
      <c r="M23" s="108">
        <f t="shared" si="9"/>
        <v>2.9606000000000003</v>
      </c>
      <c r="N23" s="113" t="s">
        <v>882</v>
      </c>
      <c r="O23" s="54" t="s">
        <v>957</v>
      </c>
      <c r="P23" s="51">
        <f>IF(G23="MFP",Tables!$B$2,Tables!$B$5)</f>
        <v>2.6200000000000001E-2</v>
      </c>
      <c r="Q23" s="86">
        <f>IF(G23="MFP",Tables!$B$3,Tables!$B$6)</f>
        <v>0.11799999999999999</v>
      </c>
      <c r="R23" s="59">
        <f>VLOOKUP($N23,'Meter Comparison'!$C$2:$G$314,2,FALSE)</f>
        <v>794</v>
      </c>
      <c r="S23" s="59">
        <f>VLOOKUP($N23,'Meter Comparison'!$C$2:$G$314,3,FALSE)</f>
        <v>907</v>
      </c>
      <c r="T23" s="59">
        <f>VLOOKUP($N23,'Meter Comparison'!$C$2:$G$314,4,FALSE)</f>
        <v>0</v>
      </c>
      <c r="U23" s="59">
        <f>VLOOKUP($N23,'Meter Comparison'!$C$2:$G$314,5,FALSE)</f>
        <v>0</v>
      </c>
    </row>
    <row r="24" spans="1:21" ht="30" customHeight="1" outlineLevel="2" x14ac:dyDescent="0.25">
      <c r="A24" s="77" t="s">
        <v>21</v>
      </c>
      <c r="B24" s="77" t="s">
        <v>22</v>
      </c>
      <c r="C24" s="55" t="str">
        <f>VLOOKUP(B24,Tables!$G$2:$H$90,2,FALSE)</f>
        <v>ROTC-Army</v>
      </c>
      <c r="D24" s="76" t="s">
        <v>14</v>
      </c>
      <c r="E24" s="75">
        <v>2022</v>
      </c>
      <c r="F24" s="76" t="s">
        <v>24</v>
      </c>
      <c r="G24" s="50" t="str">
        <f>VLOOKUP(F24,Tables!$D$2:$E$20,2,FALSE)</f>
        <v>MFP</v>
      </c>
      <c r="H24" s="69">
        <v>17099434</v>
      </c>
      <c r="I24" s="71">
        <f t="shared" si="5"/>
        <v>10563</v>
      </c>
      <c r="J24" s="71">
        <f t="shared" si="6"/>
        <v>1101</v>
      </c>
      <c r="K24" s="73">
        <f t="shared" si="7"/>
        <v>218.6541</v>
      </c>
      <c r="L24" s="73">
        <f t="shared" si="8"/>
        <v>95.786999999999992</v>
      </c>
      <c r="M24" s="74">
        <f t="shared" si="9"/>
        <v>314.44110000000001</v>
      </c>
      <c r="N24" s="76" t="s">
        <v>25</v>
      </c>
      <c r="O24" s="76" t="s">
        <v>26</v>
      </c>
      <c r="P24" s="51">
        <f>IF(G24="MFP",Tables!$B$2,Tables!$B$5)</f>
        <v>2.07E-2</v>
      </c>
      <c r="Q24" s="86">
        <f>IF(G24="MFP",Tables!$B$3,Tables!$B$6)</f>
        <v>8.6999999999999994E-2</v>
      </c>
      <c r="R24" s="59">
        <f>VLOOKUP($N24,'Meter Comparison'!$C$2:$G$314,2,FALSE)</f>
        <v>85021</v>
      </c>
      <c r="S24" s="59">
        <f>VLOOKUP($N24,'Meter Comparison'!$C$2:$G$314,3,FALSE)</f>
        <v>95584</v>
      </c>
      <c r="T24" s="59">
        <f>VLOOKUP($N24,'Meter Comparison'!$C$2:$G$314,4,FALSE)</f>
        <v>8124</v>
      </c>
      <c r="U24" s="59">
        <f>VLOOKUP($N24,'Meter Comparison'!$C$2:$G$314,5,FALSE)</f>
        <v>9225</v>
      </c>
    </row>
    <row r="25" spans="1:21" ht="30" customHeight="1" outlineLevel="2" x14ac:dyDescent="0.25">
      <c r="A25" s="77" t="s">
        <v>21</v>
      </c>
      <c r="B25" s="77" t="s">
        <v>22</v>
      </c>
      <c r="C25" s="55" t="str">
        <f>VLOOKUP(B25,Tables!$G$2:$H$90,2,FALSE)</f>
        <v>ROTC-Army</v>
      </c>
      <c r="D25" s="76" t="s">
        <v>14</v>
      </c>
      <c r="E25" s="75">
        <v>2023</v>
      </c>
      <c r="F25" s="76" t="s">
        <v>15</v>
      </c>
      <c r="G25" s="50" t="str">
        <f>VLOOKUP(F25,Tables!$D$2:$E$20,2,FALSE)</f>
        <v>PTR</v>
      </c>
      <c r="H25" s="69">
        <v>17099435</v>
      </c>
      <c r="I25" s="71">
        <f t="shared" si="5"/>
        <v>86</v>
      </c>
      <c r="J25" s="71">
        <f t="shared" si="6"/>
        <v>0</v>
      </c>
      <c r="K25" s="73">
        <f t="shared" si="7"/>
        <v>2.2532000000000001</v>
      </c>
      <c r="L25" s="73">
        <f t="shared" si="8"/>
        <v>0</v>
      </c>
      <c r="M25" s="74">
        <f t="shared" si="9"/>
        <v>2.2532000000000001</v>
      </c>
      <c r="N25" s="76" t="s">
        <v>46</v>
      </c>
      <c r="O25" s="76" t="s">
        <v>47</v>
      </c>
      <c r="P25" s="51">
        <f>IF(G25="MFP",Tables!$B$2,Tables!$B$5)</f>
        <v>2.6200000000000001E-2</v>
      </c>
      <c r="Q25" s="86">
        <f>IF(G25="MFP",Tables!$B$3,Tables!$B$6)</f>
        <v>0.11799999999999999</v>
      </c>
      <c r="R25" s="59">
        <f>VLOOKUP($N25,'Meter Comparison'!$C$2:$G$314,2,FALSE)</f>
        <v>616</v>
      </c>
      <c r="S25" s="59">
        <f>VLOOKUP($N25,'Meter Comparison'!$C$2:$G$314,3,FALSE)</f>
        <v>702</v>
      </c>
      <c r="T25" s="59">
        <f>VLOOKUP($N25,'Meter Comparison'!$C$2:$G$314,4,FALSE)</f>
        <v>0</v>
      </c>
      <c r="U25" s="59">
        <f>VLOOKUP($N25,'Meter Comparison'!$C$2:$G$314,5,FALSE)</f>
        <v>0</v>
      </c>
    </row>
    <row r="26" spans="1:21" ht="30" customHeight="1" outlineLevel="2" x14ac:dyDescent="0.25">
      <c r="A26" s="77" t="s">
        <v>21</v>
      </c>
      <c r="B26" s="77" t="s">
        <v>22</v>
      </c>
      <c r="C26" s="55" t="str">
        <f>VLOOKUP(B26,Tables!$G$2:$H$90,2,FALSE)</f>
        <v>ROTC-Army</v>
      </c>
      <c r="D26" s="76" t="s">
        <v>14</v>
      </c>
      <c r="E26" s="75">
        <v>2029</v>
      </c>
      <c r="F26" s="76" t="s">
        <v>15</v>
      </c>
      <c r="G26" s="50" t="str">
        <f>VLOOKUP(F26,Tables!$D$2:$E$20,2,FALSE)</f>
        <v>PTR</v>
      </c>
      <c r="H26" s="69">
        <v>17099446</v>
      </c>
      <c r="I26" s="71">
        <f t="shared" si="5"/>
        <v>29</v>
      </c>
      <c r="J26" s="71">
        <f t="shared" si="6"/>
        <v>0</v>
      </c>
      <c r="K26" s="73">
        <f t="shared" si="7"/>
        <v>0.75980000000000003</v>
      </c>
      <c r="L26" s="73">
        <f t="shared" si="8"/>
        <v>0</v>
      </c>
      <c r="M26" s="74">
        <f t="shared" si="9"/>
        <v>0.75980000000000003</v>
      </c>
      <c r="N26" s="76" t="s">
        <v>30</v>
      </c>
      <c r="O26" s="76" t="s">
        <v>31</v>
      </c>
      <c r="P26" s="51">
        <f>IF(G26="MFP",Tables!$B$2,Tables!$B$5)</f>
        <v>2.6200000000000001E-2</v>
      </c>
      <c r="Q26" s="86">
        <f>IF(G26="MFP",Tables!$B$3,Tables!$B$6)</f>
        <v>0.11799999999999999</v>
      </c>
      <c r="R26" s="59">
        <f>VLOOKUP($N26,'Meter Comparison'!$C$2:$G$314,2,FALSE)</f>
        <v>308</v>
      </c>
      <c r="S26" s="59">
        <f>VLOOKUP($N26,'Meter Comparison'!$C$2:$G$314,3,FALSE)</f>
        <v>337</v>
      </c>
      <c r="T26" s="59">
        <f>VLOOKUP($N26,'Meter Comparison'!$C$2:$G$314,4,FALSE)</f>
        <v>0</v>
      </c>
      <c r="U26" s="59">
        <f>VLOOKUP($N26,'Meter Comparison'!$C$2:$G$314,5,FALSE)</f>
        <v>0</v>
      </c>
    </row>
    <row r="27" spans="1:21" ht="30" customHeight="1" outlineLevel="2" x14ac:dyDescent="0.25">
      <c r="A27" s="77" t="s">
        <v>21</v>
      </c>
      <c r="B27" s="122" t="s">
        <v>22</v>
      </c>
      <c r="C27" s="55" t="str">
        <f>VLOOKUP(B27,Tables!$G$2:$H$90,2,FALSE)</f>
        <v>ROTC-Army</v>
      </c>
      <c r="D27" s="112" t="s">
        <v>14</v>
      </c>
      <c r="E27" s="102">
        <v>2051</v>
      </c>
      <c r="F27" s="103" t="s">
        <v>15</v>
      </c>
      <c r="G27" s="50" t="str">
        <f>VLOOKUP(F27,Tables!$D$2:$E$20,2,FALSE)</f>
        <v>PTR</v>
      </c>
      <c r="H27" s="105">
        <v>17099715</v>
      </c>
      <c r="I27" s="106">
        <f t="shared" si="5"/>
        <v>7</v>
      </c>
      <c r="J27" s="106">
        <f t="shared" si="6"/>
        <v>0</v>
      </c>
      <c r="K27" s="107">
        <f t="shared" si="7"/>
        <v>0.18340000000000001</v>
      </c>
      <c r="L27" s="107">
        <f t="shared" si="8"/>
        <v>0</v>
      </c>
      <c r="M27" s="108">
        <f t="shared" si="9"/>
        <v>0.18340000000000001</v>
      </c>
      <c r="N27" s="113" t="s">
        <v>884</v>
      </c>
      <c r="O27" s="54" t="s">
        <v>960</v>
      </c>
      <c r="P27" s="51">
        <f>IF(G27="MFP",Tables!$B$2,Tables!$B$5)</f>
        <v>2.6200000000000001E-2</v>
      </c>
      <c r="Q27" s="86">
        <f>IF(G27="MFP",Tables!$B$3,Tables!$B$6)</f>
        <v>0.11799999999999999</v>
      </c>
      <c r="R27" s="59">
        <f>VLOOKUP($N27,'Meter Comparison'!$C$2:$G$314,2,FALSE)</f>
        <v>504</v>
      </c>
      <c r="S27" s="59">
        <f>VLOOKUP($N27,'Meter Comparison'!$C$2:$G$314,3,FALSE)</f>
        <v>511</v>
      </c>
      <c r="T27" s="59">
        <f>VLOOKUP($N27,'Meter Comparison'!$C$2:$G$314,4,FALSE)</f>
        <v>0</v>
      </c>
      <c r="U27" s="59">
        <f>VLOOKUP($N27,'Meter Comparison'!$C$2:$G$314,5,FALSE)</f>
        <v>0</v>
      </c>
    </row>
    <row r="28" spans="1:21" ht="30" customHeight="1" outlineLevel="2" x14ac:dyDescent="0.25">
      <c r="A28" s="77" t="s">
        <v>21</v>
      </c>
      <c r="B28" s="77" t="s">
        <v>22</v>
      </c>
      <c r="C28" s="55" t="str">
        <f>VLOOKUP(B28,Tables!$G$2:$H$90,2,FALSE)</f>
        <v>ROTC-Army</v>
      </c>
      <c r="D28" s="76" t="s">
        <v>14</v>
      </c>
      <c r="E28" s="75">
        <v>2052</v>
      </c>
      <c r="F28" s="76" t="s">
        <v>15</v>
      </c>
      <c r="G28" s="50" t="str">
        <f>VLOOKUP(F28,Tables!$D$2:$E$20,2,FALSE)</f>
        <v>PTR</v>
      </c>
      <c r="H28" s="69">
        <v>17099852</v>
      </c>
      <c r="I28" s="71">
        <f t="shared" si="5"/>
        <v>2</v>
      </c>
      <c r="J28" s="71">
        <f t="shared" si="6"/>
        <v>0</v>
      </c>
      <c r="K28" s="73">
        <f t="shared" si="7"/>
        <v>5.2400000000000002E-2</v>
      </c>
      <c r="L28" s="73">
        <f t="shared" si="8"/>
        <v>0</v>
      </c>
      <c r="M28" s="74">
        <f t="shared" si="9"/>
        <v>5.2400000000000002E-2</v>
      </c>
      <c r="N28" s="76" t="s">
        <v>1002</v>
      </c>
      <c r="O28" s="76" t="s">
        <v>1001</v>
      </c>
      <c r="P28" s="51">
        <f>IF(G28="MFP",Tables!$B$2,Tables!$B$5)</f>
        <v>2.6200000000000001E-2</v>
      </c>
      <c r="Q28" s="86">
        <f>IF(G28="MFP",Tables!$B$3,Tables!$B$6)</f>
        <v>0.11799999999999999</v>
      </c>
      <c r="R28" s="59">
        <f>VLOOKUP($N28,'Meter Comparison'!$C$2:$G$314,2,FALSE)</f>
        <v>5</v>
      </c>
      <c r="S28" s="59">
        <f>VLOOKUP($N28,'Meter Comparison'!$C$2:$G$314,3,FALSE)</f>
        <v>7</v>
      </c>
      <c r="T28" s="59">
        <f>VLOOKUP($N28,'Meter Comparison'!$C$2:$G$314,4,FALSE)</f>
        <v>0</v>
      </c>
      <c r="U28" s="59">
        <f>VLOOKUP($N28,'Meter Comparison'!$C$2:$G$314,5,FALSE)</f>
        <v>0</v>
      </c>
    </row>
    <row r="29" spans="1:21" ht="30" customHeight="1" outlineLevel="2" x14ac:dyDescent="0.25">
      <c r="A29" s="77" t="s">
        <v>21</v>
      </c>
      <c r="B29" s="77" t="s">
        <v>22</v>
      </c>
      <c r="C29" s="55" t="str">
        <f>VLOOKUP(B29,Tables!$G$2:$H$90,2,FALSE)</f>
        <v>ROTC-Army</v>
      </c>
      <c r="D29" s="76" t="s">
        <v>14</v>
      </c>
      <c r="E29" s="75">
        <v>2053</v>
      </c>
      <c r="F29" s="76" t="s">
        <v>15</v>
      </c>
      <c r="G29" s="50" t="str">
        <f>VLOOKUP(F29,Tables!$D$2:$E$20,2,FALSE)</f>
        <v>PTR</v>
      </c>
      <c r="H29" s="69">
        <v>17099437</v>
      </c>
      <c r="I29" s="71">
        <f t="shared" si="5"/>
        <v>154</v>
      </c>
      <c r="J29" s="71">
        <f t="shared" si="6"/>
        <v>0</v>
      </c>
      <c r="K29" s="73">
        <f t="shared" si="7"/>
        <v>4.0348000000000006</v>
      </c>
      <c r="L29" s="73">
        <f t="shared" si="8"/>
        <v>0</v>
      </c>
      <c r="M29" s="74">
        <f t="shared" si="9"/>
        <v>4.0348000000000006</v>
      </c>
      <c r="N29" s="76" t="s">
        <v>44</v>
      </c>
      <c r="O29" s="76" t="s">
        <v>45</v>
      </c>
      <c r="P29" s="51">
        <f>IF(G29="MFP",Tables!$B$2,Tables!$B$5)</f>
        <v>2.6200000000000001E-2</v>
      </c>
      <c r="Q29" s="86">
        <f>IF(G29="MFP",Tables!$B$3,Tables!$B$6)</f>
        <v>0.11799999999999999</v>
      </c>
      <c r="R29" s="59">
        <f>VLOOKUP($N29,'Meter Comparison'!$C$2:$G$314,2,FALSE)</f>
        <v>1512</v>
      </c>
      <c r="S29" s="59">
        <f>VLOOKUP($N29,'Meter Comparison'!$C$2:$G$314,3,FALSE)</f>
        <v>1666</v>
      </c>
      <c r="T29" s="59">
        <f>VLOOKUP($N29,'Meter Comparison'!$C$2:$G$314,4,FALSE)</f>
        <v>0</v>
      </c>
      <c r="U29" s="59">
        <f>VLOOKUP($N29,'Meter Comparison'!$C$2:$G$314,5,FALSE)</f>
        <v>0</v>
      </c>
    </row>
    <row r="30" spans="1:21" ht="30" customHeight="1" outlineLevel="2" x14ac:dyDescent="0.25">
      <c r="A30" s="77" t="s">
        <v>21</v>
      </c>
      <c r="B30" s="77" t="s">
        <v>22</v>
      </c>
      <c r="C30" s="55" t="str">
        <f>VLOOKUP(B30,Tables!$G$2:$H$90,2,FALSE)</f>
        <v>ROTC-Army</v>
      </c>
      <c r="D30" s="76" t="s">
        <v>14</v>
      </c>
      <c r="E30" s="75">
        <v>2056</v>
      </c>
      <c r="F30" s="76" t="s">
        <v>15</v>
      </c>
      <c r="G30" s="50" t="str">
        <f>VLOOKUP(F30,Tables!$D$2:$E$20,2,FALSE)</f>
        <v>PTR</v>
      </c>
      <c r="H30" s="69">
        <v>17099436</v>
      </c>
      <c r="I30" s="71">
        <f t="shared" si="5"/>
        <v>385</v>
      </c>
      <c r="J30" s="71">
        <f t="shared" si="6"/>
        <v>0</v>
      </c>
      <c r="K30" s="73">
        <f t="shared" si="7"/>
        <v>10.087</v>
      </c>
      <c r="L30" s="73">
        <f t="shared" si="8"/>
        <v>0</v>
      </c>
      <c r="M30" s="74">
        <f t="shared" si="9"/>
        <v>10.087</v>
      </c>
      <c r="N30" s="76" t="s">
        <v>36</v>
      </c>
      <c r="O30" s="76" t="s">
        <v>37</v>
      </c>
      <c r="P30" s="51">
        <f>IF(G30="MFP",Tables!$B$2,Tables!$B$5)</f>
        <v>2.6200000000000001E-2</v>
      </c>
      <c r="Q30" s="86">
        <f>IF(G30="MFP",Tables!$B$3,Tables!$B$6)</f>
        <v>0.11799999999999999</v>
      </c>
      <c r="R30" s="59">
        <f>VLOOKUP($N30,'Meter Comparison'!$C$2:$G$314,2,FALSE)</f>
        <v>2029</v>
      </c>
      <c r="S30" s="59">
        <f>VLOOKUP($N30,'Meter Comparison'!$C$2:$G$314,3,FALSE)</f>
        <v>2414</v>
      </c>
      <c r="T30" s="59">
        <f>VLOOKUP($N30,'Meter Comparison'!$C$2:$G$314,4,FALSE)</f>
        <v>0</v>
      </c>
      <c r="U30" s="59">
        <f>VLOOKUP($N30,'Meter Comparison'!$C$2:$G$314,5,FALSE)</f>
        <v>0</v>
      </c>
    </row>
    <row r="31" spans="1:21" ht="30" customHeight="1" outlineLevel="2" x14ac:dyDescent="0.25">
      <c r="A31" s="77" t="s">
        <v>21</v>
      </c>
      <c r="B31" s="77" t="s">
        <v>22</v>
      </c>
      <c r="C31" s="55" t="str">
        <f>VLOOKUP(B31,Tables!$G$2:$H$90,2,FALSE)</f>
        <v>ROTC-Army</v>
      </c>
      <c r="D31" s="76" t="s">
        <v>14</v>
      </c>
      <c r="E31" s="75">
        <v>2057</v>
      </c>
      <c r="F31" s="76" t="s">
        <v>15</v>
      </c>
      <c r="G31" s="50" t="str">
        <f>VLOOKUP(F31,Tables!$D$2:$E$20,2,FALSE)</f>
        <v>PTR</v>
      </c>
      <c r="H31" s="69">
        <v>17099444</v>
      </c>
      <c r="I31" s="71">
        <f t="shared" si="5"/>
        <v>870</v>
      </c>
      <c r="J31" s="71">
        <f t="shared" si="6"/>
        <v>0</v>
      </c>
      <c r="K31" s="73">
        <f t="shared" si="7"/>
        <v>22.794</v>
      </c>
      <c r="L31" s="73">
        <f t="shared" si="8"/>
        <v>0</v>
      </c>
      <c r="M31" s="74">
        <f t="shared" si="9"/>
        <v>22.794</v>
      </c>
      <c r="N31" s="76" t="s">
        <v>28</v>
      </c>
      <c r="O31" s="76" t="s">
        <v>29</v>
      </c>
      <c r="P31" s="51">
        <f>IF(G31="MFP",Tables!$B$2,Tables!$B$5)</f>
        <v>2.6200000000000001E-2</v>
      </c>
      <c r="Q31" s="86">
        <f>IF(G31="MFP",Tables!$B$3,Tables!$B$6)</f>
        <v>0.11799999999999999</v>
      </c>
      <c r="R31" s="59">
        <f>VLOOKUP($N31,'Meter Comparison'!$C$2:$G$314,2,FALSE)</f>
        <v>3865</v>
      </c>
      <c r="S31" s="59">
        <f>VLOOKUP($N31,'Meter Comparison'!$C$2:$G$314,3,FALSE)</f>
        <v>4735</v>
      </c>
      <c r="T31" s="59">
        <f>VLOOKUP($N31,'Meter Comparison'!$C$2:$G$314,4,FALSE)</f>
        <v>0</v>
      </c>
      <c r="U31" s="59">
        <f>VLOOKUP($N31,'Meter Comparison'!$C$2:$G$314,5,FALSE)</f>
        <v>0</v>
      </c>
    </row>
    <row r="32" spans="1:21" ht="30" customHeight="1" outlineLevel="2" x14ac:dyDescent="0.25">
      <c r="A32" s="77" t="s">
        <v>21</v>
      </c>
      <c r="B32" s="77" t="s">
        <v>22</v>
      </c>
      <c r="C32" s="55" t="str">
        <f>VLOOKUP(B32,Tables!$G$2:$H$90,2,FALSE)</f>
        <v>ROTC-Army</v>
      </c>
      <c r="D32" s="76" t="s">
        <v>14</v>
      </c>
      <c r="E32" s="75">
        <v>2058</v>
      </c>
      <c r="F32" s="76" t="s">
        <v>15</v>
      </c>
      <c r="G32" s="50" t="str">
        <f>VLOOKUP(F32,Tables!$D$2:$E$20,2,FALSE)</f>
        <v>PTR</v>
      </c>
      <c r="H32" s="69">
        <v>17099851</v>
      </c>
      <c r="I32" s="71">
        <f t="shared" si="5"/>
        <v>17</v>
      </c>
      <c r="J32" s="71">
        <f t="shared" si="6"/>
        <v>0</v>
      </c>
      <c r="K32" s="73">
        <f t="shared" si="7"/>
        <v>0.44540000000000002</v>
      </c>
      <c r="L32" s="73">
        <f t="shared" si="8"/>
        <v>0</v>
      </c>
      <c r="M32" s="74">
        <f t="shared" si="9"/>
        <v>0.44540000000000002</v>
      </c>
      <c r="N32" s="76" t="s">
        <v>1007</v>
      </c>
      <c r="O32" s="76" t="s">
        <v>1008</v>
      </c>
      <c r="P32" s="51">
        <f>IF(G32="MFP",Tables!$B$2,Tables!$B$5)</f>
        <v>2.6200000000000001E-2</v>
      </c>
      <c r="Q32" s="86">
        <f>IF(G32="MFP",Tables!$B$3,Tables!$B$6)</f>
        <v>0.11799999999999999</v>
      </c>
      <c r="R32" s="59">
        <f>VLOOKUP($N32,'Meter Comparison'!$C$2:$G$314,2,FALSE)</f>
        <v>5</v>
      </c>
      <c r="S32" s="59">
        <f>VLOOKUP($N32,'Meter Comparison'!$C$2:$G$314,3,FALSE)</f>
        <v>22</v>
      </c>
      <c r="T32" s="59">
        <f>VLOOKUP($N32,'Meter Comparison'!$C$2:$G$314,4,FALSE)</f>
        <v>0</v>
      </c>
      <c r="U32" s="59">
        <f>VLOOKUP($N32,'Meter Comparison'!$C$2:$G$314,5,FALSE)</f>
        <v>0</v>
      </c>
    </row>
    <row r="33" spans="1:21" ht="30" customHeight="1" outlineLevel="2" x14ac:dyDescent="0.25">
      <c r="A33" s="77" t="s">
        <v>21</v>
      </c>
      <c r="B33" s="77" t="s">
        <v>22</v>
      </c>
      <c r="C33" s="55" t="str">
        <f>VLOOKUP(B33,Tables!$G$2:$H$90,2,FALSE)</f>
        <v>ROTC-Army</v>
      </c>
      <c r="D33" s="76" t="s">
        <v>14</v>
      </c>
      <c r="E33" s="75">
        <v>2060</v>
      </c>
      <c r="F33" s="76" t="s">
        <v>15</v>
      </c>
      <c r="G33" s="50" t="str">
        <f>VLOOKUP(F33,Tables!$D$2:$E$20,2,FALSE)</f>
        <v>PTR</v>
      </c>
      <c r="H33" s="69">
        <v>17099430</v>
      </c>
      <c r="I33" s="71">
        <f t="shared" si="5"/>
        <v>158</v>
      </c>
      <c r="J33" s="71">
        <f t="shared" si="6"/>
        <v>0</v>
      </c>
      <c r="K33" s="73">
        <f t="shared" si="7"/>
        <v>4.1395999999999997</v>
      </c>
      <c r="L33" s="73">
        <f t="shared" si="8"/>
        <v>0</v>
      </c>
      <c r="M33" s="74">
        <f t="shared" si="9"/>
        <v>4.1395999999999997</v>
      </c>
      <c r="N33" s="76" t="s">
        <v>40</v>
      </c>
      <c r="O33" s="76" t="s">
        <v>41</v>
      </c>
      <c r="P33" s="51">
        <f>IF(G33="MFP",Tables!$B$2,Tables!$B$5)</f>
        <v>2.6200000000000001E-2</v>
      </c>
      <c r="Q33" s="86">
        <f>IF(G33="MFP",Tables!$B$3,Tables!$B$6)</f>
        <v>0.11799999999999999</v>
      </c>
      <c r="R33" s="59">
        <f>VLOOKUP($N33,'Meter Comparison'!$C$2:$G$314,2,FALSE)</f>
        <v>561</v>
      </c>
      <c r="S33" s="59">
        <f>VLOOKUP($N33,'Meter Comparison'!$C$2:$G$314,3,FALSE)</f>
        <v>719</v>
      </c>
      <c r="T33" s="59">
        <f>VLOOKUP($N33,'Meter Comparison'!$C$2:$G$314,4,FALSE)</f>
        <v>0</v>
      </c>
      <c r="U33" s="59">
        <f>VLOOKUP($N33,'Meter Comparison'!$C$2:$G$314,5,FALSE)</f>
        <v>0</v>
      </c>
    </row>
    <row r="34" spans="1:21" ht="30" customHeight="1" outlineLevel="2" x14ac:dyDescent="0.25">
      <c r="A34" s="77" t="s">
        <v>21</v>
      </c>
      <c r="B34" s="77" t="s">
        <v>22</v>
      </c>
      <c r="C34" s="55" t="str">
        <f>VLOOKUP(B34,Tables!$G$2:$H$90,2,FALSE)</f>
        <v>ROTC-Army</v>
      </c>
      <c r="D34" s="76" t="s">
        <v>14</v>
      </c>
      <c r="E34" s="75">
        <v>2061</v>
      </c>
      <c r="F34" s="76" t="s">
        <v>15</v>
      </c>
      <c r="G34" s="50" t="str">
        <f>VLOOKUP(F34,Tables!$D$2:$E$20,2,FALSE)</f>
        <v>PTR</v>
      </c>
      <c r="H34" s="69">
        <v>17099442</v>
      </c>
      <c r="I34" s="71">
        <f t="shared" si="5"/>
        <v>199</v>
      </c>
      <c r="J34" s="71">
        <f t="shared" si="6"/>
        <v>0</v>
      </c>
      <c r="K34" s="73">
        <f t="shared" si="7"/>
        <v>5.2138</v>
      </c>
      <c r="L34" s="73">
        <f t="shared" si="8"/>
        <v>0</v>
      </c>
      <c r="M34" s="74">
        <f t="shared" si="9"/>
        <v>5.2138</v>
      </c>
      <c r="N34" s="76" t="s">
        <v>34</v>
      </c>
      <c r="O34" s="76" t="s">
        <v>35</v>
      </c>
      <c r="P34" s="51">
        <f>IF(G34="MFP",Tables!$B$2,Tables!$B$5)</f>
        <v>2.6200000000000001E-2</v>
      </c>
      <c r="Q34" s="86">
        <f>IF(G34="MFP",Tables!$B$3,Tables!$B$6)</f>
        <v>0.11799999999999999</v>
      </c>
      <c r="R34" s="59">
        <f>VLOOKUP($N34,'Meter Comparison'!$C$2:$G$314,2,FALSE)</f>
        <v>1133</v>
      </c>
      <c r="S34" s="59">
        <f>VLOOKUP($N34,'Meter Comparison'!$C$2:$G$314,3,FALSE)</f>
        <v>1332</v>
      </c>
      <c r="T34" s="59">
        <f>VLOOKUP($N34,'Meter Comparison'!$C$2:$G$314,4,FALSE)</f>
        <v>0</v>
      </c>
      <c r="U34" s="59">
        <f>VLOOKUP($N34,'Meter Comparison'!$C$2:$G$314,5,FALSE)</f>
        <v>0</v>
      </c>
    </row>
    <row r="35" spans="1:21" ht="30" customHeight="1" outlineLevel="2" x14ac:dyDescent="0.25">
      <c r="A35" s="77" t="s">
        <v>21</v>
      </c>
      <c r="B35" s="77" t="s">
        <v>22</v>
      </c>
      <c r="C35" s="55" t="str">
        <f>VLOOKUP(B35,Tables!$G$2:$H$90,2,FALSE)</f>
        <v>ROTC-Army</v>
      </c>
      <c r="D35" s="76" t="s">
        <v>14</v>
      </c>
      <c r="E35" s="75">
        <v>2063</v>
      </c>
      <c r="F35" s="76" t="s">
        <v>15</v>
      </c>
      <c r="G35" s="50" t="str">
        <f>VLOOKUP(F35,Tables!$D$2:$E$20,2,FALSE)</f>
        <v>PTR</v>
      </c>
      <c r="H35" s="69">
        <v>17099427</v>
      </c>
      <c r="I35" s="71">
        <f t="shared" si="5"/>
        <v>223</v>
      </c>
      <c r="J35" s="71">
        <f t="shared" si="6"/>
        <v>0</v>
      </c>
      <c r="K35" s="73">
        <f t="shared" si="7"/>
        <v>5.8426</v>
      </c>
      <c r="L35" s="73">
        <f t="shared" si="8"/>
        <v>0</v>
      </c>
      <c r="M35" s="74">
        <f t="shared" si="9"/>
        <v>5.8426</v>
      </c>
      <c r="N35" s="76" t="s">
        <v>48</v>
      </c>
      <c r="O35" s="76" t="s">
        <v>49</v>
      </c>
      <c r="P35" s="51">
        <f>IF(G35="MFP",Tables!$B$2,Tables!$B$5)</f>
        <v>2.6200000000000001E-2</v>
      </c>
      <c r="Q35" s="86">
        <f>IF(G35="MFP",Tables!$B$3,Tables!$B$6)</f>
        <v>0.11799999999999999</v>
      </c>
      <c r="R35" s="59">
        <f>VLOOKUP($N35,'Meter Comparison'!$C$2:$G$314,2,FALSE)</f>
        <v>1572</v>
      </c>
      <c r="S35" s="59">
        <f>VLOOKUP($N35,'Meter Comparison'!$C$2:$G$314,3,FALSE)</f>
        <v>1795</v>
      </c>
      <c r="T35" s="59">
        <f>VLOOKUP($N35,'Meter Comparison'!$C$2:$G$314,4,FALSE)</f>
        <v>0</v>
      </c>
      <c r="U35" s="59">
        <f>VLOOKUP($N35,'Meter Comparison'!$C$2:$G$314,5,FALSE)</f>
        <v>0</v>
      </c>
    </row>
    <row r="36" spans="1:21" ht="30" customHeight="1" outlineLevel="2" x14ac:dyDescent="0.25">
      <c r="A36" s="77" t="s">
        <v>21</v>
      </c>
      <c r="B36" s="77" t="s">
        <v>22</v>
      </c>
      <c r="C36" s="55" t="str">
        <f>VLOOKUP(B36,Tables!$G$2:$H$90,2,FALSE)</f>
        <v>ROTC-Army</v>
      </c>
      <c r="D36" s="76" t="s">
        <v>14</v>
      </c>
      <c r="E36" s="75">
        <v>2064</v>
      </c>
      <c r="F36" s="76" t="s">
        <v>15</v>
      </c>
      <c r="G36" s="50" t="str">
        <f>VLOOKUP(F36,Tables!$D$2:$E$20,2,FALSE)</f>
        <v>PTR</v>
      </c>
      <c r="H36" s="69">
        <v>17099439</v>
      </c>
      <c r="I36" s="71">
        <f t="shared" si="5"/>
        <v>197</v>
      </c>
      <c r="J36" s="71">
        <f t="shared" si="6"/>
        <v>0</v>
      </c>
      <c r="K36" s="73">
        <f t="shared" si="7"/>
        <v>5.1614000000000004</v>
      </c>
      <c r="L36" s="73">
        <f t="shared" si="8"/>
        <v>0</v>
      </c>
      <c r="M36" s="74">
        <f t="shared" si="9"/>
        <v>5.1614000000000004</v>
      </c>
      <c r="N36" s="76" t="s">
        <v>50</v>
      </c>
      <c r="O36" s="76" t="s">
        <v>51</v>
      </c>
      <c r="P36" s="51">
        <f>IF(G36="MFP",Tables!$B$2,Tables!$B$5)</f>
        <v>2.6200000000000001E-2</v>
      </c>
      <c r="Q36" s="86">
        <f>IF(G36="MFP",Tables!$B$3,Tables!$B$6)</f>
        <v>0.11799999999999999</v>
      </c>
      <c r="R36" s="59">
        <f>VLOOKUP($N36,'Meter Comparison'!$C$2:$G$314,2,FALSE)</f>
        <v>979</v>
      </c>
      <c r="S36" s="59">
        <f>VLOOKUP($N36,'Meter Comparison'!$C$2:$G$314,3,FALSE)</f>
        <v>1176</v>
      </c>
      <c r="T36" s="59">
        <f>VLOOKUP($N36,'Meter Comparison'!$C$2:$G$314,4,FALSE)</f>
        <v>0</v>
      </c>
      <c r="U36" s="59">
        <f>VLOOKUP($N36,'Meter Comparison'!$C$2:$G$314,5,FALSE)</f>
        <v>0</v>
      </c>
    </row>
    <row r="37" spans="1:21" ht="30" customHeight="1" outlineLevel="2" x14ac:dyDescent="0.25">
      <c r="A37" s="77" t="s">
        <v>21</v>
      </c>
      <c r="B37" s="77" t="s">
        <v>22</v>
      </c>
      <c r="C37" s="55" t="str">
        <f>VLOOKUP(B37,Tables!$G$2:$H$90,2,FALSE)</f>
        <v>ROTC-Army</v>
      </c>
      <c r="D37" s="76" t="s">
        <v>14</v>
      </c>
      <c r="E37" s="75">
        <v>2066</v>
      </c>
      <c r="F37" s="76" t="s">
        <v>15</v>
      </c>
      <c r="G37" s="50" t="str">
        <f>VLOOKUP(F37,Tables!$D$2:$E$20,2,FALSE)</f>
        <v>PTR</v>
      </c>
      <c r="H37" s="69">
        <v>17099426</v>
      </c>
      <c r="I37" s="71">
        <f t="shared" si="5"/>
        <v>131</v>
      </c>
      <c r="J37" s="71">
        <f t="shared" si="6"/>
        <v>0</v>
      </c>
      <c r="K37" s="73">
        <f t="shared" si="7"/>
        <v>3.4321999999999999</v>
      </c>
      <c r="L37" s="73">
        <f t="shared" si="8"/>
        <v>0</v>
      </c>
      <c r="M37" s="74">
        <f t="shared" si="9"/>
        <v>3.4321999999999999</v>
      </c>
      <c r="N37" s="76" t="s">
        <v>38</v>
      </c>
      <c r="O37" s="76" t="s">
        <v>39</v>
      </c>
      <c r="P37" s="51">
        <f>IF(G37="MFP",Tables!$B$2,Tables!$B$5)</f>
        <v>2.6200000000000001E-2</v>
      </c>
      <c r="Q37" s="86">
        <f>IF(G37="MFP",Tables!$B$3,Tables!$B$6)</f>
        <v>0.11799999999999999</v>
      </c>
      <c r="R37" s="59">
        <f>VLOOKUP($N37,'Meter Comparison'!$C$2:$G$314,2,FALSE)</f>
        <v>458</v>
      </c>
      <c r="S37" s="59">
        <f>VLOOKUP($N37,'Meter Comparison'!$C$2:$G$314,3,FALSE)</f>
        <v>589</v>
      </c>
      <c r="T37" s="59">
        <f>VLOOKUP($N37,'Meter Comparison'!$C$2:$G$314,4,FALSE)</f>
        <v>0</v>
      </c>
      <c r="U37" s="59">
        <f>VLOOKUP($N37,'Meter Comparison'!$C$2:$G$314,5,FALSE)</f>
        <v>0</v>
      </c>
    </row>
    <row r="38" spans="1:21" ht="30" customHeight="1" outlineLevel="2" x14ac:dyDescent="0.25">
      <c r="A38" s="77" t="s">
        <v>21</v>
      </c>
      <c r="B38" s="77" t="s">
        <v>22</v>
      </c>
      <c r="C38" s="55" t="str">
        <f>VLOOKUP(B38,Tables!$G$2:$H$90,2,FALSE)</f>
        <v>ROTC-Army</v>
      </c>
      <c r="D38" s="76" t="s">
        <v>14</v>
      </c>
      <c r="E38" s="75">
        <v>2067</v>
      </c>
      <c r="F38" s="76" t="s">
        <v>15</v>
      </c>
      <c r="G38" s="50" t="str">
        <f>VLOOKUP(F38,Tables!$D$2:$E$20,2,FALSE)</f>
        <v>PTR</v>
      </c>
      <c r="H38" s="69">
        <v>17099425</v>
      </c>
      <c r="I38" s="71">
        <f t="shared" si="5"/>
        <v>208</v>
      </c>
      <c r="J38" s="71">
        <f t="shared" si="6"/>
        <v>0</v>
      </c>
      <c r="K38" s="73">
        <f t="shared" si="7"/>
        <v>5.4496000000000002</v>
      </c>
      <c r="L38" s="73">
        <f t="shared" si="8"/>
        <v>0</v>
      </c>
      <c r="M38" s="74">
        <f t="shared" si="9"/>
        <v>5.4496000000000002</v>
      </c>
      <c r="N38" s="76" t="s">
        <v>32</v>
      </c>
      <c r="O38" s="76" t="s">
        <v>33</v>
      </c>
      <c r="P38" s="51">
        <f>IF(G38="MFP",Tables!$B$2,Tables!$B$5)</f>
        <v>2.6200000000000001E-2</v>
      </c>
      <c r="Q38" s="86">
        <f>IF(G38="MFP",Tables!$B$3,Tables!$B$6)</f>
        <v>0.11799999999999999</v>
      </c>
      <c r="R38" s="59">
        <f>VLOOKUP($N38,'Meter Comparison'!$C$2:$G$314,2,FALSE)</f>
        <v>1172</v>
      </c>
      <c r="S38" s="59">
        <f>VLOOKUP($N38,'Meter Comparison'!$C$2:$G$314,3,FALSE)</f>
        <v>1380</v>
      </c>
      <c r="T38" s="59">
        <f>VLOOKUP($N38,'Meter Comparison'!$C$2:$G$314,4,FALSE)</f>
        <v>0</v>
      </c>
      <c r="U38" s="59">
        <f>VLOOKUP($N38,'Meter Comparison'!$C$2:$G$314,5,FALSE)</f>
        <v>0</v>
      </c>
    </row>
    <row r="39" spans="1:21" ht="30" customHeight="1" outlineLevel="2" x14ac:dyDescent="0.25">
      <c r="A39" s="77" t="s">
        <v>21</v>
      </c>
      <c r="B39" s="122" t="s">
        <v>22</v>
      </c>
      <c r="C39" s="55" t="str">
        <f>VLOOKUP(B39,Tables!$G$2:$H$90,2,FALSE)</f>
        <v>ROTC-Army</v>
      </c>
      <c r="D39" s="112" t="s">
        <v>14</v>
      </c>
      <c r="E39" s="102">
        <v>2068</v>
      </c>
      <c r="F39" s="103" t="s">
        <v>15</v>
      </c>
      <c r="G39" s="50" t="str">
        <f>VLOOKUP(F39,Tables!$D$2:$E$20,2,FALSE)</f>
        <v>PTR</v>
      </c>
      <c r="H39" s="69">
        <v>17099829</v>
      </c>
      <c r="I39" s="106">
        <f t="shared" si="5"/>
        <v>143</v>
      </c>
      <c r="J39" s="106">
        <f t="shared" si="6"/>
        <v>0</v>
      </c>
      <c r="K39" s="107">
        <f t="shared" si="7"/>
        <v>3.7465999999999999</v>
      </c>
      <c r="L39" s="107">
        <f t="shared" si="8"/>
        <v>0</v>
      </c>
      <c r="M39" s="108">
        <f t="shared" si="9"/>
        <v>3.7465999999999999</v>
      </c>
      <c r="N39" s="113" t="s">
        <v>895</v>
      </c>
      <c r="O39" s="54" t="s">
        <v>974</v>
      </c>
      <c r="P39" s="51">
        <f>IF(G39="MFP",Tables!$B$2,Tables!$B$5)</f>
        <v>2.6200000000000001E-2</v>
      </c>
      <c r="Q39" s="86">
        <f>IF(G39="MFP",Tables!$B$3,Tables!$B$6)</f>
        <v>0.11799999999999999</v>
      </c>
      <c r="R39" s="59">
        <f>VLOOKUP($N39,'Meter Comparison'!$C$2:$G$314,2,FALSE)</f>
        <v>211</v>
      </c>
      <c r="S39" s="59">
        <f>VLOOKUP($N39,'Meter Comparison'!$C$2:$G$314,3,FALSE)</f>
        <v>354</v>
      </c>
      <c r="T39" s="59">
        <f>VLOOKUP($N39,'Meter Comparison'!$C$2:$G$314,4,FALSE)</f>
        <v>0</v>
      </c>
      <c r="U39" s="59">
        <f>VLOOKUP($N39,'Meter Comparison'!$C$2:$G$314,5,FALSE)</f>
        <v>0</v>
      </c>
    </row>
    <row r="40" spans="1:21" ht="30" customHeight="1" outlineLevel="2" x14ac:dyDescent="0.25">
      <c r="A40" s="77" t="s">
        <v>21</v>
      </c>
      <c r="B40" s="77" t="s">
        <v>22</v>
      </c>
      <c r="C40" s="55" t="str">
        <f>VLOOKUP(B40,Tables!$G$2:$H$90,2,FALSE)</f>
        <v>ROTC-Army</v>
      </c>
      <c r="D40" s="76" t="s">
        <v>14</v>
      </c>
      <c r="E40" s="75">
        <v>2070</v>
      </c>
      <c r="F40" s="76" t="s">
        <v>15</v>
      </c>
      <c r="G40" s="50" t="str">
        <f>VLOOKUP(F40,Tables!$D$2:$E$20,2,FALSE)</f>
        <v>PTR</v>
      </c>
      <c r="H40" s="69">
        <v>17099428</v>
      </c>
      <c r="I40" s="71">
        <f t="shared" si="5"/>
        <v>94</v>
      </c>
      <c r="J40" s="71">
        <f t="shared" si="6"/>
        <v>0</v>
      </c>
      <c r="K40" s="73">
        <f t="shared" si="7"/>
        <v>2.4628000000000001</v>
      </c>
      <c r="L40" s="73">
        <f t="shared" si="8"/>
        <v>0</v>
      </c>
      <c r="M40" s="74">
        <f t="shared" si="9"/>
        <v>2.4628000000000001</v>
      </c>
      <c r="N40" s="76" t="s">
        <v>42</v>
      </c>
      <c r="O40" s="76" t="s">
        <v>43</v>
      </c>
      <c r="P40" s="51">
        <f>IF(G40="MFP",Tables!$B$2,Tables!$B$5)</f>
        <v>2.6200000000000001E-2</v>
      </c>
      <c r="Q40" s="86">
        <f>IF(G40="MFP",Tables!$B$3,Tables!$B$6)</f>
        <v>0.11799999999999999</v>
      </c>
      <c r="R40" s="59">
        <f>VLOOKUP($N40,'Meter Comparison'!$C$2:$G$314,2,FALSE)</f>
        <v>1306</v>
      </c>
      <c r="S40" s="59">
        <f>VLOOKUP($N40,'Meter Comparison'!$C$2:$G$314,3,FALSE)</f>
        <v>1400</v>
      </c>
      <c r="T40" s="59">
        <f>VLOOKUP($N40,'Meter Comparison'!$C$2:$G$314,4,FALSE)</f>
        <v>0</v>
      </c>
      <c r="U40" s="59">
        <f>VLOOKUP($N40,'Meter Comparison'!$C$2:$G$314,5,FALSE)</f>
        <v>0</v>
      </c>
    </row>
    <row r="41" spans="1:21" ht="30" customHeight="1" outlineLevel="1" x14ac:dyDescent="0.3">
      <c r="A41" s="77"/>
      <c r="B41" s="160" t="s">
        <v>1055</v>
      </c>
      <c r="C41" s="55"/>
      <c r="D41" s="76"/>
      <c r="E41" s="75"/>
      <c r="F41" s="76"/>
      <c r="G41" s="50"/>
      <c r="H41" s="69"/>
      <c r="I41" s="71"/>
      <c r="J41" s="71"/>
      <c r="K41" s="73"/>
      <c r="L41" s="73"/>
      <c r="M41" s="74">
        <f>SUBTOTAL(9,M19:M40)</f>
        <v>404.01889999999997</v>
      </c>
      <c r="N41" s="76"/>
      <c r="O41" s="76"/>
      <c r="P41" s="51"/>
      <c r="Q41" s="86"/>
      <c r="R41" s="59"/>
      <c r="S41" s="59"/>
      <c r="T41" s="59"/>
      <c r="U41" s="59"/>
    </row>
    <row r="42" spans="1:21" ht="30" customHeight="1" outlineLevel="2" x14ac:dyDescent="0.3">
      <c r="A42" s="77" t="s">
        <v>661</v>
      </c>
      <c r="B42" s="77" t="s">
        <v>681</v>
      </c>
      <c r="C42" s="55" t="str">
        <f>VLOOKUP(B42,Tables!$G$2:$H$90,2,FALSE)</f>
        <v>AOF - Academic Advising</v>
      </c>
      <c r="D42" s="76" t="s">
        <v>221</v>
      </c>
      <c r="E42" s="75">
        <v>210</v>
      </c>
      <c r="F42" s="76" t="s">
        <v>54</v>
      </c>
      <c r="G42" s="50" t="str">
        <f>VLOOKUP(F42,Tables!$D$2:$E$20,2,FALSE)</f>
        <v>MFP</v>
      </c>
      <c r="H42" s="69">
        <v>17099459</v>
      </c>
      <c r="I42" s="71">
        <f>SUM(S42-R42)</f>
        <v>8227</v>
      </c>
      <c r="J42" s="71">
        <f>SUM(U42-T42)</f>
        <v>433</v>
      </c>
      <c r="K42" s="73">
        <f>SUM(I42*$P42)</f>
        <v>170.2989</v>
      </c>
      <c r="L42" s="73">
        <f>SUM(J42*$Q42)</f>
        <v>37.670999999999999</v>
      </c>
      <c r="M42" s="74">
        <f>K42+L42</f>
        <v>207.9699</v>
      </c>
      <c r="N42" s="76" t="s">
        <v>545</v>
      </c>
      <c r="O42" s="76" t="s">
        <v>546</v>
      </c>
      <c r="P42" s="51">
        <f>IF(G42="MFP",Tables!$B$2,Tables!$B$5)</f>
        <v>2.07E-2</v>
      </c>
      <c r="Q42" s="86">
        <f>IF(G42="MFP",Tables!$B$3,Tables!$B$6)</f>
        <v>8.6999999999999994E-2</v>
      </c>
      <c r="R42" s="59">
        <f>VLOOKUP($N42,'Meter Comparison'!$C$2:$G$314,2,FALSE)</f>
        <v>41732</v>
      </c>
      <c r="S42" s="59">
        <f>VLOOKUP($N42,'Meter Comparison'!$C$2:$G$314,3,FALSE)</f>
        <v>49959</v>
      </c>
      <c r="T42" s="59">
        <f>VLOOKUP($N42,'Meter Comparison'!$C$2:$G$314,4,FALSE)</f>
        <v>3496</v>
      </c>
      <c r="U42" s="59">
        <f>VLOOKUP($N42,'Meter Comparison'!$C$2:$G$314,5,FALSE)</f>
        <v>3929</v>
      </c>
    </row>
    <row r="43" spans="1:21" ht="30" customHeight="1" outlineLevel="1" x14ac:dyDescent="0.3">
      <c r="A43" s="77"/>
      <c r="B43" s="160" t="s">
        <v>1056</v>
      </c>
      <c r="C43" s="55"/>
      <c r="D43" s="76"/>
      <c r="E43" s="75"/>
      <c r="F43" s="76"/>
      <c r="G43" s="50"/>
      <c r="H43" s="69"/>
      <c r="I43" s="71"/>
      <c r="J43" s="71"/>
      <c r="K43" s="73"/>
      <c r="L43" s="73"/>
      <c r="M43" s="74">
        <f>SUBTOTAL(9,M42:M42)</f>
        <v>207.9699</v>
      </c>
      <c r="N43" s="76"/>
      <c r="O43" s="76"/>
      <c r="P43" s="51"/>
      <c r="Q43" s="86"/>
      <c r="R43" s="59"/>
      <c r="S43" s="59"/>
      <c r="T43" s="59"/>
      <c r="U43" s="59"/>
    </row>
    <row r="44" spans="1:21" ht="30" customHeight="1" outlineLevel="2" x14ac:dyDescent="0.3">
      <c r="A44" s="77" t="s">
        <v>667</v>
      </c>
      <c r="B44" s="77" t="s">
        <v>494</v>
      </c>
      <c r="C44" s="55" t="str">
        <f>VLOOKUP(B44,Tables!$G$2:$H$90,2,FALSE)</f>
        <v>Sports Information</v>
      </c>
      <c r="D44" s="76" t="s">
        <v>276</v>
      </c>
      <c r="E44" s="75">
        <v>116</v>
      </c>
      <c r="F44" s="76" t="s">
        <v>157</v>
      </c>
      <c r="G44" s="50" t="str">
        <f>VLOOKUP(F44,Tables!$D$2:$E$20,2,FALSE)</f>
        <v>MFP</v>
      </c>
      <c r="H44" s="69">
        <v>17099531</v>
      </c>
      <c r="I44" s="71">
        <f>SUM(S44-R44)</f>
        <v>1251</v>
      </c>
      <c r="J44" s="71">
        <f>SUM(U44-T44)</f>
        <v>0</v>
      </c>
      <c r="K44" s="73">
        <f>SUM(I44*$P44)</f>
        <v>25.895699999999998</v>
      </c>
      <c r="L44" s="73">
        <f>SUM(J44*$Q44)</f>
        <v>0</v>
      </c>
      <c r="M44" s="74">
        <f>K44+L44</f>
        <v>25.895699999999998</v>
      </c>
      <c r="N44" s="76" t="s">
        <v>495</v>
      </c>
      <c r="O44" s="76" t="s">
        <v>496</v>
      </c>
      <c r="P44" s="51">
        <f>IF(G44="MFP",Tables!$B$2,Tables!$B$5)</f>
        <v>2.07E-2</v>
      </c>
      <c r="Q44" s="86">
        <f>IF(G44="MFP",Tables!$B$3,Tables!$B$6)</f>
        <v>8.6999999999999994E-2</v>
      </c>
      <c r="R44" s="59">
        <f>VLOOKUP($N44,'Meter Comparison'!$C$2:$G$314,2,FALSE)</f>
        <v>6785</v>
      </c>
      <c r="S44" s="59">
        <f>VLOOKUP($N44,'Meter Comparison'!$C$2:$G$314,3,FALSE)</f>
        <v>8036</v>
      </c>
      <c r="T44" s="59">
        <f>VLOOKUP($N44,'Meter Comparison'!$C$2:$G$314,4,FALSE)</f>
        <v>0</v>
      </c>
      <c r="U44" s="59">
        <f>VLOOKUP($N44,'Meter Comparison'!$C$2:$G$314,5,FALSE)</f>
        <v>0</v>
      </c>
    </row>
    <row r="45" spans="1:21" ht="30" customHeight="1" outlineLevel="1" x14ac:dyDescent="0.3">
      <c r="A45" s="77"/>
      <c r="B45" s="160" t="s">
        <v>1057</v>
      </c>
      <c r="C45" s="55"/>
      <c r="D45" s="76"/>
      <c r="E45" s="75"/>
      <c r="F45" s="76"/>
      <c r="G45" s="50"/>
      <c r="H45" s="69"/>
      <c r="I45" s="71"/>
      <c r="J45" s="71"/>
      <c r="K45" s="73"/>
      <c r="L45" s="73"/>
      <c r="M45" s="74">
        <f>SUBTOTAL(9,M44:M44)</f>
        <v>25.895699999999998</v>
      </c>
      <c r="N45" s="76"/>
      <c r="O45" s="76"/>
      <c r="P45" s="51"/>
      <c r="Q45" s="86"/>
      <c r="R45" s="59"/>
      <c r="S45" s="59"/>
      <c r="T45" s="59"/>
      <c r="U45" s="59"/>
    </row>
    <row r="46" spans="1:21" ht="30" customHeight="1" outlineLevel="2" x14ac:dyDescent="0.3">
      <c r="A46" s="77" t="s">
        <v>582</v>
      </c>
      <c r="B46" s="77" t="s">
        <v>609</v>
      </c>
      <c r="C46" s="55" t="str">
        <f>VLOOKUP(B46,Tables!$G$2:$H$90,2,FALSE)</f>
        <v>Track &amp; Cross Country</v>
      </c>
      <c r="D46" s="76" t="s">
        <v>583</v>
      </c>
      <c r="E46" s="75">
        <v>231</v>
      </c>
      <c r="F46" s="76" t="s">
        <v>15</v>
      </c>
      <c r="G46" s="50" t="str">
        <f>VLOOKUP(F46,Tables!$D$2:$E$20,2,FALSE)</f>
        <v>PTR</v>
      </c>
      <c r="H46" s="69">
        <v>17099560</v>
      </c>
      <c r="I46" s="71">
        <f>SUM(S46-R46)</f>
        <v>520</v>
      </c>
      <c r="J46" s="71">
        <f>SUM(U46-T46)</f>
        <v>0</v>
      </c>
      <c r="K46" s="73">
        <f>SUM(I46*$P46)</f>
        <v>13.624000000000001</v>
      </c>
      <c r="L46" s="73">
        <f>SUM(J46*$Q46)</f>
        <v>0</v>
      </c>
      <c r="M46" s="74">
        <f>K46+L46</f>
        <v>13.624000000000001</v>
      </c>
      <c r="N46" s="76" t="s">
        <v>611</v>
      </c>
      <c r="O46" s="76" t="s">
        <v>612</v>
      </c>
      <c r="P46" s="51">
        <f>IF(G46="MFP",Tables!$B$2,Tables!$B$5)</f>
        <v>2.6200000000000001E-2</v>
      </c>
      <c r="Q46" s="86">
        <f>IF(G46="MFP",Tables!$B$3,Tables!$B$6)</f>
        <v>0.11799999999999999</v>
      </c>
      <c r="R46" s="59">
        <f>VLOOKUP($N46,'Meter Comparison'!$C$2:$G$314,2,FALSE)</f>
        <v>3600</v>
      </c>
      <c r="S46" s="59">
        <f>VLOOKUP($N46,'Meter Comparison'!$C$2:$G$314,3,FALSE)</f>
        <v>4120</v>
      </c>
      <c r="T46" s="59">
        <f>VLOOKUP($N46,'Meter Comparison'!$C$2:$G$314,4,FALSE)</f>
        <v>0</v>
      </c>
      <c r="U46" s="59">
        <f>VLOOKUP($N46,'Meter Comparison'!$C$2:$G$314,5,FALSE)</f>
        <v>0</v>
      </c>
    </row>
    <row r="47" spans="1:21" ht="30" customHeight="1" outlineLevel="1" x14ac:dyDescent="0.3">
      <c r="A47" s="77"/>
      <c r="B47" s="160" t="s">
        <v>1058</v>
      </c>
      <c r="C47" s="55"/>
      <c r="D47" s="76"/>
      <c r="E47" s="75"/>
      <c r="F47" s="76"/>
      <c r="G47" s="50"/>
      <c r="H47" s="69"/>
      <c r="I47" s="71"/>
      <c r="J47" s="71"/>
      <c r="K47" s="73"/>
      <c r="L47" s="73"/>
      <c r="M47" s="74">
        <f>SUBTOTAL(9,M46:M46)</f>
        <v>13.624000000000001</v>
      </c>
      <c r="N47" s="76"/>
      <c r="O47" s="76"/>
      <c r="P47" s="51"/>
      <c r="Q47" s="86"/>
      <c r="R47" s="59"/>
      <c r="S47" s="59"/>
      <c r="T47" s="59"/>
      <c r="U47" s="59"/>
    </row>
    <row r="48" spans="1:21" ht="30" customHeight="1" outlineLevel="2" x14ac:dyDescent="0.3">
      <c r="A48" s="77" t="s">
        <v>582</v>
      </c>
      <c r="B48" s="77" t="s">
        <v>589</v>
      </c>
      <c r="C48" s="55" t="str">
        <f>VLOOKUP(B48,Tables!$G$2:$H$90,2,FALSE)</f>
        <v>Soccer</v>
      </c>
      <c r="D48" s="76" t="s">
        <v>583</v>
      </c>
      <c r="E48" s="52">
        <v>245</v>
      </c>
      <c r="F48" s="76" t="s">
        <v>15</v>
      </c>
      <c r="G48" s="50" t="str">
        <f>VLOOKUP(F48,Tables!$D$2:$E$20,2,FALSE)</f>
        <v>PTR</v>
      </c>
      <c r="H48" s="69">
        <v>17099557</v>
      </c>
      <c r="I48" s="71">
        <f>SUM(S48-R48)</f>
        <v>93</v>
      </c>
      <c r="J48" s="71">
        <f>SUM(U48-T48)</f>
        <v>0</v>
      </c>
      <c r="K48" s="73">
        <f>SUM(I48*$P48)</f>
        <v>2.4366000000000003</v>
      </c>
      <c r="L48" s="73">
        <f>SUM(J48*$Q48)</f>
        <v>0</v>
      </c>
      <c r="M48" s="74">
        <f>K48+L48</f>
        <v>2.4366000000000003</v>
      </c>
      <c r="N48" s="76" t="s">
        <v>590</v>
      </c>
      <c r="O48" s="76" t="s">
        <v>591</v>
      </c>
      <c r="P48" s="51">
        <f>IF(G48="MFP",Tables!$B$2,Tables!$B$5)</f>
        <v>2.6200000000000001E-2</v>
      </c>
      <c r="Q48" s="86">
        <f>IF(G48="MFP",Tables!$B$3,Tables!$B$6)</f>
        <v>0.11799999999999999</v>
      </c>
      <c r="R48" s="59">
        <f>VLOOKUP($N48,'Meter Comparison'!$C$2:$G$314,2,FALSE)</f>
        <v>948</v>
      </c>
      <c r="S48" s="59">
        <f>VLOOKUP($N48,'Meter Comparison'!$C$2:$G$314,3,FALSE)</f>
        <v>1041</v>
      </c>
      <c r="T48" s="59">
        <f>VLOOKUP($N48,'Meter Comparison'!$C$2:$G$314,4,FALSE)</f>
        <v>0</v>
      </c>
      <c r="U48" s="59">
        <f>VLOOKUP($N48,'Meter Comparison'!$C$2:$G$314,5,FALSE)</f>
        <v>0</v>
      </c>
    </row>
    <row r="49" spans="1:21" ht="30" customHeight="1" outlineLevel="1" x14ac:dyDescent="0.3">
      <c r="A49" s="77"/>
      <c r="B49" s="160" t="s">
        <v>1059</v>
      </c>
      <c r="C49" s="55"/>
      <c r="D49" s="76"/>
      <c r="E49" s="52"/>
      <c r="F49" s="76"/>
      <c r="G49" s="50"/>
      <c r="H49" s="69"/>
      <c r="I49" s="71"/>
      <c r="J49" s="71"/>
      <c r="K49" s="73"/>
      <c r="L49" s="73"/>
      <c r="M49" s="74">
        <f>SUBTOTAL(9,M48:M48)</f>
        <v>2.4366000000000003</v>
      </c>
      <c r="N49" s="76"/>
      <c r="O49" s="76"/>
      <c r="P49" s="51"/>
      <c r="Q49" s="86"/>
      <c r="R49" s="59"/>
      <c r="S49" s="59"/>
      <c r="T49" s="59"/>
      <c r="U49" s="59"/>
    </row>
    <row r="50" spans="1:21" ht="30" customHeight="1" outlineLevel="2" x14ac:dyDescent="0.3">
      <c r="A50" s="77" t="s">
        <v>582</v>
      </c>
      <c r="B50" s="77" t="s">
        <v>613</v>
      </c>
      <c r="C50" s="55" t="str">
        <f>VLOOKUP(B50,Tables!$G$2:$H$90,2,FALSE)</f>
        <v>Soccer - Women</v>
      </c>
      <c r="D50" s="76" t="s">
        <v>583</v>
      </c>
      <c r="E50" s="75">
        <v>239</v>
      </c>
      <c r="F50" s="76" t="s">
        <v>15</v>
      </c>
      <c r="G50" s="50" t="str">
        <f>VLOOKUP(F50,Tables!$D$2:$E$20,2,FALSE)</f>
        <v>PTR</v>
      </c>
      <c r="H50" s="69">
        <v>17099565</v>
      </c>
      <c r="I50" s="71">
        <f>SUM(S50-R50)</f>
        <v>341</v>
      </c>
      <c r="J50" s="71">
        <f>SUM(U50-T50)</f>
        <v>0</v>
      </c>
      <c r="K50" s="73">
        <f>SUM(I50*$P50)</f>
        <v>8.9342000000000006</v>
      </c>
      <c r="L50" s="73">
        <f>SUM(J50*$Q50)</f>
        <v>0</v>
      </c>
      <c r="M50" s="74">
        <f>K50+L50</f>
        <v>8.9342000000000006</v>
      </c>
      <c r="N50" s="76" t="s">
        <v>615</v>
      </c>
      <c r="O50" s="76" t="s">
        <v>616</v>
      </c>
      <c r="P50" s="51">
        <f>IF(G50="MFP",Tables!$B$2,Tables!$B$5)</f>
        <v>2.6200000000000001E-2</v>
      </c>
      <c r="Q50" s="86">
        <f>IF(G50="MFP",Tables!$B$3,Tables!$B$6)</f>
        <v>0.11799999999999999</v>
      </c>
      <c r="R50" s="59">
        <f>VLOOKUP($N50,'Meter Comparison'!$C$2:$G$314,2,FALSE)</f>
        <v>777</v>
      </c>
      <c r="S50" s="59">
        <f>VLOOKUP($N50,'Meter Comparison'!$C$2:$G$314,3,FALSE)</f>
        <v>1118</v>
      </c>
      <c r="T50" s="59">
        <f>VLOOKUP($N50,'Meter Comparison'!$C$2:$G$314,4,FALSE)</f>
        <v>0</v>
      </c>
      <c r="U50" s="59">
        <f>VLOOKUP($N50,'Meter Comparison'!$C$2:$G$314,5,FALSE)</f>
        <v>0</v>
      </c>
    </row>
    <row r="51" spans="1:21" ht="30" customHeight="1" outlineLevel="1" x14ac:dyDescent="0.3">
      <c r="A51" s="77"/>
      <c r="B51" s="160" t="s">
        <v>1060</v>
      </c>
      <c r="C51" s="55"/>
      <c r="D51" s="76"/>
      <c r="E51" s="75"/>
      <c r="F51" s="76"/>
      <c r="G51" s="50"/>
      <c r="H51" s="69"/>
      <c r="I51" s="71"/>
      <c r="J51" s="71"/>
      <c r="K51" s="73"/>
      <c r="L51" s="73"/>
      <c r="M51" s="74">
        <f>SUBTOTAL(9,M50:M50)</f>
        <v>8.9342000000000006</v>
      </c>
      <c r="N51" s="76"/>
      <c r="O51" s="76"/>
      <c r="P51" s="51"/>
      <c r="Q51" s="86"/>
      <c r="R51" s="59"/>
      <c r="S51" s="59"/>
      <c r="T51" s="59"/>
      <c r="U51" s="59"/>
    </row>
    <row r="52" spans="1:21" ht="30" customHeight="1" outlineLevel="2" x14ac:dyDescent="0.3">
      <c r="A52" s="77" t="s">
        <v>582</v>
      </c>
      <c r="B52" s="77" t="s">
        <v>617</v>
      </c>
      <c r="C52" s="55" t="str">
        <f>VLOOKUP(B52,Tables!$G$2:$H$90,2,FALSE)</f>
        <v>Administrative</v>
      </c>
      <c r="D52" s="76" t="s">
        <v>583</v>
      </c>
      <c r="E52" s="75">
        <v>204</v>
      </c>
      <c r="F52" s="76" t="s">
        <v>157</v>
      </c>
      <c r="G52" s="50" t="str">
        <f>VLOOKUP(F52,Tables!$D$2:$E$20,2,FALSE)</f>
        <v>MFP</v>
      </c>
      <c r="H52" s="69">
        <v>17099507</v>
      </c>
      <c r="I52" s="71">
        <f t="shared" ref="I52:I59" si="10">SUM(S52-R52)</f>
        <v>1453</v>
      </c>
      <c r="J52" s="71">
        <f t="shared" ref="J52:J59" si="11">SUM(U52-T52)</f>
        <v>0</v>
      </c>
      <c r="K52" s="73">
        <f t="shared" ref="K52:K59" si="12">SUM(I52*$P52)</f>
        <v>30.077099999999998</v>
      </c>
      <c r="L52" s="73">
        <f t="shared" ref="L52:L59" si="13">SUM(J52*$Q52)</f>
        <v>0</v>
      </c>
      <c r="M52" s="74">
        <f t="shared" ref="M52:M59" si="14">K52+L52</f>
        <v>30.077099999999998</v>
      </c>
      <c r="N52" s="76" t="s">
        <v>623</v>
      </c>
      <c r="O52" s="76" t="s">
        <v>624</v>
      </c>
      <c r="P52" s="51">
        <f>IF(G52="MFP",Tables!$B$2,Tables!$B$5)</f>
        <v>2.07E-2</v>
      </c>
      <c r="Q52" s="86">
        <f>IF(G52="MFP",Tables!$B$3,Tables!$B$6)</f>
        <v>8.6999999999999994E-2</v>
      </c>
      <c r="R52" s="59">
        <f>VLOOKUP($N52,'Meter Comparison'!$C$2:$G$314,2,FALSE)</f>
        <v>13733</v>
      </c>
      <c r="S52" s="59">
        <f>VLOOKUP($N52,'Meter Comparison'!$C$2:$G$314,3,FALSE)</f>
        <v>15186</v>
      </c>
      <c r="T52" s="59">
        <f>VLOOKUP($N52,'Meter Comparison'!$C$2:$G$314,4,FALSE)</f>
        <v>0</v>
      </c>
      <c r="U52" s="59">
        <f>VLOOKUP($N52,'Meter Comparison'!$C$2:$G$314,5,FALSE)</f>
        <v>0</v>
      </c>
    </row>
    <row r="53" spans="1:21" ht="30" customHeight="1" outlineLevel="2" x14ac:dyDescent="0.3">
      <c r="A53" s="77" t="s">
        <v>582</v>
      </c>
      <c r="B53" s="77" t="s">
        <v>617</v>
      </c>
      <c r="C53" s="55" t="str">
        <f>VLOOKUP(B53,Tables!$G$2:$H$90,2,FALSE)</f>
        <v>Administrative</v>
      </c>
      <c r="D53" s="76" t="s">
        <v>583</v>
      </c>
      <c r="E53" s="75">
        <v>235</v>
      </c>
      <c r="F53" s="76" t="s">
        <v>415</v>
      </c>
      <c r="G53" s="50" t="str">
        <f>VLOOKUP(F53,Tables!$D$2:$E$20,2,FALSE)</f>
        <v>MFP</v>
      </c>
      <c r="H53" s="69">
        <v>17099490</v>
      </c>
      <c r="I53" s="71">
        <f t="shared" si="10"/>
        <v>8890</v>
      </c>
      <c r="J53" s="71">
        <f t="shared" si="11"/>
        <v>2334</v>
      </c>
      <c r="K53" s="73">
        <f t="shared" si="12"/>
        <v>184.023</v>
      </c>
      <c r="L53" s="73">
        <f t="shared" si="13"/>
        <v>203.05799999999999</v>
      </c>
      <c r="M53" s="74">
        <f t="shared" si="14"/>
        <v>387.08100000000002</v>
      </c>
      <c r="N53" s="76" t="s">
        <v>621</v>
      </c>
      <c r="O53" s="76" t="s">
        <v>622</v>
      </c>
      <c r="P53" s="51">
        <f>IF(G53="MFP",Tables!$B$2,Tables!$B$5)</f>
        <v>2.07E-2</v>
      </c>
      <c r="Q53" s="86">
        <f>IF(G53="MFP",Tables!$B$3,Tables!$B$6)</f>
        <v>8.6999999999999994E-2</v>
      </c>
      <c r="R53" s="59">
        <f>VLOOKUP($N53,'Meter Comparison'!$C$2:$G$314,2,FALSE)</f>
        <v>44575</v>
      </c>
      <c r="S53" s="59">
        <f>VLOOKUP($N53,'Meter Comparison'!$C$2:$G$314,3,FALSE)</f>
        <v>53465</v>
      </c>
      <c r="T53" s="59">
        <f>VLOOKUP($N53,'Meter Comparison'!$C$2:$G$314,4,FALSE)</f>
        <v>16173</v>
      </c>
      <c r="U53" s="59">
        <f>VLOOKUP($N53,'Meter Comparison'!$C$2:$G$314,5,FALSE)</f>
        <v>18507</v>
      </c>
    </row>
    <row r="54" spans="1:21" ht="30" customHeight="1" outlineLevel="2" x14ac:dyDescent="0.3">
      <c r="A54" s="77" t="s">
        <v>582</v>
      </c>
      <c r="B54" s="77" t="s">
        <v>617</v>
      </c>
      <c r="C54" s="55" t="str">
        <f>VLOOKUP(B54,Tables!$G$2:$H$90,2,FALSE)</f>
        <v>Administrative</v>
      </c>
      <c r="D54" s="76" t="s">
        <v>583</v>
      </c>
      <c r="E54" s="75">
        <v>241</v>
      </c>
      <c r="F54" s="76" t="s">
        <v>15</v>
      </c>
      <c r="G54" s="50" t="str">
        <f>VLOOKUP(F54,Tables!$D$2:$E$20,2,FALSE)</f>
        <v>PTR</v>
      </c>
      <c r="H54" s="69">
        <v>17099552</v>
      </c>
      <c r="I54" s="71">
        <f t="shared" si="10"/>
        <v>783</v>
      </c>
      <c r="J54" s="71">
        <f t="shared" si="11"/>
        <v>0</v>
      </c>
      <c r="K54" s="73">
        <f t="shared" si="12"/>
        <v>20.514600000000002</v>
      </c>
      <c r="L54" s="73">
        <f t="shared" si="13"/>
        <v>0</v>
      </c>
      <c r="M54" s="74">
        <f t="shared" si="14"/>
        <v>20.514600000000002</v>
      </c>
      <c r="N54" s="76" t="s">
        <v>625</v>
      </c>
      <c r="O54" s="76" t="s">
        <v>626</v>
      </c>
      <c r="P54" s="51">
        <f>IF(G54="MFP",Tables!$B$2,Tables!$B$5)</f>
        <v>2.6200000000000001E-2</v>
      </c>
      <c r="Q54" s="86">
        <f>IF(G54="MFP",Tables!$B$3,Tables!$B$6)</f>
        <v>0.11799999999999999</v>
      </c>
      <c r="R54" s="59">
        <f>VLOOKUP($N54,'Meter Comparison'!$C$2:$G$314,2,FALSE)</f>
        <v>4560</v>
      </c>
      <c r="S54" s="59">
        <f>VLOOKUP($N54,'Meter Comparison'!$C$2:$G$314,3,FALSE)</f>
        <v>5343</v>
      </c>
      <c r="T54" s="59">
        <f>VLOOKUP($N54,'Meter Comparison'!$C$2:$G$314,4,FALSE)</f>
        <v>0</v>
      </c>
      <c r="U54" s="59">
        <f>VLOOKUP($N54,'Meter Comparison'!$C$2:$G$314,5,FALSE)</f>
        <v>0</v>
      </c>
    </row>
    <row r="55" spans="1:21" ht="30" customHeight="1" outlineLevel="2" x14ac:dyDescent="0.3">
      <c r="A55" s="77" t="s">
        <v>582</v>
      </c>
      <c r="B55" s="77" t="s">
        <v>617</v>
      </c>
      <c r="C55" s="55" t="str">
        <f>VLOOKUP(B55,Tables!$G$2:$H$90,2,FALSE)</f>
        <v>Administrative</v>
      </c>
      <c r="D55" s="76" t="s">
        <v>583</v>
      </c>
      <c r="E55" s="75">
        <v>242</v>
      </c>
      <c r="F55" s="76" t="s">
        <v>15</v>
      </c>
      <c r="G55" s="50" t="str">
        <f>VLOOKUP(F55,Tables!$D$2:$E$20,2,FALSE)</f>
        <v>PTR</v>
      </c>
      <c r="H55" s="69">
        <v>17099553</v>
      </c>
      <c r="I55" s="71">
        <f t="shared" si="10"/>
        <v>244</v>
      </c>
      <c r="J55" s="71">
        <f t="shared" si="11"/>
        <v>0</v>
      </c>
      <c r="K55" s="73">
        <f t="shared" si="12"/>
        <v>6.3928000000000003</v>
      </c>
      <c r="L55" s="73">
        <f t="shared" si="13"/>
        <v>0</v>
      </c>
      <c r="M55" s="74">
        <f t="shared" si="14"/>
        <v>6.3928000000000003</v>
      </c>
      <c r="N55" s="76" t="s">
        <v>627</v>
      </c>
      <c r="O55" s="76" t="s">
        <v>628</v>
      </c>
      <c r="P55" s="51">
        <f>IF(G55="MFP",Tables!$B$2,Tables!$B$5)</f>
        <v>2.6200000000000001E-2</v>
      </c>
      <c r="Q55" s="86">
        <f>IF(G55="MFP",Tables!$B$3,Tables!$B$6)</f>
        <v>0.11799999999999999</v>
      </c>
      <c r="R55" s="59">
        <f>VLOOKUP($N55,'Meter Comparison'!$C$2:$G$314,2,FALSE)</f>
        <v>1332</v>
      </c>
      <c r="S55" s="59">
        <f>VLOOKUP($N55,'Meter Comparison'!$C$2:$G$314,3,FALSE)</f>
        <v>1576</v>
      </c>
      <c r="T55" s="59">
        <f>VLOOKUP($N55,'Meter Comparison'!$C$2:$G$314,4,FALSE)</f>
        <v>0</v>
      </c>
      <c r="U55" s="59">
        <f>VLOOKUP($N55,'Meter Comparison'!$C$2:$G$314,5,FALSE)</f>
        <v>0</v>
      </c>
    </row>
    <row r="56" spans="1:21" ht="30" customHeight="1" outlineLevel="2" x14ac:dyDescent="0.3">
      <c r="A56" s="77" t="s">
        <v>582</v>
      </c>
      <c r="B56" s="77" t="s">
        <v>617</v>
      </c>
      <c r="C56" s="55" t="str">
        <f>VLOOKUP(B56,Tables!$G$2:$H$90,2,FALSE)</f>
        <v>Administrative</v>
      </c>
      <c r="D56" s="76" t="s">
        <v>583</v>
      </c>
      <c r="E56" s="75">
        <v>302</v>
      </c>
      <c r="F56" s="76" t="s">
        <v>54</v>
      </c>
      <c r="G56" s="50" t="str">
        <f>VLOOKUP(F56,Tables!$D$2:$E$20,2,FALSE)</f>
        <v>MFP</v>
      </c>
      <c r="H56" s="69">
        <v>17099722</v>
      </c>
      <c r="I56" s="71">
        <f t="shared" si="10"/>
        <v>1020</v>
      </c>
      <c r="J56" s="71">
        <f t="shared" si="11"/>
        <v>1717</v>
      </c>
      <c r="K56" s="73">
        <f t="shared" si="12"/>
        <v>21.114000000000001</v>
      </c>
      <c r="L56" s="73">
        <f t="shared" si="13"/>
        <v>149.37899999999999</v>
      </c>
      <c r="M56" s="74">
        <f t="shared" si="14"/>
        <v>170.49299999999999</v>
      </c>
      <c r="N56" s="76" t="s">
        <v>619</v>
      </c>
      <c r="O56" s="76" t="s">
        <v>620</v>
      </c>
      <c r="P56" s="51">
        <f>IF(G56="MFP",Tables!$B$2,Tables!$B$5)</f>
        <v>2.07E-2</v>
      </c>
      <c r="Q56" s="86">
        <f>IF(G56="MFP",Tables!$B$3,Tables!$B$6)</f>
        <v>8.6999999999999994E-2</v>
      </c>
      <c r="R56" s="59">
        <f>VLOOKUP($N56,'Meter Comparison'!$C$2:$G$314,2,FALSE)</f>
        <v>6989</v>
      </c>
      <c r="S56" s="59">
        <f>VLOOKUP($N56,'Meter Comparison'!$C$2:$G$314,3,FALSE)</f>
        <v>8009</v>
      </c>
      <c r="T56" s="59">
        <f>VLOOKUP($N56,'Meter Comparison'!$C$2:$G$314,4,FALSE)</f>
        <v>15368</v>
      </c>
      <c r="U56" s="59">
        <f>VLOOKUP($N56,'Meter Comparison'!$C$2:$G$314,5,FALSE)</f>
        <v>17085</v>
      </c>
    </row>
    <row r="57" spans="1:21" ht="30" customHeight="1" outlineLevel="2" x14ac:dyDescent="0.3">
      <c r="A57" s="77" t="s">
        <v>582</v>
      </c>
      <c r="B57" s="77" t="s">
        <v>617</v>
      </c>
      <c r="C57" s="55" t="str">
        <f>VLOOKUP(B57,Tables!$G$2:$H$90,2,FALSE)</f>
        <v>Administrative</v>
      </c>
      <c r="D57" s="76" t="s">
        <v>583</v>
      </c>
      <c r="E57" s="75">
        <v>312</v>
      </c>
      <c r="F57" s="76" t="s">
        <v>15</v>
      </c>
      <c r="G57" s="50" t="str">
        <f>VLOOKUP(F57,Tables!$D$2:$E$20,2,FALSE)</f>
        <v>PTR</v>
      </c>
      <c r="H57" s="69">
        <v>17099555</v>
      </c>
      <c r="I57" s="71">
        <f t="shared" si="10"/>
        <v>244</v>
      </c>
      <c r="J57" s="71">
        <f t="shared" si="11"/>
        <v>0</v>
      </c>
      <c r="K57" s="73">
        <f t="shared" si="12"/>
        <v>6.3928000000000003</v>
      </c>
      <c r="L57" s="73">
        <f t="shared" si="13"/>
        <v>0</v>
      </c>
      <c r="M57" s="74">
        <f t="shared" si="14"/>
        <v>6.3928000000000003</v>
      </c>
      <c r="N57" s="76" t="s">
        <v>629</v>
      </c>
      <c r="O57" s="76" t="s">
        <v>630</v>
      </c>
      <c r="P57" s="51">
        <f>IF(G57="MFP",Tables!$B$2,Tables!$B$5)</f>
        <v>2.6200000000000001E-2</v>
      </c>
      <c r="Q57" s="86">
        <f>IF(G57="MFP",Tables!$B$3,Tables!$B$6)</f>
        <v>0.11799999999999999</v>
      </c>
      <c r="R57" s="59">
        <f>VLOOKUP($N57,'Meter Comparison'!$C$2:$G$314,2,FALSE)</f>
        <v>1861</v>
      </c>
      <c r="S57" s="59">
        <f>VLOOKUP($N57,'Meter Comparison'!$C$2:$G$314,3,FALSE)</f>
        <v>2105</v>
      </c>
      <c r="T57" s="59">
        <f>VLOOKUP($N57,'Meter Comparison'!$C$2:$G$314,4,FALSE)</f>
        <v>0</v>
      </c>
      <c r="U57" s="59">
        <f>VLOOKUP($N57,'Meter Comparison'!$C$2:$G$314,5,FALSE)</f>
        <v>0</v>
      </c>
    </row>
    <row r="58" spans="1:21" ht="30" customHeight="1" outlineLevel="2" x14ac:dyDescent="0.3">
      <c r="A58" s="77" t="s">
        <v>582</v>
      </c>
      <c r="B58" s="77" t="s">
        <v>617</v>
      </c>
      <c r="C58" s="55" t="str">
        <f>VLOOKUP(B58,Tables!$G$2:$H$90,2,FALSE)</f>
        <v>Administrative</v>
      </c>
      <c r="D58" s="76" t="s">
        <v>583</v>
      </c>
      <c r="E58" s="75">
        <v>314</v>
      </c>
      <c r="F58" s="76" t="s">
        <v>15</v>
      </c>
      <c r="G58" s="50" t="str">
        <f>VLOOKUP(F58,Tables!$D$2:$E$20,2,FALSE)</f>
        <v>PTR</v>
      </c>
      <c r="H58" s="69">
        <v>17099558</v>
      </c>
      <c r="I58" s="71">
        <f t="shared" si="10"/>
        <v>229</v>
      </c>
      <c r="J58" s="71">
        <f t="shared" si="11"/>
        <v>0</v>
      </c>
      <c r="K58" s="73">
        <f t="shared" si="12"/>
        <v>5.9998000000000005</v>
      </c>
      <c r="L58" s="73">
        <f t="shared" si="13"/>
        <v>0</v>
      </c>
      <c r="M58" s="74">
        <f t="shared" si="14"/>
        <v>5.9998000000000005</v>
      </c>
      <c r="N58" s="76" t="s">
        <v>631</v>
      </c>
      <c r="O58" s="76" t="s">
        <v>632</v>
      </c>
      <c r="P58" s="51">
        <f>IF(G58="MFP",Tables!$B$2,Tables!$B$5)</f>
        <v>2.6200000000000001E-2</v>
      </c>
      <c r="Q58" s="86">
        <f>IF(G58="MFP",Tables!$B$3,Tables!$B$6)</f>
        <v>0.11799999999999999</v>
      </c>
      <c r="R58" s="59">
        <f>VLOOKUP($N58,'Meter Comparison'!$C$2:$G$314,2,FALSE)</f>
        <v>2100</v>
      </c>
      <c r="S58" s="59">
        <f>VLOOKUP($N58,'Meter Comparison'!$C$2:$G$314,3,FALSE)</f>
        <v>2329</v>
      </c>
      <c r="T58" s="59">
        <f>VLOOKUP($N58,'Meter Comparison'!$C$2:$G$314,4,FALSE)</f>
        <v>0</v>
      </c>
      <c r="U58" s="59">
        <f>VLOOKUP($N58,'Meter Comparison'!$C$2:$G$314,5,FALSE)</f>
        <v>0</v>
      </c>
    </row>
    <row r="59" spans="1:21" ht="30" customHeight="1" outlineLevel="2" x14ac:dyDescent="0.3">
      <c r="A59" s="77" t="s">
        <v>582</v>
      </c>
      <c r="B59" s="77" t="s">
        <v>617</v>
      </c>
      <c r="C59" s="55" t="str">
        <f>VLOOKUP(B59,Tables!$G$2:$H$90,2,FALSE)</f>
        <v>Administrative</v>
      </c>
      <c r="D59" s="76" t="s">
        <v>583</v>
      </c>
      <c r="E59" s="75">
        <v>317</v>
      </c>
      <c r="F59" s="76" t="s">
        <v>15</v>
      </c>
      <c r="G59" s="50" t="str">
        <f>VLOOKUP(F59,Tables!$D$2:$E$20,2,FALSE)</f>
        <v>PTR</v>
      </c>
      <c r="H59" s="69">
        <v>17099554</v>
      </c>
      <c r="I59" s="71">
        <f t="shared" si="10"/>
        <v>209</v>
      </c>
      <c r="J59" s="71">
        <f t="shared" si="11"/>
        <v>0</v>
      </c>
      <c r="K59" s="73">
        <f t="shared" si="12"/>
        <v>5.4758000000000004</v>
      </c>
      <c r="L59" s="73">
        <f t="shared" si="13"/>
        <v>0</v>
      </c>
      <c r="M59" s="74">
        <f t="shared" si="14"/>
        <v>5.4758000000000004</v>
      </c>
      <c r="N59" s="76" t="s">
        <v>584</v>
      </c>
      <c r="O59" s="76" t="s">
        <v>585</v>
      </c>
      <c r="P59" s="51">
        <f>IF(G59="MFP",Tables!$B$2,Tables!$B$5)</f>
        <v>2.6200000000000001E-2</v>
      </c>
      <c r="Q59" s="86">
        <f>IF(G59="MFP",Tables!$B$3,Tables!$B$6)</f>
        <v>0.11799999999999999</v>
      </c>
      <c r="R59" s="59">
        <f>VLOOKUP($N59,'Meter Comparison'!$C$2:$G$314,2,FALSE)</f>
        <v>694</v>
      </c>
      <c r="S59" s="59">
        <f>VLOOKUP($N59,'Meter Comparison'!$C$2:$G$314,3,FALSE)</f>
        <v>903</v>
      </c>
      <c r="T59" s="59">
        <f>VLOOKUP($N59,'Meter Comparison'!$C$2:$G$314,4,FALSE)</f>
        <v>0</v>
      </c>
      <c r="U59" s="59">
        <f>VLOOKUP($N59,'Meter Comparison'!$C$2:$G$314,5,FALSE)</f>
        <v>0</v>
      </c>
    </row>
    <row r="60" spans="1:21" ht="30" customHeight="1" outlineLevel="1" x14ac:dyDescent="0.3">
      <c r="A60" s="77"/>
      <c r="B60" s="160" t="s">
        <v>1061</v>
      </c>
      <c r="C60" s="55"/>
      <c r="D60" s="76"/>
      <c r="E60" s="75"/>
      <c r="F60" s="76"/>
      <c r="G60" s="50"/>
      <c r="H60" s="69"/>
      <c r="I60" s="71"/>
      <c r="J60" s="71"/>
      <c r="K60" s="73"/>
      <c r="L60" s="73"/>
      <c r="M60" s="74">
        <f>SUBTOTAL(9,M52:M59)</f>
        <v>632.42690000000005</v>
      </c>
      <c r="N60" s="76"/>
      <c r="O60" s="76"/>
      <c r="P60" s="51"/>
      <c r="Q60" s="86"/>
      <c r="R60" s="59"/>
      <c r="S60" s="59"/>
      <c r="T60" s="59"/>
      <c r="U60" s="59"/>
    </row>
    <row r="61" spans="1:21" ht="30" customHeight="1" outlineLevel="2" x14ac:dyDescent="0.3">
      <c r="A61" s="77" t="s">
        <v>577</v>
      </c>
      <c r="B61" s="77" t="s">
        <v>578</v>
      </c>
      <c r="C61" s="55" t="str">
        <f>VLOOKUP(B61,Tables!$G$2:$H$90,2,FALSE)</f>
        <v>Auxiliary Administration</v>
      </c>
      <c r="D61" s="76" t="s">
        <v>205</v>
      </c>
      <c r="E61" s="75">
        <v>502</v>
      </c>
      <c r="F61" s="76" t="s">
        <v>54</v>
      </c>
      <c r="G61" s="50" t="str">
        <f>VLOOKUP(F61,Tables!$D$2:$E$20,2,FALSE)</f>
        <v>MFP</v>
      </c>
      <c r="H61" s="69">
        <v>17099424</v>
      </c>
      <c r="I61" s="71">
        <f>SUM(S61-R61)</f>
        <v>1017</v>
      </c>
      <c r="J61" s="71">
        <f>SUM(U61-T61)</f>
        <v>36</v>
      </c>
      <c r="K61" s="73">
        <f>SUM(I61*$P61)</f>
        <v>21.0519</v>
      </c>
      <c r="L61" s="73">
        <f>SUM(J61*$Q61)</f>
        <v>3.1319999999999997</v>
      </c>
      <c r="M61" s="74">
        <f>K61+L61</f>
        <v>24.183900000000001</v>
      </c>
      <c r="N61" s="76" t="s">
        <v>580</v>
      </c>
      <c r="O61" s="76" t="s">
        <v>581</v>
      </c>
      <c r="P61" s="51">
        <f>IF(G61="MFP",Tables!$B$2,Tables!$B$5)</f>
        <v>2.07E-2</v>
      </c>
      <c r="Q61" s="86">
        <f>IF(G61="MFP",Tables!$B$3,Tables!$B$6)</f>
        <v>8.6999999999999994E-2</v>
      </c>
      <c r="R61" s="59">
        <f>VLOOKUP($N61,'Meter Comparison'!$C$2:$G$314,2,FALSE)</f>
        <v>6728</v>
      </c>
      <c r="S61" s="59">
        <f>VLOOKUP($N61,'Meter Comparison'!$C$2:$G$314,3,FALSE)</f>
        <v>7745</v>
      </c>
      <c r="T61" s="59">
        <f>VLOOKUP($N61,'Meter Comparison'!$C$2:$G$314,4,FALSE)</f>
        <v>821</v>
      </c>
      <c r="U61" s="59">
        <f>VLOOKUP($N61,'Meter Comparison'!$C$2:$G$314,5,FALSE)</f>
        <v>857</v>
      </c>
    </row>
    <row r="62" spans="1:21" ht="30" customHeight="1" outlineLevel="1" x14ac:dyDescent="0.3">
      <c r="A62" s="77"/>
      <c r="B62" s="160" t="s">
        <v>1062</v>
      </c>
      <c r="C62" s="55"/>
      <c r="D62" s="76"/>
      <c r="E62" s="75"/>
      <c r="F62" s="76"/>
      <c r="G62" s="50"/>
      <c r="H62" s="69"/>
      <c r="I62" s="71"/>
      <c r="J62" s="71"/>
      <c r="K62" s="73"/>
      <c r="L62" s="73"/>
      <c r="M62" s="74">
        <f>SUBTOTAL(9,M61:M61)</f>
        <v>24.183900000000001</v>
      </c>
      <c r="N62" s="76"/>
      <c r="O62" s="76"/>
      <c r="P62" s="51"/>
      <c r="Q62" s="86"/>
      <c r="R62" s="59"/>
      <c r="S62" s="59"/>
      <c r="T62" s="59"/>
      <c r="U62" s="59"/>
    </row>
    <row r="63" spans="1:21" ht="30" customHeight="1" outlineLevel="2" x14ac:dyDescent="0.3">
      <c r="A63" s="77" t="s">
        <v>539</v>
      </c>
      <c r="B63" s="77" t="s">
        <v>540</v>
      </c>
      <c r="C63" s="55" t="str">
        <f>VLOOKUP(B63,Tables!$G$2:$H$90,2,FALSE)</f>
        <v>UMA-Band</v>
      </c>
      <c r="D63" s="76" t="s">
        <v>335</v>
      </c>
      <c r="E63" s="75">
        <v>207</v>
      </c>
      <c r="F63" s="76" t="s">
        <v>157</v>
      </c>
      <c r="G63" s="50" t="str">
        <f>VLOOKUP(F63,Tables!$D$2:$E$20,2,FALSE)</f>
        <v>MFP</v>
      </c>
      <c r="H63" s="69">
        <v>17099460</v>
      </c>
      <c r="I63" s="71">
        <f>SUM(S63-R63)</f>
        <v>774</v>
      </c>
      <c r="J63" s="71">
        <f>SUM(U63-T63)</f>
        <v>0</v>
      </c>
      <c r="K63" s="73">
        <f>SUM(I63*$P63)</f>
        <v>16.021799999999999</v>
      </c>
      <c r="L63" s="73">
        <f>SUM(J63*$Q63)</f>
        <v>0</v>
      </c>
      <c r="M63" s="74">
        <f>K63+L63</f>
        <v>16.021799999999999</v>
      </c>
      <c r="N63" s="76" t="s">
        <v>542</v>
      </c>
      <c r="O63" s="76" t="s">
        <v>543</v>
      </c>
      <c r="P63" s="51">
        <f>IF(G63="MFP",Tables!$B$2,Tables!$B$5)</f>
        <v>2.07E-2</v>
      </c>
      <c r="Q63" s="86">
        <f>IF(G63="MFP",Tables!$B$3,Tables!$B$6)</f>
        <v>8.6999999999999994E-2</v>
      </c>
      <c r="R63" s="59">
        <f>VLOOKUP($N63,'Meter Comparison'!$C$2:$G$314,2,FALSE)</f>
        <v>6616</v>
      </c>
      <c r="S63" s="59">
        <f>VLOOKUP($N63,'Meter Comparison'!$C$2:$G$314,3,FALSE)</f>
        <v>7390</v>
      </c>
      <c r="T63" s="59">
        <f>VLOOKUP($N63,'Meter Comparison'!$C$2:$G$314,4,FALSE)</f>
        <v>0</v>
      </c>
      <c r="U63" s="59">
        <f>VLOOKUP($N63,'Meter Comparison'!$C$2:$G$314,5,FALSE)</f>
        <v>0</v>
      </c>
    </row>
    <row r="64" spans="1:21" ht="30" customHeight="1" outlineLevel="1" x14ac:dyDescent="0.3">
      <c r="A64" s="77"/>
      <c r="B64" s="160" t="s">
        <v>1063</v>
      </c>
      <c r="C64" s="55"/>
      <c r="D64" s="76"/>
      <c r="E64" s="75"/>
      <c r="F64" s="76"/>
      <c r="G64" s="50"/>
      <c r="H64" s="69"/>
      <c r="I64" s="71"/>
      <c r="J64" s="71"/>
      <c r="K64" s="73"/>
      <c r="L64" s="73"/>
      <c r="M64" s="74">
        <f>SUBTOTAL(9,M63:M63)</f>
        <v>16.021799999999999</v>
      </c>
      <c r="N64" s="76"/>
      <c r="O64" s="76"/>
      <c r="P64" s="51"/>
      <c r="Q64" s="86"/>
      <c r="R64" s="59"/>
      <c r="S64" s="59"/>
      <c r="T64" s="59"/>
      <c r="U64" s="59"/>
    </row>
    <row r="65" spans="1:21" ht="30" customHeight="1" outlineLevel="2" x14ac:dyDescent="0.3">
      <c r="A65" s="77" t="s">
        <v>52</v>
      </c>
      <c r="B65" s="122" t="s">
        <v>817</v>
      </c>
      <c r="C65" s="55" t="str">
        <f>VLOOKUP(B65,Tables!$G$2:$H$90,2,FALSE)</f>
        <v>Biology</v>
      </c>
      <c r="D65" s="112" t="s">
        <v>53</v>
      </c>
      <c r="E65" s="102">
        <v>219</v>
      </c>
      <c r="F65" s="103" t="s">
        <v>15</v>
      </c>
      <c r="G65" s="50" t="str">
        <f>VLOOKUP(F65,Tables!$D$2:$E$20,2,FALSE)</f>
        <v>PTR</v>
      </c>
      <c r="H65" s="69">
        <v>17099760</v>
      </c>
      <c r="I65" s="106">
        <f>SUM(S65-R65)</f>
        <v>306</v>
      </c>
      <c r="J65" s="106">
        <f>SUM(U65-T65)</f>
        <v>0</v>
      </c>
      <c r="K65" s="107">
        <f>SUM(I65*$P65)</f>
        <v>8.0172000000000008</v>
      </c>
      <c r="L65" s="107">
        <f>SUM(J65*$Q65)</f>
        <v>0</v>
      </c>
      <c r="M65" s="108">
        <f>K65+L65</f>
        <v>8.0172000000000008</v>
      </c>
      <c r="N65" s="113" t="s">
        <v>886</v>
      </c>
      <c r="O65" s="54" t="s">
        <v>965</v>
      </c>
      <c r="P65" s="51">
        <f>IF(G65="MFP",Tables!$B$2,Tables!$B$5)</f>
        <v>2.6200000000000001E-2</v>
      </c>
      <c r="Q65" s="86">
        <f>IF(G65="MFP",Tables!$B$3,Tables!$B$6)</f>
        <v>0.11799999999999999</v>
      </c>
      <c r="R65" s="59">
        <f>VLOOKUP($N65,'Meter Comparison'!$C$2:$G$314,2,FALSE)</f>
        <v>906</v>
      </c>
      <c r="S65" s="59">
        <f>VLOOKUP($N65,'Meter Comparison'!$C$2:$G$314,3,FALSE)</f>
        <v>1212</v>
      </c>
      <c r="T65" s="59">
        <f>VLOOKUP($N65,'Meter Comparison'!$C$2:$G$314,4,FALSE)</f>
        <v>0</v>
      </c>
      <c r="U65" s="59">
        <f>VLOOKUP($N65,'Meter Comparison'!$C$2:$G$314,5,FALSE)</f>
        <v>0</v>
      </c>
    </row>
    <row r="66" spans="1:21" ht="30" customHeight="1" outlineLevel="2" x14ac:dyDescent="0.3">
      <c r="A66" s="77" t="s">
        <v>52</v>
      </c>
      <c r="B66" s="123" t="s">
        <v>817</v>
      </c>
      <c r="C66" s="55" t="str">
        <f>VLOOKUP(B66,Tables!$G$2:$H$90,2,FALSE)</f>
        <v>Biology</v>
      </c>
      <c r="D66" s="116" t="s">
        <v>53</v>
      </c>
      <c r="E66" s="117" t="s">
        <v>1000</v>
      </c>
      <c r="F66" s="103" t="s">
        <v>15</v>
      </c>
      <c r="G66" s="50" t="str">
        <f>VLOOKUP(F66,Tables!$D$2:$E$20,2,FALSE)</f>
        <v>PTR</v>
      </c>
      <c r="H66" s="69">
        <v>17099814</v>
      </c>
      <c r="I66" s="106">
        <f>SUM(S66-R66)</f>
        <v>68</v>
      </c>
      <c r="J66" s="106">
        <f>SUM(U66-T66)</f>
        <v>0</v>
      </c>
      <c r="K66" s="107">
        <f>SUM(I66*$P66)</f>
        <v>1.7816000000000001</v>
      </c>
      <c r="L66" s="107">
        <f>SUM(J66*$Q66)</f>
        <v>0</v>
      </c>
      <c r="M66" s="108">
        <f>K66+L66</f>
        <v>1.7816000000000001</v>
      </c>
      <c r="N66" s="58" t="s">
        <v>871</v>
      </c>
      <c r="O66" s="54" t="s">
        <v>939</v>
      </c>
      <c r="P66" s="51">
        <f>IF(G66="MFP",Tables!$B$2,Tables!$B$5)</f>
        <v>2.6200000000000001E-2</v>
      </c>
      <c r="Q66" s="86">
        <f>IF(G66="MFP",Tables!$B$3,Tables!$B$6)</f>
        <v>0.11799999999999999</v>
      </c>
      <c r="R66" s="59">
        <f>VLOOKUP($N66,'Meter Comparison'!$C$2:$G$314,2,FALSE)</f>
        <v>169</v>
      </c>
      <c r="S66" s="59">
        <f>VLOOKUP($N66,'Meter Comparison'!$C$2:$G$314,3,FALSE)</f>
        <v>237</v>
      </c>
      <c r="T66" s="59">
        <f>VLOOKUP($N66,'Meter Comparison'!$C$2:$G$314,4,FALSE)</f>
        <v>0</v>
      </c>
      <c r="U66" s="59">
        <f>VLOOKUP($N66,'Meter Comparison'!$C$2:$G$314,5,FALSE)</f>
        <v>0</v>
      </c>
    </row>
    <row r="67" spans="1:21" ht="30" customHeight="1" outlineLevel="1" x14ac:dyDescent="0.3">
      <c r="A67" s="77"/>
      <c r="B67" s="163" t="s">
        <v>1064</v>
      </c>
      <c r="C67" s="55"/>
      <c r="D67" s="116"/>
      <c r="E67" s="117"/>
      <c r="F67" s="103"/>
      <c r="G67" s="50"/>
      <c r="H67" s="69"/>
      <c r="I67" s="106"/>
      <c r="J67" s="106"/>
      <c r="K67" s="107"/>
      <c r="L67" s="107"/>
      <c r="M67" s="108">
        <f>SUBTOTAL(9,M65:M66)</f>
        <v>9.7988</v>
      </c>
      <c r="N67" s="58"/>
      <c r="O67" s="54"/>
      <c r="P67" s="51"/>
      <c r="Q67" s="86"/>
      <c r="R67" s="59"/>
      <c r="S67" s="59"/>
      <c r="T67" s="59"/>
      <c r="U67" s="59"/>
    </row>
    <row r="68" spans="1:21" ht="30" customHeight="1" outlineLevel="2" x14ac:dyDescent="0.3">
      <c r="A68" s="77" t="s">
        <v>52</v>
      </c>
      <c r="B68" s="77" t="s">
        <v>422</v>
      </c>
      <c r="C68" s="55" t="str">
        <f>VLOOKUP(B68,Tables!$G$2:$H$90,2,FALSE)</f>
        <v>Printer Services</v>
      </c>
      <c r="D68" s="76" t="s">
        <v>53</v>
      </c>
      <c r="E68" s="75" t="s">
        <v>438</v>
      </c>
      <c r="F68" s="76" t="s">
        <v>15</v>
      </c>
      <c r="G68" s="50" t="str">
        <f>VLOOKUP(F68,Tables!$D$2:$E$20,2,FALSE)</f>
        <v>PTR</v>
      </c>
      <c r="H68" s="69">
        <v>17099708</v>
      </c>
      <c r="I68" s="71">
        <f>SUM(S68-R68)</f>
        <v>150</v>
      </c>
      <c r="J68" s="71">
        <f>SUM(U68-T68)</f>
        <v>0</v>
      </c>
      <c r="K68" s="73">
        <f>SUM(I68*$P68)</f>
        <v>3.93</v>
      </c>
      <c r="L68" s="73">
        <f>SUM(J68*$Q68)</f>
        <v>0</v>
      </c>
      <c r="M68" s="74">
        <f>K68+L68</f>
        <v>3.93</v>
      </c>
      <c r="N68" s="76" t="s">
        <v>439</v>
      </c>
      <c r="O68" s="76" t="s">
        <v>440</v>
      </c>
      <c r="P68" s="51">
        <f>IF(G68="MFP",Tables!$B$2,Tables!$B$5)</f>
        <v>2.6200000000000001E-2</v>
      </c>
      <c r="Q68" s="86">
        <f>IF(G68="MFP",Tables!$B$3,Tables!$B$6)</f>
        <v>0.11799999999999999</v>
      </c>
      <c r="R68" s="59">
        <f>VLOOKUP($N68,'Meter Comparison'!$C$2:$G$314,2,FALSE)</f>
        <v>472</v>
      </c>
      <c r="S68" s="59">
        <f>VLOOKUP($N68,'Meter Comparison'!$C$2:$G$314,3,FALSE)</f>
        <v>622</v>
      </c>
      <c r="T68" s="59">
        <f>VLOOKUP($N68,'Meter Comparison'!$C$2:$G$314,4,FALSE)</f>
        <v>0</v>
      </c>
      <c r="U68" s="59">
        <f>VLOOKUP($N68,'Meter Comparison'!$C$2:$G$314,5,FALSE)</f>
        <v>0</v>
      </c>
    </row>
    <row r="69" spans="1:21" ht="30" customHeight="1" outlineLevel="1" x14ac:dyDescent="0.3">
      <c r="A69" s="77"/>
      <c r="B69" s="160" t="s">
        <v>1053</v>
      </c>
      <c r="C69" s="55"/>
      <c r="D69" s="76"/>
      <c r="E69" s="75"/>
      <c r="F69" s="76"/>
      <c r="G69" s="50"/>
      <c r="H69" s="69"/>
      <c r="I69" s="71"/>
      <c r="J69" s="71"/>
      <c r="K69" s="73"/>
      <c r="L69" s="73"/>
      <c r="M69" s="74">
        <f>SUBTOTAL(9,M68:M68)</f>
        <v>3.93</v>
      </c>
      <c r="N69" s="76"/>
      <c r="O69" s="76"/>
      <c r="P69" s="51"/>
      <c r="Q69" s="86"/>
      <c r="R69" s="59"/>
      <c r="S69" s="59"/>
      <c r="T69" s="59"/>
      <c r="U69" s="59"/>
    </row>
    <row r="70" spans="1:21" ht="30" customHeight="1" outlineLevel="2" x14ac:dyDescent="0.3">
      <c r="A70" s="77" t="s">
        <v>52</v>
      </c>
      <c r="B70" s="77" t="s">
        <v>726</v>
      </c>
      <c r="C70" s="55" t="str">
        <f>VLOOKUP(B70,Tables!$G$2:$H$90,2,FALSE)</f>
        <v>Carroll Biology Fund</v>
      </c>
      <c r="D70" s="112" t="s">
        <v>166</v>
      </c>
      <c r="E70" s="102">
        <v>207</v>
      </c>
      <c r="F70" s="103" t="s">
        <v>15</v>
      </c>
      <c r="G70" s="50" t="str">
        <f>VLOOKUP(F70,Tables!$D$2:$E$20,2,FALSE)</f>
        <v>PTR</v>
      </c>
      <c r="H70" s="105">
        <v>17099734</v>
      </c>
      <c r="I70" s="106">
        <f t="shared" ref="I70:I76" si="15">SUM(S70-R70)</f>
        <v>174</v>
      </c>
      <c r="J70" s="106">
        <f t="shared" ref="J70:J76" si="16">SUM(U70-T70)</f>
        <v>0</v>
      </c>
      <c r="K70" s="107">
        <f t="shared" ref="K70:K76" si="17">SUM(I70*$P70)</f>
        <v>4.5587999999999997</v>
      </c>
      <c r="L70" s="107">
        <f t="shared" ref="L70:L76" si="18">SUM(J70*$Q70)</f>
        <v>0</v>
      </c>
      <c r="M70" s="108">
        <f t="shared" ref="M70:M76" si="19">K70+L70</f>
        <v>4.5587999999999997</v>
      </c>
      <c r="N70" s="113" t="s">
        <v>893</v>
      </c>
      <c r="O70" s="54" t="s">
        <v>972</v>
      </c>
      <c r="P70" s="51">
        <f>IF(G70="MFP",Tables!$B$2,Tables!$B$5)</f>
        <v>2.6200000000000001E-2</v>
      </c>
      <c r="Q70" s="86">
        <f>IF(G70="MFP",Tables!$B$3,Tables!$B$6)</f>
        <v>0.11799999999999999</v>
      </c>
      <c r="R70" s="59">
        <f>VLOOKUP($N70,'Meter Comparison'!$C$2:$G$314,2,FALSE)</f>
        <v>320</v>
      </c>
      <c r="S70" s="59">
        <f>VLOOKUP($N70,'Meter Comparison'!$C$2:$G$314,3,FALSE)</f>
        <v>494</v>
      </c>
      <c r="T70" s="59">
        <f>VLOOKUP($N70,'Meter Comparison'!$C$2:$G$314,4,FALSE)</f>
        <v>0</v>
      </c>
      <c r="U70" s="59">
        <f>VLOOKUP($N70,'Meter Comparison'!$C$2:$G$314,5,FALSE)</f>
        <v>0</v>
      </c>
    </row>
    <row r="71" spans="1:21" ht="30" customHeight="1" outlineLevel="2" x14ac:dyDescent="0.3">
      <c r="A71" s="77" t="s">
        <v>52</v>
      </c>
      <c r="B71" s="77" t="s">
        <v>726</v>
      </c>
      <c r="C71" s="55" t="str">
        <f>VLOOKUP(B71,Tables!$G$2:$H$90,2,FALSE)</f>
        <v>Carroll Biology Fund</v>
      </c>
      <c r="D71" s="76" t="s">
        <v>53</v>
      </c>
      <c r="E71" s="75">
        <v>203</v>
      </c>
      <c r="F71" s="76" t="s">
        <v>15</v>
      </c>
      <c r="G71" s="50" t="str">
        <f>VLOOKUP(F71,Tables!$D$2:$E$20,2,FALSE)</f>
        <v>PTR</v>
      </c>
      <c r="H71" s="69">
        <v>17099613</v>
      </c>
      <c r="I71" s="71">
        <f t="shared" si="15"/>
        <v>1807</v>
      </c>
      <c r="J71" s="71">
        <f t="shared" si="16"/>
        <v>0</v>
      </c>
      <c r="K71" s="73">
        <f t="shared" si="17"/>
        <v>47.343400000000003</v>
      </c>
      <c r="L71" s="73">
        <f t="shared" si="18"/>
        <v>0</v>
      </c>
      <c r="M71" s="74">
        <f t="shared" si="19"/>
        <v>47.343400000000003</v>
      </c>
      <c r="N71" s="76" t="s">
        <v>57</v>
      </c>
      <c r="O71" s="76" t="s">
        <v>58</v>
      </c>
      <c r="P71" s="51">
        <f>IF(G71="MFP",Tables!$B$2,Tables!$B$5)</f>
        <v>2.6200000000000001E-2</v>
      </c>
      <c r="Q71" s="86">
        <f>IF(G71="MFP",Tables!$B$3,Tables!$B$6)</f>
        <v>0.11799999999999999</v>
      </c>
      <c r="R71" s="59">
        <f>VLOOKUP($N71,'Meter Comparison'!$C$2:$G$314,2,FALSE)</f>
        <v>7117</v>
      </c>
      <c r="S71" s="59">
        <f>VLOOKUP($N71,'Meter Comparison'!$C$2:$G$314,3,FALSE)</f>
        <v>8924</v>
      </c>
      <c r="T71" s="59">
        <f>VLOOKUP($N71,'Meter Comparison'!$C$2:$G$314,4,FALSE)</f>
        <v>0</v>
      </c>
      <c r="U71" s="59">
        <f>VLOOKUP($N71,'Meter Comparison'!$C$2:$G$314,5,FALSE)</f>
        <v>0</v>
      </c>
    </row>
    <row r="72" spans="1:21" ht="30" customHeight="1" outlineLevel="2" x14ac:dyDescent="0.3">
      <c r="A72" s="77" t="s">
        <v>52</v>
      </c>
      <c r="B72" s="77" t="s">
        <v>726</v>
      </c>
      <c r="C72" s="55" t="str">
        <f>VLOOKUP(B72,Tables!$G$2:$H$90,2,FALSE)</f>
        <v>Carroll Biology Fund</v>
      </c>
      <c r="D72" s="76" t="s">
        <v>53</v>
      </c>
      <c r="E72" s="75">
        <v>203</v>
      </c>
      <c r="F72" s="76" t="s">
        <v>54</v>
      </c>
      <c r="G72" s="50" t="str">
        <f>VLOOKUP(F72,Tables!$D$2:$E$20,2,FALSE)</f>
        <v>MFP</v>
      </c>
      <c r="H72" s="69">
        <v>17099484</v>
      </c>
      <c r="I72" s="71">
        <f t="shared" si="15"/>
        <v>3096</v>
      </c>
      <c r="J72" s="71">
        <f t="shared" si="16"/>
        <v>1516</v>
      </c>
      <c r="K72" s="73">
        <f t="shared" si="17"/>
        <v>64.087199999999996</v>
      </c>
      <c r="L72" s="73">
        <f t="shared" si="18"/>
        <v>131.892</v>
      </c>
      <c r="M72" s="74">
        <f t="shared" si="19"/>
        <v>195.97919999999999</v>
      </c>
      <c r="N72" s="76" t="s">
        <v>55</v>
      </c>
      <c r="O72" s="76" t="s">
        <v>56</v>
      </c>
      <c r="P72" s="51">
        <f>IF(G72="MFP",Tables!$B$2,Tables!$B$5)</f>
        <v>2.07E-2</v>
      </c>
      <c r="Q72" s="86">
        <f>IF(G72="MFP",Tables!$B$3,Tables!$B$6)</f>
        <v>8.6999999999999994E-2</v>
      </c>
      <c r="R72" s="59">
        <f>VLOOKUP($N72,'Meter Comparison'!$C$2:$G$314,2,FALSE)</f>
        <v>16505</v>
      </c>
      <c r="S72" s="59">
        <f>VLOOKUP($N72,'Meter Comparison'!$C$2:$G$314,3,FALSE)</f>
        <v>19601</v>
      </c>
      <c r="T72" s="59">
        <f>VLOOKUP($N72,'Meter Comparison'!$C$2:$G$314,4,FALSE)</f>
        <v>2396</v>
      </c>
      <c r="U72" s="59">
        <f>VLOOKUP($N72,'Meter Comparison'!$C$2:$G$314,5,FALSE)</f>
        <v>3912</v>
      </c>
    </row>
    <row r="73" spans="1:21" ht="30" customHeight="1" outlineLevel="2" x14ac:dyDescent="0.3">
      <c r="A73" s="77" t="s">
        <v>52</v>
      </c>
      <c r="B73" s="77" t="s">
        <v>726</v>
      </c>
      <c r="C73" s="55" t="str">
        <f>VLOOKUP(B73,Tables!$G$2:$H$90,2,FALSE)</f>
        <v>Carroll Biology Fund</v>
      </c>
      <c r="D73" s="76" t="s">
        <v>53</v>
      </c>
      <c r="E73" s="75" t="s">
        <v>59</v>
      </c>
      <c r="F73" s="76" t="s">
        <v>15</v>
      </c>
      <c r="G73" s="50" t="str">
        <f>VLOOKUP(F73,Tables!$D$2:$E$20,2,FALSE)</f>
        <v>PTR</v>
      </c>
      <c r="H73" s="69">
        <v>17099611</v>
      </c>
      <c r="I73" s="71">
        <f t="shared" si="15"/>
        <v>1325</v>
      </c>
      <c r="J73" s="71">
        <f t="shared" si="16"/>
        <v>0</v>
      </c>
      <c r="K73" s="73">
        <f t="shared" si="17"/>
        <v>34.715000000000003</v>
      </c>
      <c r="L73" s="73">
        <f t="shared" si="18"/>
        <v>0</v>
      </c>
      <c r="M73" s="74">
        <f t="shared" si="19"/>
        <v>34.715000000000003</v>
      </c>
      <c r="N73" s="76" t="s">
        <v>60</v>
      </c>
      <c r="O73" s="76" t="s">
        <v>61</v>
      </c>
      <c r="P73" s="51">
        <f>IF(G73="MFP",Tables!$B$2,Tables!$B$5)</f>
        <v>2.6200000000000001E-2</v>
      </c>
      <c r="Q73" s="86">
        <f>IF(G73="MFP",Tables!$B$3,Tables!$B$6)</f>
        <v>0.11799999999999999</v>
      </c>
      <c r="R73" s="59">
        <f>VLOOKUP($N73,'Meter Comparison'!$C$2:$G$314,2,FALSE)</f>
        <v>3967</v>
      </c>
      <c r="S73" s="59">
        <f>VLOOKUP($N73,'Meter Comparison'!$C$2:$G$314,3,FALSE)</f>
        <v>5292</v>
      </c>
      <c r="T73" s="59">
        <f>VLOOKUP($N73,'Meter Comparison'!$C$2:$G$314,4,FALSE)</f>
        <v>0</v>
      </c>
      <c r="U73" s="59">
        <f>VLOOKUP($N73,'Meter Comparison'!$C$2:$G$314,5,FALSE)</f>
        <v>0</v>
      </c>
    </row>
    <row r="74" spans="1:21" ht="30" customHeight="1" outlineLevel="2" x14ac:dyDescent="0.3">
      <c r="A74" s="77" t="s">
        <v>52</v>
      </c>
      <c r="B74" s="77" t="s">
        <v>726</v>
      </c>
      <c r="C74" s="55" t="str">
        <f>VLOOKUP(B74,Tables!$G$2:$H$90,2,FALSE)</f>
        <v>Carroll Biology Fund</v>
      </c>
      <c r="D74" s="76" t="s">
        <v>53</v>
      </c>
      <c r="E74" s="75" t="s">
        <v>63</v>
      </c>
      <c r="F74" s="76" t="s">
        <v>15</v>
      </c>
      <c r="G74" s="50" t="str">
        <f>VLOOKUP(F74,Tables!$D$2:$E$20,2,FALSE)</f>
        <v>PTR</v>
      </c>
      <c r="H74" s="69">
        <v>17099569</v>
      </c>
      <c r="I74" s="71">
        <f t="shared" si="15"/>
        <v>194</v>
      </c>
      <c r="J74" s="71">
        <f t="shared" si="16"/>
        <v>0</v>
      </c>
      <c r="K74" s="73">
        <f t="shared" si="17"/>
        <v>5.0828000000000007</v>
      </c>
      <c r="L74" s="73">
        <f t="shared" si="18"/>
        <v>0</v>
      </c>
      <c r="M74" s="74">
        <f t="shared" si="19"/>
        <v>5.0828000000000007</v>
      </c>
      <c r="N74" s="76" t="s">
        <v>64</v>
      </c>
      <c r="O74" s="76" t="s">
        <v>65</v>
      </c>
      <c r="P74" s="51">
        <f>IF(G74="MFP",Tables!$B$2,Tables!$B$5)</f>
        <v>2.6200000000000001E-2</v>
      </c>
      <c r="Q74" s="86">
        <f>IF(G74="MFP",Tables!$B$3,Tables!$B$6)</f>
        <v>0.11799999999999999</v>
      </c>
      <c r="R74" s="59">
        <f>VLOOKUP($N74,'Meter Comparison'!$C$2:$G$314,2,FALSE)</f>
        <v>548</v>
      </c>
      <c r="S74" s="59">
        <f>VLOOKUP($N74,'Meter Comparison'!$C$2:$G$314,3,FALSE)</f>
        <v>742</v>
      </c>
      <c r="T74" s="59">
        <f>VLOOKUP($N74,'Meter Comparison'!$C$2:$G$314,4,FALSE)</f>
        <v>0</v>
      </c>
      <c r="U74" s="59">
        <f>VLOOKUP($N74,'Meter Comparison'!$C$2:$G$314,5,FALSE)</f>
        <v>0</v>
      </c>
    </row>
    <row r="75" spans="1:21" ht="30" customHeight="1" outlineLevel="2" x14ac:dyDescent="0.3">
      <c r="A75" s="77" t="s">
        <v>52</v>
      </c>
      <c r="B75" s="77" t="s">
        <v>726</v>
      </c>
      <c r="C75" s="55" t="str">
        <f>VLOOKUP(B75,Tables!$G$2:$H$90,2,FALSE)</f>
        <v>Carroll Biology Fund</v>
      </c>
      <c r="D75" s="76" t="s">
        <v>53</v>
      </c>
      <c r="E75" s="75" t="s">
        <v>66</v>
      </c>
      <c r="F75" s="76" t="s">
        <v>15</v>
      </c>
      <c r="G75" s="50" t="str">
        <f>VLOOKUP(F75,Tables!$D$2:$E$20,2,FALSE)</f>
        <v>PTR</v>
      </c>
      <c r="H75" s="69">
        <v>17099612</v>
      </c>
      <c r="I75" s="71">
        <f t="shared" si="15"/>
        <v>63</v>
      </c>
      <c r="J75" s="71">
        <f t="shared" si="16"/>
        <v>0</v>
      </c>
      <c r="K75" s="73">
        <f t="shared" si="17"/>
        <v>1.6506000000000001</v>
      </c>
      <c r="L75" s="73">
        <f t="shared" si="18"/>
        <v>0</v>
      </c>
      <c r="M75" s="74">
        <f t="shared" si="19"/>
        <v>1.6506000000000001</v>
      </c>
      <c r="N75" s="76" t="s">
        <v>67</v>
      </c>
      <c r="O75" s="76" t="s">
        <v>68</v>
      </c>
      <c r="P75" s="51">
        <f>IF(G75="MFP",Tables!$B$2,Tables!$B$5)</f>
        <v>2.6200000000000001E-2</v>
      </c>
      <c r="Q75" s="86">
        <f>IF(G75="MFP",Tables!$B$3,Tables!$B$6)</f>
        <v>0.11799999999999999</v>
      </c>
      <c r="R75" s="59">
        <f>VLOOKUP($N75,'Meter Comparison'!$C$2:$G$314,2,FALSE)</f>
        <v>588</v>
      </c>
      <c r="S75" s="59">
        <f>VLOOKUP($N75,'Meter Comparison'!$C$2:$G$314,3,FALSE)</f>
        <v>651</v>
      </c>
      <c r="T75" s="59">
        <f>VLOOKUP($N75,'Meter Comparison'!$C$2:$G$314,4,FALSE)</f>
        <v>0</v>
      </c>
      <c r="U75" s="59">
        <f>VLOOKUP($N75,'Meter Comparison'!$C$2:$G$314,5,FALSE)</f>
        <v>0</v>
      </c>
    </row>
    <row r="76" spans="1:21" ht="30" customHeight="1" outlineLevel="2" x14ac:dyDescent="0.3">
      <c r="A76" s="55" t="s">
        <v>52</v>
      </c>
      <c r="B76" s="55" t="s">
        <v>726</v>
      </c>
      <c r="C76" s="55" t="str">
        <f>VLOOKUP(B76,Tables!$G$2:$H$90,2,FALSE)</f>
        <v>Carroll Biology Fund</v>
      </c>
      <c r="D76" s="56" t="s">
        <v>53</v>
      </c>
      <c r="E76" s="114" t="s">
        <v>660</v>
      </c>
      <c r="F76" s="56" t="s">
        <v>15</v>
      </c>
      <c r="G76" s="50" t="str">
        <f>VLOOKUP(F76,Tables!$D$2:$E$20,2,FALSE)</f>
        <v>PTR</v>
      </c>
      <c r="H76" s="105">
        <v>17099568</v>
      </c>
      <c r="I76" s="106">
        <f t="shared" si="15"/>
        <v>351</v>
      </c>
      <c r="J76" s="106">
        <f t="shared" si="16"/>
        <v>0</v>
      </c>
      <c r="K76" s="107">
        <f t="shared" si="17"/>
        <v>9.196200000000001</v>
      </c>
      <c r="L76" s="107">
        <f t="shared" si="18"/>
        <v>0</v>
      </c>
      <c r="M76" s="108">
        <f t="shared" si="19"/>
        <v>9.196200000000001</v>
      </c>
      <c r="N76" s="56" t="s">
        <v>892</v>
      </c>
      <c r="O76" s="56" t="s">
        <v>62</v>
      </c>
      <c r="P76" s="51">
        <f>IF(G76="MFP",Tables!$B$2,Tables!$B$5)</f>
        <v>2.6200000000000001E-2</v>
      </c>
      <c r="Q76" s="86">
        <f>IF(G76="MFP",Tables!$B$3,Tables!$B$6)</f>
        <v>0.11799999999999999</v>
      </c>
      <c r="R76" s="59">
        <f>VLOOKUP($N76,'Meter Comparison'!$C$2:$G$314,2,FALSE)</f>
        <v>839</v>
      </c>
      <c r="S76" s="59">
        <f>VLOOKUP($N76,'Meter Comparison'!$C$2:$G$314,3,FALSE)</f>
        <v>1190</v>
      </c>
      <c r="T76" s="59">
        <f>VLOOKUP($N76,'Meter Comparison'!$C$2:$G$314,4,FALSE)</f>
        <v>0</v>
      </c>
      <c r="U76" s="59">
        <f>VLOOKUP($N76,'Meter Comparison'!$C$2:$G$314,5,FALSE)</f>
        <v>0</v>
      </c>
    </row>
    <row r="77" spans="1:21" ht="30" customHeight="1" outlineLevel="1" x14ac:dyDescent="0.3">
      <c r="A77" s="55"/>
      <c r="B77" s="161" t="s">
        <v>1065</v>
      </c>
      <c r="C77" s="55"/>
      <c r="D77" s="56"/>
      <c r="E77" s="114"/>
      <c r="F77" s="56"/>
      <c r="G77" s="50"/>
      <c r="H77" s="105"/>
      <c r="I77" s="106"/>
      <c r="J77" s="106"/>
      <c r="K77" s="107"/>
      <c r="L77" s="107"/>
      <c r="M77" s="108">
        <f>SUBTOTAL(9,M70:M76)</f>
        <v>298.52600000000001</v>
      </c>
      <c r="N77" s="56"/>
      <c r="O77" s="56"/>
      <c r="P77" s="51"/>
      <c r="Q77" s="86"/>
      <c r="R77" s="59"/>
      <c r="S77" s="59"/>
      <c r="T77" s="59"/>
      <c r="U77" s="59"/>
    </row>
    <row r="78" spans="1:21" ht="30" customHeight="1" outlineLevel="2" x14ac:dyDescent="0.3">
      <c r="A78" s="77" t="s">
        <v>376</v>
      </c>
      <c r="B78" s="77" t="s">
        <v>374</v>
      </c>
      <c r="C78" s="55" t="str">
        <f>VLOOKUP(B78,Tables!$G$2:$H$90,2,FALSE)</f>
        <v>Business Executive</v>
      </c>
      <c r="D78" s="76" t="s">
        <v>276</v>
      </c>
      <c r="E78" s="75">
        <v>301</v>
      </c>
      <c r="F78" s="76" t="s">
        <v>15</v>
      </c>
      <c r="G78" s="50" t="str">
        <f>VLOOKUP(F78,Tables!$D$2:$E$20,2,FALSE)</f>
        <v>PTR</v>
      </c>
      <c r="H78" s="69">
        <v>17099696</v>
      </c>
      <c r="I78" s="71">
        <f>SUM(S78-R78)</f>
        <v>585</v>
      </c>
      <c r="J78" s="71">
        <f>SUM(U78-T78)</f>
        <v>0</v>
      </c>
      <c r="K78" s="73">
        <f>SUM(I78*$P78)</f>
        <v>15.327</v>
      </c>
      <c r="L78" s="73">
        <f>SUM(J78*$Q78)</f>
        <v>0</v>
      </c>
      <c r="M78" s="74">
        <f>K78+L78</f>
        <v>15.327</v>
      </c>
      <c r="N78" s="76" t="s">
        <v>381</v>
      </c>
      <c r="O78" s="76" t="s">
        <v>382</v>
      </c>
      <c r="P78" s="51">
        <f>IF(G78="MFP",Tables!$B$2,Tables!$B$5)</f>
        <v>2.6200000000000001E-2</v>
      </c>
      <c r="Q78" s="86">
        <f>IF(G78="MFP",Tables!$B$3,Tables!$B$6)</f>
        <v>0.11799999999999999</v>
      </c>
      <c r="R78" s="59">
        <f>VLOOKUP($N78,'Meter Comparison'!$C$2:$G$314,2,FALSE)</f>
        <v>2689</v>
      </c>
      <c r="S78" s="59">
        <f>VLOOKUP($N78,'Meter Comparison'!$C$2:$G$314,3,FALSE)</f>
        <v>3274</v>
      </c>
      <c r="T78" s="59">
        <f>VLOOKUP($N78,'Meter Comparison'!$C$2:$G$314,4,FALSE)</f>
        <v>0</v>
      </c>
      <c r="U78" s="59">
        <f>VLOOKUP($N78,'Meter Comparison'!$C$2:$G$314,5,FALSE)</f>
        <v>0</v>
      </c>
    </row>
    <row r="79" spans="1:21" ht="30" customHeight="1" outlineLevel="2" x14ac:dyDescent="0.3">
      <c r="A79" s="77" t="s">
        <v>376</v>
      </c>
      <c r="B79" s="55" t="s">
        <v>374</v>
      </c>
      <c r="C79" s="55" t="str">
        <f>VLOOKUP(B79,Tables!$G$2:$H$90,2,FALSE)</f>
        <v>Business Executive</v>
      </c>
      <c r="D79" s="56" t="s">
        <v>276</v>
      </c>
      <c r="E79" s="114">
        <v>302</v>
      </c>
      <c r="F79" s="56" t="s">
        <v>90</v>
      </c>
      <c r="G79" s="50" t="str">
        <f>VLOOKUP(F79,Tables!$D$2:$E$20,2,FALSE)</f>
        <v>PTR</v>
      </c>
      <c r="H79" s="69">
        <v>17099750</v>
      </c>
      <c r="I79" s="106">
        <f>SUM(S79-R79)</f>
        <v>1050</v>
      </c>
      <c r="J79" s="106">
        <f>SUM(U79-T79)</f>
        <v>1365</v>
      </c>
      <c r="K79" s="107">
        <f>SUM(I79*$P79)</f>
        <v>27.51</v>
      </c>
      <c r="L79" s="107">
        <f>SUM(J79*$Q79)</f>
        <v>161.07</v>
      </c>
      <c r="M79" s="108">
        <f>K79+L79</f>
        <v>188.57999999999998</v>
      </c>
      <c r="N79" s="113" t="s">
        <v>900</v>
      </c>
      <c r="O79" s="76" t="s">
        <v>801</v>
      </c>
      <c r="P79" s="51">
        <f>IF(G79="MFP",Tables!$B$2,Tables!$B$5)</f>
        <v>2.6200000000000001E-2</v>
      </c>
      <c r="Q79" s="86">
        <f>IF(G79="MFP",Tables!$B$3,Tables!$B$6)</f>
        <v>0.11799999999999999</v>
      </c>
      <c r="R79" s="59">
        <f>VLOOKUP($N79,'Meter Comparison'!$C$2:$G$314,2,FALSE)</f>
        <v>281</v>
      </c>
      <c r="S79" s="59">
        <f>VLOOKUP($N79,'Meter Comparison'!$C$2:$G$314,3,FALSE)</f>
        <v>1331</v>
      </c>
      <c r="T79" s="59">
        <f>VLOOKUP($N79,'Meter Comparison'!$C$2:$G$314,4,FALSE)</f>
        <v>549</v>
      </c>
      <c r="U79" s="59">
        <f>VLOOKUP($N79,'Meter Comparison'!$C$2:$G$314,5,FALSE)</f>
        <v>1914</v>
      </c>
    </row>
    <row r="80" spans="1:21" ht="30" customHeight="1" outlineLevel="2" x14ac:dyDescent="0.3">
      <c r="A80" s="77" t="s">
        <v>376</v>
      </c>
      <c r="B80" s="122" t="s">
        <v>374</v>
      </c>
      <c r="C80" s="55" t="str">
        <f>VLOOKUP(B80,Tables!$G$2:$H$90,2,FALSE)</f>
        <v>Business Executive</v>
      </c>
      <c r="D80" s="112" t="s">
        <v>276</v>
      </c>
      <c r="E80" s="102">
        <v>303</v>
      </c>
      <c r="F80" s="103" t="s">
        <v>90</v>
      </c>
      <c r="G80" s="50" t="str">
        <f>VLOOKUP(F80,Tables!$D$2:$E$20,2,FALSE)</f>
        <v>PTR</v>
      </c>
      <c r="H80" s="69">
        <v>17099739</v>
      </c>
      <c r="I80" s="106">
        <f>SUM(S80-R80)</f>
        <v>44</v>
      </c>
      <c r="J80" s="106">
        <f>SUM(U80-T80)</f>
        <v>218</v>
      </c>
      <c r="K80" s="107">
        <f>SUM(I80*$P80)</f>
        <v>1.1528</v>
      </c>
      <c r="L80" s="107">
        <f>SUM(J80*$Q80)</f>
        <v>25.724</v>
      </c>
      <c r="M80" s="108">
        <f>K80+L80</f>
        <v>26.876799999999999</v>
      </c>
      <c r="N80" s="113" t="s">
        <v>901</v>
      </c>
      <c r="O80" s="54" t="s">
        <v>979</v>
      </c>
      <c r="P80" s="51">
        <f>IF(G80="MFP",Tables!$B$2,Tables!$B$5)</f>
        <v>2.6200000000000001E-2</v>
      </c>
      <c r="Q80" s="86">
        <f>IF(G80="MFP",Tables!$B$3,Tables!$B$6)</f>
        <v>0.11799999999999999</v>
      </c>
      <c r="R80" s="59">
        <f>VLOOKUP($N80,'Meter Comparison'!$C$2:$G$314,2,FALSE)</f>
        <v>95</v>
      </c>
      <c r="S80" s="59">
        <f>VLOOKUP($N80,'Meter Comparison'!$C$2:$G$314,3,FALSE)</f>
        <v>139</v>
      </c>
      <c r="T80" s="59">
        <f>VLOOKUP($N80,'Meter Comparison'!$C$2:$G$314,4,FALSE)</f>
        <v>237</v>
      </c>
      <c r="U80" s="59">
        <f>VLOOKUP($N80,'Meter Comparison'!$C$2:$G$314,5,FALSE)</f>
        <v>455</v>
      </c>
    </row>
    <row r="81" spans="1:21" ht="30" customHeight="1" outlineLevel="1" x14ac:dyDescent="0.3">
      <c r="A81" s="77"/>
      <c r="B81" s="162" t="s">
        <v>1066</v>
      </c>
      <c r="C81" s="55"/>
      <c r="D81" s="112"/>
      <c r="E81" s="102"/>
      <c r="F81" s="103"/>
      <c r="G81" s="50"/>
      <c r="H81" s="69"/>
      <c r="I81" s="106"/>
      <c r="J81" s="106"/>
      <c r="K81" s="107"/>
      <c r="L81" s="107"/>
      <c r="M81" s="108">
        <f>SUBTOTAL(9,M78:M80)</f>
        <v>230.78379999999999</v>
      </c>
      <c r="N81" s="113"/>
      <c r="O81" s="54"/>
      <c r="P81" s="51"/>
      <c r="Q81" s="86"/>
      <c r="R81" s="59"/>
      <c r="S81" s="59"/>
      <c r="T81" s="59"/>
      <c r="U81" s="59"/>
    </row>
    <row r="82" spans="1:21" ht="30" customHeight="1" outlineLevel="2" x14ac:dyDescent="0.3">
      <c r="A82" s="55" t="s">
        <v>376</v>
      </c>
      <c r="B82" s="55" t="s">
        <v>807</v>
      </c>
      <c r="C82" s="55" t="str">
        <f>VLOOKUP(B82,Tables!$G$2:$H$90,2,FALSE)</f>
        <v>Institute Planning</v>
      </c>
      <c r="D82" s="56" t="s">
        <v>276</v>
      </c>
      <c r="E82" s="114">
        <v>303</v>
      </c>
      <c r="F82" s="56" t="s">
        <v>15</v>
      </c>
      <c r="G82" s="50" t="str">
        <f>VLOOKUP(F82,Tables!$D$2:$E$20,2,FALSE)</f>
        <v>PTR</v>
      </c>
      <c r="H82" s="105">
        <v>17099709</v>
      </c>
      <c r="I82" s="106">
        <f>SUM(S82-R82)</f>
        <v>777</v>
      </c>
      <c r="J82" s="106">
        <f>SUM(U82-T82)</f>
        <v>0</v>
      </c>
      <c r="K82" s="107">
        <f>SUM(I82*$P82)</f>
        <v>20.357400000000002</v>
      </c>
      <c r="L82" s="107">
        <f>SUM(J82*$Q82)</f>
        <v>0</v>
      </c>
      <c r="M82" s="108">
        <f>K82+L82</f>
        <v>20.357400000000002</v>
      </c>
      <c r="N82" s="56" t="s">
        <v>377</v>
      </c>
      <c r="O82" s="56" t="s">
        <v>378</v>
      </c>
      <c r="P82" s="51">
        <f>IF(G82="MFP",Tables!$B$2,Tables!$B$5)</f>
        <v>2.6200000000000001E-2</v>
      </c>
      <c r="Q82" s="86">
        <f>IF(G82="MFP",Tables!$B$3,Tables!$B$6)</f>
        <v>0.11799999999999999</v>
      </c>
      <c r="R82" s="59">
        <f>VLOOKUP($N82,'Meter Comparison'!$C$2:$G$314,2,FALSE)</f>
        <v>1591</v>
      </c>
      <c r="S82" s="59">
        <f>VLOOKUP($N82,'Meter Comparison'!$C$2:$G$314,3,FALSE)</f>
        <v>2368</v>
      </c>
      <c r="T82" s="59">
        <f>VLOOKUP($N82,'Meter Comparison'!$C$2:$G$314,4,FALSE)</f>
        <v>0</v>
      </c>
      <c r="U82" s="59">
        <f>VLOOKUP($N82,'Meter Comparison'!$C$2:$G$314,5,FALSE)</f>
        <v>0</v>
      </c>
    </row>
    <row r="83" spans="1:21" ht="30" customHeight="1" outlineLevel="2" x14ac:dyDescent="0.3">
      <c r="A83" s="55" t="s">
        <v>376</v>
      </c>
      <c r="B83" s="55" t="s">
        <v>807</v>
      </c>
      <c r="C83" s="55" t="str">
        <f>VLOOKUP(B83,Tables!$G$2:$H$90,2,FALSE)</f>
        <v>Institute Planning</v>
      </c>
      <c r="D83" s="56" t="s">
        <v>276</v>
      </c>
      <c r="E83" s="114">
        <v>303</v>
      </c>
      <c r="F83" s="56" t="s">
        <v>90</v>
      </c>
      <c r="G83" s="50" t="str">
        <f>VLOOKUP(F83,Tables!$D$2:$E$20,2,FALSE)</f>
        <v>PTR</v>
      </c>
      <c r="H83" s="105">
        <v>17099513</v>
      </c>
      <c r="I83" s="106">
        <f>SUM(S83-R83)</f>
        <v>0</v>
      </c>
      <c r="J83" s="106">
        <f>SUM(U83-T83)</f>
        <v>0</v>
      </c>
      <c r="K83" s="107">
        <f>SUM(I83*$P83)</f>
        <v>0</v>
      </c>
      <c r="L83" s="107">
        <f>SUM(J83*$Q83)</f>
        <v>0</v>
      </c>
      <c r="M83" s="108">
        <f>K83+L83</f>
        <v>0</v>
      </c>
      <c r="N83" s="56" t="s">
        <v>309</v>
      </c>
      <c r="O83" s="56" t="s">
        <v>801</v>
      </c>
      <c r="P83" s="51">
        <f>IF(G83="MFP",Tables!$B$2,Tables!$B$5)</f>
        <v>2.6200000000000001E-2</v>
      </c>
      <c r="Q83" s="86">
        <f>IF(G83="MFP",Tables!$B$3,Tables!$B$6)</f>
        <v>0.11799999999999999</v>
      </c>
      <c r="R83" s="59">
        <f>VLOOKUP($N83,'Meter Comparison'!$C$2:$G$314,2,FALSE)</f>
        <v>0</v>
      </c>
      <c r="S83" s="59">
        <f>VLOOKUP($N83,'Meter Comparison'!$C$2:$G$314,3,FALSE)</f>
        <v>0</v>
      </c>
      <c r="T83" s="59">
        <f>VLOOKUP($N83,'Meter Comparison'!$C$2:$G$314,4,FALSE)</f>
        <v>0</v>
      </c>
      <c r="U83" s="59">
        <f>VLOOKUP($N83,'Meter Comparison'!$C$2:$G$314,5,FALSE)</f>
        <v>0</v>
      </c>
    </row>
    <row r="84" spans="1:21" ht="30" customHeight="1" outlineLevel="2" x14ac:dyDescent="0.3">
      <c r="A84" s="77" t="s">
        <v>376</v>
      </c>
      <c r="B84" s="77" t="s">
        <v>807</v>
      </c>
      <c r="C84" s="55" t="str">
        <f>VLOOKUP(B84,Tables!$G$2:$H$90,2,FALSE)</f>
        <v>Institute Planning</v>
      </c>
      <c r="D84" s="76" t="s">
        <v>276</v>
      </c>
      <c r="E84" s="75">
        <v>304</v>
      </c>
      <c r="F84" s="76" t="s">
        <v>24</v>
      </c>
      <c r="G84" s="50" t="str">
        <f>VLOOKUP(F84,Tables!$D$2:$E$20,2,FALSE)</f>
        <v>MFP</v>
      </c>
      <c r="H84" s="69">
        <v>17099529</v>
      </c>
      <c r="I84" s="71">
        <f>SUM(S84-R84)</f>
        <v>11100</v>
      </c>
      <c r="J84" s="71">
        <f>SUM(U84-T84)</f>
        <v>7742</v>
      </c>
      <c r="K84" s="73">
        <f>SUM(I84*$P84)</f>
        <v>229.77</v>
      </c>
      <c r="L84" s="73">
        <f>SUM(J84*$Q84)</f>
        <v>673.55399999999997</v>
      </c>
      <c r="M84" s="74">
        <f>K84+L84</f>
        <v>903.32399999999996</v>
      </c>
      <c r="N84" s="76" t="s">
        <v>786</v>
      </c>
      <c r="O84" s="76" t="s">
        <v>803</v>
      </c>
      <c r="P84" s="51">
        <f>IF(G84="MFP",Tables!$B$2,Tables!$B$5)</f>
        <v>2.07E-2</v>
      </c>
      <c r="Q84" s="86">
        <f>IF(G84="MFP",Tables!$B$3,Tables!$B$6)</f>
        <v>8.6999999999999994E-2</v>
      </c>
      <c r="R84" s="59">
        <f>VLOOKUP($N84,'Meter Comparison'!$C$2:$G$314,2,FALSE)</f>
        <v>26054</v>
      </c>
      <c r="S84" s="59">
        <f>VLOOKUP($N84,'Meter Comparison'!$C$2:$G$314,3,FALSE)</f>
        <v>37154</v>
      </c>
      <c r="T84" s="59">
        <f>VLOOKUP($N84,'Meter Comparison'!$C$2:$G$314,4,FALSE)</f>
        <v>21767</v>
      </c>
      <c r="U84" s="59">
        <f>VLOOKUP($N84,'Meter Comparison'!$C$2:$G$314,5,FALSE)</f>
        <v>29509</v>
      </c>
    </row>
    <row r="85" spans="1:21" ht="30" customHeight="1" outlineLevel="1" x14ac:dyDescent="0.3">
      <c r="A85" s="77"/>
      <c r="B85" s="160" t="s">
        <v>1067</v>
      </c>
      <c r="C85" s="55"/>
      <c r="D85" s="76"/>
      <c r="E85" s="75"/>
      <c r="F85" s="76"/>
      <c r="G85" s="50"/>
      <c r="H85" s="69"/>
      <c r="I85" s="71"/>
      <c r="J85" s="71"/>
      <c r="K85" s="73"/>
      <c r="L85" s="73"/>
      <c r="M85" s="74">
        <f>SUBTOTAL(9,M82:M84)</f>
        <v>923.68139999999994</v>
      </c>
      <c r="N85" s="76"/>
      <c r="O85" s="76"/>
      <c r="P85" s="51"/>
      <c r="Q85" s="86"/>
      <c r="R85" s="59"/>
      <c r="S85" s="59"/>
      <c r="T85" s="59"/>
      <c r="U85" s="59"/>
    </row>
    <row r="86" spans="1:21" ht="30" customHeight="1" outlineLevel="2" x14ac:dyDescent="0.3">
      <c r="A86" s="77" t="s">
        <v>376</v>
      </c>
      <c r="B86" s="77" t="s">
        <v>809</v>
      </c>
      <c r="C86" s="55" t="str">
        <f>VLOOKUP(B86,Tables!$G$2:$H$90,2,FALSE)</f>
        <v>Treasurers Office</v>
      </c>
      <c r="D86" s="76" t="s">
        <v>276</v>
      </c>
      <c r="E86" s="75">
        <v>303</v>
      </c>
      <c r="F86" s="76" t="s">
        <v>15</v>
      </c>
      <c r="G86" s="50" t="str">
        <f>VLOOKUP(F86,Tables!$D$2:$E$20,2,FALSE)</f>
        <v>PTR</v>
      </c>
      <c r="H86" s="69">
        <v>17099711</v>
      </c>
      <c r="I86" s="71">
        <f>SUM(S86-R86)</f>
        <v>2499</v>
      </c>
      <c r="J86" s="71">
        <f>SUM(U86-T86)</f>
        <v>0</v>
      </c>
      <c r="K86" s="73">
        <f>SUM(I86*$P86)</f>
        <v>65.473799999999997</v>
      </c>
      <c r="L86" s="73">
        <f>SUM(J86*$Q86)</f>
        <v>0</v>
      </c>
      <c r="M86" s="74">
        <f>K86+L86</f>
        <v>65.473799999999997</v>
      </c>
      <c r="N86" s="76" t="s">
        <v>379</v>
      </c>
      <c r="O86" s="76" t="s">
        <v>380</v>
      </c>
      <c r="P86" s="51">
        <f>IF(G86="MFP",Tables!$B$2,Tables!$B$5)</f>
        <v>2.6200000000000001E-2</v>
      </c>
      <c r="Q86" s="86">
        <f>IF(G86="MFP",Tables!$B$3,Tables!$B$6)</f>
        <v>0.11799999999999999</v>
      </c>
      <c r="R86" s="59">
        <f>VLOOKUP($N86,'Meter Comparison'!$C$2:$G$314,2,FALSE)</f>
        <v>11038</v>
      </c>
      <c r="S86" s="59">
        <f>VLOOKUP($N86,'Meter Comparison'!$C$2:$G$314,3,FALSE)</f>
        <v>13537</v>
      </c>
      <c r="T86" s="59">
        <f>VLOOKUP($N86,'Meter Comparison'!$C$2:$G$314,4,FALSE)</f>
        <v>0</v>
      </c>
      <c r="U86" s="59">
        <f>VLOOKUP($N86,'Meter Comparison'!$C$2:$G$314,5,FALSE)</f>
        <v>0</v>
      </c>
    </row>
    <row r="87" spans="1:21" ht="30" customHeight="1" outlineLevel="2" x14ac:dyDescent="0.3">
      <c r="A87" s="77" t="s">
        <v>376</v>
      </c>
      <c r="B87" s="77" t="s">
        <v>809</v>
      </c>
      <c r="C87" s="55" t="str">
        <f>VLOOKUP(B87,Tables!$G$2:$H$90,2,FALSE)</f>
        <v>Treasurers Office</v>
      </c>
      <c r="D87" s="76" t="s">
        <v>276</v>
      </c>
      <c r="E87" s="75">
        <v>305</v>
      </c>
      <c r="F87" s="76" t="s">
        <v>15</v>
      </c>
      <c r="G87" s="50" t="str">
        <f>VLOOKUP(F87,Tables!$D$2:$E$20,2,FALSE)</f>
        <v>PTR</v>
      </c>
      <c r="H87" s="69">
        <v>17099710</v>
      </c>
      <c r="I87" s="71">
        <f>SUM(S87-R87)</f>
        <v>1766</v>
      </c>
      <c r="J87" s="71">
        <f>SUM(U87-T87)</f>
        <v>0</v>
      </c>
      <c r="K87" s="73">
        <f>SUM(I87*$P87)</f>
        <v>46.269200000000005</v>
      </c>
      <c r="L87" s="73">
        <f>SUM(J87*$Q87)</f>
        <v>0</v>
      </c>
      <c r="M87" s="74">
        <f>K87+L87</f>
        <v>46.269200000000005</v>
      </c>
      <c r="N87" s="76" t="s">
        <v>383</v>
      </c>
      <c r="O87" s="76" t="s">
        <v>384</v>
      </c>
      <c r="P87" s="51">
        <f>IF(G87="MFP",Tables!$B$2,Tables!$B$5)</f>
        <v>2.6200000000000001E-2</v>
      </c>
      <c r="Q87" s="86">
        <f>IF(G87="MFP",Tables!$B$3,Tables!$B$6)</f>
        <v>0.11799999999999999</v>
      </c>
      <c r="R87" s="59">
        <f>VLOOKUP($N87,'Meter Comparison'!$C$2:$G$314,2,FALSE)</f>
        <v>4542</v>
      </c>
      <c r="S87" s="59">
        <f>VLOOKUP($N87,'Meter Comparison'!$C$2:$G$314,3,FALSE)</f>
        <v>6308</v>
      </c>
      <c r="T87" s="59">
        <f>VLOOKUP($N87,'Meter Comparison'!$C$2:$G$314,4,FALSE)</f>
        <v>0</v>
      </c>
      <c r="U87" s="59">
        <f>VLOOKUP($N87,'Meter Comparison'!$C$2:$G$314,5,FALSE)</f>
        <v>0</v>
      </c>
    </row>
    <row r="88" spans="1:21" ht="30" customHeight="1" outlineLevel="1" x14ac:dyDescent="0.3">
      <c r="A88" s="77"/>
      <c r="B88" s="160" t="s">
        <v>1068</v>
      </c>
      <c r="C88" s="55"/>
      <c r="D88" s="76"/>
      <c r="E88" s="75"/>
      <c r="F88" s="76"/>
      <c r="G88" s="50"/>
      <c r="H88" s="69"/>
      <c r="I88" s="71"/>
      <c r="J88" s="71"/>
      <c r="K88" s="73"/>
      <c r="L88" s="73"/>
      <c r="M88" s="74">
        <f>SUBTOTAL(9,M86:M87)</f>
        <v>111.74299999999999</v>
      </c>
      <c r="N88" s="76"/>
      <c r="O88" s="76"/>
      <c r="P88" s="51"/>
      <c r="Q88" s="86"/>
      <c r="R88" s="59"/>
      <c r="S88" s="59"/>
      <c r="T88" s="59"/>
      <c r="U88" s="59"/>
    </row>
    <row r="89" spans="1:21" ht="30" customHeight="1" outlineLevel="2" x14ac:dyDescent="0.3">
      <c r="A89" s="77" t="s">
        <v>746</v>
      </c>
      <c r="B89" s="77" t="s">
        <v>573</v>
      </c>
      <c r="C89" s="55" t="str">
        <f>VLOOKUP(B89,Tables!$G$2:$H$90,2,FALSE)</f>
        <v>Student Union</v>
      </c>
      <c r="D89" s="121" t="s">
        <v>747</v>
      </c>
      <c r="E89" s="75">
        <v>3115</v>
      </c>
      <c r="F89" s="76" t="s">
        <v>54</v>
      </c>
      <c r="G89" s="50" t="str">
        <f>VLOOKUP(F89,Tables!$D$2:$E$20,2,FALSE)</f>
        <v>MFP</v>
      </c>
      <c r="H89" s="69">
        <v>17099486</v>
      </c>
      <c r="I89" s="71">
        <f>SUM(S89-R89)</f>
        <v>1084</v>
      </c>
      <c r="J89" s="71">
        <f>SUM(U89-T89)</f>
        <v>35</v>
      </c>
      <c r="K89" s="73">
        <f>SUM(I89*$P89)</f>
        <v>22.438800000000001</v>
      </c>
      <c r="L89" s="73">
        <f>SUM(J89*$Q89)</f>
        <v>3.0449999999999999</v>
      </c>
      <c r="M89" s="74">
        <f>K89+L89</f>
        <v>25.483800000000002</v>
      </c>
      <c r="N89" s="76" t="s">
        <v>748</v>
      </c>
      <c r="O89" s="76" t="s">
        <v>749</v>
      </c>
      <c r="P89" s="51">
        <f>IF(G89="MFP",Tables!$B$2,Tables!$B$5)</f>
        <v>2.07E-2</v>
      </c>
      <c r="Q89" s="86">
        <f>IF(G89="MFP",Tables!$B$3,Tables!$B$6)</f>
        <v>8.6999999999999994E-2</v>
      </c>
      <c r="R89" s="59">
        <f>VLOOKUP($N89,'Meter Comparison'!$C$2:$G$314,2,FALSE)</f>
        <v>20927</v>
      </c>
      <c r="S89" s="59">
        <f>VLOOKUP($N89,'Meter Comparison'!$C$2:$G$314,3,FALSE)</f>
        <v>22011</v>
      </c>
      <c r="T89" s="59">
        <f>VLOOKUP($N89,'Meter Comparison'!$C$2:$G$314,4,FALSE)</f>
        <v>809</v>
      </c>
      <c r="U89" s="59">
        <f>VLOOKUP($N89,'Meter Comparison'!$C$2:$G$314,5,FALSE)</f>
        <v>844</v>
      </c>
    </row>
    <row r="90" spans="1:21" ht="30" customHeight="1" outlineLevel="2" x14ac:dyDescent="0.3">
      <c r="A90" s="77" t="s">
        <v>746</v>
      </c>
      <c r="B90" s="77" t="s">
        <v>573</v>
      </c>
      <c r="C90" s="55" t="str">
        <f>VLOOKUP(B90,Tables!$G$2:$H$90,2,FALSE)</f>
        <v>Student Union</v>
      </c>
      <c r="D90" s="121" t="s">
        <v>747</v>
      </c>
      <c r="E90" s="75">
        <v>3116</v>
      </c>
      <c r="F90" s="76" t="s">
        <v>15</v>
      </c>
      <c r="G90" s="50" t="str">
        <f>VLOOKUP(F90,Tables!$D$2:$E$20,2,FALSE)</f>
        <v>PTR</v>
      </c>
      <c r="H90" s="69">
        <v>17099717</v>
      </c>
      <c r="I90" s="71">
        <f>SUM(S90-R90)</f>
        <v>312</v>
      </c>
      <c r="J90" s="71">
        <f>SUM(U90-T90)</f>
        <v>0</v>
      </c>
      <c r="K90" s="73">
        <f>SUM(I90*$P90)</f>
        <v>8.1744000000000003</v>
      </c>
      <c r="L90" s="73">
        <f>SUM(J90*$Q90)</f>
        <v>0</v>
      </c>
      <c r="M90" s="74">
        <f>K90+L90</f>
        <v>8.1744000000000003</v>
      </c>
      <c r="N90" s="121" t="s">
        <v>787</v>
      </c>
      <c r="O90" s="121" t="s">
        <v>961</v>
      </c>
      <c r="P90" s="51">
        <f>IF(G90="MFP",Tables!$B$2,Tables!$B$5)</f>
        <v>2.6200000000000001E-2</v>
      </c>
      <c r="Q90" s="86">
        <f>IF(G90="MFP",Tables!$B$3,Tables!$B$6)</f>
        <v>0.11799999999999999</v>
      </c>
      <c r="R90" s="59">
        <f>VLOOKUP($N90,'Meter Comparison'!$C$2:$G$314,2,FALSE)</f>
        <v>778</v>
      </c>
      <c r="S90" s="59">
        <f>VLOOKUP($N90,'Meter Comparison'!$C$2:$G$314,3,FALSE)</f>
        <v>1090</v>
      </c>
      <c r="T90" s="59">
        <f>VLOOKUP($N90,'Meter Comparison'!$C$2:$G$314,4,FALSE)</f>
        <v>0</v>
      </c>
      <c r="U90" s="59">
        <f>VLOOKUP($N90,'Meter Comparison'!$C$2:$G$314,5,FALSE)</f>
        <v>0</v>
      </c>
    </row>
    <row r="91" spans="1:21" ht="30" customHeight="1" outlineLevel="1" x14ac:dyDescent="0.3">
      <c r="A91" s="77"/>
      <c r="B91" s="160" t="s">
        <v>1069</v>
      </c>
      <c r="C91" s="55"/>
      <c r="D91" s="121"/>
      <c r="E91" s="75"/>
      <c r="F91" s="76"/>
      <c r="G91" s="50"/>
      <c r="H91" s="69"/>
      <c r="I91" s="71"/>
      <c r="J91" s="71"/>
      <c r="K91" s="73"/>
      <c r="L91" s="73"/>
      <c r="M91" s="74">
        <f>SUBTOTAL(9,M89:M90)</f>
        <v>33.658200000000001</v>
      </c>
      <c r="N91" s="121"/>
      <c r="O91" s="121"/>
      <c r="P91" s="51"/>
      <c r="Q91" s="86"/>
      <c r="R91" s="59"/>
      <c r="S91" s="59"/>
      <c r="T91" s="59"/>
      <c r="U91" s="59"/>
    </row>
    <row r="92" spans="1:21" ht="30" customHeight="1" outlineLevel="2" x14ac:dyDescent="0.3">
      <c r="A92" s="77" t="s">
        <v>293</v>
      </c>
      <c r="B92" s="77" t="s">
        <v>294</v>
      </c>
      <c r="C92" s="55" t="str">
        <f>VLOOKUP(B92,Tables!$G$2:$H$90,2,FALSE)</f>
        <v>Career Services and Placement</v>
      </c>
      <c r="D92" s="76" t="s">
        <v>221</v>
      </c>
      <c r="E92" s="75">
        <v>311</v>
      </c>
      <c r="F92" s="76" t="s">
        <v>15</v>
      </c>
      <c r="G92" s="50" t="str">
        <f>VLOOKUP(F92,Tables!$D$2:$E$20,2,FALSE)</f>
        <v>PTR</v>
      </c>
      <c r="H92" s="69">
        <v>17099570</v>
      </c>
      <c r="I92" s="71">
        <f>SUM(S92-R92)</f>
        <v>441</v>
      </c>
      <c r="J92" s="71">
        <f>SUM(U92-T92)</f>
        <v>0</v>
      </c>
      <c r="K92" s="73">
        <f>SUM(I92*$P92)</f>
        <v>11.5542</v>
      </c>
      <c r="L92" s="73">
        <f>SUM(J92*$Q92)</f>
        <v>0</v>
      </c>
      <c r="M92" s="74">
        <f>K92+L92</f>
        <v>11.5542</v>
      </c>
      <c r="N92" s="76" t="s">
        <v>298</v>
      </c>
      <c r="O92" s="76" t="s">
        <v>299</v>
      </c>
      <c r="P92" s="51">
        <f>IF(G92="MFP",Tables!$B$2,Tables!$B$5)</f>
        <v>2.6200000000000001E-2</v>
      </c>
      <c r="Q92" s="86">
        <f>IF(G92="MFP",Tables!$B$3,Tables!$B$6)</f>
        <v>0.11799999999999999</v>
      </c>
      <c r="R92" s="59">
        <f>VLOOKUP($N92,'Meter Comparison'!$C$2:$G$314,2,FALSE)</f>
        <v>2373</v>
      </c>
      <c r="S92" s="59">
        <f>VLOOKUP($N92,'Meter Comparison'!$C$2:$G$314,3,FALSE)</f>
        <v>2814</v>
      </c>
      <c r="T92" s="59">
        <f>VLOOKUP($N92,'Meter Comparison'!$C$2:$G$314,4,FALSE)</f>
        <v>0</v>
      </c>
      <c r="U92" s="59">
        <f>VLOOKUP($N92,'Meter Comparison'!$C$2:$G$314,5,FALSE)</f>
        <v>0</v>
      </c>
    </row>
    <row r="93" spans="1:21" ht="30" customHeight="1" outlineLevel="2" x14ac:dyDescent="0.3">
      <c r="A93" s="77" t="s">
        <v>293</v>
      </c>
      <c r="B93" s="77" t="s">
        <v>294</v>
      </c>
      <c r="C93" s="55" t="str">
        <f>VLOOKUP(B93,Tables!$G$2:$H$90,2,FALSE)</f>
        <v>Career Services and Placement</v>
      </c>
      <c r="D93" s="76" t="s">
        <v>221</v>
      </c>
      <c r="E93" s="75">
        <v>312</v>
      </c>
      <c r="F93" s="76" t="s">
        <v>15</v>
      </c>
      <c r="G93" s="50" t="str">
        <f>VLOOKUP(F93,Tables!$D$2:$E$20,2,FALSE)</f>
        <v>PTR</v>
      </c>
      <c r="H93" s="69">
        <v>17099618</v>
      </c>
      <c r="I93" s="71">
        <f>SUM(S93-R93)</f>
        <v>1563</v>
      </c>
      <c r="J93" s="71">
        <f>SUM(U93-T93)</f>
        <v>0</v>
      </c>
      <c r="K93" s="73">
        <f>SUM(I93*$P93)</f>
        <v>40.950600000000001</v>
      </c>
      <c r="L93" s="73">
        <f>SUM(J93*$Q93)</f>
        <v>0</v>
      </c>
      <c r="M93" s="74">
        <f>K93+L93</f>
        <v>40.950600000000001</v>
      </c>
      <c r="N93" s="76" t="s">
        <v>300</v>
      </c>
      <c r="O93" s="76" t="s">
        <v>301</v>
      </c>
      <c r="P93" s="51">
        <f>IF(G93="MFP",Tables!$B$2,Tables!$B$5)</f>
        <v>2.6200000000000001E-2</v>
      </c>
      <c r="Q93" s="86">
        <f>IF(G93="MFP",Tables!$B$3,Tables!$B$6)</f>
        <v>0.11799999999999999</v>
      </c>
      <c r="R93" s="59">
        <f>VLOOKUP($N93,'Meter Comparison'!$C$2:$G$314,2,FALSE)</f>
        <v>7918</v>
      </c>
      <c r="S93" s="59">
        <f>VLOOKUP($N93,'Meter Comparison'!$C$2:$G$314,3,FALSE)</f>
        <v>9481</v>
      </c>
      <c r="T93" s="59">
        <f>VLOOKUP($N93,'Meter Comparison'!$C$2:$G$314,4,FALSE)</f>
        <v>0</v>
      </c>
      <c r="U93" s="59">
        <f>VLOOKUP($N93,'Meter Comparison'!$C$2:$G$314,5,FALSE)</f>
        <v>0</v>
      </c>
    </row>
    <row r="94" spans="1:21" ht="30" customHeight="1" outlineLevel="2" x14ac:dyDescent="0.3">
      <c r="A94" s="77" t="s">
        <v>293</v>
      </c>
      <c r="B94" s="77" t="s">
        <v>294</v>
      </c>
      <c r="C94" s="55" t="str">
        <f>VLOOKUP(B94,Tables!$G$2:$H$90,2,FALSE)</f>
        <v>Career Services and Placement</v>
      </c>
      <c r="D94" s="76" t="s">
        <v>221</v>
      </c>
      <c r="E94" s="75">
        <v>313</v>
      </c>
      <c r="F94" s="76" t="s">
        <v>15</v>
      </c>
      <c r="G94" s="50" t="str">
        <f>VLOOKUP(F94,Tables!$D$2:$E$20,2,FALSE)</f>
        <v>PTR</v>
      </c>
      <c r="H94" s="69">
        <v>17099617</v>
      </c>
      <c r="I94" s="71">
        <f>SUM(S94-R94)</f>
        <v>420</v>
      </c>
      <c r="J94" s="71">
        <f>SUM(U94-T94)</f>
        <v>0</v>
      </c>
      <c r="K94" s="73">
        <f>SUM(I94*$P94)</f>
        <v>11.004000000000001</v>
      </c>
      <c r="L94" s="73">
        <f>SUM(J94*$Q94)</f>
        <v>0</v>
      </c>
      <c r="M94" s="74">
        <f>K94+L94</f>
        <v>11.004000000000001</v>
      </c>
      <c r="N94" s="76" t="s">
        <v>296</v>
      </c>
      <c r="O94" s="76" t="s">
        <v>297</v>
      </c>
      <c r="P94" s="51">
        <f>IF(G94="MFP",Tables!$B$2,Tables!$B$5)</f>
        <v>2.6200000000000001E-2</v>
      </c>
      <c r="Q94" s="86">
        <f>IF(G94="MFP",Tables!$B$3,Tables!$B$6)</f>
        <v>0.11799999999999999</v>
      </c>
      <c r="R94" s="59">
        <f>VLOOKUP($N94,'Meter Comparison'!$C$2:$G$314,2,FALSE)</f>
        <v>806</v>
      </c>
      <c r="S94" s="59">
        <f>VLOOKUP($N94,'Meter Comparison'!$C$2:$G$314,3,FALSE)</f>
        <v>1226</v>
      </c>
      <c r="T94" s="59">
        <f>VLOOKUP($N94,'Meter Comparison'!$C$2:$G$314,4,FALSE)</f>
        <v>0</v>
      </c>
      <c r="U94" s="59">
        <f>VLOOKUP($N94,'Meter Comparison'!$C$2:$G$314,5,FALSE)</f>
        <v>0</v>
      </c>
    </row>
    <row r="95" spans="1:21" ht="30" customHeight="1" outlineLevel="1" x14ac:dyDescent="0.3">
      <c r="A95" s="77"/>
      <c r="B95" s="160" t="s">
        <v>1070</v>
      </c>
      <c r="C95" s="55"/>
      <c r="D95" s="76"/>
      <c r="E95" s="75"/>
      <c r="F95" s="76"/>
      <c r="G95" s="50"/>
      <c r="H95" s="69"/>
      <c r="I95" s="71"/>
      <c r="J95" s="71"/>
      <c r="K95" s="73"/>
      <c r="L95" s="73"/>
      <c r="M95" s="74">
        <f>SUBTOTAL(9,M92:M94)</f>
        <v>63.508800000000008</v>
      </c>
      <c r="N95" s="76"/>
      <c r="O95" s="76"/>
      <c r="P95" s="51"/>
      <c r="Q95" s="86"/>
      <c r="R95" s="59"/>
      <c r="S95" s="59"/>
      <c r="T95" s="59"/>
      <c r="U95" s="59"/>
    </row>
    <row r="96" spans="1:21" ht="30" customHeight="1" outlineLevel="2" x14ac:dyDescent="0.3">
      <c r="A96" s="77" t="s">
        <v>293</v>
      </c>
      <c r="B96" s="77" t="s">
        <v>410</v>
      </c>
      <c r="C96" s="55" t="str">
        <f>VLOOKUP(B96,Tables!$G$2:$H$90,2,FALSE)</f>
        <v>Duplicating</v>
      </c>
      <c r="D96" s="76" t="s">
        <v>221</v>
      </c>
      <c r="E96" s="75">
        <v>307</v>
      </c>
      <c r="F96" s="76" t="s">
        <v>415</v>
      </c>
      <c r="G96" s="50" t="str">
        <f>VLOOKUP(F96,Tables!$D$2:$E$20,2,FALSE)</f>
        <v>MFP</v>
      </c>
      <c r="H96" s="69">
        <v>17099420</v>
      </c>
      <c r="I96" s="71">
        <f>SUM(S96-R96)</f>
        <v>20678</v>
      </c>
      <c r="J96" s="71">
        <f>SUM(U96-T96)</f>
        <v>877</v>
      </c>
      <c r="K96" s="73">
        <f>SUM(I96*$P96)</f>
        <v>428.03460000000001</v>
      </c>
      <c r="L96" s="73">
        <f>SUM(J96*$Q96)</f>
        <v>76.298999999999992</v>
      </c>
      <c r="M96" s="74">
        <f>K96+L96</f>
        <v>504.33359999999999</v>
      </c>
      <c r="N96" s="76" t="s">
        <v>430</v>
      </c>
      <c r="O96" s="76" t="s">
        <v>431</v>
      </c>
      <c r="P96" s="51">
        <f>IF(G96="MFP",Tables!$B$2,Tables!$B$5)</f>
        <v>2.07E-2</v>
      </c>
      <c r="Q96" s="86">
        <f>IF(G96="MFP",Tables!$B$3,Tables!$B$6)</f>
        <v>8.6999999999999994E-2</v>
      </c>
      <c r="R96" s="59">
        <f>VLOOKUP($N96,'Meter Comparison'!$C$2:$G$314,2,FALSE)</f>
        <v>191062</v>
      </c>
      <c r="S96" s="59">
        <f>VLOOKUP($N96,'Meter Comparison'!$C$2:$G$314,3,FALSE)</f>
        <v>211740</v>
      </c>
      <c r="T96" s="59">
        <f>VLOOKUP($N96,'Meter Comparison'!$C$2:$G$314,4,FALSE)</f>
        <v>14613</v>
      </c>
      <c r="U96" s="59">
        <f>VLOOKUP($N96,'Meter Comparison'!$C$2:$G$314,5,FALSE)</f>
        <v>15490</v>
      </c>
    </row>
    <row r="97" spans="1:21" ht="30" customHeight="1" outlineLevel="1" x14ac:dyDescent="0.3">
      <c r="A97" s="77"/>
      <c r="B97" s="160" t="s">
        <v>1071</v>
      </c>
      <c r="C97" s="55"/>
      <c r="D97" s="76"/>
      <c r="E97" s="75"/>
      <c r="F97" s="76"/>
      <c r="G97" s="50"/>
      <c r="H97" s="69"/>
      <c r="I97" s="71"/>
      <c r="J97" s="71"/>
      <c r="K97" s="73"/>
      <c r="L97" s="73"/>
      <c r="M97" s="74">
        <f>SUBTOTAL(9,M96:M96)</f>
        <v>504.33359999999999</v>
      </c>
      <c r="N97" s="76"/>
      <c r="O97" s="76"/>
      <c r="P97" s="51"/>
      <c r="Q97" s="86"/>
      <c r="R97" s="59"/>
      <c r="S97" s="59"/>
      <c r="T97" s="59"/>
      <c r="U97" s="59"/>
    </row>
    <row r="98" spans="1:21" ht="30" customHeight="1" outlineLevel="2" x14ac:dyDescent="0.3">
      <c r="A98" s="77" t="s">
        <v>592</v>
      </c>
      <c r="B98" s="112" t="s">
        <v>593</v>
      </c>
      <c r="C98" s="55" t="str">
        <f>VLOOKUP(B98,Tables!$G$2:$H$90,2,FALSE)</f>
        <v>Center for Leadership &amp; Ethics</v>
      </c>
      <c r="D98" s="112" t="s">
        <v>592</v>
      </c>
      <c r="E98" s="102">
        <v>102</v>
      </c>
      <c r="F98" s="103" t="s">
        <v>90</v>
      </c>
      <c r="G98" s="50" t="str">
        <f>VLOOKUP(F98,Tables!$D$2:$E$20,2,FALSE)</f>
        <v>PTR</v>
      </c>
      <c r="H98" s="69">
        <v>17099779</v>
      </c>
      <c r="I98" s="106">
        <f>SUM(S98-R98)</f>
        <v>0</v>
      </c>
      <c r="J98" s="106">
        <f>SUM(U98-T98)</f>
        <v>0</v>
      </c>
      <c r="K98" s="107">
        <f>SUM(I98*$P98)</f>
        <v>0</v>
      </c>
      <c r="L98" s="107">
        <f>SUM(J98*$Q98)</f>
        <v>0</v>
      </c>
      <c r="M98" s="108">
        <f>K98+L98</f>
        <v>0</v>
      </c>
      <c r="N98" s="113" t="s">
        <v>897</v>
      </c>
      <c r="O98" s="54" t="s">
        <v>975</v>
      </c>
      <c r="P98" s="51">
        <f>IF(G98="MFP",Tables!$B$2,Tables!$B$5)</f>
        <v>2.6200000000000001E-2</v>
      </c>
      <c r="Q98" s="86">
        <f>IF(G98="MFP",Tables!$B$3,Tables!$B$6)</f>
        <v>0.11799999999999999</v>
      </c>
      <c r="R98" s="59">
        <f>VLOOKUP($N98,'Meter Comparison'!$C$2:$G$314,2,FALSE)</f>
        <v>30</v>
      </c>
      <c r="S98" s="59">
        <f>VLOOKUP($N98,'Meter Comparison'!$C$2:$G$314,3,FALSE)</f>
        <v>30</v>
      </c>
      <c r="T98" s="59">
        <f>VLOOKUP($N98,'Meter Comparison'!$C$2:$G$314,4,FALSE)</f>
        <v>8</v>
      </c>
      <c r="U98" s="59">
        <f>VLOOKUP($N98,'Meter Comparison'!$C$2:$G$314,5,FALSE)</f>
        <v>8</v>
      </c>
    </row>
    <row r="99" spans="1:21" ht="30" customHeight="1" outlineLevel="2" x14ac:dyDescent="0.3">
      <c r="A99" s="77" t="s">
        <v>592</v>
      </c>
      <c r="B99" s="77" t="s">
        <v>593</v>
      </c>
      <c r="C99" s="55" t="str">
        <f>VLOOKUP(B99,Tables!$G$2:$H$90,2,FALSE)</f>
        <v>Center for Leadership &amp; Ethics</v>
      </c>
      <c r="D99" s="76" t="s">
        <v>592</v>
      </c>
      <c r="E99" s="75">
        <v>201</v>
      </c>
      <c r="F99" s="76" t="s">
        <v>15</v>
      </c>
      <c r="G99" s="50" t="str">
        <f>VLOOKUP(F99,Tables!$D$2:$E$20,2,FALSE)</f>
        <v>PTR</v>
      </c>
      <c r="H99" s="69">
        <v>17099694</v>
      </c>
      <c r="I99" s="71">
        <f>SUM(S99-R99)</f>
        <v>110</v>
      </c>
      <c r="J99" s="71">
        <f>SUM(U99-T99)</f>
        <v>0</v>
      </c>
      <c r="K99" s="73">
        <f>SUM(I99*$P99)</f>
        <v>2.8820000000000001</v>
      </c>
      <c r="L99" s="73">
        <f>SUM(J99*$Q99)</f>
        <v>0</v>
      </c>
      <c r="M99" s="74">
        <f>K99+L99</f>
        <v>2.8820000000000001</v>
      </c>
      <c r="N99" s="76" t="s">
        <v>598</v>
      </c>
      <c r="O99" s="76" t="s">
        <v>599</v>
      </c>
      <c r="P99" s="51">
        <f>IF(G99="MFP",Tables!$B$2,Tables!$B$5)</f>
        <v>2.6200000000000001E-2</v>
      </c>
      <c r="Q99" s="86">
        <f>IF(G99="MFP",Tables!$B$3,Tables!$B$6)</f>
        <v>0.11799999999999999</v>
      </c>
      <c r="R99" s="59">
        <f>VLOOKUP($N99,'Meter Comparison'!$C$2:$G$314,2,FALSE)</f>
        <v>252</v>
      </c>
      <c r="S99" s="59">
        <f>VLOOKUP($N99,'Meter Comparison'!$C$2:$G$314,3,FALSE)</f>
        <v>362</v>
      </c>
      <c r="T99" s="59">
        <f>VLOOKUP($N99,'Meter Comparison'!$C$2:$G$314,4,FALSE)</f>
        <v>0</v>
      </c>
      <c r="U99" s="59">
        <f>VLOOKUP($N99,'Meter Comparison'!$C$2:$G$314,5,FALSE)</f>
        <v>0</v>
      </c>
    </row>
    <row r="100" spans="1:21" ht="30" customHeight="1" outlineLevel="2" x14ac:dyDescent="0.3">
      <c r="A100" s="77" t="s">
        <v>592</v>
      </c>
      <c r="B100" s="77" t="s">
        <v>593</v>
      </c>
      <c r="C100" s="55" t="str">
        <f>VLOOKUP(B100,Tables!$G$2:$H$90,2,FALSE)</f>
        <v>Center for Leadership &amp; Ethics</v>
      </c>
      <c r="D100" s="76" t="s">
        <v>592</v>
      </c>
      <c r="E100" s="75">
        <v>201</v>
      </c>
      <c r="F100" s="76" t="s">
        <v>15</v>
      </c>
      <c r="G100" s="50" t="str">
        <f>VLOOKUP(F100,Tables!$D$2:$E$20,2,FALSE)</f>
        <v>PTR</v>
      </c>
      <c r="H100" s="69">
        <v>17099602</v>
      </c>
      <c r="I100" s="71">
        <f>SUM(S100-R100)</f>
        <v>908</v>
      </c>
      <c r="J100" s="71">
        <f>SUM(U100-T100)</f>
        <v>0</v>
      </c>
      <c r="K100" s="73">
        <f>SUM(I100*$P100)</f>
        <v>23.7896</v>
      </c>
      <c r="L100" s="73">
        <f>SUM(J100*$Q100)</f>
        <v>0</v>
      </c>
      <c r="M100" s="74">
        <f>K100+L100</f>
        <v>23.7896</v>
      </c>
      <c r="N100" s="76" t="s">
        <v>596</v>
      </c>
      <c r="O100" s="76" t="s">
        <v>597</v>
      </c>
      <c r="P100" s="51">
        <f>IF(G100="MFP",Tables!$B$2,Tables!$B$5)</f>
        <v>2.6200000000000001E-2</v>
      </c>
      <c r="Q100" s="86">
        <f>IF(G100="MFP",Tables!$B$3,Tables!$B$6)</f>
        <v>0.11799999999999999</v>
      </c>
      <c r="R100" s="59">
        <f>VLOOKUP($N100,'Meter Comparison'!$C$2:$G$314,2,FALSE)</f>
        <v>5142</v>
      </c>
      <c r="S100" s="59">
        <f>VLOOKUP($N100,'Meter Comparison'!$C$2:$G$314,3,FALSE)</f>
        <v>6050</v>
      </c>
      <c r="T100" s="59">
        <f>VLOOKUP($N100,'Meter Comparison'!$C$2:$G$314,4,FALSE)</f>
        <v>0</v>
      </c>
      <c r="U100" s="59">
        <f>VLOOKUP($N100,'Meter Comparison'!$C$2:$G$314,5,FALSE)</f>
        <v>0</v>
      </c>
    </row>
    <row r="101" spans="1:21" ht="30" customHeight="1" outlineLevel="2" x14ac:dyDescent="0.3">
      <c r="A101" s="77" t="s">
        <v>592</v>
      </c>
      <c r="B101" s="77" t="s">
        <v>593</v>
      </c>
      <c r="C101" s="55" t="str">
        <f>VLOOKUP(B101,Tables!$G$2:$H$90,2,FALSE)</f>
        <v>Center for Leadership &amp; Ethics</v>
      </c>
      <c r="D101" s="76" t="s">
        <v>592</v>
      </c>
      <c r="E101" s="75">
        <v>201</v>
      </c>
      <c r="F101" s="76" t="s">
        <v>54</v>
      </c>
      <c r="G101" s="50" t="str">
        <f>VLOOKUP(F101,Tables!$D$2:$E$20,2,FALSE)</f>
        <v>MFP</v>
      </c>
      <c r="H101" s="69">
        <v>17099534</v>
      </c>
      <c r="I101" s="71">
        <f>SUM(S101-R101)</f>
        <v>5902</v>
      </c>
      <c r="J101" s="71">
        <f>SUM(U101-T101)</f>
        <v>2572</v>
      </c>
      <c r="K101" s="73">
        <f>SUM(I101*$P101)</f>
        <v>122.17139999999999</v>
      </c>
      <c r="L101" s="73">
        <f>SUM(J101*$Q101)</f>
        <v>223.76399999999998</v>
      </c>
      <c r="M101" s="74">
        <f>K101+L101</f>
        <v>345.93539999999996</v>
      </c>
      <c r="N101" s="76" t="s">
        <v>594</v>
      </c>
      <c r="O101" s="76" t="s">
        <v>595</v>
      </c>
      <c r="P101" s="51">
        <f>IF(G101="MFP",Tables!$B$2,Tables!$B$5)</f>
        <v>2.07E-2</v>
      </c>
      <c r="Q101" s="86">
        <f>IF(G101="MFP",Tables!$B$3,Tables!$B$6)</f>
        <v>8.6999999999999994E-2</v>
      </c>
      <c r="R101" s="59">
        <f>VLOOKUP($N101,'Meter Comparison'!$C$2:$G$314,2,FALSE)</f>
        <v>16774</v>
      </c>
      <c r="S101" s="59">
        <f>VLOOKUP($N101,'Meter Comparison'!$C$2:$G$314,3,FALSE)</f>
        <v>22676</v>
      </c>
      <c r="T101" s="59">
        <f>VLOOKUP($N101,'Meter Comparison'!$C$2:$G$314,4,FALSE)</f>
        <v>9576</v>
      </c>
      <c r="U101" s="59">
        <f>VLOOKUP($N101,'Meter Comparison'!$C$2:$G$314,5,FALSE)</f>
        <v>12148</v>
      </c>
    </row>
    <row r="102" spans="1:21" ht="30" customHeight="1" outlineLevel="1" x14ac:dyDescent="0.3">
      <c r="A102" s="77"/>
      <c r="B102" s="160" t="s">
        <v>1072</v>
      </c>
      <c r="C102" s="55"/>
      <c r="D102" s="76"/>
      <c r="E102" s="75"/>
      <c r="F102" s="76"/>
      <c r="G102" s="50"/>
      <c r="H102" s="69"/>
      <c r="I102" s="71"/>
      <c r="J102" s="71"/>
      <c r="K102" s="73"/>
      <c r="L102" s="73"/>
      <c r="M102" s="74">
        <f>SUBTOTAL(9,M98:M101)</f>
        <v>372.60699999999997</v>
      </c>
      <c r="N102" s="76"/>
      <c r="O102" s="76"/>
      <c r="P102" s="51"/>
      <c r="Q102" s="86"/>
      <c r="R102" s="59"/>
      <c r="S102" s="59"/>
      <c r="T102" s="59"/>
      <c r="U102" s="59"/>
    </row>
    <row r="103" spans="1:21" ht="30" customHeight="1" outlineLevel="2" x14ac:dyDescent="0.3">
      <c r="A103" s="77" t="s">
        <v>518</v>
      </c>
      <c r="B103" s="77" t="s">
        <v>519</v>
      </c>
      <c r="C103" s="55" t="str">
        <f>VLOOKUP(B103,Tables!$G$2:$H$90,2,FALSE)</f>
        <v>UMA-Counselors Office</v>
      </c>
      <c r="D103" s="76" t="s">
        <v>156</v>
      </c>
      <c r="E103" s="75">
        <v>202</v>
      </c>
      <c r="F103" s="76" t="s">
        <v>157</v>
      </c>
      <c r="G103" s="50" t="str">
        <f>VLOOKUP(F103,Tables!$D$2:$E$20,2,FALSE)</f>
        <v>MFP</v>
      </c>
      <c r="H103" s="69">
        <v>17099532</v>
      </c>
      <c r="I103" s="71">
        <f>SUM(S103-R103)</f>
        <v>1002</v>
      </c>
      <c r="J103" s="71">
        <f>SUM(U103-T103)</f>
        <v>0</v>
      </c>
      <c r="K103" s="73">
        <f>SUM(I103*$P103)</f>
        <v>20.741399999999999</v>
      </c>
      <c r="L103" s="73">
        <f>SUM(J103*$Q103)</f>
        <v>0</v>
      </c>
      <c r="M103" s="74">
        <f>K103+L103</f>
        <v>20.741399999999999</v>
      </c>
      <c r="N103" s="76" t="s">
        <v>521</v>
      </c>
      <c r="O103" s="76" t="s">
        <v>522</v>
      </c>
      <c r="P103" s="51">
        <f>IF(G103="MFP",Tables!$B$2,Tables!$B$5)</f>
        <v>2.07E-2</v>
      </c>
      <c r="Q103" s="86">
        <f>IF(G103="MFP",Tables!$B$3,Tables!$B$6)</f>
        <v>8.6999999999999994E-2</v>
      </c>
      <c r="R103" s="59">
        <f>VLOOKUP($N103,'Meter Comparison'!$C$2:$G$314,2,FALSE)</f>
        <v>6561</v>
      </c>
      <c r="S103" s="59">
        <f>VLOOKUP($N103,'Meter Comparison'!$C$2:$G$314,3,FALSE)</f>
        <v>7563</v>
      </c>
      <c r="T103" s="59">
        <f>VLOOKUP($N103,'Meter Comparison'!$C$2:$G$314,4,FALSE)</f>
        <v>0</v>
      </c>
      <c r="U103" s="59">
        <f>VLOOKUP($N103,'Meter Comparison'!$C$2:$G$314,5,FALSE)</f>
        <v>0</v>
      </c>
    </row>
    <row r="104" spans="1:21" ht="30" customHeight="1" outlineLevel="1" x14ac:dyDescent="0.3">
      <c r="A104" s="77"/>
      <c r="B104" s="160" t="s">
        <v>1073</v>
      </c>
      <c r="C104" s="55"/>
      <c r="D104" s="76"/>
      <c r="E104" s="75"/>
      <c r="F104" s="76"/>
      <c r="G104" s="50"/>
      <c r="H104" s="69"/>
      <c r="I104" s="71"/>
      <c r="J104" s="71"/>
      <c r="K104" s="73"/>
      <c r="L104" s="73"/>
      <c r="M104" s="74">
        <f>SUBTOTAL(9,M103:M103)</f>
        <v>20.741399999999999</v>
      </c>
      <c r="N104" s="76"/>
      <c r="O104" s="76"/>
      <c r="P104" s="51"/>
      <c r="Q104" s="86"/>
      <c r="R104" s="59"/>
      <c r="S104" s="59"/>
      <c r="T104" s="59"/>
      <c r="U104" s="59"/>
    </row>
    <row r="105" spans="1:21" ht="30" customHeight="1" outlineLevel="2" x14ac:dyDescent="0.3">
      <c r="A105" s="103" t="s">
        <v>69</v>
      </c>
      <c r="B105" s="124" t="s">
        <v>70</v>
      </c>
      <c r="C105" s="55" t="str">
        <f>VLOOKUP(B105,Tables!$G$2:$H$90,2,FALSE)</f>
        <v>Chemistry</v>
      </c>
      <c r="D105" s="103" t="s">
        <v>53</v>
      </c>
      <c r="E105" s="103">
        <v>105</v>
      </c>
      <c r="F105" s="103" t="s">
        <v>15</v>
      </c>
      <c r="G105" s="50" t="str">
        <f>VLOOKUP(F105,Tables!$D$2:$E$20,2,FALSE)</f>
        <v>PTR</v>
      </c>
      <c r="H105" s="105">
        <v>17099816</v>
      </c>
      <c r="I105" s="106">
        <f t="shared" ref="I105:I116" si="20">SUM(S105-R105)</f>
        <v>84</v>
      </c>
      <c r="J105" s="106">
        <f t="shared" ref="J105:J116" si="21">SUM(U105-T105)</f>
        <v>0</v>
      </c>
      <c r="K105" s="107">
        <f t="shared" ref="K105:K116" si="22">SUM(I105*$P105)</f>
        <v>2.2008000000000001</v>
      </c>
      <c r="L105" s="107">
        <f t="shared" ref="L105:L116" si="23">SUM(J105*$Q105)</f>
        <v>0</v>
      </c>
      <c r="M105" s="108">
        <f t="shared" ref="M105:M116" si="24">K105+L105</f>
        <v>2.2008000000000001</v>
      </c>
      <c r="N105" s="58" t="s">
        <v>921</v>
      </c>
      <c r="O105" s="103" t="s">
        <v>944</v>
      </c>
      <c r="P105" s="51">
        <f>IF(G105="MFP",Tables!$B$2,Tables!$B$5)</f>
        <v>2.6200000000000001E-2</v>
      </c>
      <c r="Q105" s="86">
        <f>IF(G105="MFP",Tables!$B$3,Tables!$B$6)</f>
        <v>0.11799999999999999</v>
      </c>
      <c r="R105" s="59">
        <f>VLOOKUP($N105,'Meter Comparison'!$C$2:$G$314,2,FALSE)</f>
        <v>8</v>
      </c>
      <c r="S105" s="59">
        <f>VLOOKUP($N105,'Meter Comparison'!$C$2:$G$314,3,FALSE)</f>
        <v>92</v>
      </c>
      <c r="T105" s="59">
        <f>VLOOKUP($N105,'Meter Comparison'!$C$2:$G$314,4,FALSE)</f>
        <v>0</v>
      </c>
      <c r="U105" s="59">
        <f>VLOOKUP($N105,'Meter Comparison'!$C$2:$G$314,5,FALSE)</f>
        <v>0</v>
      </c>
    </row>
    <row r="106" spans="1:21" ht="30" customHeight="1" outlineLevel="2" x14ac:dyDescent="0.3">
      <c r="A106" s="77" t="s">
        <v>69</v>
      </c>
      <c r="B106" s="77" t="s">
        <v>70</v>
      </c>
      <c r="C106" s="55" t="str">
        <f>VLOOKUP(B106,Tables!$G$2:$H$90,2,FALSE)</f>
        <v>Chemistry</v>
      </c>
      <c r="D106" s="76" t="s">
        <v>53</v>
      </c>
      <c r="E106" s="75">
        <v>303</v>
      </c>
      <c r="F106" s="76" t="s">
        <v>15</v>
      </c>
      <c r="G106" s="50" t="str">
        <f>VLOOKUP(F106,Tables!$D$2:$E$20,2,FALSE)</f>
        <v>PTR</v>
      </c>
      <c r="H106" s="105">
        <v>17099615</v>
      </c>
      <c r="I106" s="71">
        <f t="shared" si="20"/>
        <v>441</v>
      </c>
      <c r="J106" s="71">
        <f t="shared" si="21"/>
        <v>0</v>
      </c>
      <c r="K106" s="73">
        <f t="shared" si="22"/>
        <v>11.5542</v>
      </c>
      <c r="L106" s="73">
        <f t="shared" si="23"/>
        <v>0</v>
      </c>
      <c r="M106" s="74">
        <f t="shared" si="24"/>
        <v>11.5542</v>
      </c>
      <c r="N106" s="76" t="s">
        <v>77</v>
      </c>
      <c r="O106" s="76" t="s">
        <v>78</v>
      </c>
      <c r="P106" s="51">
        <f>IF(G106="MFP",Tables!$B$2,Tables!$B$5)</f>
        <v>2.6200000000000001E-2</v>
      </c>
      <c r="Q106" s="86">
        <f>IF(G106="MFP",Tables!$B$3,Tables!$B$6)</f>
        <v>0.11799999999999999</v>
      </c>
      <c r="R106" s="59">
        <f>VLOOKUP($N106,'Meter Comparison'!$C$2:$G$314,2,FALSE)</f>
        <v>9288</v>
      </c>
      <c r="S106" s="59">
        <f>VLOOKUP($N106,'Meter Comparison'!$C$2:$G$314,3,FALSE)</f>
        <v>9729</v>
      </c>
      <c r="T106" s="59">
        <f>VLOOKUP($N106,'Meter Comparison'!$C$2:$G$314,4,FALSE)</f>
        <v>0</v>
      </c>
      <c r="U106" s="59">
        <f>VLOOKUP($N106,'Meter Comparison'!$C$2:$G$314,5,FALSE)</f>
        <v>0</v>
      </c>
    </row>
    <row r="107" spans="1:21" ht="30" customHeight="1" outlineLevel="2" x14ac:dyDescent="0.3">
      <c r="A107" s="103" t="s">
        <v>69</v>
      </c>
      <c r="B107" s="124" t="s">
        <v>70</v>
      </c>
      <c r="C107" s="55" t="str">
        <f>VLOOKUP(B107,Tables!$G$2:$H$90,2,FALSE)</f>
        <v>Chemistry</v>
      </c>
      <c r="D107" s="103" t="s">
        <v>53</v>
      </c>
      <c r="E107" s="103">
        <v>402</v>
      </c>
      <c r="F107" s="103" t="s">
        <v>15</v>
      </c>
      <c r="G107" s="50" t="str">
        <f>VLOOKUP(F107,Tables!$D$2:$E$20,2,FALSE)</f>
        <v>PTR</v>
      </c>
      <c r="H107" s="105">
        <v>17099823</v>
      </c>
      <c r="I107" s="106">
        <f t="shared" si="20"/>
        <v>0</v>
      </c>
      <c r="J107" s="106">
        <f t="shared" si="21"/>
        <v>0</v>
      </c>
      <c r="K107" s="107">
        <f t="shared" si="22"/>
        <v>0</v>
      </c>
      <c r="L107" s="107">
        <f t="shared" si="23"/>
        <v>0</v>
      </c>
      <c r="M107" s="108">
        <f t="shared" si="24"/>
        <v>0</v>
      </c>
      <c r="N107" s="58" t="s">
        <v>920</v>
      </c>
      <c r="O107" s="103" t="s">
        <v>1009</v>
      </c>
      <c r="P107" s="51">
        <f>IF(G107="MFP",Tables!$B$2,Tables!$B$5)</f>
        <v>2.6200000000000001E-2</v>
      </c>
      <c r="Q107" s="86">
        <f>IF(G107="MFP",Tables!$B$3,Tables!$B$6)</f>
        <v>0.11799999999999999</v>
      </c>
      <c r="R107" s="59">
        <f>VLOOKUP($N107,'Meter Comparison'!$C$2:$G$314,2,FALSE)</f>
        <v>8</v>
      </c>
      <c r="S107" s="59">
        <f>VLOOKUP($N107,'Meter Comparison'!$C$2:$G$314,3,FALSE)</f>
        <v>8</v>
      </c>
      <c r="T107" s="59">
        <f>VLOOKUP($N107,'Meter Comparison'!$C$2:$G$314,4,FALSE)</f>
        <v>0</v>
      </c>
      <c r="U107" s="59">
        <f>VLOOKUP($N107,'Meter Comparison'!$C$2:$G$314,5,FALSE)</f>
        <v>0</v>
      </c>
    </row>
    <row r="108" spans="1:21" ht="30" customHeight="1" outlineLevel="2" x14ac:dyDescent="0.3">
      <c r="A108" s="77" t="s">
        <v>69</v>
      </c>
      <c r="B108" s="122" t="s">
        <v>70</v>
      </c>
      <c r="C108" s="55" t="str">
        <f>VLOOKUP(B108,Tables!$G$2:$H$90,2,FALSE)</f>
        <v>Chemistry</v>
      </c>
      <c r="D108" s="112" t="s">
        <v>53</v>
      </c>
      <c r="E108" s="102">
        <v>411</v>
      </c>
      <c r="F108" s="103" t="s">
        <v>15</v>
      </c>
      <c r="G108" s="50" t="str">
        <f>VLOOKUP(F108,Tables!$D$2:$E$20,2,FALSE)</f>
        <v>PTR</v>
      </c>
      <c r="H108" s="105">
        <v>17099822</v>
      </c>
      <c r="I108" s="106">
        <f t="shared" si="20"/>
        <v>229</v>
      </c>
      <c r="J108" s="106">
        <f t="shared" si="21"/>
        <v>0</v>
      </c>
      <c r="K108" s="107">
        <f t="shared" si="22"/>
        <v>5.9998000000000005</v>
      </c>
      <c r="L108" s="107">
        <f t="shared" si="23"/>
        <v>0</v>
      </c>
      <c r="M108" s="108">
        <f t="shared" si="24"/>
        <v>5.9998000000000005</v>
      </c>
      <c r="N108" s="113" t="s">
        <v>883</v>
      </c>
      <c r="O108" s="54" t="s">
        <v>959</v>
      </c>
      <c r="P108" s="51">
        <f>IF(G108="MFP",Tables!$B$2,Tables!$B$5)</f>
        <v>2.6200000000000001E-2</v>
      </c>
      <c r="Q108" s="86">
        <f>IF(G108="MFP",Tables!$B$3,Tables!$B$6)</f>
        <v>0.11799999999999999</v>
      </c>
      <c r="R108" s="59">
        <f>VLOOKUP($N108,'Meter Comparison'!$C$2:$G$314,2,FALSE)</f>
        <v>182</v>
      </c>
      <c r="S108" s="59">
        <f>VLOOKUP($N108,'Meter Comparison'!$C$2:$G$314,3,FALSE)</f>
        <v>411</v>
      </c>
      <c r="T108" s="59">
        <f>VLOOKUP($N108,'Meter Comparison'!$C$2:$G$314,4,FALSE)</f>
        <v>0</v>
      </c>
      <c r="U108" s="59">
        <f>VLOOKUP($N108,'Meter Comparison'!$C$2:$G$314,5,FALSE)</f>
        <v>0</v>
      </c>
    </row>
    <row r="109" spans="1:21" ht="30" customHeight="1" outlineLevel="2" x14ac:dyDescent="0.3">
      <c r="A109" s="103" t="s">
        <v>69</v>
      </c>
      <c r="B109" s="124" t="s">
        <v>70</v>
      </c>
      <c r="C109" s="55" t="str">
        <f>VLOOKUP(B109,Tables!$G$2:$H$90,2,FALSE)</f>
        <v>Chemistry</v>
      </c>
      <c r="D109" s="103" t="s">
        <v>53</v>
      </c>
      <c r="E109" s="103">
        <v>415</v>
      </c>
      <c r="F109" s="103" t="s">
        <v>15</v>
      </c>
      <c r="G109" s="50" t="str">
        <f>VLOOKUP(F109,Tables!$D$2:$E$20,2,FALSE)</f>
        <v>PTR</v>
      </c>
      <c r="H109" s="105">
        <v>17099812</v>
      </c>
      <c r="I109" s="106">
        <f t="shared" si="20"/>
        <v>108</v>
      </c>
      <c r="J109" s="106">
        <f t="shared" si="21"/>
        <v>0</v>
      </c>
      <c r="K109" s="107">
        <f t="shared" si="22"/>
        <v>2.8296000000000001</v>
      </c>
      <c r="L109" s="107">
        <f t="shared" si="23"/>
        <v>0</v>
      </c>
      <c r="M109" s="108">
        <f t="shared" si="24"/>
        <v>2.8296000000000001</v>
      </c>
      <c r="N109" s="58" t="s">
        <v>916</v>
      </c>
      <c r="O109" s="103" t="s">
        <v>944</v>
      </c>
      <c r="P109" s="51">
        <f>IF(G109="MFP",Tables!$B$2,Tables!$B$5)</f>
        <v>2.6200000000000001E-2</v>
      </c>
      <c r="Q109" s="86">
        <f>IF(G109="MFP",Tables!$B$3,Tables!$B$6)</f>
        <v>0.11799999999999999</v>
      </c>
      <c r="R109" s="59">
        <f>VLOOKUP($N109,'Meter Comparison'!$C$2:$G$314,2,FALSE)</f>
        <v>548</v>
      </c>
      <c r="S109" s="59">
        <f>VLOOKUP($N109,'Meter Comparison'!$C$2:$G$314,3,FALSE)</f>
        <v>656</v>
      </c>
      <c r="T109" s="59">
        <f>VLOOKUP($N109,'Meter Comparison'!$C$2:$G$314,4,FALSE)</f>
        <v>0</v>
      </c>
      <c r="U109" s="59">
        <f>VLOOKUP($N109,'Meter Comparison'!$C$2:$G$314,5,FALSE)</f>
        <v>0</v>
      </c>
    </row>
    <row r="110" spans="1:21" ht="30" customHeight="1" outlineLevel="2" x14ac:dyDescent="0.3">
      <c r="A110" s="103" t="s">
        <v>69</v>
      </c>
      <c r="B110" s="124" t="s">
        <v>70</v>
      </c>
      <c r="C110" s="55" t="str">
        <f>VLOOKUP(B110,Tables!$G$2:$H$90,2,FALSE)</f>
        <v>Chemistry</v>
      </c>
      <c r="D110" s="103" t="s">
        <v>53</v>
      </c>
      <c r="E110" s="103">
        <v>415</v>
      </c>
      <c r="F110" s="103" t="s">
        <v>15</v>
      </c>
      <c r="G110" s="50" t="str">
        <f>VLOOKUP(F110,Tables!$D$2:$E$20,2,FALSE)</f>
        <v>PTR</v>
      </c>
      <c r="H110" s="105">
        <v>17099794</v>
      </c>
      <c r="I110" s="106">
        <f t="shared" si="20"/>
        <v>4</v>
      </c>
      <c r="J110" s="106">
        <f t="shared" si="21"/>
        <v>0</v>
      </c>
      <c r="K110" s="107">
        <f t="shared" si="22"/>
        <v>0.1048</v>
      </c>
      <c r="L110" s="107">
        <f t="shared" si="23"/>
        <v>0</v>
      </c>
      <c r="M110" s="108">
        <f t="shared" si="24"/>
        <v>0.1048</v>
      </c>
      <c r="N110" s="58" t="s">
        <v>915</v>
      </c>
      <c r="O110" s="103" t="s">
        <v>944</v>
      </c>
      <c r="P110" s="51">
        <f>IF(G110="MFP",Tables!$B$2,Tables!$B$5)</f>
        <v>2.6200000000000001E-2</v>
      </c>
      <c r="Q110" s="86">
        <f>IF(G110="MFP",Tables!$B$3,Tables!$B$6)</f>
        <v>0.11799999999999999</v>
      </c>
      <c r="R110" s="59">
        <f>VLOOKUP($N110,'Meter Comparison'!$C$2:$G$314,2,FALSE)</f>
        <v>115</v>
      </c>
      <c r="S110" s="59">
        <f>VLOOKUP($N110,'Meter Comparison'!$C$2:$G$314,3,FALSE)</f>
        <v>119</v>
      </c>
      <c r="T110" s="59">
        <f>VLOOKUP($N110,'Meter Comparison'!$C$2:$G$314,4,FALSE)</f>
        <v>0</v>
      </c>
      <c r="U110" s="59">
        <f>VLOOKUP($N110,'Meter Comparison'!$C$2:$G$314,5,FALSE)</f>
        <v>0</v>
      </c>
    </row>
    <row r="111" spans="1:21" ht="30" customHeight="1" outlineLevel="2" x14ac:dyDescent="0.3">
      <c r="A111" s="103" t="s">
        <v>69</v>
      </c>
      <c r="B111" s="124" t="s">
        <v>70</v>
      </c>
      <c r="C111" s="55" t="str">
        <f>VLOOKUP(B111,Tables!$G$2:$H$90,2,FALSE)</f>
        <v>Chemistry</v>
      </c>
      <c r="D111" s="103" t="s">
        <v>53</v>
      </c>
      <c r="E111" s="103">
        <v>415</v>
      </c>
      <c r="F111" s="103" t="s">
        <v>15</v>
      </c>
      <c r="G111" s="50" t="str">
        <f>VLOOKUP(F111,Tables!$D$2:$E$20,2,FALSE)</f>
        <v>PTR</v>
      </c>
      <c r="H111" s="105">
        <v>17099795</v>
      </c>
      <c r="I111" s="106">
        <f t="shared" si="20"/>
        <v>2</v>
      </c>
      <c r="J111" s="106">
        <f t="shared" si="21"/>
        <v>0</v>
      </c>
      <c r="K111" s="107">
        <f t="shared" si="22"/>
        <v>5.2400000000000002E-2</v>
      </c>
      <c r="L111" s="107">
        <f t="shared" si="23"/>
        <v>0</v>
      </c>
      <c r="M111" s="108">
        <f t="shared" si="24"/>
        <v>5.2400000000000002E-2</v>
      </c>
      <c r="N111" s="58" t="s">
        <v>917</v>
      </c>
      <c r="O111" s="103" t="s">
        <v>944</v>
      </c>
      <c r="P111" s="51">
        <f>IF(G111="MFP",Tables!$B$2,Tables!$B$5)</f>
        <v>2.6200000000000001E-2</v>
      </c>
      <c r="Q111" s="86">
        <f>IF(G111="MFP",Tables!$B$3,Tables!$B$6)</f>
        <v>0.11799999999999999</v>
      </c>
      <c r="R111" s="59">
        <f>VLOOKUP($N111,'Meter Comparison'!$C$2:$G$314,2,FALSE)</f>
        <v>5</v>
      </c>
      <c r="S111" s="59">
        <f>VLOOKUP($N111,'Meter Comparison'!$C$2:$G$314,3,FALSE)</f>
        <v>7</v>
      </c>
      <c r="T111" s="59">
        <f>VLOOKUP($N111,'Meter Comparison'!$C$2:$G$314,4,FALSE)</f>
        <v>0</v>
      </c>
      <c r="U111" s="59">
        <f>VLOOKUP($N111,'Meter Comparison'!$C$2:$G$314,5,FALSE)</f>
        <v>0</v>
      </c>
    </row>
    <row r="112" spans="1:21" ht="30" customHeight="1" outlineLevel="2" x14ac:dyDescent="0.3">
      <c r="A112" s="77" t="s">
        <v>69</v>
      </c>
      <c r="B112" s="122" t="s">
        <v>70</v>
      </c>
      <c r="C112" s="55" t="str">
        <f>VLOOKUP(B112,Tables!$G$2:$H$90,2,FALSE)</f>
        <v>Chemistry</v>
      </c>
      <c r="D112" s="112" t="s">
        <v>53</v>
      </c>
      <c r="E112" s="102">
        <v>415</v>
      </c>
      <c r="F112" s="103" t="s">
        <v>15</v>
      </c>
      <c r="G112" s="50" t="str">
        <f>VLOOKUP(F112,Tables!$D$2:$E$20,2,FALSE)</f>
        <v>PTR</v>
      </c>
      <c r="H112" s="105">
        <v>17099811</v>
      </c>
      <c r="I112" s="106">
        <f t="shared" si="20"/>
        <v>116</v>
      </c>
      <c r="J112" s="106">
        <f t="shared" si="21"/>
        <v>0</v>
      </c>
      <c r="K112" s="107">
        <f t="shared" si="22"/>
        <v>3.0392000000000001</v>
      </c>
      <c r="L112" s="107">
        <f t="shared" si="23"/>
        <v>0</v>
      </c>
      <c r="M112" s="108">
        <f t="shared" si="24"/>
        <v>3.0392000000000001</v>
      </c>
      <c r="N112" s="113" t="s">
        <v>885</v>
      </c>
      <c r="O112" s="54" t="s">
        <v>964</v>
      </c>
      <c r="P112" s="51">
        <f>IF(G112="MFP",Tables!$B$2,Tables!$B$5)</f>
        <v>2.6200000000000001E-2</v>
      </c>
      <c r="Q112" s="86">
        <f>IF(G112="MFP",Tables!$B$3,Tables!$B$6)</f>
        <v>0.11799999999999999</v>
      </c>
      <c r="R112" s="59">
        <f>VLOOKUP($N112,'Meter Comparison'!$C$2:$G$314,2,FALSE)</f>
        <v>333</v>
      </c>
      <c r="S112" s="59">
        <f>VLOOKUP($N112,'Meter Comparison'!$C$2:$G$314,3,FALSE)</f>
        <v>449</v>
      </c>
      <c r="T112" s="59">
        <f>VLOOKUP($N112,'Meter Comparison'!$C$2:$G$314,4,FALSE)</f>
        <v>0</v>
      </c>
      <c r="U112" s="59">
        <f>VLOOKUP($N112,'Meter Comparison'!$C$2:$G$314,5,FALSE)</f>
        <v>0</v>
      </c>
    </row>
    <row r="113" spans="1:22" ht="30" customHeight="1" outlineLevel="2" x14ac:dyDescent="0.3">
      <c r="A113" s="103" t="s">
        <v>69</v>
      </c>
      <c r="B113" s="124" t="s">
        <v>70</v>
      </c>
      <c r="C113" s="55" t="str">
        <f>VLOOKUP(B113,Tables!$G$2:$H$90,2,FALSE)</f>
        <v>Chemistry</v>
      </c>
      <c r="D113" s="103" t="s">
        <v>53</v>
      </c>
      <c r="E113" s="103">
        <v>415</v>
      </c>
      <c r="F113" s="103" t="s">
        <v>15</v>
      </c>
      <c r="G113" s="50" t="str">
        <f>VLOOKUP(F113,Tables!$D$2:$E$20,2,FALSE)</f>
        <v>PTR</v>
      </c>
      <c r="H113" s="105">
        <v>17099796</v>
      </c>
      <c r="I113" s="106">
        <f t="shared" si="20"/>
        <v>45</v>
      </c>
      <c r="J113" s="106">
        <f t="shared" si="21"/>
        <v>0</v>
      </c>
      <c r="K113" s="107">
        <f t="shared" si="22"/>
        <v>1.179</v>
      </c>
      <c r="L113" s="107">
        <f t="shared" si="23"/>
        <v>0</v>
      </c>
      <c r="M113" s="108">
        <f t="shared" si="24"/>
        <v>1.179</v>
      </c>
      <c r="N113" s="58" t="s">
        <v>919</v>
      </c>
      <c r="O113" s="103" t="s">
        <v>944</v>
      </c>
      <c r="P113" s="51">
        <f>IF(G113="MFP",Tables!$B$2,Tables!$B$5)</f>
        <v>2.6200000000000001E-2</v>
      </c>
      <c r="Q113" s="86">
        <f>IF(G113="MFP",Tables!$B$3,Tables!$B$6)</f>
        <v>0.11799999999999999</v>
      </c>
      <c r="R113" s="59">
        <f>VLOOKUP($N113,'Meter Comparison'!$C$2:$G$314,2,FALSE)</f>
        <v>288</v>
      </c>
      <c r="S113" s="59">
        <f>VLOOKUP($N113,'Meter Comparison'!$C$2:$G$314,3,FALSE)</f>
        <v>333</v>
      </c>
      <c r="T113" s="59">
        <f>VLOOKUP($N113,'Meter Comparison'!$C$2:$G$314,4,FALSE)</f>
        <v>0</v>
      </c>
      <c r="U113" s="59">
        <f>VLOOKUP($N113,'Meter Comparison'!$C$2:$G$314,5,FALSE)</f>
        <v>0</v>
      </c>
    </row>
    <row r="114" spans="1:22" ht="30" customHeight="1" outlineLevel="2" x14ac:dyDescent="0.3">
      <c r="A114" s="103" t="s">
        <v>69</v>
      </c>
      <c r="B114" s="124" t="s">
        <v>70</v>
      </c>
      <c r="C114" s="55" t="str">
        <f>VLOOKUP(B114,Tables!$G$2:$H$90,2,FALSE)</f>
        <v>Chemistry</v>
      </c>
      <c r="D114" s="103" t="s">
        <v>53</v>
      </c>
      <c r="E114" s="103">
        <v>415</v>
      </c>
      <c r="F114" s="103" t="s">
        <v>15</v>
      </c>
      <c r="G114" s="50" t="str">
        <f>VLOOKUP(F114,Tables!$D$2:$E$20,2,FALSE)</f>
        <v>PTR</v>
      </c>
      <c r="H114" s="105">
        <v>17099793</v>
      </c>
      <c r="I114" s="106">
        <f t="shared" si="20"/>
        <v>11</v>
      </c>
      <c r="J114" s="106">
        <f t="shared" si="21"/>
        <v>0</v>
      </c>
      <c r="K114" s="107">
        <f t="shared" si="22"/>
        <v>0.28820000000000001</v>
      </c>
      <c r="L114" s="107">
        <f t="shared" si="23"/>
        <v>0</v>
      </c>
      <c r="M114" s="108">
        <f t="shared" si="24"/>
        <v>0.28820000000000001</v>
      </c>
      <c r="N114" s="58" t="s">
        <v>918</v>
      </c>
      <c r="O114" s="103" t="s">
        <v>944</v>
      </c>
      <c r="P114" s="51">
        <f>IF(G114="MFP",Tables!$B$2,Tables!$B$5)</f>
        <v>2.6200000000000001E-2</v>
      </c>
      <c r="Q114" s="86">
        <f>IF(G114="MFP",Tables!$B$3,Tables!$B$6)</f>
        <v>0.11799999999999999</v>
      </c>
      <c r="R114" s="59">
        <f>VLOOKUP($N114,'Meter Comparison'!$C$2:$G$314,2,FALSE)</f>
        <v>138</v>
      </c>
      <c r="S114" s="59">
        <f>VLOOKUP($N114,'Meter Comparison'!$C$2:$G$314,3,FALSE)</f>
        <v>149</v>
      </c>
      <c r="T114" s="59">
        <f>VLOOKUP($N114,'Meter Comparison'!$C$2:$G$314,4,FALSE)</f>
        <v>0</v>
      </c>
      <c r="U114" s="59">
        <f>VLOOKUP($N114,'Meter Comparison'!$C$2:$G$314,5,FALSE)</f>
        <v>0</v>
      </c>
    </row>
    <row r="115" spans="1:22" ht="30" customHeight="1" outlineLevel="2" x14ac:dyDescent="0.3">
      <c r="A115" s="77" t="s">
        <v>69</v>
      </c>
      <c r="B115" s="77" t="s">
        <v>70</v>
      </c>
      <c r="C115" s="55" t="str">
        <f>VLOOKUP(B115,Tables!$G$2:$H$90,2,FALSE)</f>
        <v>Chemistry</v>
      </c>
      <c r="D115" s="76" t="s">
        <v>53</v>
      </c>
      <c r="E115" s="75" t="s">
        <v>71</v>
      </c>
      <c r="F115" s="76" t="s">
        <v>24</v>
      </c>
      <c r="G115" s="50" t="str">
        <f>VLOOKUP(F115,Tables!$D$2:$E$20,2,FALSE)</f>
        <v>MFP</v>
      </c>
      <c r="H115" s="105">
        <v>17099462</v>
      </c>
      <c r="I115" s="71">
        <f t="shared" si="20"/>
        <v>11012</v>
      </c>
      <c r="J115" s="71">
        <f t="shared" si="21"/>
        <v>729</v>
      </c>
      <c r="K115" s="73">
        <f t="shared" si="22"/>
        <v>227.94839999999999</v>
      </c>
      <c r="L115" s="73">
        <f t="shared" si="23"/>
        <v>63.422999999999995</v>
      </c>
      <c r="M115" s="74">
        <f t="shared" si="24"/>
        <v>291.37139999999999</v>
      </c>
      <c r="N115" s="76" t="s">
        <v>72</v>
      </c>
      <c r="O115" s="76" t="s">
        <v>73</v>
      </c>
      <c r="P115" s="51">
        <f>IF(G115="MFP",Tables!$B$2,Tables!$B$5)</f>
        <v>2.07E-2</v>
      </c>
      <c r="Q115" s="86">
        <f>IF(G115="MFP",Tables!$B$3,Tables!$B$6)</f>
        <v>8.6999999999999994E-2</v>
      </c>
      <c r="R115" s="59">
        <f>VLOOKUP($N115,'Meter Comparison'!$C$2:$G$314,2,FALSE)</f>
        <v>56414</v>
      </c>
      <c r="S115" s="59">
        <f>VLOOKUP($N115,'Meter Comparison'!$C$2:$G$314,3,FALSE)</f>
        <v>67426</v>
      </c>
      <c r="T115" s="59">
        <f>VLOOKUP($N115,'Meter Comparison'!$C$2:$G$314,4,FALSE)</f>
        <v>2079</v>
      </c>
      <c r="U115" s="59">
        <f>VLOOKUP($N115,'Meter Comparison'!$C$2:$G$314,5,FALSE)</f>
        <v>2808</v>
      </c>
    </row>
    <row r="116" spans="1:22" ht="30" customHeight="1" outlineLevel="2" x14ac:dyDescent="0.3">
      <c r="A116" s="77" t="s">
        <v>69</v>
      </c>
      <c r="B116" s="77" t="s">
        <v>70</v>
      </c>
      <c r="C116" s="55" t="str">
        <f>VLOOKUP(B116,Tables!$G$2:$H$90,2,FALSE)</f>
        <v>Chemistry</v>
      </c>
      <c r="D116" s="76" t="s">
        <v>53</v>
      </c>
      <c r="E116" s="75" t="s">
        <v>74</v>
      </c>
      <c r="F116" s="76" t="s">
        <v>15</v>
      </c>
      <c r="G116" s="50" t="str">
        <f>VLOOKUP(F116,Tables!$D$2:$E$20,2,FALSE)</f>
        <v>PTR</v>
      </c>
      <c r="H116" s="105">
        <v>17099616</v>
      </c>
      <c r="I116" s="71">
        <f t="shared" si="20"/>
        <v>1940</v>
      </c>
      <c r="J116" s="71">
        <f t="shared" si="21"/>
        <v>0</v>
      </c>
      <c r="K116" s="73">
        <f t="shared" si="22"/>
        <v>50.828000000000003</v>
      </c>
      <c r="L116" s="73">
        <f t="shared" si="23"/>
        <v>0</v>
      </c>
      <c r="M116" s="74">
        <f t="shared" si="24"/>
        <v>50.828000000000003</v>
      </c>
      <c r="N116" s="76" t="s">
        <v>75</v>
      </c>
      <c r="O116" s="76" t="s">
        <v>76</v>
      </c>
      <c r="P116" s="51">
        <f>IF(G116="MFP",Tables!$B$2,Tables!$B$5)</f>
        <v>2.6200000000000001E-2</v>
      </c>
      <c r="Q116" s="86">
        <f>IF(G116="MFP",Tables!$B$3,Tables!$B$6)</f>
        <v>0.11799999999999999</v>
      </c>
      <c r="R116" s="59">
        <f>VLOOKUP($N116,'Meter Comparison'!$C$2:$G$314,2,FALSE)</f>
        <v>8857</v>
      </c>
      <c r="S116" s="59">
        <f>VLOOKUP($N116,'Meter Comparison'!$C$2:$G$314,3,FALSE)</f>
        <v>10797</v>
      </c>
      <c r="T116" s="59">
        <f>VLOOKUP($N116,'Meter Comparison'!$C$2:$G$314,4,FALSE)</f>
        <v>0</v>
      </c>
      <c r="U116" s="59">
        <f>VLOOKUP($N116,'Meter Comparison'!$C$2:$G$314,5,FALSE)</f>
        <v>0</v>
      </c>
    </row>
    <row r="117" spans="1:22" ht="30" customHeight="1" outlineLevel="1" x14ac:dyDescent="0.3">
      <c r="A117" s="77"/>
      <c r="B117" s="160" t="s">
        <v>1074</v>
      </c>
      <c r="C117" s="55"/>
      <c r="D117" s="76"/>
      <c r="E117" s="75"/>
      <c r="F117" s="76"/>
      <c r="G117" s="50"/>
      <c r="H117" s="105"/>
      <c r="I117" s="71"/>
      <c r="J117" s="71"/>
      <c r="K117" s="73"/>
      <c r="L117" s="73"/>
      <c r="M117" s="74">
        <f>SUBTOTAL(9,M105:M116)</f>
        <v>369.44740000000002</v>
      </c>
      <c r="N117" s="76"/>
      <c r="O117" s="76"/>
      <c r="P117" s="51"/>
      <c r="Q117" s="86"/>
      <c r="R117" s="59"/>
      <c r="S117" s="59"/>
      <c r="T117" s="59"/>
      <c r="U117" s="59"/>
    </row>
    <row r="118" spans="1:22" ht="30" customHeight="1" outlineLevel="2" x14ac:dyDescent="0.3">
      <c r="A118" s="77" t="s">
        <v>79</v>
      </c>
      <c r="B118" s="77" t="s">
        <v>80</v>
      </c>
      <c r="C118" s="55" t="str">
        <f>VLOOKUP(B118,Tables!$G$2:$H$90,2,FALSE)</f>
        <v>Civil Engineering</v>
      </c>
      <c r="D118" s="76" t="s">
        <v>82</v>
      </c>
      <c r="E118" s="75">
        <v>410</v>
      </c>
      <c r="F118" s="76" t="s">
        <v>15</v>
      </c>
      <c r="G118" s="50" t="str">
        <f>VLOOKUP(F118,Tables!$D$2:$E$20,2,FALSE)</f>
        <v>PTR</v>
      </c>
      <c r="H118" s="69">
        <v>17099752</v>
      </c>
      <c r="I118" s="71">
        <f>SUM(S118-R118)</f>
        <v>89</v>
      </c>
      <c r="J118" s="71">
        <f>SUM(U118-T118)</f>
        <v>0</v>
      </c>
      <c r="K118" s="73">
        <f>SUM(I118*$P118)</f>
        <v>2.3318000000000003</v>
      </c>
      <c r="L118" s="73">
        <f>SUM(J118*$Q118)</f>
        <v>0</v>
      </c>
      <c r="M118" s="74">
        <f>K118+L118</f>
        <v>2.3318000000000003</v>
      </c>
      <c r="N118" s="76" t="s">
        <v>88</v>
      </c>
      <c r="O118" s="76" t="s">
        <v>89</v>
      </c>
      <c r="P118" s="51">
        <f>IF(G118="MFP",Tables!$B$2,Tables!$B$5)</f>
        <v>2.6200000000000001E-2</v>
      </c>
      <c r="Q118" s="86">
        <f>IF(G118="MFP",Tables!$B$3,Tables!$B$6)</f>
        <v>0.11799999999999999</v>
      </c>
      <c r="R118" s="59">
        <f>VLOOKUP($N118,'Meter Comparison'!$C$2:$G$314,2,FALSE)</f>
        <v>728</v>
      </c>
      <c r="S118" s="59">
        <f>VLOOKUP($N118,'Meter Comparison'!$C$2:$G$314,3,FALSE)</f>
        <v>817</v>
      </c>
      <c r="T118" s="59">
        <f>VLOOKUP($N118,'Meter Comparison'!$C$2:$G$314,4,FALSE)</f>
        <v>0</v>
      </c>
      <c r="U118" s="59">
        <f>VLOOKUP($N118,'Meter Comparison'!$C$2:$G$314,5,FALSE)</f>
        <v>0</v>
      </c>
    </row>
    <row r="119" spans="1:22" s="126" customFormat="1" ht="30" customHeight="1" outlineLevel="2" x14ac:dyDescent="0.3">
      <c r="A119" s="77" t="s">
        <v>79</v>
      </c>
      <c r="B119" s="77" t="s">
        <v>80</v>
      </c>
      <c r="C119" s="55" t="str">
        <f>VLOOKUP(B119,Tables!$G$2:$H$90,2,FALSE)</f>
        <v>Civil Engineering</v>
      </c>
      <c r="D119" s="76" t="s">
        <v>82</v>
      </c>
      <c r="E119" s="75">
        <v>609</v>
      </c>
      <c r="F119" s="76" t="s">
        <v>15</v>
      </c>
      <c r="G119" s="50" t="str">
        <f>VLOOKUP(F119,Tables!$D$2:$E$20,2,FALSE)</f>
        <v>PTR</v>
      </c>
      <c r="H119" s="69">
        <v>17099621</v>
      </c>
      <c r="I119" s="71">
        <f>SUM(S119-R119)</f>
        <v>1060</v>
      </c>
      <c r="J119" s="71">
        <f>SUM(U119-T119)</f>
        <v>0</v>
      </c>
      <c r="K119" s="73">
        <f>SUM(I119*$P119)</f>
        <v>27.772000000000002</v>
      </c>
      <c r="L119" s="73">
        <f>SUM(J119*$Q119)</f>
        <v>0</v>
      </c>
      <c r="M119" s="74">
        <f>K119+L119</f>
        <v>27.772000000000002</v>
      </c>
      <c r="N119" s="76" t="s">
        <v>86</v>
      </c>
      <c r="O119" s="76" t="s">
        <v>87</v>
      </c>
      <c r="P119" s="51">
        <f>IF(G119="MFP",Tables!$B$2,Tables!$B$5)</f>
        <v>2.6200000000000001E-2</v>
      </c>
      <c r="Q119" s="86">
        <f>IF(G119="MFP",Tables!$B$3,Tables!$B$6)</f>
        <v>0.11799999999999999</v>
      </c>
      <c r="R119" s="59">
        <f>VLOOKUP($N119,'Meter Comparison'!$C$2:$G$314,2,FALSE)</f>
        <v>1643</v>
      </c>
      <c r="S119" s="59">
        <f>VLOOKUP($N119,'Meter Comparison'!$C$2:$G$314,3,FALSE)</f>
        <v>2703</v>
      </c>
      <c r="T119" s="59">
        <f>VLOOKUP($N119,'Meter Comparison'!$C$2:$G$314,4,FALSE)</f>
        <v>0</v>
      </c>
      <c r="U119" s="59">
        <f>VLOOKUP($N119,'Meter Comparison'!$C$2:$G$314,5,FALSE)</f>
        <v>0</v>
      </c>
      <c r="V119" s="64"/>
    </row>
    <row r="120" spans="1:22" ht="30" customHeight="1" outlineLevel="2" x14ac:dyDescent="0.3">
      <c r="A120" s="77" t="s">
        <v>79</v>
      </c>
      <c r="B120" s="77" t="s">
        <v>80</v>
      </c>
      <c r="C120" s="55" t="str">
        <f>VLOOKUP(B120,Tables!$G$2:$H$90,2,FALSE)</f>
        <v>Civil Engineering</v>
      </c>
      <c r="D120" s="76" t="s">
        <v>82</v>
      </c>
      <c r="E120" s="75">
        <v>609</v>
      </c>
      <c r="F120" s="76" t="s">
        <v>83</v>
      </c>
      <c r="G120" s="50" t="str">
        <f>VLOOKUP(F120,Tables!$D$2:$E$20,2,FALSE)</f>
        <v>MFP</v>
      </c>
      <c r="H120" s="69">
        <v>17099782</v>
      </c>
      <c r="I120" s="71">
        <f>SUM(S120-R120)</f>
        <v>15757</v>
      </c>
      <c r="J120" s="71">
        <f>SUM(U120-T120)</f>
        <v>1195</v>
      </c>
      <c r="K120" s="73">
        <f>SUM(I120*$P120)</f>
        <v>326.16989999999998</v>
      </c>
      <c r="L120" s="73">
        <f>SUM(J120*$Q120)</f>
        <v>103.96499999999999</v>
      </c>
      <c r="M120" s="74">
        <f>K120+L120</f>
        <v>430.13489999999996</v>
      </c>
      <c r="N120" s="76" t="s">
        <v>84</v>
      </c>
      <c r="O120" s="76" t="s">
        <v>85</v>
      </c>
      <c r="P120" s="51">
        <f>IF(G120="MFP",Tables!$B$2,Tables!$B$5)</f>
        <v>2.07E-2</v>
      </c>
      <c r="Q120" s="86">
        <f>IF(G120="MFP",Tables!$B$3,Tables!$B$6)</f>
        <v>8.6999999999999994E-2</v>
      </c>
      <c r="R120" s="59">
        <f>VLOOKUP($N120,'Meter Comparison'!$C$2:$G$314,2,FALSE)</f>
        <v>120811</v>
      </c>
      <c r="S120" s="59">
        <f>VLOOKUP($N120,'Meter Comparison'!$C$2:$G$314,3,FALSE)</f>
        <v>136568</v>
      </c>
      <c r="T120" s="59">
        <f>VLOOKUP($N120,'Meter Comparison'!$C$2:$G$314,4,FALSE)</f>
        <v>24544</v>
      </c>
      <c r="U120" s="59">
        <f>VLOOKUP($N120,'Meter Comparison'!$C$2:$G$314,5,FALSE)</f>
        <v>25739</v>
      </c>
    </row>
    <row r="121" spans="1:22" ht="30" customHeight="1" outlineLevel="1" x14ac:dyDescent="0.3">
      <c r="A121" s="77"/>
      <c r="B121" s="160" t="s">
        <v>1075</v>
      </c>
      <c r="C121" s="55"/>
      <c r="D121" s="76"/>
      <c r="E121" s="75"/>
      <c r="F121" s="76"/>
      <c r="G121" s="50"/>
      <c r="H121" s="69"/>
      <c r="I121" s="71"/>
      <c r="J121" s="71"/>
      <c r="K121" s="73"/>
      <c r="L121" s="73"/>
      <c r="M121" s="74">
        <f>SUBTOTAL(9,M118:M120)</f>
        <v>460.23869999999994</v>
      </c>
      <c r="N121" s="76"/>
      <c r="O121" s="76"/>
      <c r="P121" s="51"/>
      <c r="Q121" s="86"/>
      <c r="R121" s="59"/>
      <c r="S121" s="59"/>
      <c r="T121" s="59"/>
      <c r="U121" s="59"/>
    </row>
    <row r="122" spans="1:22" ht="30" customHeight="1" outlineLevel="2" x14ac:dyDescent="0.3">
      <c r="A122" s="77" t="s">
        <v>79</v>
      </c>
      <c r="B122" s="77" t="s">
        <v>422</v>
      </c>
      <c r="C122" s="55" t="str">
        <f>VLOOKUP(B122,Tables!$G$2:$H$90,2,FALSE)</f>
        <v>Printer Services</v>
      </c>
      <c r="D122" s="76" t="s">
        <v>82</v>
      </c>
      <c r="E122" s="75">
        <v>601</v>
      </c>
      <c r="F122" s="76" t="s">
        <v>15</v>
      </c>
      <c r="G122" s="50" t="str">
        <f>VLOOKUP(F122,Tables!$D$2:$E$20,2,FALSE)</f>
        <v>PTR</v>
      </c>
      <c r="H122" s="69">
        <v>17099768</v>
      </c>
      <c r="I122" s="71">
        <f>SUM(S122-R122)</f>
        <v>16805</v>
      </c>
      <c r="J122" s="71">
        <f>SUM(U122-T122)</f>
        <v>0</v>
      </c>
      <c r="K122" s="73">
        <f>SUM(I122*$P122)</f>
        <v>440.291</v>
      </c>
      <c r="L122" s="73">
        <f>SUM(J122*$Q122)</f>
        <v>0</v>
      </c>
      <c r="M122" s="74">
        <f>K122+L122</f>
        <v>440.291</v>
      </c>
      <c r="N122" s="76" t="s">
        <v>441</v>
      </c>
      <c r="O122" s="76" t="s">
        <v>442</v>
      </c>
      <c r="P122" s="51">
        <f>IF(G122="MFP",Tables!$B$2,Tables!$B$5)</f>
        <v>2.6200000000000001E-2</v>
      </c>
      <c r="Q122" s="86">
        <f>IF(G122="MFP",Tables!$B$3,Tables!$B$6)</f>
        <v>0.11799999999999999</v>
      </c>
      <c r="R122" s="59">
        <f>VLOOKUP($N122,'Meter Comparison'!$C$2:$G$314,2,FALSE)</f>
        <v>70469</v>
      </c>
      <c r="S122" s="59">
        <f>VLOOKUP($N122,'Meter Comparison'!$C$2:$G$314,3,FALSE)</f>
        <v>87274</v>
      </c>
      <c r="T122" s="59">
        <f>VLOOKUP($N122,'Meter Comparison'!$C$2:$G$314,4,FALSE)</f>
        <v>0</v>
      </c>
      <c r="U122" s="59">
        <f>VLOOKUP($N122,'Meter Comparison'!$C$2:$G$314,5,FALSE)</f>
        <v>0</v>
      </c>
    </row>
    <row r="123" spans="1:22" ht="30" customHeight="1" outlineLevel="2" x14ac:dyDescent="0.3">
      <c r="A123" s="77" t="s">
        <v>79</v>
      </c>
      <c r="B123" s="77" t="s">
        <v>422</v>
      </c>
      <c r="C123" s="55" t="str">
        <f>VLOOKUP(B123,Tables!$G$2:$H$90,2,FALSE)</f>
        <v>Printer Services</v>
      </c>
      <c r="D123" s="76" t="s">
        <v>82</v>
      </c>
      <c r="E123" s="75">
        <v>602</v>
      </c>
      <c r="F123" s="76" t="s">
        <v>90</v>
      </c>
      <c r="G123" s="50" t="str">
        <f>VLOOKUP(F123,Tables!$D$2:$E$20,2,FALSE)</f>
        <v>PTR</v>
      </c>
      <c r="H123" s="69">
        <v>17099837</v>
      </c>
      <c r="I123" s="71">
        <f>SUM(S123-R123)</f>
        <v>2</v>
      </c>
      <c r="J123" s="71">
        <f>SUM(U123-T123)</f>
        <v>1</v>
      </c>
      <c r="K123" s="73">
        <f>SUM(I123*$P123)</f>
        <v>5.2400000000000002E-2</v>
      </c>
      <c r="L123" s="73">
        <f>SUM(J123*$Q123)</f>
        <v>0.11799999999999999</v>
      </c>
      <c r="M123" s="74">
        <f>K123+L123</f>
        <v>0.1704</v>
      </c>
      <c r="N123" s="76" t="s">
        <v>986</v>
      </c>
      <c r="O123" s="76" t="s">
        <v>987</v>
      </c>
      <c r="P123" s="51">
        <f>IF(G123="MFP",Tables!$B$2,Tables!$B$5)</f>
        <v>2.6200000000000001E-2</v>
      </c>
      <c r="Q123" s="86">
        <f>IF(G123="MFP",Tables!$B$3,Tables!$B$6)</f>
        <v>0.11799999999999999</v>
      </c>
      <c r="R123" s="59">
        <f>VLOOKUP($N123,'Meter Comparison'!$C$2:$G$314,2,FALSE)</f>
        <v>4</v>
      </c>
      <c r="S123" s="59">
        <f>VLOOKUP($N123,'Meter Comparison'!$C$2:$G$314,3,FALSE)</f>
        <v>6</v>
      </c>
      <c r="T123" s="59">
        <f>VLOOKUP($N123,'Meter Comparison'!$C$2:$G$314,4,FALSE)</f>
        <v>0</v>
      </c>
      <c r="U123" s="59">
        <f>VLOOKUP($N123,'Meter Comparison'!$C$2:$G$314,5,FALSE)</f>
        <v>1</v>
      </c>
    </row>
    <row r="124" spans="1:22" ht="30" customHeight="1" outlineLevel="1" x14ac:dyDescent="0.3">
      <c r="A124" s="77"/>
      <c r="B124" s="160" t="s">
        <v>1053</v>
      </c>
      <c r="C124" s="55"/>
      <c r="D124" s="76"/>
      <c r="E124" s="75"/>
      <c r="F124" s="76"/>
      <c r="G124" s="50"/>
      <c r="H124" s="69"/>
      <c r="I124" s="71"/>
      <c r="J124" s="71"/>
      <c r="K124" s="73"/>
      <c r="L124" s="73"/>
      <c r="M124" s="74">
        <f>SUBTOTAL(9,M122:M123)</f>
        <v>440.46139999999997</v>
      </c>
      <c r="N124" s="76"/>
      <c r="O124" s="76"/>
      <c r="P124" s="51"/>
      <c r="Q124" s="86"/>
      <c r="R124" s="59"/>
      <c r="S124" s="59"/>
      <c r="T124" s="59"/>
      <c r="U124" s="59"/>
    </row>
    <row r="125" spans="1:22" ht="30" customHeight="1" outlineLevel="2" x14ac:dyDescent="0.3">
      <c r="A125" s="77" t="s">
        <v>523</v>
      </c>
      <c r="B125" s="77" t="s">
        <v>524</v>
      </c>
      <c r="C125" s="55" t="str">
        <f>VLOOKUP(B125,Tables!$G$2:$H$90,2,FALSE)</f>
        <v>UMA-Commandant's Office</v>
      </c>
      <c r="D125" s="76" t="s">
        <v>418</v>
      </c>
      <c r="E125" s="75">
        <v>1</v>
      </c>
      <c r="F125" s="76" t="s">
        <v>83</v>
      </c>
      <c r="G125" s="50" t="str">
        <f>VLOOKUP(F125,Tables!$D$2:$E$20,2,FALSE)</f>
        <v>MFP</v>
      </c>
      <c r="H125" s="69">
        <v>17099497</v>
      </c>
      <c r="I125" s="71">
        <f t="shared" ref="I125:I130" si="25">SUM(S125-R125)</f>
        <v>7802</v>
      </c>
      <c r="J125" s="71">
        <f t="shared" ref="J125:J130" si="26">SUM(U125-T125)</f>
        <v>3121</v>
      </c>
      <c r="K125" s="73">
        <f t="shared" ref="K125:K130" si="27">SUM(I125*$P125)</f>
        <v>161.50139999999999</v>
      </c>
      <c r="L125" s="73">
        <f t="shared" ref="L125:L130" si="28">SUM(J125*$Q125)</f>
        <v>271.52699999999999</v>
      </c>
      <c r="M125" s="74">
        <f t="shared" ref="M125:M130" si="29">K125+L125</f>
        <v>433.02839999999998</v>
      </c>
      <c r="N125" s="76" t="s">
        <v>526</v>
      </c>
      <c r="O125" s="76" t="s">
        <v>527</v>
      </c>
      <c r="P125" s="51">
        <f>IF(G125="MFP",Tables!$B$2,Tables!$B$5)</f>
        <v>2.07E-2</v>
      </c>
      <c r="Q125" s="86">
        <f>IF(G125="MFP",Tables!$B$3,Tables!$B$6)</f>
        <v>8.6999999999999994E-2</v>
      </c>
      <c r="R125" s="59">
        <f>VLOOKUP($N125,'Meter Comparison'!$C$2:$G$314,2,FALSE)</f>
        <v>33458</v>
      </c>
      <c r="S125" s="59">
        <f>VLOOKUP($N125,'Meter Comparison'!$C$2:$G$314,3,FALSE)</f>
        <v>41260</v>
      </c>
      <c r="T125" s="59">
        <f>VLOOKUP($N125,'Meter Comparison'!$C$2:$G$314,4,FALSE)</f>
        <v>6009</v>
      </c>
      <c r="U125" s="59">
        <f>VLOOKUP($N125,'Meter Comparison'!$C$2:$G$314,5,FALSE)</f>
        <v>9130</v>
      </c>
    </row>
    <row r="126" spans="1:22" ht="30" customHeight="1" outlineLevel="2" x14ac:dyDescent="0.3">
      <c r="A126" s="77" t="s">
        <v>523</v>
      </c>
      <c r="B126" s="77" t="s">
        <v>524</v>
      </c>
      <c r="C126" s="55" t="str">
        <f>VLOOKUP(B126,Tables!$G$2:$H$90,2,FALSE)</f>
        <v>UMA-Commandant's Office</v>
      </c>
      <c r="D126" s="76" t="s">
        <v>418</v>
      </c>
      <c r="E126" s="75">
        <v>131</v>
      </c>
      <c r="F126" s="76" t="s">
        <v>15</v>
      </c>
      <c r="G126" s="50" t="str">
        <f>VLOOKUP(F126,Tables!$D$2:$E$20,2,FALSE)</f>
        <v>PTR</v>
      </c>
      <c r="H126" s="69">
        <v>17099704</v>
      </c>
      <c r="I126" s="71">
        <f t="shared" si="25"/>
        <v>841</v>
      </c>
      <c r="J126" s="71">
        <f t="shared" si="26"/>
        <v>0</v>
      </c>
      <c r="K126" s="73">
        <f t="shared" si="27"/>
        <v>22.034200000000002</v>
      </c>
      <c r="L126" s="73">
        <f t="shared" si="28"/>
        <v>0</v>
      </c>
      <c r="M126" s="74">
        <f t="shared" si="29"/>
        <v>22.034200000000002</v>
      </c>
      <c r="N126" s="76" t="s">
        <v>788</v>
      </c>
      <c r="O126" s="76" t="s">
        <v>528</v>
      </c>
      <c r="P126" s="51">
        <f>IF(G126="MFP",Tables!$B$2,Tables!$B$5)</f>
        <v>2.6200000000000001E-2</v>
      </c>
      <c r="Q126" s="86">
        <f>IF(G126="MFP",Tables!$B$3,Tables!$B$6)</f>
        <v>0.11799999999999999</v>
      </c>
      <c r="R126" s="59">
        <f>VLOOKUP($N126,'Meter Comparison'!$C$2:$G$314,2,FALSE)</f>
        <v>4094</v>
      </c>
      <c r="S126" s="59">
        <f>VLOOKUP($N126,'Meter Comparison'!$C$2:$G$314,3,FALSE)</f>
        <v>4935</v>
      </c>
      <c r="T126" s="59">
        <f>VLOOKUP($N126,'Meter Comparison'!$C$2:$G$314,4,FALSE)</f>
        <v>0</v>
      </c>
      <c r="U126" s="59">
        <f>VLOOKUP($N126,'Meter Comparison'!$C$2:$G$314,5,FALSE)</f>
        <v>0</v>
      </c>
    </row>
    <row r="127" spans="1:22" ht="30" customHeight="1" outlineLevel="2" x14ac:dyDescent="0.3">
      <c r="A127" s="77" t="s">
        <v>523</v>
      </c>
      <c r="B127" s="77" t="s">
        <v>524</v>
      </c>
      <c r="C127" s="55" t="str">
        <f>VLOOKUP(B127,Tables!$G$2:$H$90,2,FALSE)</f>
        <v>UMA-Commandant's Office</v>
      </c>
      <c r="D127" s="76" t="s">
        <v>418</v>
      </c>
      <c r="E127" s="117">
        <v>139</v>
      </c>
      <c r="F127" s="103" t="s">
        <v>15</v>
      </c>
      <c r="G127" s="50" t="str">
        <f>VLOOKUP(F127,Tables!$D$2:$E$20,2,FALSE)</f>
        <v>PTR</v>
      </c>
      <c r="H127" s="69">
        <v>17099713</v>
      </c>
      <c r="I127" s="106">
        <f t="shared" si="25"/>
        <v>2618</v>
      </c>
      <c r="J127" s="106">
        <f t="shared" si="26"/>
        <v>0</v>
      </c>
      <c r="K127" s="107">
        <f t="shared" si="27"/>
        <v>68.5916</v>
      </c>
      <c r="L127" s="107">
        <f t="shared" si="28"/>
        <v>0</v>
      </c>
      <c r="M127" s="108">
        <f t="shared" si="29"/>
        <v>68.5916</v>
      </c>
      <c r="N127" s="113" t="s">
        <v>873</v>
      </c>
      <c r="O127" s="54" t="s">
        <v>943</v>
      </c>
      <c r="P127" s="51">
        <f>IF(G127="MFP",Tables!$B$2,Tables!$B$5)</f>
        <v>2.6200000000000001E-2</v>
      </c>
      <c r="Q127" s="86">
        <f>IF(G127="MFP",Tables!$B$3,Tables!$B$6)</f>
        <v>0.11799999999999999</v>
      </c>
      <c r="R127" s="59">
        <f>VLOOKUP($N127,'Meter Comparison'!$C$2:$G$314,2,FALSE)</f>
        <v>13163</v>
      </c>
      <c r="S127" s="59">
        <f>VLOOKUP($N127,'Meter Comparison'!$C$2:$G$314,3,FALSE)</f>
        <v>15781</v>
      </c>
      <c r="T127" s="59">
        <f>VLOOKUP($N127,'Meter Comparison'!$C$2:$G$314,4,FALSE)</f>
        <v>0</v>
      </c>
      <c r="U127" s="59">
        <f>VLOOKUP($N127,'Meter Comparison'!$C$2:$G$314,5,FALSE)</f>
        <v>0</v>
      </c>
    </row>
    <row r="128" spans="1:22" ht="30" customHeight="1" outlineLevel="2" x14ac:dyDescent="0.3">
      <c r="A128" s="55" t="s">
        <v>523</v>
      </c>
      <c r="B128" s="55" t="s">
        <v>524</v>
      </c>
      <c r="C128" s="55" t="str">
        <f>VLOOKUP(B128,Tables!$G$2:$H$90,2,FALSE)</f>
        <v>UMA-Commandant's Office</v>
      </c>
      <c r="D128" s="56" t="s">
        <v>418</v>
      </c>
      <c r="E128" s="114" t="s">
        <v>529</v>
      </c>
      <c r="F128" s="56" t="s">
        <v>15</v>
      </c>
      <c r="G128" s="50" t="str">
        <f>VLOOKUP(F128,Tables!$D$2:$E$20,2,FALSE)</f>
        <v>PTR</v>
      </c>
      <c r="H128" s="105">
        <v>17099703</v>
      </c>
      <c r="I128" s="106">
        <f t="shared" si="25"/>
        <v>3962</v>
      </c>
      <c r="J128" s="106">
        <f t="shared" si="26"/>
        <v>0</v>
      </c>
      <c r="K128" s="107">
        <f t="shared" si="27"/>
        <v>103.8044</v>
      </c>
      <c r="L128" s="107">
        <f t="shared" si="28"/>
        <v>0</v>
      </c>
      <c r="M128" s="108">
        <f t="shared" si="29"/>
        <v>103.8044</v>
      </c>
      <c r="N128" s="56" t="s">
        <v>530</v>
      </c>
      <c r="O128" s="56" t="s">
        <v>531</v>
      </c>
      <c r="P128" s="51">
        <f>IF(G128="MFP",Tables!$B$2,Tables!$B$5)</f>
        <v>2.6200000000000001E-2</v>
      </c>
      <c r="Q128" s="86">
        <f>IF(G128="MFP",Tables!$B$3,Tables!$B$6)</f>
        <v>0.11799999999999999</v>
      </c>
      <c r="R128" s="59">
        <f>VLOOKUP($N128,'Meter Comparison'!$C$2:$G$314,2,FALSE)</f>
        <v>13992</v>
      </c>
      <c r="S128" s="59">
        <f>VLOOKUP($N128,'Meter Comparison'!$C$2:$G$314,3,FALSE)</f>
        <v>17954</v>
      </c>
      <c r="T128" s="59">
        <f>VLOOKUP($N128,'Meter Comparison'!$C$2:$G$314,4,FALSE)</f>
        <v>0</v>
      </c>
      <c r="U128" s="59">
        <f>VLOOKUP($N128,'Meter Comparison'!$C$2:$G$314,5,FALSE)</f>
        <v>0</v>
      </c>
    </row>
    <row r="129" spans="1:22" ht="30" customHeight="1" outlineLevel="2" x14ac:dyDescent="0.3">
      <c r="A129" s="55" t="s">
        <v>523</v>
      </c>
      <c r="B129" s="55" t="s">
        <v>524</v>
      </c>
      <c r="C129" s="55" t="str">
        <f>VLOOKUP(B129,Tables!$G$2:$H$90,2,FALSE)</f>
        <v>UMA-Commandant's Office</v>
      </c>
      <c r="D129" s="56" t="s">
        <v>418</v>
      </c>
      <c r="E129" s="119" t="s">
        <v>985</v>
      </c>
      <c r="F129" s="103" t="s">
        <v>15</v>
      </c>
      <c r="G129" s="50" t="str">
        <f>VLOOKUP(F129,Tables!$D$2:$E$20,2,FALSE)</f>
        <v>PTR</v>
      </c>
      <c r="H129" s="105">
        <v>17099707</v>
      </c>
      <c r="I129" s="106">
        <f t="shared" si="25"/>
        <v>828</v>
      </c>
      <c r="J129" s="106">
        <f t="shared" si="26"/>
        <v>0</v>
      </c>
      <c r="K129" s="107">
        <f t="shared" si="27"/>
        <v>21.6936</v>
      </c>
      <c r="L129" s="107">
        <f t="shared" si="28"/>
        <v>0</v>
      </c>
      <c r="M129" s="108">
        <f t="shared" si="29"/>
        <v>21.6936</v>
      </c>
      <c r="N129" s="109" t="s">
        <v>872</v>
      </c>
      <c r="O129" s="103" t="s">
        <v>942</v>
      </c>
      <c r="P129" s="51">
        <f>IF(G129="MFP",Tables!$B$2,Tables!$B$5)</f>
        <v>2.6200000000000001E-2</v>
      </c>
      <c r="Q129" s="86">
        <f>IF(G129="MFP",Tables!$B$3,Tables!$B$6)</f>
        <v>0.11799999999999999</v>
      </c>
      <c r="R129" s="59">
        <f>VLOOKUP($N129,'Meter Comparison'!$C$2:$G$314,2,FALSE)</f>
        <v>4164</v>
      </c>
      <c r="S129" s="59">
        <f>VLOOKUP($N129,'Meter Comparison'!$C$2:$G$314,3,FALSE)</f>
        <v>4992</v>
      </c>
      <c r="T129" s="59">
        <f>VLOOKUP($N129,'Meter Comparison'!$C$2:$G$314,4,FALSE)</f>
        <v>0</v>
      </c>
      <c r="U129" s="59">
        <f>VLOOKUP($N129,'Meter Comparison'!$C$2:$G$314,5,FALSE)</f>
        <v>0</v>
      </c>
    </row>
    <row r="130" spans="1:22" ht="30" customHeight="1" outlineLevel="2" x14ac:dyDescent="0.3">
      <c r="A130" s="77" t="s">
        <v>523</v>
      </c>
      <c r="B130" s="122" t="s">
        <v>524</v>
      </c>
      <c r="C130" s="55" t="str">
        <f>VLOOKUP(B130,Tables!$G$2:$H$90,2,FALSE)</f>
        <v>UMA-Commandant's Office</v>
      </c>
      <c r="D130" s="112" t="s">
        <v>418</v>
      </c>
      <c r="E130" s="102" t="s">
        <v>946</v>
      </c>
      <c r="F130" s="103" t="s">
        <v>15</v>
      </c>
      <c r="G130" s="50" t="str">
        <f>VLOOKUP(F130,Tables!$D$2:$E$20,2,FALSE)</f>
        <v>PTR</v>
      </c>
      <c r="H130" s="69">
        <v>17099761</v>
      </c>
      <c r="I130" s="106">
        <f t="shared" si="25"/>
        <v>149</v>
      </c>
      <c r="J130" s="106">
        <f t="shared" si="26"/>
        <v>0</v>
      </c>
      <c r="K130" s="107">
        <f t="shared" si="27"/>
        <v>3.9038000000000004</v>
      </c>
      <c r="L130" s="107">
        <f t="shared" si="28"/>
        <v>0</v>
      </c>
      <c r="M130" s="108">
        <f t="shared" si="29"/>
        <v>3.9038000000000004</v>
      </c>
      <c r="N130" s="113" t="s">
        <v>876</v>
      </c>
      <c r="O130" s="54" t="s">
        <v>947</v>
      </c>
      <c r="P130" s="51">
        <f>IF(G130="MFP",Tables!$B$2,Tables!$B$5)</f>
        <v>2.6200000000000001E-2</v>
      </c>
      <c r="Q130" s="86">
        <f>IF(G130="MFP",Tables!$B$3,Tables!$B$6)</f>
        <v>0.11799999999999999</v>
      </c>
      <c r="R130" s="59">
        <f>VLOOKUP($N130,'Meter Comparison'!$C$2:$G$314,2,FALSE)</f>
        <v>148</v>
      </c>
      <c r="S130" s="59">
        <f>VLOOKUP($N130,'Meter Comparison'!$C$2:$G$314,3,FALSE)</f>
        <v>297</v>
      </c>
      <c r="T130" s="59">
        <f>VLOOKUP($N130,'Meter Comparison'!$C$2:$G$314,4,FALSE)</f>
        <v>0</v>
      </c>
      <c r="U130" s="59">
        <f>VLOOKUP($N130,'Meter Comparison'!$C$2:$G$314,5,FALSE)</f>
        <v>0</v>
      </c>
    </row>
    <row r="131" spans="1:22" ht="30" customHeight="1" outlineLevel="1" x14ac:dyDescent="0.3">
      <c r="A131" s="77"/>
      <c r="B131" s="162" t="s">
        <v>1076</v>
      </c>
      <c r="C131" s="55"/>
      <c r="D131" s="112"/>
      <c r="E131" s="102"/>
      <c r="F131" s="103"/>
      <c r="G131" s="50"/>
      <c r="H131" s="69"/>
      <c r="I131" s="106"/>
      <c r="J131" s="106"/>
      <c r="K131" s="107"/>
      <c r="L131" s="107"/>
      <c r="M131" s="108">
        <f>SUBTOTAL(9,M125:M130)</f>
        <v>653.05599999999993</v>
      </c>
      <c r="N131" s="113"/>
      <c r="O131" s="54"/>
      <c r="P131" s="51"/>
      <c r="Q131" s="86"/>
      <c r="R131" s="59"/>
      <c r="S131" s="59"/>
      <c r="T131" s="59"/>
      <c r="U131" s="59"/>
    </row>
    <row r="132" spans="1:22" ht="30" customHeight="1" outlineLevel="2" x14ac:dyDescent="0.3">
      <c r="A132" s="77" t="s">
        <v>523</v>
      </c>
      <c r="B132" s="122" t="s">
        <v>617</v>
      </c>
      <c r="C132" s="55" t="str">
        <f>VLOOKUP(B132,Tables!$G$2:$H$90,2,FALSE)</f>
        <v>Administrative</v>
      </c>
      <c r="D132" s="112" t="s">
        <v>14</v>
      </c>
      <c r="E132" s="102" t="s">
        <v>948</v>
      </c>
      <c r="F132" s="103" t="s">
        <v>15</v>
      </c>
      <c r="G132" s="50" t="str">
        <f>VLOOKUP(F132,Tables!$D$2:$E$20,2,FALSE)</f>
        <v>PTR</v>
      </c>
      <c r="H132" s="69">
        <v>17099797</v>
      </c>
      <c r="I132" s="106">
        <f>SUM(S132-R132)</f>
        <v>0</v>
      </c>
      <c r="J132" s="106">
        <f>SUM(U132-T132)</f>
        <v>0</v>
      </c>
      <c r="K132" s="107">
        <f>SUM(I132*$P132)</f>
        <v>0</v>
      </c>
      <c r="L132" s="107">
        <f>SUM(J132*$Q132)</f>
        <v>0</v>
      </c>
      <c r="M132" s="108">
        <f>K132+L132</f>
        <v>0</v>
      </c>
      <c r="N132" s="113" t="s">
        <v>877</v>
      </c>
      <c r="O132" s="54" t="s">
        <v>949</v>
      </c>
      <c r="P132" s="51">
        <f>IF(G132="MFP",Tables!$B$2,Tables!$B$5)</f>
        <v>2.6200000000000001E-2</v>
      </c>
      <c r="Q132" s="86">
        <f>IF(G132="MFP",Tables!$B$3,Tables!$B$6)</f>
        <v>0.11799999999999999</v>
      </c>
      <c r="R132" s="59">
        <f>VLOOKUP($N132,'Meter Comparison'!$C$2:$G$314,2,FALSE)</f>
        <v>204</v>
      </c>
      <c r="S132" s="59">
        <f>VLOOKUP($N132,'Meter Comparison'!$C$2:$G$314,3,FALSE)</f>
        <v>204</v>
      </c>
      <c r="T132" s="59">
        <f>VLOOKUP($N132,'Meter Comparison'!$C$2:$G$314,4,FALSE)</f>
        <v>0</v>
      </c>
      <c r="U132" s="59">
        <f>VLOOKUP($N132,'Meter Comparison'!$C$2:$G$314,5,FALSE)</f>
        <v>0</v>
      </c>
    </row>
    <row r="133" spans="1:22" ht="30" customHeight="1" outlineLevel="2" x14ac:dyDescent="0.3">
      <c r="A133" s="77" t="s">
        <v>523</v>
      </c>
      <c r="B133" s="122" t="s">
        <v>617</v>
      </c>
      <c r="C133" s="55" t="str">
        <f>VLOOKUP(B133,Tables!$G$2:$H$90,2,FALSE)</f>
        <v>Administrative</v>
      </c>
      <c r="D133" s="112" t="s">
        <v>418</v>
      </c>
      <c r="E133" s="102" t="s">
        <v>950</v>
      </c>
      <c r="F133" s="103" t="s">
        <v>15</v>
      </c>
      <c r="G133" s="50" t="str">
        <f>VLOOKUP(F133,Tables!$D$2:$E$20,2,FALSE)</f>
        <v>PTR</v>
      </c>
      <c r="H133" s="69">
        <v>17099762</v>
      </c>
      <c r="I133" s="106">
        <f>SUM(S133-R133)</f>
        <v>559</v>
      </c>
      <c r="J133" s="106">
        <f>SUM(U133-T133)</f>
        <v>0</v>
      </c>
      <c r="K133" s="107">
        <f>SUM(I133*$P133)</f>
        <v>14.645800000000001</v>
      </c>
      <c r="L133" s="107">
        <f>SUM(J133*$Q133)</f>
        <v>0</v>
      </c>
      <c r="M133" s="108">
        <f>K133+L133</f>
        <v>14.645800000000001</v>
      </c>
      <c r="N133" s="113" t="s">
        <v>878</v>
      </c>
      <c r="O133" s="54" t="s">
        <v>951</v>
      </c>
      <c r="P133" s="51">
        <f>IF(G133="MFP",Tables!$B$2,Tables!$B$5)</f>
        <v>2.6200000000000001E-2</v>
      </c>
      <c r="Q133" s="86">
        <f>IF(G133="MFP",Tables!$B$3,Tables!$B$6)</f>
        <v>0.11799999999999999</v>
      </c>
      <c r="R133" s="59">
        <f>VLOOKUP($N133,'Meter Comparison'!$C$2:$G$314,2,FALSE)</f>
        <v>734</v>
      </c>
      <c r="S133" s="59">
        <f>VLOOKUP($N133,'Meter Comparison'!$C$2:$G$314,3,FALSE)</f>
        <v>1293</v>
      </c>
      <c r="T133" s="59">
        <f>VLOOKUP($N133,'Meter Comparison'!$C$2:$G$314,4,FALSE)</f>
        <v>0</v>
      </c>
      <c r="U133" s="59">
        <f>VLOOKUP($N133,'Meter Comparison'!$C$2:$G$314,5,FALSE)</f>
        <v>0</v>
      </c>
    </row>
    <row r="134" spans="1:22" ht="30" customHeight="1" outlineLevel="1" x14ac:dyDescent="0.3">
      <c r="A134" s="77"/>
      <c r="B134" s="162" t="s">
        <v>1061</v>
      </c>
      <c r="C134" s="55"/>
      <c r="D134" s="112"/>
      <c r="E134" s="102"/>
      <c r="F134" s="103"/>
      <c r="G134" s="50"/>
      <c r="H134" s="69"/>
      <c r="I134" s="106"/>
      <c r="J134" s="106"/>
      <c r="K134" s="107"/>
      <c r="L134" s="107"/>
      <c r="M134" s="108">
        <f>SUBTOTAL(9,M132:M133)</f>
        <v>14.645800000000001</v>
      </c>
      <c r="N134" s="113"/>
      <c r="O134" s="54"/>
      <c r="P134" s="51"/>
      <c r="Q134" s="86"/>
      <c r="R134" s="59"/>
      <c r="S134" s="59"/>
      <c r="T134" s="59"/>
      <c r="U134" s="59"/>
    </row>
    <row r="135" spans="1:22" ht="30" customHeight="1" outlineLevel="2" x14ac:dyDescent="0.3">
      <c r="A135" s="77" t="s">
        <v>487</v>
      </c>
      <c r="B135" s="77" t="s">
        <v>488</v>
      </c>
      <c r="C135" s="55" t="str">
        <f>VLOOKUP(B135,Tables!$G$2:$H$90,2,FALSE)</f>
        <v>Communications &amp; Marketing</v>
      </c>
      <c r="D135" s="76" t="s">
        <v>276</v>
      </c>
      <c r="E135" s="75">
        <v>111</v>
      </c>
      <c r="F135" s="76" t="s">
        <v>157</v>
      </c>
      <c r="G135" s="50" t="str">
        <f>VLOOKUP(F135,Tables!$D$2:$E$20,2,FALSE)</f>
        <v>MFP</v>
      </c>
      <c r="H135" s="69">
        <v>17099530</v>
      </c>
      <c r="I135" s="71">
        <f>SUM(S135-R135)</f>
        <v>1187</v>
      </c>
      <c r="J135" s="71">
        <f>SUM(U135-T135)</f>
        <v>0</v>
      </c>
      <c r="K135" s="73">
        <f>SUM(I135*$P135)</f>
        <v>24.570899999999998</v>
      </c>
      <c r="L135" s="73">
        <f>SUM(J135*$Q135)</f>
        <v>0</v>
      </c>
      <c r="M135" s="74">
        <f>K135+L135</f>
        <v>24.570899999999998</v>
      </c>
      <c r="N135" s="76" t="s">
        <v>492</v>
      </c>
      <c r="O135" s="76" t="s">
        <v>493</v>
      </c>
      <c r="P135" s="51">
        <f>IF(G135="MFP",Tables!$B$2,Tables!$B$5)</f>
        <v>2.07E-2</v>
      </c>
      <c r="Q135" s="86">
        <f>IF(G135="MFP",Tables!$B$3,Tables!$B$6)</f>
        <v>8.6999999999999994E-2</v>
      </c>
      <c r="R135" s="59">
        <f>VLOOKUP($N135,'Meter Comparison'!$C$2:$G$314,2,FALSE)</f>
        <v>5950</v>
      </c>
      <c r="S135" s="59">
        <f>VLOOKUP($N135,'Meter Comparison'!$C$2:$G$314,3,FALSE)</f>
        <v>7137</v>
      </c>
      <c r="T135" s="59">
        <f>VLOOKUP($N135,'Meter Comparison'!$C$2:$G$314,4,FALSE)</f>
        <v>0</v>
      </c>
      <c r="U135" s="59">
        <f>VLOOKUP($N135,'Meter Comparison'!$C$2:$G$314,5,FALSE)</f>
        <v>0</v>
      </c>
    </row>
    <row r="136" spans="1:22" s="126" customFormat="1" ht="30" customHeight="1" outlineLevel="2" x14ac:dyDescent="0.3">
      <c r="A136" s="77" t="s">
        <v>487</v>
      </c>
      <c r="B136" s="77" t="s">
        <v>488</v>
      </c>
      <c r="C136" s="55" t="str">
        <f>VLOOKUP(B136,Tables!$G$2:$H$90,2,FALSE)</f>
        <v>Communications &amp; Marketing</v>
      </c>
      <c r="D136" s="76" t="s">
        <v>276</v>
      </c>
      <c r="E136" s="75" t="s">
        <v>489</v>
      </c>
      <c r="F136" s="76" t="s">
        <v>15</v>
      </c>
      <c r="G136" s="50" t="str">
        <f>VLOOKUP(F136,Tables!$D$2:$E$20,2,FALSE)</f>
        <v>PTR</v>
      </c>
      <c r="H136" s="69">
        <v>17099697</v>
      </c>
      <c r="I136" s="71">
        <f>SUM(S136-R136)</f>
        <v>212</v>
      </c>
      <c r="J136" s="71">
        <f>SUM(U136-T136)</f>
        <v>0</v>
      </c>
      <c r="K136" s="73">
        <f>SUM(I136*$P136)</f>
        <v>5.5544000000000002</v>
      </c>
      <c r="L136" s="73">
        <f>SUM(J136*$Q136)</f>
        <v>0</v>
      </c>
      <c r="M136" s="74">
        <f>K136+L136</f>
        <v>5.5544000000000002</v>
      </c>
      <c r="N136" s="76" t="s">
        <v>490</v>
      </c>
      <c r="O136" s="76" t="s">
        <v>491</v>
      </c>
      <c r="P136" s="51">
        <f>IF(G136="MFP",Tables!$B$2,Tables!$B$5)</f>
        <v>2.6200000000000001E-2</v>
      </c>
      <c r="Q136" s="86">
        <f>IF(G136="MFP",Tables!$B$3,Tables!$B$6)</f>
        <v>0.11799999999999999</v>
      </c>
      <c r="R136" s="59">
        <f>VLOOKUP($N136,'Meter Comparison'!$C$2:$G$314,2,FALSE)</f>
        <v>1005</v>
      </c>
      <c r="S136" s="59">
        <f>VLOOKUP($N136,'Meter Comparison'!$C$2:$G$314,3,FALSE)</f>
        <v>1217</v>
      </c>
      <c r="T136" s="59">
        <f>VLOOKUP($N136,'Meter Comparison'!$C$2:$G$314,4,FALSE)</f>
        <v>0</v>
      </c>
      <c r="U136" s="59">
        <f>VLOOKUP($N136,'Meter Comparison'!$C$2:$G$314,5,FALSE)</f>
        <v>0</v>
      </c>
      <c r="V136" s="64"/>
    </row>
    <row r="137" spans="1:22" s="126" customFormat="1" ht="30" customHeight="1" outlineLevel="1" x14ac:dyDescent="0.3">
      <c r="A137" s="77"/>
      <c r="B137" s="160" t="s">
        <v>1077</v>
      </c>
      <c r="C137" s="55"/>
      <c r="D137" s="76"/>
      <c r="E137" s="75"/>
      <c r="F137" s="76"/>
      <c r="G137" s="50"/>
      <c r="H137" s="69"/>
      <c r="I137" s="71"/>
      <c r="J137" s="71"/>
      <c r="K137" s="73"/>
      <c r="L137" s="73"/>
      <c r="M137" s="74">
        <f>SUBTOTAL(9,M135:M136)</f>
        <v>30.125299999999999</v>
      </c>
      <c r="N137" s="76"/>
      <c r="O137" s="76"/>
      <c r="P137" s="51"/>
      <c r="Q137" s="86"/>
      <c r="R137" s="59"/>
      <c r="S137" s="59"/>
      <c r="T137" s="59"/>
      <c r="U137" s="59"/>
      <c r="V137" s="64"/>
    </row>
    <row r="138" spans="1:22" ht="30" customHeight="1" outlineLevel="2" x14ac:dyDescent="0.3">
      <c r="A138" s="55" t="s">
        <v>385</v>
      </c>
      <c r="B138" s="55" t="s">
        <v>386</v>
      </c>
      <c r="C138" s="55" t="str">
        <f>VLOOKUP(B138,Tables!$G$2:$H$90,2,FALSE)</f>
        <v>Comptroller's Office</v>
      </c>
      <c r="D138" s="56" t="s">
        <v>276</v>
      </c>
      <c r="E138" s="114">
        <v>320</v>
      </c>
      <c r="F138" s="56" t="s">
        <v>15</v>
      </c>
      <c r="G138" s="50" t="str">
        <f>VLOOKUP(F138,Tables!$D$2:$E$20,2,FALSE)</f>
        <v>PTR</v>
      </c>
      <c r="H138" s="105">
        <v>17099695</v>
      </c>
      <c r="I138" s="106">
        <f>SUM(S138-R138)</f>
        <v>2389</v>
      </c>
      <c r="J138" s="106">
        <f>SUM(U138-T138)</f>
        <v>0</v>
      </c>
      <c r="K138" s="107">
        <f>SUM(I138*$P138)</f>
        <v>62.591799999999999</v>
      </c>
      <c r="L138" s="107">
        <f>SUM(J138*$Q138)</f>
        <v>0</v>
      </c>
      <c r="M138" s="108">
        <f>K138+L138</f>
        <v>62.591799999999999</v>
      </c>
      <c r="N138" s="56" t="s">
        <v>389</v>
      </c>
      <c r="O138" s="56" t="s">
        <v>390</v>
      </c>
      <c r="P138" s="51">
        <f>IF(G138="MFP",Tables!$B$2,Tables!$B$5)</f>
        <v>2.6200000000000001E-2</v>
      </c>
      <c r="Q138" s="86">
        <f>IF(G138="MFP",Tables!$B$3,Tables!$B$6)</f>
        <v>0.11799999999999999</v>
      </c>
      <c r="R138" s="59">
        <f>VLOOKUP($N138,'Meter Comparison'!$C$2:$G$314,2,FALSE)</f>
        <v>11383</v>
      </c>
      <c r="S138" s="59">
        <f>VLOOKUP($N138,'Meter Comparison'!$C$2:$G$314,3,FALSE)</f>
        <v>13772</v>
      </c>
      <c r="T138" s="59">
        <f>VLOOKUP($N138,'Meter Comparison'!$C$2:$G$314,4,FALSE)</f>
        <v>0</v>
      </c>
      <c r="U138" s="59">
        <f>VLOOKUP($N138,'Meter Comparison'!$C$2:$G$314,5,FALSE)</f>
        <v>0</v>
      </c>
    </row>
    <row r="139" spans="1:22" ht="30" customHeight="1" outlineLevel="2" x14ac:dyDescent="0.3">
      <c r="A139" s="77" t="s">
        <v>385</v>
      </c>
      <c r="B139" s="55" t="s">
        <v>386</v>
      </c>
      <c r="C139" s="55" t="str">
        <f>VLOOKUP(B139,Tables!$G$2:$H$90,2,FALSE)</f>
        <v>Comptroller's Office</v>
      </c>
      <c r="D139" s="76" t="s">
        <v>276</v>
      </c>
      <c r="E139" s="114">
        <v>320</v>
      </c>
      <c r="F139" s="76" t="s">
        <v>407</v>
      </c>
      <c r="G139" s="50" t="str">
        <f>VLOOKUP(F139,Tables!$D$2:$E$20,2,FALSE)</f>
        <v>MFP</v>
      </c>
      <c r="H139" s="69">
        <v>17099414</v>
      </c>
      <c r="I139" s="71">
        <f>SUM(S139-R139)</f>
        <v>5968</v>
      </c>
      <c r="J139" s="71">
        <f>SUM(U139-T139)</f>
        <v>0</v>
      </c>
      <c r="K139" s="73">
        <f>SUM(I139*$P139)</f>
        <v>123.5376</v>
      </c>
      <c r="L139" s="73">
        <f>SUM(J139*$Q139)</f>
        <v>0</v>
      </c>
      <c r="M139" s="74">
        <f>K139+L139</f>
        <v>123.5376</v>
      </c>
      <c r="N139" s="76" t="s">
        <v>912</v>
      </c>
      <c r="O139" s="76" t="s">
        <v>933</v>
      </c>
      <c r="P139" s="51">
        <f>IF(G139="MFP",Tables!$B$2,Tables!$B$5)</f>
        <v>2.07E-2</v>
      </c>
      <c r="Q139" s="86">
        <f>IF(G139="MFP",Tables!$B$3,Tables!$B$6)</f>
        <v>8.6999999999999994E-2</v>
      </c>
      <c r="R139" s="59">
        <f>VLOOKUP($N139,'Meter Comparison'!$C$2:$G$314,2,FALSE)</f>
        <v>9327</v>
      </c>
      <c r="S139" s="59">
        <f>VLOOKUP($N139,'Meter Comparison'!$C$2:$G$314,3,FALSE)</f>
        <v>15295</v>
      </c>
      <c r="T139" s="59">
        <f>VLOOKUP($N139,'Meter Comparison'!$C$2:$G$314,4,FALSE)</f>
        <v>0</v>
      </c>
      <c r="U139" s="59">
        <f>VLOOKUP($N139,'Meter Comparison'!$C$2:$G$314,5,FALSE)</f>
        <v>0</v>
      </c>
    </row>
    <row r="140" spans="1:22" ht="30" customHeight="1" outlineLevel="1" x14ac:dyDescent="0.3">
      <c r="A140" s="77"/>
      <c r="B140" s="161" t="s">
        <v>1078</v>
      </c>
      <c r="C140" s="55"/>
      <c r="D140" s="76"/>
      <c r="E140" s="114"/>
      <c r="F140" s="76"/>
      <c r="G140" s="50"/>
      <c r="H140" s="69"/>
      <c r="I140" s="71"/>
      <c r="J140" s="71"/>
      <c r="K140" s="73"/>
      <c r="L140" s="73"/>
      <c r="M140" s="74">
        <f>SUBTOTAL(9,M138:M139)</f>
        <v>186.1294</v>
      </c>
      <c r="N140" s="76"/>
      <c r="O140" s="76"/>
      <c r="P140" s="51"/>
      <c r="Q140" s="86"/>
      <c r="R140" s="59"/>
      <c r="S140" s="59"/>
      <c r="T140" s="59"/>
      <c r="U140" s="59"/>
    </row>
    <row r="141" spans="1:22" ht="30" customHeight="1" outlineLevel="2" x14ac:dyDescent="0.3">
      <c r="A141" s="100" t="s">
        <v>750</v>
      </c>
      <c r="B141" s="101" t="s">
        <v>828</v>
      </c>
      <c r="C141" s="55" t="str">
        <f>VLOOKUP(B141,Tables!$G$2:$H$90,2,FALSE)</f>
        <v>Drug &amp; Alcohol Abuse</v>
      </c>
      <c r="D141" s="56" t="s">
        <v>563</v>
      </c>
      <c r="E141" s="114">
        <v>203</v>
      </c>
      <c r="F141" s="56" t="s">
        <v>15</v>
      </c>
      <c r="G141" s="50" t="str">
        <f>VLOOKUP(F141,Tables!$D$2:$E$20,2,FALSE)</f>
        <v>PTR</v>
      </c>
      <c r="H141" s="115">
        <v>17099636</v>
      </c>
      <c r="I141" s="106">
        <f>SUM(S141-R141)</f>
        <v>1</v>
      </c>
      <c r="J141" s="106">
        <f>SUM(U141-T141)</f>
        <v>0</v>
      </c>
      <c r="K141" s="107">
        <f>SUM(I141*$P141)</f>
        <v>2.6200000000000001E-2</v>
      </c>
      <c r="L141" s="107">
        <f>SUM(J141*$Q141)</f>
        <v>0</v>
      </c>
      <c r="M141" s="108">
        <f>K141+L141</f>
        <v>2.6200000000000001E-2</v>
      </c>
      <c r="N141" s="101" t="s">
        <v>869</v>
      </c>
      <c r="O141" s="101" t="s">
        <v>936</v>
      </c>
      <c r="P141" s="51">
        <f>IF(G141="MFP",Tables!$B$2,Tables!$B$5)</f>
        <v>2.6200000000000001E-2</v>
      </c>
      <c r="Q141" s="86">
        <f>IF(G141="MFP",Tables!$B$3,Tables!$B$6)</f>
        <v>0.11799999999999999</v>
      </c>
      <c r="R141" s="59">
        <f>VLOOKUP($N141,'Meter Comparison'!$C$2:$G$314,2,FALSE)</f>
        <v>386</v>
      </c>
      <c r="S141" s="59">
        <f>VLOOKUP($N141,'Meter Comparison'!$C$2:$G$314,3,FALSE)</f>
        <v>387</v>
      </c>
      <c r="T141" s="59">
        <f>VLOOKUP($N141,'Meter Comparison'!$C$2:$G$314,4,FALSE)</f>
        <v>0</v>
      </c>
      <c r="U141" s="59">
        <f>VLOOKUP($N141,'Meter Comparison'!$C$2:$G$314,5,FALSE)</f>
        <v>0</v>
      </c>
    </row>
    <row r="142" spans="1:22" ht="30" customHeight="1" outlineLevel="2" x14ac:dyDescent="0.3">
      <c r="A142" s="100" t="s">
        <v>750</v>
      </c>
      <c r="B142" s="101" t="s">
        <v>828</v>
      </c>
      <c r="C142" s="55" t="str">
        <f>VLOOKUP(B142,Tables!$G$2:$H$90,2,FALSE)</f>
        <v>Drug &amp; Alcohol Abuse</v>
      </c>
      <c r="D142" s="56" t="s">
        <v>563</v>
      </c>
      <c r="E142" s="114">
        <v>204</v>
      </c>
      <c r="F142" s="56" t="s">
        <v>15</v>
      </c>
      <c r="G142" s="50" t="str">
        <f>VLOOKUP(F142,Tables!$D$2:$E$20,2,FALSE)</f>
        <v>PTR</v>
      </c>
      <c r="H142" s="115">
        <v>17099603</v>
      </c>
      <c r="I142" s="106">
        <f>SUM(S142-R142)</f>
        <v>379</v>
      </c>
      <c r="J142" s="106">
        <f>SUM(U142-T142)</f>
        <v>0</v>
      </c>
      <c r="K142" s="107">
        <f>SUM(I142*$P142)</f>
        <v>9.9298000000000002</v>
      </c>
      <c r="L142" s="107">
        <f>SUM(J142*$Q142)</f>
        <v>0</v>
      </c>
      <c r="M142" s="108">
        <f>K142+L142</f>
        <v>9.9298000000000002</v>
      </c>
      <c r="N142" s="101" t="s">
        <v>789</v>
      </c>
      <c r="O142" s="101" t="s">
        <v>753</v>
      </c>
      <c r="P142" s="51">
        <f>IF(G142="MFP",Tables!$B$2,Tables!$B$5)</f>
        <v>2.6200000000000001E-2</v>
      </c>
      <c r="Q142" s="86">
        <f>IF(G142="MFP",Tables!$B$3,Tables!$B$6)</f>
        <v>0.11799999999999999</v>
      </c>
      <c r="R142" s="59">
        <f>VLOOKUP($N142,'Meter Comparison'!$C$2:$G$314,2,FALSE)</f>
        <v>1968</v>
      </c>
      <c r="S142" s="59">
        <f>VLOOKUP($N142,'Meter Comparison'!$C$2:$G$314,3,FALSE)</f>
        <v>2347</v>
      </c>
      <c r="T142" s="59">
        <f>VLOOKUP($N142,'Meter Comparison'!$C$2:$G$314,4,FALSE)</f>
        <v>0</v>
      </c>
      <c r="U142" s="59">
        <f>VLOOKUP($N142,'Meter Comparison'!$C$2:$G$314,5,FALSE)</f>
        <v>0</v>
      </c>
    </row>
    <row r="143" spans="1:22" ht="30" customHeight="1" outlineLevel="2" x14ac:dyDescent="0.3">
      <c r="A143" s="100" t="s">
        <v>750</v>
      </c>
      <c r="B143" s="101" t="s">
        <v>828</v>
      </c>
      <c r="C143" s="55" t="str">
        <f>VLOOKUP(B143,Tables!$G$2:$H$90,2,FALSE)</f>
        <v>Drug &amp; Alcohol Abuse</v>
      </c>
      <c r="D143" s="56" t="s">
        <v>563</v>
      </c>
      <c r="E143" s="102">
        <v>205</v>
      </c>
      <c r="F143" s="103" t="s">
        <v>54</v>
      </c>
      <c r="G143" s="50" t="str">
        <f>VLOOKUP(F143,Tables!$D$2:$E$20,2,FALSE)</f>
        <v>MFP</v>
      </c>
      <c r="H143" s="105">
        <v>17099417</v>
      </c>
      <c r="I143" s="106">
        <f>SUM(S143-R143)</f>
        <v>1941</v>
      </c>
      <c r="J143" s="106">
        <f>SUM(U143-T143)</f>
        <v>102</v>
      </c>
      <c r="K143" s="107">
        <f>SUM(I143*$P143)</f>
        <v>40.178699999999999</v>
      </c>
      <c r="L143" s="107">
        <f>SUM(J143*$Q143)</f>
        <v>8.8739999999999988</v>
      </c>
      <c r="M143" s="108">
        <f>K143+L143</f>
        <v>49.052700000000002</v>
      </c>
      <c r="N143" s="109" t="s">
        <v>907</v>
      </c>
      <c r="O143" s="103" t="s">
        <v>930</v>
      </c>
      <c r="P143" s="51">
        <f>IF(G143="MFP",Tables!$B$2,Tables!$B$5)</f>
        <v>2.07E-2</v>
      </c>
      <c r="Q143" s="86">
        <f>IF(G143="MFP",Tables!$B$3,Tables!$B$6)</f>
        <v>8.6999999999999994E-2</v>
      </c>
      <c r="R143" s="59">
        <f>VLOOKUP($N143,'Meter Comparison'!$C$2:$G$314,2,FALSE)</f>
        <v>2699</v>
      </c>
      <c r="S143" s="59">
        <f>VLOOKUP($N143,'Meter Comparison'!$C$2:$G$314,3,FALSE)</f>
        <v>4640</v>
      </c>
      <c r="T143" s="59">
        <f>VLOOKUP($N143,'Meter Comparison'!$C$2:$G$314,4,FALSE)</f>
        <v>97</v>
      </c>
      <c r="U143" s="59">
        <f>VLOOKUP($N143,'Meter Comparison'!$C$2:$G$314,5,FALSE)</f>
        <v>199</v>
      </c>
    </row>
    <row r="144" spans="1:22" ht="30" customHeight="1" outlineLevel="2" x14ac:dyDescent="0.3">
      <c r="A144" s="100" t="s">
        <v>750</v>
      </c>
      <c r="B144" s="101" t="s">
        <v>828</v>
      </c>
      <c r="C144" s="55" t="str">
        <f>VLOOKUP(B144,Tables!$G$2:$H$90,2,FALSE)</f>
        <v>Drug &amp; Alcohol Abuse</v>
      </c>
      <c r="D144" s="56" t="s">
        <v>563</v>
      </c>
      <c r="E144" s="114">
        <v>213</v>
      </c>
      <c r="F144" s="56" t="s">
        <v>15</v>
      </c>
      <c r="G144" s="50" t="str">
        <f>VLOOKUP(F144,Tables!$D$2:$E$20,2,FALSE)</f>
        <v>PTR</v>
      </c>
      <c r="H144" s="115">
        <v>17099604</v>
      </c>
      <c r="I144" s="106">
        <f>SUM(S144-R144)</f>
        <v>284</v>
      </c>
      <c r="J144" s="106">
        <f>SUM(U144-T144)</f>
        <v>0</v>
      </c>
      <c r="K144" s="107">
        <f>SUM(I144*$P144)</f>
        <v>7.4408000000000003</v>
      </c>
      <c r="L144" s="107">
        <f>SUM(J144*$Q144)</f>
        <v>0</v>
      </c>
      <c r="M144" s="108">
        <f>K144+L144</f>
        <v>7.4408000000000003</v>
      </c>
      <c r="N144" s="101" t="s">
        <v>752</v>
      </c>
      <c r="O144" s="101" t="s">
        <v>938</v>
      </c>
      <c r="P144" s="51">
        <f>IF(G144="MFP",Tables!$B$2,Tables!$B$5)</f>
        <v>2.6200000000000001E-2</v>
      </c>
      <c r="Q144" s="86">
        <f>IF(G144="MFP",Tables!$B$3,Tables!$B$6)</f>
        <v>0.11799999999999999</v>
      </c>
      <c r="R144" s="59">
        <f>VLOOKUP($N144,'Meter Comparison'!$C$2:$G$314,2,FALSE)</f>
        <v>955</v>
      </c>
      <c r="S144" s="59">
        <f>VLOOKUP($N144,'Meter Comparison'!$C$2:$G$314,3,FALSE)</f>
        <v>1239</v>
      </c>
      <c r="T144" s="59">
        <f>VLOOKUP($N144,'Meter Comparison'!$C$2:$G$314,4,FALSE)</f>
        <v>0</v>
      </c>
      <c r="U144" s="59">
        <f>VLOOKUP($N144,'Meter Comparison'!$C$2:$G$314,5,FALSE)</f>
        <v>0</v>
      </c>
    </row>
    <row r="145" spans="1:21" ht="30" customHeight="1" outlineLevel="1" x14ac:dyDescent="0.3">
      <c r="A145" s="100"/>
      <c r="B145" s="164" t="s">
        <v>1079</v>
      </c>
      <c r="C145" s="55"/>
      <c r="D145" s="56"/>
      <c r="E145" s="114"/>
      <c r="F145" s="56"/>
      <c r="G145" s="50"/>
      <c r="H145" s="115"/>
      <c r="I145" s="106"/>
      <c r="J145" s="106"/>
      <c r="K145" s="107"/>
      <c r="L145" s="107"/>
      <c r="M145" s="108">
        <f>SUBTOTAL(9,M141:M144)</f>
        <v>66.4495</v>
      </c>
      <c r="N145" s="101"/>
      <c r="O145" s="101"/>
      <c r="P145" s="51"/>
      <c r="Q145" s="86"/>
      <c r="R145" s="59"/>
      <c r="S145" s="59"/>
      <c r="T145" s="59"/>
      <c r="U145" s="59"/>
    </row>
    <row r="146" spans="1:21" ht="30" customHeight="1" outlineLevel="2" x14ac:dyDescent="0.3">
      <c r="A146" s="77" t="s">
        <v>274</v>
      </c>
      <c r="B146" s="77" t="s">
        <v>275</v>
      </c>
      <c r="C146" s="55" t="str">
        <f>VLOOKUP(B146,Tables!$G$2:$H$90,2,FALSE)</f>
        <v>Dean of the Faculty</v>
      </c>
      <c r="D146" s="76" t="s">
        <v>276</v>
      </c>
      <c r="E146" s="75">
        <v>201</v>
      </c>
      <c r="F146" s="76" t="s">
        <v>15</v>
      </c>
      <c r="G146" s="50" t="str">
        <f>VLOOKUP(F146,Tables!$D$2:$E$20,2,FALSE)</f>
        <v>PTR</v>
      </c>
      <c r="H146" s="69">
        <v>17099687</v>
      </c>
      <c r="I146" s="71">
        <f>SUM(S146-R146)</f>
        <v>815</v>
      </c>
      <c r="J146" s="71">
        <f>SUM(U146-T146)</f>
        <v>0</v>
      </c>
      <c r="K146" s="73">
        <f>SUM(I146*$P146)</f>
        <v>21.353000000000002</v>
      </c>
      <c r="L146" s="73">
        <f>SUM(J146*$Q146)</f>
        <v>0</v>
      </c>
      <c r="M146" s="74">
        <f>K146+L146</f>
        <v>21.353000000000002</v>
      </c>
      <c r="N146" s="76" t="s">
        <v>756</v>
      </c>
      <c r="O146" s="54" t="s">
        <v>755</v>
      </c>
      <c r="P146" s="51">
        <f>IF(G146="MFP",Tables!$B$2,Tables!$B$5)</f>
        <v>2.6200000000000001E-2</v>
      </c>
      <c r="Q146" s="86">
        <f>IF(G146="MFP",Tables!$B$3,Tables!$B$6)</f>
        <v>0.11799999999999999</v>
      </c>
      <c r="R146" s="59">
        <f>VLOOKUP($N146,'Meter Comparison'!$C$2:$G$314,2,FALSE)</f>
        <v>2990</v>
      </c>
      <c r="S146" s="59">
        <f>VLOOKUP($N146,'Meter Comparison'!$C$2:$G$314,3,FALSE)</f>
        <v>3805</v>
      </c>
      <c r="T146" s="59">
        <f>VLOOKUP($N146,'Meter Comparison'!$C$2:$G$314,4,FALSE)</f>
        <v>0</v>
      </c>
      <c r="U146" s="59">
        <f>VLOOKUP($N146,'Meter Comparison'!$C$2:$G$314,5,FALSE)</f>
        <v>0</v>
      </c>
    </row>
    <row r="147" spans="1:21" ht="30" customHeight="1" outlineLevel="2" x14ac:dyDescent="0.3">
      <c r="A147" s="77" t="s">
        <v>274</v>
      </c>
      <c r="B147" s="77" t="s">
        <v>275</v>
      </c>
      <c r="C147" s="55" t="str">
        <f>VLOOKUP(B147,Tables!$G$2:$H$90,2,FALSE)</f>
        <v>Dean of the Faculty</v>
      </c>
      <c r="D147" s="76" t="s">
        <v>276</v>
      </c>
      <c r="E147" s="75">
        <v>212</v>
      </c>
      <c r="F147" s="76" t="s">
        <v>15</v>
      </c>
      <c r="G147" s="50" t="str">
        <f>VLOOKUP(F147,Tables!$D$2:$E$20,2,FALSE)</f>
        <v>PTR</v>
      </c>
      <c r="H147" s="69">
        <v>17099699</v>
      </c>
      <c r="I147" s="71">
        <f>SUM(S147-R147)</f>
        <v>113</v>
      </c>
      <c r="J147" s="71">
        <f>SUM(U147-T147)</f>
        <v>0</v>
      </c>
      <c r="K147" s="73">
        <f>SUM(I147*$P147)</f>
        <v>2.9606000000000003</v>
      </c>
      <c r="L147" s="73">
        <f>SUM(J147*$Q147)</f>
        <v>0</v>
      </c>
      <c r="M147" s="74">
        <f>K147+L147</f>
        <v>2.9606000000000003</v>
      </c>
      <c r="N147" s="76" t="s">
        <v>281</v>
      </c>
      <c r="O147" s="76" t="s">
        <v>282</v>
      </c>
      <c r="P147" s="51">
        <f>IF(G147="MFP",Tables!$B$2,Tables!$B$5)</f>
        <v>2.6200000000000001E-2</v>
      </c>
      <c r="Q147" s="86">
        <f>IF(G147="MFP",Tables!$B$3,Tables!$B$6)</f>
        <v>0.11799999999999999</v>
      </c>
      <c r="R147" s="59">
        <f>VLOOKUP($N147,'Meter Comparison'!$C$2:$G$314,2,FALSE)</f>
        <v>759</v>
      </c>
      <c r="S147" s="59">
        <f>VLOOKUP($N147,'Meter Comparison'!$C$2:$G$314,3,FALSE)</f>
        <v>872</v>
      </c>
      <c r="T147" s="59">
        <f>VLOOKUP($N147,'Meter Comparison'!$C$2:$G$314,4,FALSE)</f>
        <v>0</v>
      </c>
      <c r="U147" s="59">
        <f>VLOOKUP($N147,'Meter Comparison'!$C$2:$G$314,5,FALSE)</f>
        <v>0</v>
      </c>
    </row>
    <row r="148" spans="1:21" ht="30" customHeight="1" outlineLevel="2" x14ac:dyDescent="0.3">
      <c r="A148" s="77" t="s">
        <v>274</v>
      </c>
      <c r="B148" s="77" t="s">
        <v>275</v>
      </c>
      <c r="C148" s="55" t="str">
        <f>VLOOKUP(B148,Tables!$G$2:$H$90,2,FALSE)</f>
        <v>Dean of the Faculty</v>
      </c>
      <c r="D148" s="76" t="s">
        <v>276</v>
      </c>
      <c r="E148" s="75">
        <v>213</v>
      </c>
      <c r="F148" s="76" t="s">
        <v>15</v>
      </c>
      <c r="G148" s="50" t="str">
        <f>VLOOKUP(F148,Tables!$D$2:$E$20,2,FALSE)</f>
        <v>PTR</v>
      </c>
      <c r="H148" s="69">
        <v>17099686</v>
      </c>
      <c r="I148" s="71">
        <f>SUM(S148-R148)</f>
        <v>334</v>
      </c>
      <c r="J148" s="71">
        <f>SUM(U148-T148)</f>
        <v>0</v>
      </c>
      <c r="K148" s="73">
        <f>SUM(I148*$P148)</f>
        <v>8.7507999999999999</v>
      </c>
      <c r="L148" s="73">
        <f>SUM(J148*$Q148)</f>
        <v>0</v>
      </c>
      <c r="M148" s="74">
        <f>K148+L148</f>
        <v>8.7507999999999999</v>
      </c>
      <c r="N148" s="76" t="s">
        <v>279</v>
      </c>
      <c r="O148" s="76" t="s">
        <v>280</v>
      </c>
      <c r="P148" s="51">
        <f>IF(G148="MFP",Tables!$B$2,Tables!$B$5)</f>
        <v>2.6200000000000001E-2</v>
      </c>
      <c r="Q148" s="86">
        <f>IF(G148="MFP",Tables!$B$3,Tables!$B$6)</f>
        <v>0.11799999999999999</v>
      </c>
      <c r="R148" s="59">
        <f>VLOOKUP($N148,'Meter Comparison'!$C$2:$G$314,2,FALSE)</f>
        <v>1929</v>
      </c>
      <c r="S148" s="59">
        <f>VLOOKUP($N148,'Meter Comparison'!$C$2:$G$314,3,FALSE)</f>
        <v>2263</v>
      </c>
      <c r="T148" s="59">
        <f>VLOOKUP($N148,'Meter Comparison'!$C$2:$G$314,4,FALSE)</f>
        <v>0</v>
      </c>
      <c r="U148" s="59">
        <f>VLOOKUP($N148,'Meter Comparison'!$C$2:$G$314,5,FALSE)</f>
        <v>0</v>
      </c>
    </row>
    <row r="149" spans="1:21" ht="30" customHeight="1" outlineLevel="2" x14ac:dyDescent="0.3">
      <c r="A149" s="77" t="s">
        <v>274</v>
      </c>
      <c r="B149" s="77" t="s">
        <v>275</v>
      </c>
      <c r="C149" s="55" t="str">
        <f>VLOOKUP(B149,Tables!$G$2:$H$90,2,FALSE)</f>
        <v>Dean of the Faculty</v>
      </c>
      <c r="D149" s="76" t="s">
        <v>276</v>
      </c>
      <c r="E149" s="75">
        <v>216</v>
      </c>
      <c r="F149" s="76" t="s">
        <v>15</v>
      </c>
      <c r="G149" s="50" t="str">
        <f>VLOOKUP(F149,Tables!$D$2:$E$20,2,FALSE)</f>
        <v>PTR</v>
      </c>
      <c r="H149" s="69">
        <v>17099730</v>
      </c>
      <c r="I149" s="71">
        <f>SUM(S149-R149)</f>
        <v>1661</v>
      </c>
      <c r="J149" s="71">
        <f>SUM(U149-T149)</f>
        <v>0</v>
      </c>
      <c r="K149" s="73">
        <f>SUM(I149*$P149)</f>
        <v>43.5182</v>
      </c>
      <c r="L149" s="73">
        <f>SUM(J149*$Q149)</f>
        <v>0</v>
      </c>
      <c r="M149" s="74">
        <f>K149+L149</f>
        <v>43.5182</v>
      </c>
      <c r="N149" s="57" t="s">
        <v>754</v>
      </c>
      <c r="O149" s="57" t="s">
        <v>284</v>
      </c>
      <c r="P149" s="51">
        <f>IF(G149="MFP",Tables!$B$2,Tables!$B$5)</f>
        <v>2.6200000000000001E-2</v>
      </c>
      <c r="Q149" s="86">
        <f>IF(G149="MFP",Tables!$B$3,Tables!$B$6)</f>
        <v>0.11799999999999999</v>
      </c>
      <c r="R149" s="59">
        <f>VLOOKUP($N149,'Meter Comparison'!$C$2:$G$314,2,FALSE)</f>
        <v>2758</v>
      </c>
      <c r="S149" s="59">
        <f>VLOOKUP($N149,'Meter Comparison'!$C$2:$G$314,3,FALSE)</f>
        <v>4419</v>
      </c>
      <c r="T149" s="59">
        <f>VLOOKUP($N149,'Meter Comparison'!$C$2:$G$314,4,FALSE)</f>
        <v>0</v>
      </c>
      <c r="U149" s="59">
        <f>VLOOKUP($N149,'Meter Comparison'!$C$2:$G$314,5,FALSE)</f>
        <v>0</v>
      </c>
    </row>
    <row r="150" spans="1:21" ht="30" customHeight="1" outlineLevel="2" x14ac:dyDescent="0.3">
      <c r="A150" s="77" t="s">
        <v>274</v>
      </c>
      <c r="B150" s="77" t="s">
        <v>275</v>
      </c>
      <c r="C150" s="55" t="str">
        <f>VLOOKUP(B150,Tables!$G$2:$H$90,2,FALSE)</f>
        <v>Dean of the Faculty</v>
      </c>
      <c r="D150" s="76" t="s">
        <v>276</v>
      </c>
      <c r="E150" s="75">
        <v>216</v>
      </c>
      <c r="F150" s="76" t="s">
        <v>54</v>
      </c>
      <c r="G150" s="50" t="str">
        <f>VLOOKUP(F150,Tables!$D$2:$E$20,2,FALSE)</f>
        <v>MFP</v>
      </c>
      <c r="H150" s="69">
        <v>17099499</v>
      </c>
      <c r="I150" s="71">
        <f>SUM(S150-R150)</f>
        <v>928</v>
      </c>
      <c r="J150" s="71">
        <f>SUM(U150-T150)</f>
        <v>18</v>
      </c>
      <c r="K150" s="73">
        <f>SUM(I150*$P150)</f>
        <v>19.209599999999998</v>
      </c>
      <c r="L150" s="73">
        <f>SUM(J150*$Q150)</f>
        <v>1.5659999999999998</v>
      </c>
      <c r="M150" s="74">
        <f>K150+L150</f>
        <v>20.775599999999997</v>
      </c>
      <c r="N150" s="76" t="s">
        <v>277</v>
      </c>
      <c r="O150" s="76" t="s">
        <v>278</v>
      </c>
      <c r="P150" s="51">
        <f>IF(G150="MFP",Tables!$B$2,Tables!$B$5)</f>
        <v>2.07E-2</v>
      </c>
      <c r="Q150" s="86">
        <f>IF(G150="MFP",Tables!$B$3,Tables!$B$6)</f>
        <v>8.6999999999999994E-2</v>
      </c>
      <c r="R150" s="59">
        <f>VLOOKUP($N150,'Meter Comparison'!$C$2:$G$314,2,FALSE)</f>
        <v>9619</v>
      </c>
      <c r="S150" s="59">
        <f>VLOOKUP($N150,'Meter Comparison'!$C$2:$G$314,3,FALSE)</f>
        <v>10547</v>
      </c>
      <c r="T150" s="59">
        <f>VLOOKUP($N150,'Meter Comparison'!$C$2:$G$314,4,FALSE)</f>
        <v>790</v>
      </c>
      <c r="U150" s="59">
        <f>VLOOKUP($N150,'Meter Comparison'!$C$2:$G$314,5,FALSE)</f>
        <v>808</v>
      </c>
    </row>
    <row r="151" spans="1:21" ht="30" customHeight="1" outlineLevel="1" x14ac:dyDescent="0.3">
      <c r="A151" s="77"/>
      <c r="B151" s="160" t="s">
        <v>1080</v>
      </c>
      <c r="C151" s="55"/>
      <c r="D151" s="76"/>
      <c r="E151" s="75"/>
      <c r="F151" s="76"/>
      <c r="G151" s="50"/>
      <c r="H151" s="69"/>
      <c r="I151" s="71"/>
      <c r="J151" s="71"/>
      <c r="K151" s="73"/>
      <c r="L151" s="73"/>
      <c r="M151" s="74">
        <f>SUBTOTAL(9,M146:M150)</f>
        <v>97.358199999999997</v>
      </c>
      <c r="N151" s="76"/>
      <c r="O151" s="76"/>
      <c r="P151" s="51"/>
      <c r="Q151" s="86"/>
      <c r="R151" s="59"/>
      <c r="S151" s="59"/>
      <c r="T151" s="59"/>
      <c r="U151" s="59"/>
    </row>
    <row r="152" spans="1:21" ht="30" customHeight="1" outlineLevel="2" x14ac:dyDescent="0.3">
      <c r="A152" s="77" t="s">
        <v>93</v>
      </c>
      <c r="B152" s="122" t="s">
        <v>94</v>
      </c>
      <c r="C152" s="55" t="str">
        <f>VLOOKUP(B152,Tables!$G$2:$H$90,2,FALSE)</f>
        <v>Economics</v>
      </c>
      <c r="D152" s="112" t="s">
        <v>96</v>
      </c>
      <c r="E152" s="102">
        <v>307</v>
      </c>
      <c r="F152" s="103" t="s">
        <v>15</v>
      </c>
      <c r="G152" s="50" t="str">
        <f>VLOOKUP(F152,Tables!$D$2:$E$20,2,FALSE)</f>
        <v>PTR</v>
      </c>
      <c r="H152" s="105">
        <v>17099831</v>
      </c>
      <c r="I152" s="106">
        <f t="shared" ref="I152:I158" si="30">SUM(S152-R152)</f>
        <v>725</v>
      </c>
      <c r="J152" s="106">
        <f t="shared" ref="J152:J158" si="31">SUM(U152-T152)</f>
        <v>0</v>
      </c>
      <c r="K152" s="107">
        <f t="shared" ref="K152:K158" si="32">SUM(I152*$P152)</f>
        <v>18.995000000000001</v>
      </c>
      <c r="L152" s="107">
        <f t="shared" ref="L152:L158" si="33">SUM(J152*$Q152)</f>
        <v>0</v>
      </c>
      <c r="M152" s="108">
        <f t="shared" ref="M152:M158" si="34">K152+L152</f>
        <v>18.995000000000001</v>
      </c>
      <c r="N152" s="113" t="s">
        <v>867</v>
      </c>
      <c r="O152" s="54" t="s">
        <v>934</v>
      </c>
      <c r="P152" s="51">
        <f>IF(G152="MFP",Tables!$B$2,Tables!$B$5)</f>
        <v>2.6200000000000001E-2</v>
      </c>
      <c r="Q152" s="86">
        <f>IF(G152="MFP",Tables!$B$3,Tables!$B$6)</f>
        <v>0.11799999999999999</v>
      </c>
      <c r="R152" s="59">
        <f>VLOOKUP($N152,'Meter Comparison'!$C$2:$G$314,2,FALSE)</f>
        <v>3599</v>
      </c>
      <c r="S152" s="59">
        <f>VLOOKUP($N152,'Meter Comparison'!$C$2:$G$314,3,FALSE)</f>
        <v>4324</v>
      </c>
      <c r="T152" s="59">
        <f>VLOOKUP($N152,'Meter Comparison'!$C$2:$G$314,4,FALSE)</f>
        <v>0</v>
      </c>
      <c r="U152" s="59">
        <f>VLOOKUP($N152,'Meter Comparison'!$C$2:$G$314,5,FALSE)</f>
        <v>0</v>
      </c>
    </row>
    <row r="153" spans="1:21" ht="30" customHeight="1" outlineLevel="2" x14ac:dyDescent="0.3">
      <c r="A153" s="55" t="s">
        <v>93</v>
      </c>
      <c r="B153" s="55" t="s">
        <v>94</v>
      </c>
      <c r="C153" s="55" t="str">
        <f>VLOOKUP(B153,Tables!$G$2:$H$90,2,FALSE)</f>
        <v>Economics</v>
      </c>
      <c r="D153" s="56" t="s">
        <v>96</v>
      </c>
      <c r="E153" s="114">
        <v>318</v>
      </c>
      <c r="F153" s="56" t="s">
        <v>15</v>
      </c>
      <c r="G153" s="50" t="str">
        <f>VLOOKUP(F153,Tables!$D$2:$E$20,2,FALSE)</f>
        <v>PTR</v>
      </c>
      <c r="H153" s="105">
        <v>17099440</v>
      </c>
      <c r="I153" s="106">
        <f t="shared" si="30"/>
        <v>0</v>
      </c>
      <c r="J153" s="106">
        <f t="shared" si="31"/>
        <v>0</v>
      </c>
      <c r="K153" s="107">
        <f t="shared" si="32"/>
        <v>0</v>
      </c>
      <c r="L153" s="107">
        <f t="shared" si="33"/>
        <v>0</v>
      </c>
      <c r="M153" s="108">
        <f t="shared" si="34"/>
        <v>0</v>
      </c>
      <c r="N153" s="56" t="s">
        <v>310</v>
      </c>
      <c r="O153" s="56" t="s">
        <v>958</v>
      </c>
      <c r="P153" s="51">
        <f>IF(G153="MFP",Tables!$B$2,Tables!$B$5)</f>
        <v>2.6200000000000001E-2</v>
      </c>
      <c r="Q153" s="86">
        <f>IF(G153="MFP",Tables!$B$3,Tables!$B$6)</f>
        <v>0.11799999999999999</v>
      </c>
      <c r="R153" s="59">
        <f>VLOOKUP($N153,'Meter Comparison'!$C$2:$G$314,2,FALSE)</f>
        <v>477</v>
      </c>
      <c r="S153" s="59">
        <f>VLOOKUP($N153,'Meter Comparison'!$C$2:$G$314,3,FALSE)</f>
        <v>477</v>
      </c>
      <c r="T153" s="59">
        <f>VLOOKUP($N153,'Meter Comparison'!$C$2:$G$314,4,FALSE)</f>
        <v>0</v>
      </c>
      <c r="U153" s="59">
        <f>VLOOKUP($N153,'Meter Comparison'!$C$2:$G$314,5,FALSE)</f>
        <v>0</v>
      </c>
    </row>
    <row r="154" spans="1:21" ht="30" customHeight="1" outlineLevel="2" x14ac:dyDescent="0.3">
      <c r="A154" s="77" t="s">
        <v>93</v>
      </c>
      <c r="B154" s="77" t="s">
        <v>94</v>
      </c>
      <c r="C154" s="55" t="str">
        <f>VLOOKUP(B154,Tables!$G$2:$H$90,2,FALSE)</f>
        <v>Economics</v>
      </c>
      <c r="D154" s="76" t="s">
        <v>96</v>
      </c>
      <c r="E154" s="75">
        <v>320</v>
      </c>
      <c r="F154" s="76" t="s">
        <v>15</v>
      </c>
      <c r="G154" s="50" t="str">
        <f>VLOOKUP(F154,Tables!$D$2:$E$20,2,FALSE)</f>
        <v>PTR</v>
      </c>
      <c r="H154" s="69">
        <v>17099771</v>
      </c>
      <c r="I154" s="71">
        <f t="shared" si="30"/>
        <v>10893</v>
      </c>
      <c r="J154" s="71">
        <f t="shared" si="31"/>
        <v>0</v>
      </c>
      <c r="K154" s="73">
        <f t="shared" si="32"/>
        <v>285.39660000000003</v>
      </c>
      <c r="L154" s="73">
        <f t="shared" si="33"/>
        <v>0</v>
      </c>
      <c r="M154" s="74">
        <f t="shared" si="34"/>
        <v>285.39660000000003</v>
      </c>
      <c r="N154" s="76" t="s">
        <v>102</v>
      </c>
      <c r="O154" s="76" t="s">
        <v>103</v>
      </c>
      <c r="P154" s="51">
        <f>IF(G154="MFP",Tables!$B$2,Tables!$B$5)</f>
        <v>2.6200000000000001E-2</v>
      </c>
      <c r="Q154" s="86">
        <f>IF(G154="MFP",Tables!$B$3,Tables!$B$6)</f>
        <v>0.11799999999999999</v>
      </c>
      <c r="R154" s="59">
        <f>VLOOKUP($N154,'Meter Comparison'!$C$2:$G$314,2,FALSE)</f>
        <v>55960</v>
      </c>
      <c r="S154" s="59">
        <f>VLOOKUP($N154,'Meter Comparison'!$C$2:$G$314,3,FALSE)</f>
        <v>66853</v>
      </c>
      <c r="T154" s="59">
        <f>VLOOKUP($N154,'Meter Comparison'!$C$2:$G$314,4,FALSE)</f>
        <v>0</v>
      </c>
      <c r="U154" s="59">
        <f>VLOOKUP($N154,'Meter Comparison'!$C$2:$G$314,5,FALSE)</f>
        <v>0</v>
      </c>
    </row>
    <row r="155" spans="1:21" ht="30" customHeight="1" outlineLevel="2" x14ac:dyDescent="0.3">
      <c r="A155" s="77" t="s">
        <v>93</v>
      </c>
      <c r="B155" s="122" t="s">
        <v>94</v>
      </c>
      <c r="C155" s="55" t="str">
        <f>VLOOKUP(B155,Tables!$G$2:$H$90,2,FALSE)</f>
        <v>Economics</v>
      </c>
      <c r="D155" s="112" t="s">
        <v>96</v>
      </c>
      <c r="E155" s="112">
        <v>331</v>
      </c>
      <c r="F155" s="103" t="s">
        <v>15</v>
      </c>
      <c r="G155" s="50" t="str">
        <f>VLOOKUP(F155,Tables!$D$2:$E$20,2,FALSE)</f>
        <v>PTR</v>
      </c>
      <c r="H155" s="69">
        <v>17099723</v>
      </c>
      <c r="I155" s="106">
        <f t="shared" si="30"/>
        <v>824</v>
      </c>
      <c r="J155" s="106">
        <f t="shared" si="31"/>
        <v>0</v>
      </c>
      <c r="K155" s="107">
        <f t="shared" si="32"/>
        <v>21.588799999999999</v>
      </c>
      <c r="L155" s="107">
        <f t="shared" si="33"/>
        <v>0</v>
      </c>
      <c r="M155" s="108">
        <f t="shared" si="34"/>
        <v>21.588799999999999</v>
      </c>
      <c r="N155" s="113" t="s">
        <v>870</v>
      </c>
      <c r="O155" s="103" t="s">
        <v>937</v>
      </c>
      <c r="P155" s="51">
        <f>IF(G155="MFP",Tables!$B$2,Tables!$B$5)</f>
        <v>2.6200000000000001E-2</v>
      </c>
      <c r="Q155" s="86">
        <f>IF(G155="MFP",Tables!$B$3,Tables!$B$6)</f>
        <v>0.11799999999999999</v>
      </c>
      <c r="R155" s="59">
        <f>VLOOKUP($N155,'Meter Comparison'!$C$2:$G$314,2,FALSE)</f>
        <v>1575</v>
      </c>
      <c r="S155" s="59">
        <f>VLOOKUP($N155,'Meter Comparison'!$C$2:$G$314,3,FALSE)</f>
        <v>2399</v>
      </c>
      <c r="T155" s="59">
        <f>VLOOKUP($N155,'Meter Comparison'!$C$2:$G$314,4,FALSE)</f>
        <v>0</v>
      </c>
      <c r="U155" s="59">
        <f>VLOOKUP($N155,'Meter Comparison'!$C$2:$G$314,5,FALSE)</f>
        <v>0</v>
      </c>
    </row>
    <row r="156" spans="1:21" ht="30" customHeight="1" outlineLevel="2" x14ac:dyDescent="0.3">
      <c r="A156" s="77" t="s">
        <v>93</v>
      </c>
      <c r="B156" s="77" t="s">
        <v>94</v>
      </c>
      <c r="C156" s="55" t="str">
        <f>VLOOKUP(B156,Tables!$G$2:$H$90,2,FALSE)</f>
        <v>Economics</v>
      </c>
      <c r="D156" s="76" t="s">
        <v>96</v>
      </c>
      <c r="E156" s="75">
        <v>337</v>
      </c>
      <c r="F156" s="76" t="s">
        <v>83</v>
      </c>
      <c r="G156" s="50" t="str">
        <f>VLOOKUP(F156,Tables!$D$2:$E$20,2,FALSE)</f>
        <v>MFP</v>
      </c>
      <c r="H156" s="69">
        <v>17099456</v>
      </c>
      <c r="I156" s="71">
        <f t="shared" si="30"/>
        <v>22694</v>
      </c>
      <c r="J156" s="71">
        <f t="shared" si="31"/>
        <v>2220</v>
      </c>
      <c r="K156" s="73">
        <f t="shared" si="32"/>
        <v>469.76580000000001</v>
      </c>
      <c r="L156" s="73">
        <f t="shared" si="33"/>
        <v>193.14</v>
      </c>
      <c r="M156" s="74">
        <f t="shared" si="34"/>
        <v>662.9058</v>
      </c>
      <c r="N156" s="76" t="s">
        <v>97</v>
      </c>
      <c r="O156" s="76" t="s">
        <v>98</v>
      </c>
      <c r="P156" s="51">
        <f>IF(G156="MFP",Tables!$B$2,Tables!$B$5)</f>
        <v>2.07E-2</v>
      </c>
      <c r="Q156" s="86">
        <f>IF(G156="MFP",Tables!$B$3,Tables!$B$6)</f>
        <v>8.6999999999999994E-2</v>
      </c>
      <c r="R156" s="59">
        <f>VLOOKUP($N156,'Meter Comparison'!$C$2:$G$314,2,FALSE)</f>
        <v>140366</v>
      </c>
      <c r="S156" s="59">
        <f>VLOOKUP($N156,'Meter Comparison'!$C$2:$G$314,3,FALSE)</f>
        <v>163060</v>
      </c>
      <c r="T156" s="59">
        <f>VLOOKUP($N156,'Meter Comparison'!$C$2:$G$314,4,FALSE)</f>
        <v>9366</v>
      </c>
      <c r="U156" s="59">
        <f>VLOOKUP($N156,'Meter Comparison'!$C$2:$G$314,5,FALSE)</f>
        <v>11586</v>
      </c>
    </row>
    <row r="157" spans="1:21" ht="30" customHeight="1" outlineLevel="2" x14ac:dyDescent="0.3">
      <c r="A157" s="77" t="s">
        <v>93</v>
      </c>
      <c r="B157" s="77" t="s">
        <v>94</v>
      </c>
      <c r="C157" s="55" t="str">
        <f>VLOOKUP(B157,Tables!$G$2:$H$90,2,FALSE)</f>
        <v>Economics</v>
      </c>
      <c r="D157" s="76" t="s">
        <v>96</v>
      </c>
      <c r="E157" s="75">
        <v>345</v>
      </c>
      <c r="F157" s="76" t="s">
        <v>15</v>
      </c>
      <c r="G157" s="50" t="str">
        <f>VLOOKUP(F157,Tables!$D$2:$E$20,2,FALSE)</f>
        <v>PTR</v>
      </c>
      <c r="H157" s="69">
        <v>17099813</v>
      </c>
      <c r="I157" s="71">
        <f t="shared" si="30"/>
        <v>1408</v>
      </c>
      <c r="J157" s="71">
        <f t="shared" si="31"/>
        <v>0</v>
      </c>
      <c r="K157" s="73">
        <f t="shared" si="32"/>
        <v>36.889600000000002</v>
      </c>
      <c r="L157" s="73">
        <f t="shared" si="33"/>
        <v>0</v>
      </c>
      <c r="M157" s="74">
        <f t="shared" si="34"/>
        <v>36.889600000000002</v>
      </c>
      <c r="N157" s="57" t="s">
        <v>868</v>
      </c>
      <c r="O157" s="57" t="s">
        <v>935</v>
      </c>
      <c r="P157" s="51">
        <f>IF(G157="MFP",Tables!$B$2,Tables!$B$5)</f>
        <v>2.6200000000000001E-2</v>
      </c>
      <c r="Q157" s="86">
        <f>IF(G157="MFP",Tables!$B$3,Tables!$B$6)</f>
        <v>0.11799999999999999</v>
      </c>
      <c r="R157" s="59">
        <f>VLOOKUP($N157,'Meter Comparison'!$C$2:$G$314,2,FALSE)</f>
        <v>9216</v>
      </c>
      <c r="S157" s="59">
        <f>VLOOKUP($N157,'Meter Comparison'!$C$2:$G$314,3,FALSE)</f>
        <v>10624</v>
      </c>
      <c r="T157" s="59">
        <f>VLOOKUP($N157,'Meter Comparison'!$C$2:$G$314,4,FALSE)</f>
        <v>0</v>
      </c>
      <c r="U157" s="59">
        <f>VLOOKUP($N157,'Meter Comparison'!$C$2:$G$314,5,FALSE)</f>
        <v>0</v>
      </c>
    </row>
    <row r="158" spans="1:21" ht="30" customHeight="1" outlineLevel="2" x14ac:dyDescent="0.3">
      <c r="A158" s="77" t="s">
        <v>93</v>
      </c>
      <c r="B158" s="77" t="s">
        <v>94</v>
      </c>
      <c r="C158" s="55" t="str">
        <f>VLOOKUP(B158,Tables!$G$2:$H$90,2,FALSE)</f>
        <v>Economics</v>
      </c>
      <c r="D158" s="76" t="s">
        <v>96</v>
      </c>
      <c r="E158" s="75">
        <v>346</v>
      </c>
      <c r="F158" s="76" t="s">
        <v>90</v>
      </c>
      <c r="G158" s="50" t="str">
        <f>VLOOKUP(F158,Tables!$D$2:$E$20,2,FALSE)</f>
        <v>PTR</v>
      </c>
      <c r="H158" s="69">
        <v>17099643</v>
      </c>
      <c r="I158" s="71">
        <f t="shared" si="30"/>
        <v>33</v>
      </c>
      <c r="J158" s="71">
        <f t="shared" si="31"/>
        <v>67</v>
      </c>
      <c r="K158" s="73">
        <f t="shared" si="32"/>
        <v>0.86460000000000004</v>
      </c>
      <c r="L158" s="73">
        <f t="shared" si="33"/>
        <v>7.9059999999999997</v>
      </c>
      <c r="M158" s="74">
        <f t="shared" si="34"/>
        <v>8.7706</v>
      </c>
      <c r="N158" s="57" t="s">
        <v>790</v>
      </c>
      <c r="O158" s="57" t="s">
        <v>804</v>
      </c>
      <c r="P158" s="51">
        <f>IF(G158="MFP",Tables!$B$2,Tables!$B$5)</f>
        <v>2.6200000000000001E-2</v>
      </c>
      <c r="Q158" s="86">
        <f>IF(G158="MFP",Tables!$B$3,Tables!$B$6)</f>
        <v>0.11799999999999999</v>
      </c>
      <c r="R158" s="59">
        <f>VLOOKUP($N158,'Meter Comparison'!$C$2:$G$314,2,FALSE)</f>
        <v>218</v>
      </c>
      <c r="S158" s="59">
        <f>VLOOKUP($N158,'Meter Comparison'!$C$2:$G$314,3,FALSE)</f>
        <v>251</v>
      </c>
      <c r="T158" s="59">
        <f>VLOOKUP($N158,'Meter Comparison'!$C$2:$G$314,4,FALSE)</f>
        <v>271</v>
      </c>
      <c r="U158" s="59">
        <f>VLOOKUP($N158,'Meter Comparison'!$C$2:$G$314,5,FALSE)</f>
        <v>338</v>
      </c>
    </row>
    <row r="159" spans="1:21" ht="30" customHeight="1" outlineLevel="1" x14ac:dyDescent="0.3">
      <c r="A159" s="77"/>
      <c r="B159" s="160" t="s">
        <v>1081</v>
      </c>
      <c r="C159" s="55"/>
      <c r="D159" s="76"/>
      <c r="E159" s="75"/>
      <c r="F159" s="76"/>
      <c r="G159" s="50"/>
      <c r="H159" s="69"/>
      <c r="I159" s="71"/>
      <c r="J159" s="71"/>
      <c r="K159" s="73"/>
      <c r="L159" s="73"/>
      <c r="M159" s="74">
        <f>SUBTOTAL(9,M152:M158)</f>
        <v>1034.5464000000002</v>
      </c>
      <c r="N159" s="57"/>
      <c r="O159" s="57"/>
      <c r="P159" s="51"/>
      <c r="Q159" s="86"/>
      <c r="R159" s="59"/>
      <c r="S159" s="59"/>
      <c r="T159" s="59"/>
      <c r="U159" s="59"/>
    </row>
    <row r="160" spans="1:21" ht="30" customHeight="1" outlineLevel="2" x14ac:dyDescent="0.3">
      <c r="A160" s="77" t="s">
        <v>104</v>
      </c>
      <c r="B160" s="77" t="s">
        <v>105</v>
      </c>
      <c r="C160" s="55" t="str">
        <f>VLOOKUP(B160,Tables!$G$2:$H$90,2,FALSE)</f>
        <v>Electrical Engineering</v>
      </c>
      <c r="D160" s="76" t="s">
        <v>82</v>
      </c>
      <c r="E160" s="75">
        <v>502</v>
      </c>
      <c r="F160" s="76" t="s">
        <v>15</v>
      </c>
      <c r="G160" s="50" t="str">
        <f>VLOOKUP(F160,Tables!$D$2:$E$20,2,FALSE)</f>
        <v>PTR</v>
      </c>
      <c r="H160" s="69">
        <v>17099626</v>
      </c>
      <c r="I160" s="71">
        <f t="shared" ref="I160:I165" si="35">SUM(S160-R160)</f>
        <v>82</v>
      </c>
      <c r="J160" s="71">
        <f t="shared" ref="J160:J165" si="36">SUM(U160-T160)</f>
        <v>0</v>
      </c>
      <c r="K160" s="73">
        <f t="shared" ref="K160:K165" si="37">SUM(I160*$P160)</f>
        <v>2.1484000000000001</v>
      </c>
      <c r="L160" s="73">
        <f t="shared" ref="L160:L165" si="38">SUM(J160*$Q160)</f>
        <v>0</v>
      </c>
      <c r="M160" s="74">
        <f t="shared" ref="M160:M165" si="39">K160+L160</f>
        <v>2.1484000000000001</v>
      </c>
      <c r="N160" s="76" t="s">
        <v>115</v>
      </c>
      <c r="O160" s="76" t="s">
        <v>116</v>
      </c>
      <c r="P160" s="51">
        <f>IF(G160="MFP",Tables!$B$2,Tables!$B$5)</f>
        <v>2.6200000000000001E-2</v>
      </c>
      <c r="Q160" s="86">
        <f>IF(G160="MFP",Tables!$B$3,Tables!$B$6)</f>
        <v>0.11799999999999999</v>
      </c>
      <c r="R160" s="59">
        <f>VLOOKUP($N160,'Meter Comparison'!$C$2:$G$314,2,FALSE)</f>
        <v>264</v>
      </c>
      <c r="S160" s="59">
        <f>VLOOKUP($N160,'Meter Comparison'!$C$2:$G$314,3,FALSE)</f>
        <v>346</v>
      </c>
      <c r="T160" s="59">
        <f>VLOOKUP($N160,'Meter Comparison'!$C$2:$G$314,4,FALSE)</f>
        <v>0</v>
      </c>
      <c r="U160" s="59">
        <f>VLOOKUP($N160,'Meter Comparison'!$C$2:$G$314,5,FALSE)</f>
        <v>0</v>
      </c>
    </row>
    <row r="161" spans="1:21" ht="30" customHeight="1" outlineLevel="2" x14ac:dyDescent="0.3">
      <c r="A161" s="77" t="s">
        <v>104</v>
      </c>
      <c r="B161" s="77" t="s">
        <v>105</v>
      </c>
      <c r="C161" s="55" t="str">
        <f>VLOOKUP(B161,Tables!$G$2:$H$90,2,FALSE)</f>
        <v>Electrical Engineering</v>
      </c>
      <c r="D161" s="76" t="s">
        <v>82</v>
      </c>
      <c r="E161" s="75">
        <v>507</v>
      </c>
      <c r="F161" s="76" t="s">
        <v>15</v>
      </c>
      <c r="G161" s="50" t="str">
        <f>VLOOKUP(F161,Tables!$D$2:$E$20,2,FALSE)</f>
        <v>PTR</v>
      </c>
      <c r="H161" s="69">
        <v>17099587</v>
      </c>
      <c r="I161" s="71">
        <f t="shared" si="35"/>
        <v>17</v>
      </c>
      <c r="J161" s="71">
        <f t="shared" si="36"/>
        <v>0</v>
      </c>
      <c r="K161" s="73">
        <f t="shared" si="37"/>
        <v>0.44540000000000002</v>
      </c>
      <c r="L161" s="73">
        <f t="shared" si="38"/>
        <v>0</v>
      </c>
      <c r="M161" s="74">
        <f t="shared" si="39"/>
        <v>0.44540000000000002</v>
      </c>
      <c r="N161" s="76" t="s">
        <v>117</v>
      </c>
      <c r="O161" s="76" t="s">
        <v>118</v>
      </c>
      <c r="P161" s="51">
        <f>IF(G161="MFP",Tables!$B$2,Tables!$B$5)</f>
        <v>2.6200000000000001E-2</v>
      </c>
      <c r="Q161" s="86">
        <f>IF(G161="MFP",Tables!$B$3,Tables!$B$6)</f>
        <v>0.11799999999999999</v>
      </c>
      <c r="R161" s="59">
        <f>VLOOKUP($N161,'Meter Comparison'!$C$2:$G$314,2,FALSE)</f>
        <v>520</v>
      </c>
      <c r="S161" s="59">
        <f>VLOOKUP($N161,'Meter Comparison'!$C$2:$G$314,3,FALSE)</f>
        <v>537</v>
      </c>
      <c r="T161" s="59">
        <f>VLOOKUP($N161,'Meter Comparison'!$C$2:$G$314,4,FALSE)</f>
        <v>0</v>
      </c>
      <c r="U161" s="59">
        <f>VLOOKUP($N161,'Meter Comparison'!$C$2:$G$314,5,FALSE)</f>
        <v>0</v>
      </c>
    </row>
    <row r="162" spans="1:21" ht="30" customHeight="1" outlineLevel="2" x14ac:dyDescent="0.3">
      <c r="A162" s="77" t="s">
        <v>104</v>
      </c>
      <c r="B162" s="77" t="s">
        <v>105</v>
      </c>
      <c r="C162" s="55" t="str">
        <f>VLOOKUP(B162,Tables!$G$2:$H$90,2,FALSE)</f>
        <v>Electrical Engineering</v>
      </c>
      <c r="D162" s="76" t="s">
        <v>82</v>
      </c>
      <c r="E162" s="75">
        <v>508</v>
      </c>
      <c r="F162" s="76" t="s">
        <v>24</v>
      </c>
      <c r="G162" s="50" t="str">
        <f>VLOOKUP(F162,Tables!$D$2:$E$20,2,FALSE)</f>
        <v>MFP</v>
      </c>
      <c r="H162" s="69">
        <v>17099466</v>
      </c>
      <c r="I162" s="71">
        <f t="shared" si="35"/>
        <v>1233</v>
      </c>
      <c r="J162" s="71">
        <f t="shared" si="36"/>
        <v>389</v>
      </c>
      <c r="K162" s="73">
        <f t="shared" si="37"/>
        <v>25.523099999999999</v>
      </c>
      <c r="L162" s="73">
        <f t="shared" si="38"/>
        <v>33.842999999999996</v>
      </c>
      <c r="M162" s="74">
        <f t="shared" si="39"/>
        <v>59.366099999999996</v>
      </c>
      <c r="N162" s="76" t="s">
        <v>107</v>
      </c>
      <c r="O162" s="76" t="s">
        <v>108</v>
      </c>
      <c r="P162" s="51">
        <f>IF(G162="MFP",Tables!$B$2,Tables!$B$5)</f>
        <v>2.07E-2</v>
      </c>
      <c r="Q162" s="86">
        <f>IF(G162="MFP",Tables!$B$3,Tables!$B$6)</f>
        <v>8.6999999999999994E-2</v>
      </c>
      <c r="R162" s="59">
        <f>VLOOKUP($N162,'Meter Comparison'!$C$2:$G$314,2,FALSE)</f>
        <v>8636</v>
      </c>
      <c r="S162" s="59">
        <f>VLOOKUP($N162,'Meter Comparison'!$C$2:$G$314,3,FALSE)</f>
        <v>9869</v>
      </c>
      <c r="T162" s="59">
        <f>VLOOKUP($N162,'Meter Comparison'!$C$2:$G$314,4,FALSE)</f>
        <v>800</v>
      </c>
      <c r="U162" s="59">
        <f>VLOOKUP($N162,'Meter Comparison'!$C$2:$G$314,5,FALSE)</f>
        <v>1189</v>
      </c>
    </row>
    <row r="163" spans="1:21" ht="30" customHeight="1" outlineLevel="2" x14ac:dyDescent="0.3">
      <c r="A163" s="77" t="s">
        <v>104</v>
      </c>
      <c r="B163" s="77" t="s">
        <v>105</v>
      </c>
      <c r="C163" s="55" t="str">
        <f>VLOOKUP(B163,Tables!$G$2:$H$90,2,FALSE)</f>
        <v>Electrical Engineering</v>
      </c>
      <c r="D163" s="76" t="s">
        <v>82</v>
      </c>
      <c r="E163" s="75">
        <v>509</v>
      </c>
      <c r="F163" s="76" t="s">
        <v>15</v>
      </c>
      <c r="G163" s="50" t="str">
        <f>VLOOKUP(F163,Tables!$D$2:$E$20,2,FALSE)</f>
        <v>PTR</v>
      </c>
      <c r="H163" s="69">
        <v>17099614</v>
      </c>
      <c r="I163" s="71">
        <f t="shared" si="35"/>
        <v>107</v>
      </c>
      <c r="J163" s="71">
        <f t="shared" si="36"/>
        <v>0</v>
      </c>
      <c r="K163" s="73">
        <f t="shared" si="37"/>
        <v>2.8033999999999999</v>
      </c>
      <c r="L163" s="73">
        <f t="shared" si="38"/>
        <v>0</v>
      </c>
      <c r="M163" s="74">
        <f t="shared" si="39"/>
        <v>2.8033999999999999</v>
      </c>
      <c r="N163" s="76" t="s">
        <v>109</v>
      </c>
      <c r="O163" s="76" t="s">
        <v>110</v>
      </c>
      <c r="P163" s="51">
        <f>IF(G163="MFP",Tables!$B$2,Tables!$B$5)</f>
        <v>2.6200000000000001E-2</v>
      </c>
      <c r="Q163" s="86">
        <f>IF(G163="MFP",Tables!$B$3,Tables!$B$6)</f>
        <v>0.11799999999999999</v>
      </c>
      <c r="R163" s="59">
        <f>VLOOKUP($N163,'Meter Comparison'!$C$2:$G$314,2,FALSE)</f>
        <v>385</v>
      </c>
      <c r="S163" s="59">
        <f>VLOOKUP($N163,'Meter Comparison'!$C$2:$G$314,3,FALSE)</f>
        <v>492</v>
      </c>
      <c r="T163" s="59">
        <f>VLOOKUP($N163,'Meter Comparison'!$C$2:$G$314,4,FALSE)</f>
        <v>0</v>
      </c>
      <c r="U163" s="59">
        <f>VLOOKUP($N163,'Meter Comparison'!$C$2:$G$314,5,FALSE)</f>
        <v>0</v>
      </c>
    </row>
    <row r="164" spans="1:21" ht="30" customHeight="1" outlineLevel="2" x14ac:dyDescent="0.3">
      <c r="A164" s="77" t="s">
        <v>104</v>
      </c>
      <c r="B164" s="77" t="s">
        <v>105</v>
      </c>
      <c r="C164" s="55" t="str">
        <f>VLOOKUP(B164,Tables!$G$2:$H$90,2,FALSE)</f>
        <v>Electrical Engineering</v>
      </c>
      <c r="D164" s="76" t="s">
        <v>82</v>
      </c>
      <c r="E164" s="75">
        <v>605</v>
      </c>
      <c r="F164" s="76" t="s">
        <v>15</v>
      </c>
      <c r="G164" s="50" t="str">
        <f>VLOOKUP(F164,Tables!$D$2:$E$20,2,FALSE)</f>
        <v>PTR</v>
      </c>
      <c r="H164" s="69">
        <v>17099625</v>
      </c>
      <c r="I164" s="71">
        <f t="shared" si="35"/>
        <v>63</v>
      </c>
      <c r="J164" s="71">
        <f t="shared" si="36"/>
        <v>0</v>
      </c>
      <c r="K164" s="73">
        <f t="shared" si="37"/>
        <v>1.6506000000000001</v>
      </c>
      <c r="L164" s="73">
        <f t="shared" si="38"/>
        <v>0</v>
      </c>
      <c r="M164" s="74">
        <f t="shared" si="39"/>
        <v>1.6506000000000001</v>
      </c>
      <c r="N164" s="76" t="s">
        <v>111</v>
      </c>
      <c r="O164" s="76" t="s">
        <v>112</v>
      </c>
      <c r="P164" s="51">
        <f>IF(G164="MFP",Tables!$B$2,Tables!$B$5)</f>
        <v>2.6200000000000001E-2</v>
      </c>
      <c r="Q164" s="86">
        <f>IF(G164="MFP",Tables!$B$3,Tables!$B$6)</f>
        <v>0.11799999999999999</v>
      </c>
      <c r="R164" s="59">
        <f>VLOOKUP($N164,'Meter Comparison'!$C$2:$G$314,2,FALSE)</f>
        <v>446</v>
      </c>
      <c r="S164" s="59">
        <f>VLOOKUP($N164,'Meter Comparison'!$C$2:$G$314,3,FALSE)</f>
        <v>509</v>
      </c>
      <c r="T164" s="59">
        <f>VLOOKUP($N164,'Meter Comparison'!$C$2:$G$314,4,FALSE)</f>
        <v>0</v>
      </c>
      <c r="U164" s="59">
        <f>VLOOKUP($N164,'Meter Comparison'!$C$2:$G$314,5,FALSE)</f>
        <v>0</v>
      </c>
    </row>
    <row r="165" spans="1:21" ht="30" customHeight="1" outlineLevel="2" x14ac:dyDescent="0.3">
      <c r="A165" s="77" t="s">
        <v>104</v>
      </c>
      <c r="B165" s="77" t="s">
        <v>105</v>
      </c>
      <c r="C165" s="55" t="str">
        <f>VLOOKUP(B165,Tables!$G$2:$H$90,2,FALSE)</f>
        <v>Electrical Engineering</v>
      </c>
      <c r="D165" s="76" t="s">
        <v>82</v>
      </c>
      <c r="E165" s="75">
        <v>620</v>
      </c>
      <c r="F165" s="76" t="s">
        <v>15</v>
      </c>
      <c r="G165" s="50" t="str">
        <f>VLOOKUP(F165,Tables!$D$2:$E$20,2,FALSE)</f>
        <v>PTR</v>
      </c>
      <c r="H165" s="69">
        <v>17099619</v>
      </c>
      <c r="I165" s="71">
        <f t="shared" si="35"/>
        <v>219</v>
      </c>
      <c r="J165" s="71">
        <f t="shared" si="36"/>
        <v>0</v>
      </c>
      <c r="K165" s="73">
        <f t="shared" si="37"/>
        <v>5.7378</v>
      </c>
      <c r="L165" s="73">
        <f t="shared" si="38"/>
        <v>0</v>
      </c>
      <c r="M165" s="74">
        <f t="shared" si="39"/>
        <v>5.7378</v>
      </c>
      <c r="N165" s="76" t="s">
        <v>113</v>
      </c>
      <c r="O165" s="76" t="s">
        <v>114</v>
      </c>
      <c r="P165" s="51">
        <f>IF(G165="MFP",Tables!$B$2,Tables!$B$5)</f>
        <v>2.6200000000000001E-2</v>
      </c>
      <c r="Q165" s="86">
        <f>IF(G165="MFP",Tables!$B$3,Tables!$B$6)</f>
        <v>0.11799999999999999</v>
      </c>
      <c r="R165" s="59">
        <f>VLOOKUP($N165,'Meter Comparison'!$C$2:$G$314,2,FALSE)</f>
        <v>1027</v>
      </c>
      <c r="S165" s="59">
        <f>VLOOKUP($N165,'Meter Comparison'!$C$2:$G$314,3,FALSE)</f>
        <v>1246</v>
      </c>
      <c r="T165" s="59">
        <f>VLOOKUP($N165,'Meter Comparison'!$C$2:$G$314,4,FALSE)</f>
        <v>0</v>
      </c>
      <c r="U165" s="59">
        <f>VLOOKUP($N165,'Meter Comparison'!$C$2:$G$314,5,FALSE)</f>
        <v>0</v>
      </c>
    </row>
    <row r="166" spans="1:21" ht="30" customHeight="1" outlineLevel="1" x14ac:dyDescent="0.3">
      <c r="A166" s="77"/>
      <c r="B166" s="160" t="s">
        <v>1082</v>
      </c>
      <c r="C166" s="55"/>
      <c r="D166" s="76"/>
      <c r="E166" s="75"/>
      <c r="F166" s="76"/>
      <c r="G166" s="50"/>
      <c r="H166" s="69"/>
      <c r="I166" s="71"/>
      <c r="J166" s="71"/>
      <c r="K166" s="73"/>
      <c r="L166" s="73"/>
      <c r="M166" s="74">
        <f>SUBTOTAL(9,M160:M165)</f>
        <v>72.151700000000005</v>
      </c>
      <c r="N166" s="76"/>
      <c r="O166" s="76"/>
      <c r="P166" s="51"/>
      <c r="Q166" s="86"/>
      <c r="R166" s="59"/>
      <c r="S166" s="59"/>
      <c r="T166" s="59"/>
      <c r="U166" s="59"/>
    </row>
    <row r="167" spans="1:21" ht="30" customHeight="1" outlineLevel="2" x14ac:dyDescent="0.3">
      <c r="A167" s="77" t="s">
        <v>104</v>
      </c>
      <c r="B167" s="77" t="s">
        <v>422</v>
      </c>
      <c r="C167" s="55" t="str">
        <f>VLOOKUP(B167,Tables!$G$2:$H$90,2,FALSE)</f>
        <v>Printer Services</v>
      </c>
      <c r="D167" s="76" t="s">
        <v>82</v>
      </c>
      <c r="E167" s="75">
        <v>404</v>
      </c>
      <c r="F167" s="76" t="s">
        <v>15</v>
      </c>
      <c r="G167" s="50" t="str">
        <f>VLOOKUP(F167,Tables!$D$2:$E$20,2,FALSE)</f>
        <v>PTR</v>
      </c>
      <c r="H167" s="69">
        <v>17099764</v>
      </c>
      <c r="I167" s="71">
        <f t="shared" ref="I167:I173" si="40">SUM(S167-R167)</f>
        <v>2666</v>
      </c>
      <c r="J167" s="71">
        <f t="shared" ref="J167:J173" si="41">SUM(U167-T167)</f>
        <v>0</v>
      </c>
      <c r="K167" s="73">
        <f t="shared" ref="K167:K173" si="42">SUM(I167*$P167)</f>
        <v>69.849199999999996</v>
      </c>
      <c r="L167" s="73">
        <f t="shared" ref="L167:L173" si="43">SUM(J167*$Q167)</f>
        <v>0</v>
      </c>
      <c r="M167" s="74">
        <f t="shared" ref="M167:M173" si="44">K167+L167</f>
        <v>69.849199999999996</v>
      </c>
      <c r="N167" s="76" t="s">
        <v>453</v>
      </c>
      <c r="O167" s="76" t="s">
        <v>454</v>
      </c>
      <c r="P167" s="51">
        <f>IF(G167="MFP",Tables!$B$2,Tables!$B$5)</f>
        <v>2.6200000000000001E-2</v>
      </c>
      <c r="Q167" s="86">
        <f>IF(G167="MFP",Tables!$B$3,Tables!$B$6)</f>
        <v>0.11799999999999999</v>
      </c>
      <c r="R167" s="59">
        <f>VLOOKUP($N167,'Meter Comparison'!$C$2:$G$314,2,FALSE)</f>
        <v>12093</v>
      </c>
      <c r="S167" s="59">
        <f>VLOOKUP($N167,'Meter Comparison'!$C$2:$G$314,3,FALSE)</f>
        <v>14759</v>
      </c>
      <c r="T167" s="59">
        <f>VLOOKUP($N167,'Meter Comparison'!$C$2:$G$314,4,FALSE)</f>
        <v>0</v>
      </c>
      <c r="U167" s="59">
        <f>VLOOKUP($N167,'Meter Comparison'!$C$2:$G$314,5,FALSE)</f>
        <v>0</v>
      </c>
    </row>
    <row r="168" spans="1:21" ht="30" customHeight="1" outlineLevel="2" x14ac:dyDescent="0.3">
      <c r="A168" s="77" t="s">
        <v>104</v>
      </c>
      <c r="B168" s="77" t="s">
        <v>422</v>
      </c>
      <c r="C168" s="55" t="str">
        <f>VLOOKUP(B168,Tables!$G$2:$H$90,2,FALSE)</f>
        <v>Printer Services</v>
      </c>
      <c r="D168" s="76" t="s">
        <v>82</v>
      </c>
      <c r="E168" s="75">
        <v>407</v>
      </c>
      <c r="F168" s="76" t="s">
        <v>15</v>
      </c>
      <c r="G168" s="50" t="str">
        <f>VLOOKUP(F168,Tables!$D$2:$E$20,2,FALSE)</f>
        <v>PTR</v>
      </c>
      <c r="H168" s="69">
        <v>17099788</v>
      </c>
      <c r="I168" s="71">
        <f t="shared" si="40"/>
        <v>563</v>
      </c>
      <c r="J168" s="71">
        <f t="shared" si="41"/>
        <v>0</v>
      </c>
      <c r="K168" s="73">
        <f t="shared" si="42"/>
        <v>14.7506</v>
      </c>
      <c r="L168" s="73">
        <f t="shared" si="43"/>
        <v>0</v>
      </c>
      <c r="M168" s="74">
        <f t="shared" si="44"/>
        <v>14.7506</v>
      </c>
      <c r="N168" s="76" t="s">
        <v>443</v>
      </c>
      <c r="O168" s="76" t="s">
        <v>444</v>
      </c>
      <c r="P168" s="51">
        <f>IF(G168="MFP",Tables!$B$2,Tables!$B$5)</f>
        <v>2.6200000000000001E-2</v>
      </c>
      <c r="Q168" s="86">
        <f>IF(G168="MFP",Tables!$B$3,Tables!$B$6)</f>
        <v>0.11799999999999999</v>
      </c>
      <c r="R168" s="59">
        <f>VLOOKUP($N168,'Meter Comparison'!$C$2:$G$314,2,FALSE)</f>
        <v>2296</v>
      </c>
      <c r="S168" s="59">
        <f>VLOOKUP($N168,'Meter Comparison'!$C$2:$G$314,3,FALSE)</f>
        <v>2859</v>
      </c>
      <c r="T168" s="59">
        <f>VLOOKUP($N168,'Meter Comparison'!$C$2:$G$314,4,FALSE)</f>
        <v>0</v>
      </c>
      <c r="U168" s="59">
        <f>VLOOKUP($N168,'Meter Comparison'!$C$2:$G$314,5,FALSE)</f>
        <v>0</v>
      </c>
    </row>
    <row r="169" spans="1:21" ht="30" customHeight="1" outlineLevel="2" x14ac:dyDescent="0.3">
      <c r="A169" s="77" t="s">
        <v>104</v>
      </c>
      <c r="B169" s="77" t="s">
        <v>422</v>
      </c>
      <c r="C169" s="55" t="str">
        <f>VLOOKUP(B169,Tables!$G$2:$H$90,2,FALSE)</f>
        <v>Printer Services</v>
      </c>
      <c r="D169" s="76" t="s">
        <v>82</v>
      </c>
      <c r="E169" s="75">
        <v>408</v>
      </c>
      <c r="F169" s="76" t="s">
        <v>90</v>
      </c>
      <c r="G169" s="50" t="str">
        <f>VLOOKUP(F169,Tables!$D$2:$E$20,2,FALSE)</f>
        <v>PTR</v>
      </c>
      <c r="H169" s="69">
        <v>17099769</v>
      </c>
      <c r="I169" s="71">
        <f t="shared" si="40"/>
        <v>51</v>
      </c>
      <c r="J169" s="71">
        <f t="shared" si="41"/>
        <v>13</v>
      </c>
      <c r="K169" s="73">
        <f t="shared" si="42"/>
        <v>1.3362000000000001</v>
      </c>
      <c r="L169" s="73">
        <f t="shared" si="43"/>
        <v>1.5339999999999998</v>
      </c>
      <c r="M169" s="74">
        <f t="shared" si="44"/>
        <v>2.8701999999999996</v>
      </c>
      <c r="N169" s="58" t="s">
        <v>758</v>
      </c>
      <c r="O169" s="58" t="s">
        <v>759</v>
      </c>
      <c r="P169" s="51">
        <f>IF(G169="MFP",Tables!$B$2,Tables!$B$5)</f>
        <v>2.6200000000000001E-2</v>
      </c>
      <c r="Q169" s="86">
        <f>IF(G169="MFP",Tables!$B$3,Tables!$B$6)</f>
        <v>0.11799999999999999</v>
      </c>
      <c r="R169" s="59">
        <f>VLOOKUP($N169,'Meter Comparison'!$C$2:$G$314,2,FALSE)</f>
        <v>570</v>
      </c>
      <c r="S169" s="59">
        <f>VLOOKUP($N169,'Meter Comparison'!$C$2:$G$314,3,FALSE)</f>
        <v>621</v>
      </c>
      <c r="T169" s="59">
        <f>VLOOKUP($N169,'Meter Comparison'!$C$2:$G$314,4,FALSE)</f>
        <v>241</v>
      </c>
      <c r="U169" s="59">
        <f>VLOOKUP($N169,'Meter Comparison'!$C$2:$G$314,5,FALSE)</f>
        <v>254</v>
      </c>
    </row>
    <row r="170" spans="1:21" ht="30" customHeight="1" outlineLevel="2" x14ac:dyDescent="0.3">
      <c r="A170" s="77" t="s">
        <v>104</v>
      </c>
      <c r="B170" s="77" t="s">
        <v>422</v>
      </c>
      <c r="C170" s="55" t="str">
        <f>VLOOKUP(B170,Tables!$G$2:$H$90,2,FALSE)</f>
        <v>Printer Services</v>
      </c>
      <c r="D170" s="76" t="s">
        <v>82</v>
      </c>
      <c r="E170" s="75">
        <v>426</v>
      </c>
      <c r="F170" s="76" t="s">
        <v>15</v>
      </c>
      <c r="G170" s="50" t="str">
        <f>VLOOKUP(F170,Tables!$D$2:$E$20,2,FALSE)</f>
        <v>PTR</v>
      </c>
      <c r="H170" s="69">
        <v>17099766</v>
      </c>
      <c r="I170" s="71">
        <f t="shared" si="40"/>
        <v>240</v>
      </c>
      <c r="J170" s="71">
        <f t="shared" si="41"/>
        <v>0</v>
      </c>
      <c r="K170" s="73">
        <f t="shared" si="42"/>
        <v>6.2880000000000003</v>
      </c>
      <c r="L170" s="73">
        <f t="shared" si="43"/>
        <v>0</v>
      </c>
      <c r="M170" s="74">
        <f t="shared" si="44"/>
        <v>6.2880000000000003</v>
      </c>
      <c r="N170" s="76" t="s">
        <v>451</v>
      </c>
      <c r="O170" s="76" t="s">
        <v>452</v>
      </c>
      <c r="P170" s="51">
        <f>IF(G170="MFP",Tables!$B$2,Tables!$B$5)</f>
        <v>2.6200000000000001E-2</v>
      </c>
      <c r="Q170" s="86">
        <f>IF(G170="MFP",Tables!$B$3,Tables!$B$6)</f>
        <v>0.11799999999999999</v>
      </c>
      <c r="R170" s="59">
        <f>VLOOKUP($N170,'Meter Comparison'!$C$2:$G$314,2,FALSE)</f>
        <v>3494</v>
      </c>
      <c r="S170" s="59">
        <f>VLOOKUP($N170,'Meter Comparison'!$C$2:$G$314,3,FALSE)</f>
        <v>3734</v>
      </c>
      <c r="T170" s="59">
        <f>VLOOKUP($N170,'Meter Comparison'!$C$2:$G$314,4,FALSE)</f>
        <v>0</v>
      </c>
      <c r="U170" s="59">
        <f>VLOOKUP($N170,'Meter Comparison'!$C$2:$G$314,5,FALSE)</f>
        <v>0</v>
      </c>
    </row>
    <row r="171" spans="1:21" ht="30" customHeight="1" outlineLevel="2" x14ac:dyDescent="0.3">
      <c r="A171" s="77" t="s">
        <v>104</v>
      </c>
      <c r="B171" s="77" t="s">
        <v>422</v>
      </c>
      <c r="C171" s="55" t="str">
        <f>VLOOKUP(B171,Tables!$G$2:$H$90,2,FALSE)</f>
        <v>Printer Services</v>
      </c>
      <c r="D171" s="76" t="s">
        <v>82</v>
      </c>
      <c r="E171" s="75">
        <v>427</v>
      </c>
      <c r="F171" s="76" t="s">
        <v>15</v>
      </c>
      <c r="G171" s="50" t="str">
        <f>VLOOKUP(F171,Tables!$D$2:$E$20,2,FALSE)</f>
        <v>PTR</v>
      </c>
      <c r="H171" s="69">
        <v>17099767</v>
      </c>
      <c r="I171" s="71">
        <f t="shared" si="40"/>
        <v>355</v>
      </c>
      <c r="J171" s="71">
        <f t="shared" si="41"/>
        <v>0</v>
      </c>
      <c r="K171" s="73">
        <f t="shared" si="42"/>
        <v>9.3010000000000002</v>
      </c>
      <c r="L171" s="73">
        <f t="shared" si="43"/>
        <v>0</v>
      </c>
      <c r="M171" s="74">
        <f t="shared" si="44"/>
        <v>9.3010000000000002</v>
      </c>
      <c r="N171" s="76" t="s">
        <v>449</v>
      </c>
      <c r="O171" s="76" t="s">
        <v>450</v>
      </c>
      <c r="P171" s="51">
        <f>IF(G171="MFP",Tables!$B$2,Tables!$B$5)</f>
        <v>2.6200000000000001E-2</v>
      </c>
      <c r="Q171" s="86">
        <f>IF(G171="MFP",Tables!$B$3,Tables!$B$6)</f>
        <v>0.11799999999999999</v>
      </c>
      <c r="R171" s="59">
        <f>VLOOKUP($N171,'Meter Comparison'!$C$2:$G$314,2,FALSE)</f>
        <v>1344</v>
      </c>
      <c r="S171" s="59">
        <f>VLOOKUP($N171,'Meter Comparison'!$C$2:$G$314,3,FALSE)</f>
        <v>1699</v>
      </c>
      <c r="T171" s="59">
        <f>VLOOKUP($N171,'Meter Comparison'!$C$2:$G$314,4,FALSE)</f>
        <v>0</v>
      </c>
      <c r="U171" s="59">
        <f>VLOOKUP($N171,'Meter Comparison'!$C$2:$G$314,5,FALSE)</f>
        <v>0</v>
      </c>
    </row>
    <row r="172" spans="1:21" ht="30" customHeight="1" outlineLevel="2" x14ac:dyDescent="0.3">
      <c r="A172" s="55" t="s">
        <v>104</v>
      </c>
      <c r="B172" s="55" t="s">
        <v>422</v>
      </c>
      <c r="C172" s="55" t="str">
        <f>VLOOKUP(B172,Tables!$G$2:$H$90,2,FALSE)</f>
        <v>Printer Services</v>
      </c>
      <c r="D172" s="56" t="s">
        <v>82</v>
      </c>
      <c r="E172" s="114">
        <v>428</v>
      </c>
      <c r="F172" s="56" t="s">
        <v>15</v>
      </c>
      <c r="G172" s="50" t="str">
        <f>VLOOKUP(F172,Tables!$D$2:$E$20,2,FALSE)</f>
        <v>PTR</v>
      </c>
      <c r="H172" s="105">
        <v>17099765</v>
      </c>
      <c r="I172" s="106">
        <f t="shared" si="40"/>
        <v>353</v>
      </c>
      <c r="J172" s="106">
        <f t="shared" si="41"/>
        <v>0</v>
      </c>
      <c r="K172" s="107">
        <f t="shared" si="42"/>
        <v>9.2485999999999997</v>
      </c>
      <c r="L172" s="107">
        <f t="shared" si="43"/>
        <v>0</v>
      </c>
      <c r="M172" s="108">
        <f t="shared" si="44"/>
        <v>9.2485999999999997</v>
      </c>
      <c r="N172" s="56" t="s">
        <v>445</v>
      </c>
      <c r="O172" s="56" t="s">
        <v>446</v>
      </c>
      <c r="P172" s="51">
        <f>IF(G172="MFP",Tables!$B$2,Tables!$B$5)</f>
        <v>2.6200000000000001E-2</v>
      </c>
      <c r="Q172" s="86">
        <f>IF(G172="MFP",Tables!$B$3,Tables!$B$6)</f>
        <v>0.11799999999999999</v>
      </c>
      <c r="R172" s="59">
        <f>VLOOKUP($N172,'Meter Comparison'!$C$2:$G$314,2,FALSE)</f>
        <v>1885</v>
      </c>
      <c r="S172" s="59">
        <f>VLOOKUP($N172,'Meter Comparison'!$C$2:$G$314,3,FALSE)</f>
        <v>2238</v>
      </c>
      <c r="T172" s="59">
        <f>VLOOKUP($N172,'Meter Comparison'!$C$2:$G$314,4,FALSE)</f>
        <v>0</v>
      </c>
      <c r="U172" s="59">
        <f>VLOOKUP($N172,'Meter Comparison'!$C$2:$G$314,5,FALSE)</f>
        <v>0</v>
      </c>
    </row>
    <row r="173" spans="1:21" ht="30" customHeight="1" outlineLevel="2" x14ac:dyDescent="0.3">
      <c r="A173" s="55" t="s">
        <v>104</v>
      </c>
      <c r="B173" s="55" t="s">
        <v>422</v>
      </c>
      <c r="C173" s="55" t="str">
        <f>VLOOKUP(B173,Tables!$G$2:$H$90,2,FALSE)</f>
        <v>Printer Services</v>
      </c>
      <c r="D173" s="56" t="s">
        <v>82</v>
      </c>
      <c r="E173" s="114">
        <v>506</v>
      </c>
      <c r="F173" s="56" t="s">
        <v>15</v>
      </c>
      <c r="G173" s="50" t="str">
        <f>VLOOKUP(F173,Tables!$D$2:$E$20,2,FALSE)</f>
        <v>PTR</v>
      </c>
      <c r="H173" s="105">
        <v>17099627</v>
      </c>
      <c r="I173" s="106">
        <f t="shared" si="40"/>
        <v>87</v>
      </c>
      <c r="J173" s="106">
        <f t="shared" si="41"/>
        <v>0</v>
      </c>
      <c r="K173" s="107">
        <f t="shared" si="42"/>
        <v>2.2793999999999999</v>
      </c>
      <c r="L173" s="107">
        <f t="shared" si="43"/>
        <v>0</v>
      </c>
      <c r="M173" s="108">
        <f t="shared" si="44"/>
        <v>2.2793999999999999</v>
      </c>
      <c r="N173" s="56" t="s">
        <v>447</v>
      </c>
      <c r="O173" s="56" t="s">
        <v>448</v>
      </c>
      <c r="P173" s="51">
        <f>IF(G173="MFP",Tables!$B$2,Tables!$B$5)</f>
        <v>2.6200000000000001E-2</v>
      </c>
      <c r="Q173" s="86">
        <f>IF(G173="MFP",Tables!$B$3,Tables!$B$6)</f>
        <v>0.11799999999999999</v>
      </c>
      <c r="R173" s="59">
        <f>VLOOKUP($N173,'Meter Comparison'!$C$2:$G$314,2,FALSE)</f>
        <v>800</v>
      </c>
      <c r="S173" s="59">
        <f>VLOOKUP($N173,'Meter Comparison'!$C$2:$G$314,3,FALSE)</f>
        <v>887</v>
      </c>
      <c r="T173" s="59">
        <f>VLOOKUP($N173,'Meter Comparison'!$C$2:$G$314,4,FALSE)</f>
        <v>0</v>
      </c>
      <c r="U173" s="59">
        <f>VLOOKUP($N173,'Meter Comparison'!$C$2:$G$314,5,FALSE)</f>
        <v>0</v>
      </c>
    </row>
    <row r="174" spans="1:21" ht="30" customHeight="1" outlineLevel="1" x14ac:dyDescent="0.3">
      <c r="A174" s="55"/>
      <c r="B174" s="161" t="s">
        <v>1053</v>
      </c>
      <c r="C174" s="55"/>
      <c r="D174" s="56"/>
      <c r="E174" s="114"/>
      <c r="F174" s="56"/>
      <c r="G174" s="50"/>
      <c r="H174" s="105"/>
      <c r="I174" s="106"/>
      <c r="J174" s="106"/>
      <c r="K174" s="107"/>
      <c r="L174" s="107"/>
      <c r="M174" s="108">
        <f>SUBTOTAL(9,M167:M173)</f>
        <v>114.58699999999999</v>
      </c>
      <c r="N174" s="56"/>
      <c r="O174" s="56"/>
      <c r="P174" s="51"/>
      <c r="Q174" s="86"/>
      <c r="R174" s="59"/>
      <c r="S174" s="59"/>
      <c r="T174" s="59"/>
      <c r="U174" s="59"/>
    </row>
    <row r="175" spans="1:21" ht="30" customHeight="1" outlineLevel="2" x14ac:dyDescent="0.3">
      <c r="A175" s="55" t="s">
        <v>119</v>
      </c>
      <c r="B175" s="55" t="s">
        <v>99</v>
      </c>
      <c r="C175" s="55" t="str">
        <f>VLOOKUP(B175,Tables!$G$2:$H$90,2,FALSE)</f>
        <v>English</v>
      </c>
      <c r="D175" s="56" t="s">
        <v>96</v>
      </c>
      <c r="E175" s="114">
        <v>206</v>
      </c>
      <c r="F175" s="56" t="s">
        <v>15</v>
      </c>
      <c r="G175" s="50" t="str">
        <f>VLOOKUP(F175,Tables!$D$2:$E$20,2,FALSE)</f>
        <v>PTR</v>
      </c>
      <c r="H175" s="105">
        <v>17099540</v>
      </c>
      <c r="I175" s="106">
        <f t="shared" ref="I175:I186" si="45">SUM(S175-R175)</f>
        <v>398</v>
      </c>
      <c r="J175" s="106">
        <f t="shared" ref="J175:J186" si="46">SUM(U175-T175)</f>
        <v>0</v>
      </c>
      <c r="K175" s="107">
        <f t="shared" ref="K175:K186" si="47">SUM(I175*$P175)</f>
        <v>10.4276</v>
      </c>
      <c r="L175" s="107">
        <f t="shared" ref="L175:L186" si="48">SUM(J175*$Q175)</f>
        <v>0</v>
      </c>
      <c r="M175" s="108">
        <f t="shared" ref="M175:M186" si="49">K175+L175</f>
        <v>10.4276</v>
      </c>
      <c r="N175" s="56" t="s">
        <v>134</v>
      </c>
      <c r="O175" s="56" t="s">
        <v>135</v>
      </c>
      <c r="P175" s="51">
        <f>IF(G175="MFP",Tables!$B$2,Tables!$B$5)</f>
        <v>2.6200000000000001E-2</v>
      </c>
      <c r="Q175" s="86">
        <f>IF(G175="MFP",Tables!$B$3,Tables!$B$6)</f>
        <v>0.11799999999999999</v>
      </c>
      <c r="R175" s="59">
        <f>VLOOKUP($N175,'Meter Comparison'!$C$2:$G$314,2,FALSE)</f>
        <v>2008</v>
      </c>
      <c r="S175" s="59">
        <f>VLOOKUP($N175,'Meter Comparison'!$C$2:$G$314,3,FALSE)</f>
        <v>2406</v>
      </c>
      <c r="T175" s="59">
        <f>VLOOKUP($N175,'Meter Comparison'!$C$2:$G$314,4,FALSE)</f>
        <v>0</v>
      </c>
      <c r="U175" s="59">
        <f>VLOOKUP($N175,'Meter Comparison'!$C$2:$G$314,5,FALSE)</f>
        <v>0</v>
      </c>
    </row>
    <row r="176" spans="1:21" ht="30" customHeight="1" outlineLevel="2" x14ac:dyDescent="0.3">
      <c r="A176" s="55" t="s">
        <v>119</v>
      </c>
      <c r="B176" s="55" t="s">
        <v>99</v>
      </c>
      <c r="C176" s="55" t="str">
        <f>VLOOKUP(B176,Tables!$G$2:$H$90,2,FALSE)</f>
        <v>English</v>
      </c>
      <c r="D176" s="56" t="s">
        <v>96</v>
      </c>
      <c r="E176" s="114">
        <v>220</v>
      </c>
      <c r="F176" s="56" t="s">
        <v>15</v>
      </c>
      <c r="G176" s="50" t="str">
        <f>VLOOKUP(F176,Tables!$D$2:$E$20,2,FALSE)</f>
        <v>PTR</v>
      </c>
      <c r="H176" s="105">
        <v>17099539</v>
      </c>
      <c r="I176" s="106">
        <f t="shared" si="45"/>
        <v>747</v>
      </c>
      <c r="J176" s="106">
        <f t="shared" si="46"/>
        <v>0</v>
      </c>
      <c r="K176" s="107">
        <f t="shared" si="47"/>
        <v>19.571400000000001</v>
      </c>
      <c r="L176" s="107">
        <f t="shared" si="48"/>
        <v>0</v>
      </c>
      <c r="M176" s="108">
        <f t="shared" si="49"/>
        <v>19.571400000000001</v>
      </c>
      <c r="N176" s="56" t="s">
        <v>138</v>
      </c>
      <c r="O176" s="56" t="s">
        <v>139</v>
      </c>
      <c r="P176" s="51">
        <f>IF(G176="MFP",Tables!$B$2,Tables!$B$5)</f>
        <v>2.6200000000000001E-2</v>
      </c>
      <c r="Q176" s="86">
        <f>IF(G176="MFP",Tables!$B$3,Tables!$B$6)</f>
        <v>0.11799999999999999</v>
      </c>
      <c r="R176" s="59">
        <f>VLOOKUP($N176,'Meter Comparison'!$C$2:$G$314,2,FALSE)</f>
        <v>3089</v>
      </c>
      <c r="S176" s="59">
        <f>VLOOKUP($N176,'Meter Comparison'!$C$2:$G$314,3,FALSE)</f>
        <v>3836</v>
      </c>
      <c r="T176" s="59">
        <f>VLOOKUP($N176,'Meter Comparison'!$C$2:$G$314,4,FALSE)</f>
        <v>0</v>
      </c>
      <c r="U176" s="59">
        <f>VLOOKUP($N176,'Meter Comparison'!$C$2:$G$314,5,FALSE)</f>
        <v>0</v>
      </c>
    </row>
    <row r="177" spans="1:22" ht="30" customHeight="1" outlineLevel="2" x14ac:dyDescent="0.3">
      <c r="A177" s="77" t="s">
        <v>119</v>
      </c>
      <c r="B177" s="77" t="s">
        <v>99</v>
      </c>
      <c r="C177" s="55" t="str">
        <f>VLOOKUP(B177,Tables!$G$2:$H$90,2,FALSE)</f>
        <v>English</v>
      </c>
      <c r="D177" s="76" t="s">
        <v>96</v>
      </c>
      <c r="E177" s="75">
        <v>221</v>
      </c>
      <c r="F177" s="76" t="s">
        <v>90</v>
      </c>
      <c r="G177" s="50" t="str">
        <f>VLOOKUP(F177,Tables!$D$2:$E$20,2,FALSE)</f>
        <v>PTR</v>
      </c>
      <c r="H177" s="69">
        <v>17099516</v>
      </c>
      <c r="I177" s="71">
        <f t="shared" si="45"/>
        <v>215</v>
      </c>
      <c r="J177" s="71">
        <f t="shared" si="46"/>
        <v>82</v>
      </c>
      <c r="K177" s="73">
        <f t="shared" si="47"/>
        <v>5.633</v>
      </c>
      <c r="L177" s="73">
        <f t="shared" si="48"/>
        <v>9.6760000000000002</v>
      </c>
      <c r="M177" s="74">
        <f t="shared" si="49"/>
        <v>15.309000000000001</v>
      </c>
      <c r="N177" s="76" t="s">
        <v>136</v>
      </c>
      <c r="O177" s="76" t="s">
        <v>137</v>
      </c>
      <c r="P177" s="51">
        <f>IF(G177="MFP",Tables!$B$2,Tables!$B$5)</f>
        <v>2.6200000000000001E-2</v>
      </c>
      <c r="Q177" s="86">
        <f>IF(G177="MFP",Tables!$B$3,Tables!$B$6)</f>
        <v>0.11799999999999999</v>
      </c>
      <c r="R177" s="59">
        <f>VLOOKUP($N177,'Meter Comparison'!$C$2:$G$314,2,FALSE)</f>
        <v>1300</v>
      </c>
      <c r="S177" s="59">
        <f>VLOOKUP($N177,'Meter Comparison'!$C$2:$G$314,3,FALSE)</f>
        <v>1515</v>
      </c>
      <c r="T177" s="59">
        <f>VLOOKUP($N177,'Meter Comparison'!$C$2:$G$314,4,FALSE)</f>
        <v>921</v>
      </c>
      <c r="U177" s="59">
        <f>VLOOKUP($N177,'Meter Comparison'!$C$2:$G$314,5,FALSE)</f>
        <v>1003</v>
      </c>
    </row>
    <row r="178" spans="1:22" ht="30" customHeight="1" outlineLevel="2" x14ac:dyDescent="0.3">
      <c r="A178" s="55" t="s">
        <v>119</v>
      </c>
      <c r="B178" s="55" t="s">
        <v>99</v>
      </c>
      <c r="C178" s="55" t="str">
        <f>VLOOKUP(B178,Tables!$G$2:$H$90,2,FALSE)</f>
        <v>English</v>
      </c>
      <c r="D178" s="56" t="s">
        <v>96</v>
      </c>
      <c r="E178" s="114">
        <v>222</v>
      </c>
      <c r="F178" s="56" t="s">
        <v>15</v>
      </c>
      <c r="G178" s="50" t="str">
        <f>VLOOKUP(F178,Tables!$D$2:$E$20,2,FALSE)</f>
        <v>PTR</v>
      </c>
      <c r="H178" s="105">
        <v>17099538</v>
      </c>
      <c r="I178" s="106">
        <f t="shared" si="45"/>
        <v>546</v>
      </c>
      <c r="J178" s="106">
        <f t="shared" si="46"/>
        <v>0</v>
      </c>
      <c r="K178" s="107">
        <f t="shared" si="47"/>
        <v>14.305200000000001</v>
      </c>
      <c r="L178" s="107">
        <f t="shared" si="48"/>
        <v>0</v>
      </c>
      <c r="M178" s="108">
        <f t="shared" si="49"/>
        <v>14.305200000000001</v>
      </c>
      <c r="N178" s="56" t="s">
        <v>126</v>
      </c>
      <c r="O178" s="56" t="s">
        <v>127</v>
      </c>
      <c r="P178" s="51">
        <f>IF(G178="MFP",Tables!$B$2,Tables!$B$5)</f>
        <v>2.6200000000000001E-2</v>
      </c>
      <c r="Q178" s="86">
        <f>IF(G178="MFP",Tables!$B$3,Tables!$B$6)</f>
        <v>0.11799999999999999</v>
      </c>
      <c r="R178" s="59">
        <f>VLOOKUP($N178,'Meter Comparison'!$C$2:$G$314,2,FALSE)</f>
        <v>2940</v>
      </c>
      <c r="S178" s="59">
        <f>VLOOKUP($N178,'Meter Comparison'!$C$2:$G$314,3,FALSE)</f>
        <v>3486</v>
      </c>
      <c r="T178" s="59">
        <f>VLOOKUP($N178,'Meter Comparison'!$C$2:$G$314,4,FALSE)</f>
        <v>0</v>
      </c>
      <c r="U178" s="59">
        <f>VLOOKUP($N178,'Meter Comparison'!$C$2:$G$314,5,FALSE)</f>
        <v>0</v>
      </c>
    </row>
    <row r="179" spans="1:22" ht="30" customHeight="1" outlineLevel="2" x14ac:dyDescent="0.3">
      <c r="A179" s="77" t="s">
        <v>119</v>
      </c>
      <c r="B179" s="77" t="s">
        <v>99</v>
      </c>
      <c r="C179" s="55" t="str">
        <f>VLOOKUP(B179,Tables!$G$2:$H$90,2,FALSE)</f>
        <v>English</v>
      </c>
      <c r="D179" s="76" t="s">
        <v>96</v>
      </c>
      <c r="E179" s="75">
        <v>223</v>
      </c>
      <c r="F179" s="76" t="s">
        <v>15</v>
      </c>
      <c r="G179" s="50" t="str">
        <f>VLOOKUP(F179,Tables!$D$2:$E$20,2,FALSE)</f>
        <v>PTR</v>
      </c>
      <c r="H179" s="69">
        <v>17099514</v>
      </c>
      <c r="I179" s="71">
        <f t="shared" si="45"/>
        <v>1169</v>
      </c>
      <c r="J179" s="71">
        <f t="shared" si="46"/>
        <v>0</v>
      </c>
      <c r="K179" s="73">
        <f t="shared" si="47"/>
        <v>30.627800000000001</v>
      </c>
      <c r="L179" s="73">
        <f t="shared" si="48"/>
        <v>0</v>
      </c>
      <c r="M179" s="74">
        <f t="shared" si="49"/>
        <v>30.627800000000001</v>
      </c>
      <c r="N179" s="76" t="s">
        <v>132</v>
      </c>
      <c r="O179" s="76" t="s">
        <v>133</v>
      </c>
      <c r="P179" s="51">
        <f>IF(G179="MFP",Tables!$B$2,Tables!$B$5)</f>
        <v>2.6200000000000001E-2</v>
      </c>
      <c r="Q179" s="86">
        <f>IF(G179="MFP",Tables!$B$3,Tables!$B$6)</f>
        <v>0.11799999999999999</v>
      </c>
      <c r="R179" s="59">
        <f>VLOOKUP($N179,'Meter Comparison'!$C$2:$G$314,2,FALSE)</f>
        <v>5793</v>
      </c>
      <c r="S179" s="59">
        <f>VLOOKUP($N179,'Meter Comparison'!$C$2:$G$314,3,FALSE)</f>
        <v>6962</v>
      </c>
      <c r="T179" s="59">
        <f>VLOOKUP($N179,'Meter Comparison'!$C$2:$G$314,4,FALSE)</f>
        <v>0</v>
      </c>
      <c r="U179" s="59">
        <f>VLOOKUP($N179,'Meter Comparison'!$C$2:$G$314,5,FALSE)</f>
        <v>0</v>
      </c>
    </row>
    <row r="180" spans="1:22" ht="30" customHeight="1" outlineLevel="2" x14ac:dyDescent="0.3">
      <c r="A180" s="55" t="s">
        <v>119</v>
      </c>
      <c r="B180" s="55" t="s">
        <v>99</v>
      </c>
      <c r="C180" s="55" t="str">
        <f>VLOOKUP(B180,Tables!$G$2:$H$90,2,FALSE)</f>
        <v>English</v>
      </c>
      <c r="D180" s="56" t="s">
        <v>96</v>
      </c>
      <c r="E180" s="114">
        <v>224</v>
      </c>
      <c r="F180" s="56" t="s">
        <v>15</v>
      </c>
      <c r="G180" s="50" t="str">
        <f>VLOOKUP(F180,Tables!$D$2:$E$20,2,FALSE)</f>
        <v>PTR</v>
      </c>
      <c r="H180" s="105">
        <v>17099517</v>
      </c>
      <c r="I180" s="106">
        <f t="shared" si="45"/>
        <v>684</v>
      </c>
      <c r="J180" s="106">
        <f t="shared" si="46"/>
        <v>0</v>
      </c>
      <c r="K180" s="107">
        <f t="shared" si="47"/>
        <v>17.9208</v>
      </c>
      <c r="L180" s="107">
        <f t="shared" si="48"/>
        <v>0</v>
      </c>
      <c r="M180" s="108">
        <f t="shared" si="49"/>
        <v>17.9208</v>
      </c>
      <c r="N180" s="56" t="s">
        <v>791</v>
      </c>
      <c r="O180" s="56" t="s">
        <v>140</v>
      </c>
      <c r="P180" s="51">
        <f>IF(G180="MFP",Tables!$B$2,Tables!$B$5)</f>
        <v>2.6200000000000001E-2</v>
      </c>
      <c r="Q180" s="86">
        <f>IF(G180="MFP",Tables!$B$3,Tables!$B$6)</f>
        <v>0.11799999999999999</v>
      </c>
      <c r="R180" s="59">
        <f>VLOOKUP($N180,'Meter Comparison'!$C$2:$G$314,2,FALSE)</f>
        <v>2845</v>
      </c>
      <c r="S180" s="59">
        <f>VLOOKUP($N180,'Meter Comparison'!$C$2:$G$314,3,FALSE)</f>
        <v>3529</v>
      </c>
      <c r="T180" s="59">
        <f>VLOOKUP($N180,'Meter Comparison'!$C$2:$G$314,4,FALSE)</f>
        <v>0</v>
      </c>
      <c r="U180" s="59">
        <f>VLOOKUP($N180,'Meter Comparison'!$C$2:$G$314,5,FALSE)</f>
        <v>0</v>
      </c>
    </row>
    <row r="181" spans="1:22" ht="30" customHeight="1" outlineLevel="2" x14ac:dyDescent="0.3">
      <c r="A181" s="77" t="s">
        <v>119</v>
      </c>
      <c r="B181" s="77" t="s">
        <v>99</v>
      </c>
      <c r="C181" s="55" t="str">
        <f>VLOOKUP(B181,Tables!$G$2:$H$90,2,FALSE)</f>
        <v>English</v>
      </c>
      <c r="D181" s="76" t="s">
        <v>96</v>
      </c>
      <c r="E181" s="75">
        <v>226</v>
      </c>
      <c r="F181" s="76" t="s">
        <v>15</v>
      </c>
      <c r="G181" s="50" t="str">
        <f>VLOOKUP(F181,Tables!$D$2:$E$20,2,FALSE)</f>
        <v>PTR</v>
      </c>
      <c r="H181" s="69">
        <v>17099521</v>
      </c>
      <c r="I181" s="71">
        <f t="shared" si="45"/>
        <v>285</v>
      </c>
      <c r="J181" s="71">
        <f t="shared" si="46"/>
        <v>0</v>
      </c>
      <c r="K181" s="73">
        <f t="shared" si="47"/>
        <v>7.4670000000000005</v>
      </c>
      <c r="L181" s="73">
        <f t="shared" si="48"/>
        <v>0</v>
      </c>
      <c r="M181" s="74">
        <f t="shared" si="49"/>
        <v>7.4670000000000005</v>
      </c>
      <c r="N181" s="76" t="s">
        <v>124</v>
      </c>
      <c r="O181" s="76" t="s">
        <v>125</v>
      </c>
      <c r="P181" s="51">
        <f>IF(G181="MFP",Tables!$B$2,Tables!$B$5)</f>
        <v>2.6200000000000001E-2</v>
      </c>
      <c r="Q181" s="86">
        <f>IF(G181="MFP",Tables!$B$3,Tables!$B$6)</f>
        <v>0.11799999999999999</v>
      </c>
      <c r="R181" s="59">
        <f>VLOOKUP($N181,'Meter Comparison'!$C$2:$G$314,2,FALSE)</f>
        <v>2497</v>
      </c>
      <c r="S181" s="59">
        <f>VLOOKUP($N181,'Meter Comparison'!$C$2:$G$314,3,FALSE)</f>
        <v>2782</v>
      </c>
      <c r="T181" s="59">
        <f>VLOOKUP($N181,'Meter Comparison'!$C$2:$G$314,4,FALSE)</f>
        <v>0</v>
      </c>
      <c r="U181" s="59">
        <f>VLOOKUP($N181,'Meter Comparison'!$C$2:$G$314,5,FALSE)</f>
        <v>0</v>
      </c>
    </row>
    <row r="182" spans="1:22" ht="30" customHeight="1" outlineLevel="2" x14ac:dyDescent="0.3">
      <c r="A182" s="55" t="s">
        <v>119</v>
      </c>
      <c r="B182" s="55" t="s">
        <v>99</v>
      </c>
      <c r="C182" s="55" t="str">
        <f>VLOOKUP(B182,Tables!$G$2:$H$90,2,FALSE)</f>
        <v>English</v>
      </c>
      <c r="D182" s="56" t="s">
        <v>96</v>
      </c>
      <c r="E182" s="114">
        <v>227</v>
      </c>
      <c r="F182" s="56" t="s">
        <v>24</v>
      </c>
      <c r="G182" s="50" t="str">
        <f>VLOOKUP(F182,Tables!$D$2:$E$20,2,FALSE)</f>
        <v>MFP</v>
      </c>
      <c r="H182" s="105">
        <v>17099453</v>
      </c>
      <c r="I182" s="106">
        <f t="shared" si="45"/>
        <v>22769</v>
      </c>
      <c r="J182" s="106">
        <f t="shared" si="46"/>
        <v>1388</v>
      </c>
      <c r="K182" s="107">
        <f t="shared" si="47"/>
        <v>471.31829999999997</v>
      </c>
      <c r="L182" s="107">
        <f t="shared" si="48"/>
        <v>120.75599999999999</v>
      </c>
      <c r="M182" s="108">
        <f t="shared" si="49"/>
        <v>592.07429999999999</v>
      </c>
      <c r="N182" s="56" t="s">
        <v>287</v>
      </c>
      <c r="O182" s="56" t="s">
        <v>288</v>
      </c>
      <c r="P182" s="51">
        <f>IF(G182="MFP",Tables!$B$2,Tables!$B$5)</f>
        <v>2.07E-2</v>
      </c>
      <c r="Q182" s="86">
        <f>IF(G182="MFP",Tables!$B$3,Tables!$B$6)</f>
        <v>8.6999999999999994E-2</v>
      </c>
      <c r="R182" s="59">
        <f>VLOOKUP($N182,'Meter Comparison'!$C$2:$G$314,2,FALSE)</f>
        <v>37378</v>
      </c>
      <c r="S182" s="59">
        <f>VLOOKUP($N182,'Meter Comparison'!$C$2:$G$314,3,FALSE)</f>
        <v>60147</v>
      </c>
      <c r="T182" s="59">
        <f>VLOOKUP($N182,'Meter Comparison'!$C$2:$G$314,4,FALSE)</f>
        <v>5801</v>
      </c>
      <c r="U182" s="59">
        <f>VLOOKUP($N182,'Meter Comparison'!$C$2:$G$314,5,FALSE)</f>
        <v>7189</v>
      </c>
    </row>
    <row r="183" spans="1:22" ht="30" customHeight="1" outlineLevel="2" x14ac:dyDescent="0.3">
      <c r="A183" s="55" t="s">
        <v>119</v>
      </c>
      <c r="B183" s="55" t="s">
        <v>99</v>
      </c>
      <c r="C183" s="55" t="str">
        <f>VLOOKUP(B183,Tables!$G$2:$H$90,2,FALSE)</f>
        <v>English</v>
      </c>
      <c r="D183" s="56" t="s">
        <v>96</v>
      </c>
      <c r="E183" s="114">
        <v>231</v>
      </c>
      <c r="F183" s="56" t="s">
        <v>15</v>
      </c>
      <c r="G183" s="50" t="str">
        <f>VLOOKUP(F183,Tables!$D$2:$E$20,2,FALSE)</f>
        <v>PTR</v>
      </c>
      <c r="H183" s="105">
        <v>17099537</v>
      </c>
      <c r="I183" s="106">
        <f t="shared" si="45"/>
        <v>445</v>
      </c>
      <c r="J183" s="106">
        <f t="shared" si="46"/>
        <v>0</v>
      </c>
      <c r="K183" s="107">
        <f t="shared" si="47"/>
        <v>11.659000000000001</v>
      </c>
      <c r="L183" s="107">
        <f t="shared" si="48"/>
        <v>0</v>
      </c>
      <c r="M183" s="108">
        <f t="shared" si="49"/>
        <v>11.659000000000001</v>
      </c>
      <c r="N183" s="56" t="s">
        <v>128</v>
      </c>
      <c r="O183" s="56" t="s">
        <v>129</v>
      </c>
      <c r="P183" s="51">
        <f>IF(G183="MFP",Tables!$B$2,Tables!$B$5)</f>
        <v>2.6200000000000001E-2</v>
      </c>
      <c r="Q183" s="86">
        <f>IF(G183="MFP",Tables!$B$3,Tables!$B$6)</f>
        <v>0.11799999999999999</v>
      </c>
      <c r="R183" s="59">
        <f>VLOOKUP($N183,'Meter Comparison'!$C$2:$G$314,2,FALSE)</f>
        <v>3928</v>
      </c>
      <c r="S183" s="59">
        <f>VLOOKUP($N183,'Meter Comparison'!$C$2:$G$314,3,FALSE)</f>
        <v>4373</v>
      </c>
      <c r="T183" s="59">
        <f>VLOOKUP($N183,'Meter Comparison'!$C$2:$G$314,4,FALSE)</f>
        <v>0</v>
      </c>
      <c r="U183" s="59">
        <f>VLOOKUP($N183,'Meter Comparison'!$C$2:$G$314,5,FALSE)</f>
        <v>0</v>
      </c>
    </row>
    <row r="184" spans="1:22" ht="30" customHeight="1" outlineLevel="2" x14ac:dyDescent="0.3">
      <c r="A184" s="77" t="s">
        <v>119</v>
      </c>
      <c r="B184" s="77" t="s">
        <v>99</v>
      </c>
      <c r="C184" s="55" t="str">
        <f>VLOOKUP(B184,Tables!$G$2:$H$90,2,FALSE)</f>
        <v>English</v>
      </c>
      <c r="D184" s="76" t="s">
        <v>96</v>
      </c>
      <c r="E184" s="75">
        <v>232</v>
      </c>
      <c r="F184" s="76" t="s">
        <v>15</v>
      </c>
      <c r="G184" s="50" t="str">
        <f>VLOOKUP(F184,Tables!$D$2:$E$20,2,FALSE)</f>
        <v>PTR</v>
      </c>
      <c r="H184" s="69">
        <v>17099519</v>
      </c>
      <c r="I184" s="71">
        <f t="shared" si="45"/>
        <v>240</v>
      </c>
      <c r="J184" s="71">
        <f t="shared" si="46"/>
        <v>0</v>
      </c>
      <c r="K184" s="73">
        <f t="shared" si="47"/>
        <v>6.2880000000000003</v>
      </c>
      <c r="L184" s="73">
        <f t="shared" si="48"/>
        <v>0</v>
      </c>
      <c r="M184" s="74">
        <f t="shared" si="49"/>
        <v>6.2880000000000003</v>
      </c>
      <c r="N184" s="76" t="s">
        <v>122</v>
      </c>
      <c r="O184" s="76" t="s">
        <v>123</v>
      </c>
      <c r="P184" s="51">
        <f>IF(G184="MFP",Tables!$B$2,Tables!$B$5)</f>
        <v>2.6200000000000001E-2</v>
      </c>
      <c r="Q184" s="86">
        <f>IF(G184="MFP",Tables!$B$3,Tables!$B$6)</f>
        <v>0.11799999999999999</v>
      </c>
      <c r="R184" s="59">
        <f>VLOOKUP($N184,'Meter Comparison'!$C$2:$G$314,2,FALSE)</f>
        <v>2265</v>
      </c>
      <c r="S184" s="59">
        <f>VLOOKUP($N184,'Meter Comparison'!$C$2:$G$314,3,FALSE)</f>
        <v>2505</v>
      </c>
      <c r="T184" s="59">
        <f>VLOOKUP($N184,'Meter Comparison'!$C$2:$G$314,4,FALSE)</f>
        <v>0</v>
      </c>
      <c r="U184" s="59">
        <f>VLOOKUP($N184,'Meter Comparison'!$C$2:$G$314,5,FALSE)</f>
        <v>0</v>
      </c>
    </row>
    <row r="185" spans="1:22" ht="30" customHeight="1" outlineLevel="2" x14ac:dyDescent="0.3">
      <c r="A185" s="77" t="s">
        <v>119</v>
      </c>
      <c r="B185" s="77" t="s">
        <v>99</v>
      </c>
      <c r="C185" s="55" t="str">
        <f>VLOOKUP(B185,Tables!$G$2:$H$90,2,FALSE)</f>
        <v>English</v>
      </c>
      <c r="D185" s="76" t="s">
        <v>96</v>
      </c>
      <c r="E185" s="75">
        <v>236</v>
      </c>
      <c r="F185" s="76" t="s">
        <v>15</v>
      </c>
      <c r="G185" s="50" t="str">
        <f>VLOOKUP(F185,Tables!$D$2:$E$20,2,FALSE)</f>
        <v>PTR</v>
      </c>
      <c r="H185" s="69">
        <v>17099518</v>
      </c>
      <c r="I185" s="71">
        <f t="shared" si="45"/>
        <v>289</v>
      </c>
      <c r="J185" s="71">
        <f t="shared" si="46"/>
        <v>0</v>
      </c>
      <c r="K185" s="73">
        <f t="shared" si="47"/>
        <v>7.5718000000000005</v>
      </c>
      <c r="L185" s="73">
        <f t="shared" si="48"/>
        <v>0</v>
      </c>
      <c r="M185" s="74">
        <f t="shared" si="49"/>
        <v>7.5718000000000005</v>
      </c>
      <c r="N185" s="76" t="s">
        <v>130</v>
      </c>
      <c r="O185" s="76" t="s">
        <v>131</v>
      </c>
      <c r="P185" s="51">
        <f>IF(G185="MFP",Tables!$B$2,Tables!$B$5)</f>
        <v>2.6200000000000001E-2</v>
      </c>
      <c r="Q185" s="86">
        <f>IF(G185="MFP",Tables!$B$3,Tables!$B$6)</f>
        <v>0.11799999999999999</v>
      </c>
      <c r="R185" s="59">
        <f>VLOOKUP($N185,'Meter Comparison'!$C$2:$G$314,2,FALSE)</f>
        <v>2590</v>
      </c>
      <c r="S185" s="59">
        <f>VLOOKUP($N185,'Meter Comparison'!$C$2:$G$314,3,FALSE)</f>
        <v>2879</v>
      </c>
      <c r="T185" s="59">
        <f>VLOOKUP($N185,'Meter Comparison'!$C$2:$G$314,4,FALSE)</f>
        <v>0</v>
      </c>
      <c r="U185" s="59">
        <f>VLOOKUP($N185,'Meter Comparison'!$C$2:$G$314,5,FALSE)</f>
        <v>0</v>
      </c>
    </row>
    <row r="186" spans="1:22" ht="30" customHeight="1" outlineLevel="2" x14ac:dyDescent="0.3">
      <c r="A186" s="55" t="s">
        <v>119</v>
      </c>
      <c r="B186" s="55" t="s">
        <v>99</v>
      </c>
      <c r="C186" s="55" t="str">
        <f>VLOOKUP(B186,Tables!$G$2:$H$90,2,FALSE)</f>
        <v>English</v>
      </c>
      <c r="D186" s="56" t="s">
        <v>96</v>
      </c>
      <c r="E186" s="114">
        <v>323</v>
      </c>
      <c r="F186" s="56" t="s">
        <v>15</v>
      </c>
      <c r="G186" s="50" t="str">
        <f>VLOOKUP(F186,Tables!$D$2:$E$20,2,FALSE)</f>
        <v>PTR</v>
      </c>
      <c r="H186" s="105">
        <v>17099559</v>
      </c>
      <c r="I186" s="106">
        <f t="shared" si="45"/>
        <v>1306</v>
      </c>
      <c r="J186" s="106">
        <f t="shared" si="46"/>
        <v>0</v>
      </c>
      <c r="K186" s="107">
        <f t="shared" si="47"/>
        <v>34.217199999999998</v>
      </c>
      <c r="L186" s="107">
        <f t="shared" si="48"/>
        <v>0</v>
      </c>
      <c r="M186" s="108">
        <f t="shared" si="49"/>
        <v>34.217199999999998</v>
      </c>
      <c r="N186" s="56" t="s">
        <v>100</v>
      </c>
      <c r="O186" s="56" t="s">
        <v>101</v>
      </c>
      <c r="P186" s="51">
        <f>IF(G186="MFP",Tables!$B$2,Tables!$B$5)</f>
        <v>2.6200000000000001E-2</v>
      </c>
      <c r="Q186" s="86">
        <f>IF(G186="MFP",Tables!$B$3,Tables!$B$6)</f>
        <v>0.11799999999999999</v>
      </c>
      <c r="R186" s="59">
        <f>VLOOKUP($N186,'Meter Comparison'!$C$2:$G$314,2,FALSE)</f>
        <v>5140</v>
      </c>
      <c r="S186" s="59">
        <f>VLOOKUP($N186,'Meter Comparison'!$C$2:$G$314,3,FALSE)</f>
        <v>6446</v>
      </c>
      <c r="T186" s="59">
        <f>VLOOKUP($N186,'Meter Comparison'!$C$2:$G$314,4,FALSE)</f>
        <v>0</v>
      </c>
      <c r="U186" s="59">
        <f>VLOOKUP($N186,'Meter Comparison'!$C$2:$G$314,5,FALSE)</f>
        <v>0</v>
      </c>
    </row>
    <row r="187" spans="1:22" ht="30" customHeight="1" outlineLevel="1" x14ac:dyDescent="0.3">
      <c r="A187" s="55"/>
      <c r="B187" s="161" t="s">
        <v>1083</v>
      </c>
      <c r="C187" s="55"/>
      <c r="D187" s="56"/>
      <c r="E187" s="114"/>
      <c r="F187" s="56"/>
      <c r="G187" s="50"/>
      <c r="H187" s="105"/>
      <c r="I187" s="106"/>
      <c r="J187" s="106"/>
      <c r="K187" s="107"/>
      <c r="L187" s="107"/>
      <c r="M187" s="108">
        <f>SUBTOTAL(9,M175:M186)</f>
        <v>767.43910000000005</v>
      </c>
      <c r="N187" s="56"/>
      <c r="O187" s="56"/>
      <c r="P187" s="51"/>
      <c r="Q187" s="86"/>
      <c r="R187" s="59"/>
      <c r="S187" s="59"/>
      <c r="T187" s="59"/>
      <c r="U187" s="59"/>
    </row>
    <row r="188" spans="1:22" ht="30" customHeight="1" outlineLevel="2" x14ac:dyDescent="0.3">
      <c r="A188" s="77" t="s">
        <v>347</v>
      </c>
      <c r="B188" s="77" t="s">
        <v>826</v>
      </c>
      <c r="C188" s="55" t="str">
        <f>VLOOKUP(B188,Tables!$G$2:$H$90,2,FALSE)</f>
        <v>Financial Aid Administration</v>
      </c>
      <c r="D188" s="76" t="s">
        <v>221</v>
      </c>
      <c r="E188" s="75">
        <v>302</v>
      </c>
      <c r="F188" s="76" t="s">
        <v>15</v>
      </c>
      <c r="G188" s="50" t="str">
        <f>VLOOKUP(F188,Tables!$D$2:$E$20,2,FALSE)</f>
        <v>PTR</v>
      </c>
      <c r="H188" s="69">
        <v>17099574</v>
      </c>
      <c r="I188" s="71">
        <f>SUM(S188-R188)</f>
        <v>2290</v>
      </c>
      <c r="J188" s="71">
        <f>SUM(U188-T188)</f>
        <v>0</v>
      </c>
      <c r="K188" s="73">
        <f>SUM(I188*$P188)</f>
        <v>59.998000000000005</v>
      </c>
      <c r="L188" s="73">
        <f>SUM(J188*$Q188)</f>
        <v>0</v>
      </c>
      <c r="M188" s="74">
        <f>K188+L188</f>
        <v>59.998000000000005</v>
      </c>
      <c r="N188" s="76" t="s">
        <v>359</v>
      </c>
      <c r="O188" s="76" t="s">
        <v>360</v>
      </c>
      <c r="P188" s="51">
        <f>IF(G188="MFP",Tables!$B$2,Tables!$B$5)</f>
        <v>2.6200000000000001E-2</v>
      </c>
      <c r="Q188" s="86">
        <f>IF(G188="MFP",Tables!$B$3,Tables!$B$6)</f>
        <v>0.11799999999999999</v>
      </c>
      <c r="R188" s="59">
        <f>VLOOKUP($N188,'Meter Comparison'!$C$2:$G$314,2,FALSE)</f>
        <v>3309</v>
      </c>
      <c r="S188" s="59">
        <f>VLOOKUP($N188,'Meter Comparison'!$C$2:$G$314,3,FALSE)</f>
        <v>5599</v>
      </c>
      <c r="T188" s="59">
        <f>VLOOKUP($N188,'Meter Comparison'!$C$2:$G$314,4,FALSE)</f>
        <v>0</v>
      </c>
      <c r="U188" s="59">
        <f>VLOOKUP($N188,'Meter Comparison'!$C$2:$G$314,5,FALSE)</f>
        <v>0</v>
      </c>
      <c r="V188" s="126"/>
    </row>
    <row r="189" spans="1:22" ht="30" customHeight="1" outlineLevel="2" x14ac:dyDescent="0.3">
      <c r="A189" s="77" t="s">
        <v>347</v>
      </c>
      <c r="B189" s="77" t="s">
        <v>826</v>
      </c>
      <c r="C189" s="55" t="str">
        <f>VLOOKUP(B189,Tables!$G$2:$H$90,2,FALSE)</f>
        <v>Financial Aid Administration</v>
      </c>
      <c r="D189" s="76" t="s">
        <v>221</v>
      </c>
      <c r="E189" s="75" t="s">
        <v>353</v>
      </c>
      <c r="F189" s="76" t="s">
        <v>15</v>
      </c>
      <c r="G189" s="50" t="str">
        <f>VLOOKUP(F189,Tables!$D$2:$E$20,2,FALSE)</f>
        <v>PTR</v>
      </c>
      <c r="H189" s="69">
        <v>17099835</v>
      </c>
      <c r="I189" s="71">
        <f>SUM(S189-R189)</f>
        <v>1423</v>
      </c>
      <c r="J189" s="71">
        <f>SUM(U189-T189)</f>
        <v>0</v>
      </c>
      <c r="K189" s="73">
        <f>SUM(I189*$P189)</f>
        <v>37.282600000000002</v>
      </c>
      <c r="L189" s="73">
        <f>SUM(J189*$Q189)</f>
        <v>0</v>
      </c>
      <c r="M189" s="74">
        <f>K189+L189</f>
        <v>37.282600000000002</v>
      </c>
      <c r="N189" s="76" t="s">
        <v>1006</v>
      </c>
      <c r="O189" s="76" t="s">
        <v>355</v>
      </c>
      <c r="P189" s="51">
        <f>IF(G189="MFP",Tables!$B$2,Tables!$B$5)</f>
        <v>2.6200000000000001E-2</v>
      </c>
      <c r="Q189" s="86">
        <f>IF(G189="MFP",Tables!$B$3,Tables!$B$6)</f>
        <v>0.11799999999999999</v>
      </c>
      <c r="R189" s="59">
        <f>VLOOKUP($N189,'Meter Comparison'!$C$2:$G$314,2,FALSE)</f>
        <v>439</v>
      </c>
      <c r="S189" s="59">
        <f>VLOOKUP($N189,'Meter Comparison'!$C$2:$G$314,3,FALSE)</f>
        <v>1862</v>
      </c>
      <c r="T189" s="59">
        <f>VLOOKUP($N189,'Meter Comparison'!$C$2:$G$314,4,FALSE)</f>
        <v>0</v>
      </c>
      <c r="U189" s="59">
        <f>VLOOKUP($N189,'Meter Comparison'!$C$2:$G$314,5,FALSE)</f>
        <v>0</v>
      </c>
    </row>
    <row r="190" spans="1:22" ht="30" customHeight="1" outlineLevel="2" x14ac:dyDescent="0.3">
      <c r="A190" s="77" t="s">
        <v>347</v>
      </c>
      <c r="B190" s="77" t="s">
        <v>826</v>
      </c>
      <c r="C190" s="55" t="str">
        <f>VLOOKUP(B190,Tables!$G$2:$H$90,2,FALSE)</f>
        <v>Financial Aid Administration</v>
      </c>
      <c r="D190" s="76" t="s">
        <v>221</v>
      </c>
      <c r="E190" s="75" t="s">
        <v>356</v>
      </c>
      <c r="F190" s="76" t="s">
        <v>15</v>
      </c>
      <c r="G190" s="50" t="str">
        <f>VLOOKUP(F190,Tables!$D$2:$E$20,2,FALSE)</f>
        <v>PTR</v>
      </c>
      <c r="H190" s="69">
        <v>17099572</v>
      </c>
      <c r="I190" s="71">
        <f>SUM(S190-R190)</f>
        <v>780</v>
      </c>
      <c r="J190" s="71">
        <f>SUM(U190-T190)</f>
        <v>0</v>
      </c>
      <c r="K190" s="73">
        <f>SUM(I190*$P190)</f>
        <v>20.436</v>
      </c>
      <c r="L190" s="73">
        <f>SUM(J190*$Q190)</f>
        <v>0</v>
      </c>
      <c r="M190" s="74">
        <f>K190+L190</f>
        <v>20.436</v>
      </c>
      <c r="N190" s="76" t="s">
        <v>357</v>
      </c>
      <c r="O190" s="76" t="s">
        <v>358</v>
      </c>
      <c r="P190" s="51">
        <f>IF(G190="MFP",Tables!$B$2,Tables!$B$5)</f>
        <v>2.6200000000000001E-2</v>
      </c>
      <c r="Q190" s="86">
        <f>IF(G190="MFP",Tables!$B$3,Tables!$B$6)</f>
        <v>0.11799999999999999</v>
      </c>
      <c r="R190" s="59">
        <f>VLOOKUP($N190,'Meter Comparison'!$C$2:$G$314,2,FALSE)</f>
        <v>6744</v>
      </c>
      <c r="S190" s="59">
        <f>VLOOKUP($N190,'Meter Comparison'!$C$2:$G$314,3,FALSE)</f>
        <v>7524</v>
      </c>
      <c r="T190" s="59">
        <f>VLOOKUP($N190,'Meter Comparison'!$C$2:$G$314,4,FALSE)</f>
        <v>0</v>
      </c>
      <c r="U190" s="59">
        <f>VLOOKUP($N190,'Meter Comparison'!$C$2:$G$314,5,FALSE)</f>
        <v>0</v>
      </c>
    </row>
    <row r="191" spans="1:22" ht="30" customHeight="1" outlineLevel="2" x14ac:dyDescent="0.3">
      <c r="A191" s="77" t="s">
        <v>347</v>
      </c>
      <c r="B191" s="77" t="s">
        <v>826</v>
      </c>
      <c r="C191" s="55" t="str">
        <f>VLOOKUP(B191,Tables!$G$2:$H$90,2,FALSE)</f>
        <v>Financial Aid Administration</v>
      </c>
      <c r="D191" s="76" t="s">
        <v>221</v>
      </c>
      <c r="E191" s="75" t="s">
        <v>350</v>
      </c>
      <c r="F191" s="76" t="s">
        <v>15</v>
      </c>
      <c r="G191" s="50" t="str">
        <f>VLOOKUP(F191,Tables!$D$2:$E$20,2,FALSE)</f>
        <v>PTR</v>
      </c>
      <c r="H191" s="69">
        <v>17099573</v>
      </c>
      <c r="I191" s="71">
        <f>SUM(S191-R191)</f>
        <v>1100</v>
      </c>
      <c r="J191" s="71">
        <f>SUM(U191-T191)</f>
        <v>0</v>
      </c>
      <c r="K191" s="73">
        <f>SUM(I191*$P191)</f>
        <v>28.82</v>
      </c>
      <c r="L191" s="73">
        <f>SUM(J191*$Q191)</f>
        <v>0</v>
      </c>
      <c r="M191" s="74">
        <f>K191+L191</f>
        <v>28.82</v>
      </c>
      <c r="N191" s="76" t="s">
        <v>351</v>
      </c>
      <c r="O191" s="76" t="s">
        <v>352</v>
      </c>
      <c r="P191" s="51">
        <f>IF(G191="MFP",Tables!$B$2,Tables!$B$5)</f>
        <v>2.6200000000000001E-2</v>
      </c>
      <c r="Q191" s="86">
        <f>IF(G191="MFP",Tables!$B$3,Tables!$B$6)</f>
        <v>0.11799999999999999</v>
      </c>
      <c r="R191" s="59">
        <f>VLOOKUP($N191,'Meter Comparison'!$C$2:$G$314,2,FALSE)</f>
        <v>4357</v>
      </c>
      <c r="S191" s="59">
        <f>VLOOKUP($N191,'Meter Comparison'!$C$2:$G$314,3,FALSE)</f>
        <v>5457</v>
      </c>
      <c r="T191" s="59">
        <f>VLOOKUP($N191,'Meter Comparison'!$C$2:$G$314,4,FALSE)</f>
        <v>0</v>
      </c>
      <c r="U191" s="59">
        <f>VLOOKUP($N191,'Meter Comparison'!$C$2:$G$314,5,FALSE)</f>
        <v>0</v>
      </c>
    </row>
    <row r="192" spans="1:22" ht="30" customHeight="1" outlineLevel="1" x14ac:dyDescent="0.3">
      <c r="A192" s="77"/>
      <c r="B192" s="160" t="s">
        <v>1084</v>
      </c>
      <c r="C192" s="55"/>
      <c r="D192" s="76"/>
      <c r="E192" s="75"/>
      <c r="F192" s="76"/>
      <c r="G192" s="50"/>
      <c r="H192" s="69"/>
      <c r="I192" s="71"/>
      <c r="J192" s="71"/>
      <c r="K192" s="73"/>
      <c r="L192" s="73"/>
      <c r="M192" s="74">
        <f>SUBTOTAL(9,M188:M191)</f>
        <v>146.53659999999999</v>
      </c>
      <c r="N192" s="76"/>
      <c r="O192" s="76"/>
      <c r="P192" s="51"/>
      <c r="Q192" s="86"/>
      <c r="R192" s="59"/>
      <c r="S192" s="59"/>
      <c r="T192" s="59"/>
      <c r="U192" s="59"/>
    </row>
    <row r="193" spans="1:21" ht="30" customHeight="1" outlineLevel="2" x14ac:dyDescent="0.3">
      <c r="A193" s="77" t="s">
        <v>606</v>
      </c>
      <c r="B193" s="77" t="s">
        <v>601</v>
      </c>
      <c r="C193" s="55" t="str">
        <f>VLOOKUP(B193,Tables!$G$2:$H$90,2,FALSE)</f>
        <v>Football</v>
      </c>
      <c r="D193" s="76" t="s">
        <v>603</v>
      </c>
      <c r="E193" s="75">
        <v>307</v>
      </c>
      <c r="F193" s="76" t="s">
        <v>15</v>
      </c>
      <c r="G193" s="50" t="str">
        <f>VLOOKUP(F193,Tables!$D$2:$E$20,2,FALSE)</f>
        <v>PTR</v>
      </c>
      <c r="H193" s="69">
        <v>17099623</v>
      </c>
      <c r="I193" s="71">
        <f>SUM(S193-R193)</f>
        <v>164</v>
      </c>
      <c r="J193" s="71">
        <f>SUM(U193-T193)</f>
        <v>0</v>
      </c>
      <c r="K193" s="73">
        <f>SUM(I193*$P193)</f>
        <v>4.2968000000000002</v>
      </c>
      <c r="L193" s="73">
        <f>SUM(J193*$Q193)</f>
        <v>0</v>
      </c>
      <c r="M193" s="74">
        <f>K193+L193</f>
        <v>4.2968000000000002</v>
      </c>
      <c r="N193" s="76" t="s">
        <v>607</v>
      </c>
      <c r="O193" s="76" t="s">
        <v>608</v>
      </c>
      <c r="P193" s="51">
        <f>IF(G193="MFP",Tables!$B$2,Tables!$B$5)</f>
        <v>2.6200000000000001E-2</v>
      </c>
      <c r="Q193" s="86">
        <f>IF(G193="MFP",Tables!$B$3,Tables!$B$6)</f>
        <v>0.11799999999999999</v>
      </c>
      <c r="R193" s="59">
        <f>VLOOKUP($N193,'Meter Comparison'!$C$2:$G$314,2,FALSE)</f>
        <v>475</v>
      </c>
      <c r="S193" s="59">
        <f>VLOOKUP($N193,'Meter Comparison'!$C$2:$G$314,3,FALSE)</f>
        <v>639</v>
      </c>
      <c r="T193" s="59">
        <f>VLOOKUP($N193,'Meter Comparison'!$C$2:$G$314,4,FALSE)</f>
        <v>0</v>
      </c>
      <c r="U193" s="59">
        <f>VLOOKUP($N193,'Meter Comparison'!$C$2:$G$314,5,FALSE)</f>
        <v>0</v>
      </c>
    </row>
    <row r="194" spans="1:21" ht="30" customHeight="1" outlineLevel="2" x14ac:dyDescent="0.3">
      <c r="A194" s="77" t="s">
        <v>600</v>
      </c>
      <c r="B194" s="77" t="s">
        <v>601</v>
      </c>
      <c r="C194" s="55" t="str">
        <f>VLOOKUP(B194,Tables!$G$2:$H$90,2,FALSE)</f>
        <v>Football</v>
      </c>
      <c r="D194" s="76" t="s">
        <v>603</v>
      </c>
      <c r="E194" s="75">
        <v>312</v>
      </c>
      <c r="F194" s="76" t="s">
        <v>24</v>
      </c>
      <c r="G194" s="50" t="str">
        <f>VLOOKUP(F194,Tables!$D$2:$E$20,2,FALSE)</f>
        <v>MFP</v>
      </c>
      <c r="H194" s="69">
        <v>17099481</v>
      </c>
      <c r="I194" s="71">
        <f>SUM(S194-R194)</f>
        <v>13248</v>
      </c>
      <c r="J194" s="71">
        <f>SUM(U194-T194)</f>
        <v>10971</v>
      </c>
      <c r="K194" s="73">
        <f>SUM(I194*$P194)</f>
        <v>274.23359999999997</v>
      </c>
      <c r="L194" s="73">
        <f>SUM(J194*$Q194)</f>
        <v>954.47699999999998</v>
      </c>
      <c r="M194" s="74">
        <f>K194+L194</f>
        <v>1228.7105999999999</v>
      </c>
      <c r="N194" s="76" t="s">
        <v>604</v>
      </c>
      <c r="O194" s="76" t="s">
        <v>605</v>
      </c>
      <c r="P194" s="51">
        <f>IF(G194="MFP",Tables!$B$2,Tables!$B$5)</f>
        <v>2.07E-2</v>
      </c>
      <c r="Q194" s="86">
        <f>IF(G194="MFP",Tables!$B$3,Tables!$B$6)</f>
        <v>8.6999999999999994E-2</v>
      </c>
      <c r="R194" s="59">
        <f>VLOOKUP($N194,'Meter Comparison'!$C$2:$G$314,2,FALSE)</f>
        <v>56026</v>
      </c>
      <c r="S194" s="59">
        <f>VLOOKUP($N194,'Meter Comparison'!$C$2:$G$314,3,FALSE)</f>
        <v>69274</v>
      </c>
      <c r="T194" s="59">
        <f>VLOOKUP($N194,'Meter Comparison'!$C$2:$G$314,4,FALSE)</f>
        <v>20027</v>
      </c>
      <c r="U194" s="59">
        <f>VLOOKUP($N194,'Meter Comparison'!$C$2:$G$314,5,FALSE)</f>
        <v>30998</v>
      </c>
    </row>
    <row r="195" spans="1:21" ht="30" customHeight="1" outlineLevel="1" x14ac:dyDescent="0.3">
      <c r="A195" s="77"/>
      <c r="B195" s="160" t="s">
        <v>1085</v>
      </c>
      <c r="C195" s="55"/>
      <c r="D195" s="76"/>
      <c r="E195" s="75"/>
      <c r="F195" s="76"/>
      <c r="G195" s="50"/>
      <c r="H195" s="69"/>
      <c r="I195" s="71"/>
      <c r="J195" s="71"/>
      <c r="K195" s="73"/>
      <c r="L195" s="73"/>
      <c r="M195" s="74">
        <f>SUBTOTAL(9,M193:M194)</f>
        <v>1233.0074</v>
      </c>
      <c r="N195" s="76"/>
      <c r="O195" s="76"/>
      <c r="P195" s="51"/>
      <c r="Q195" s="86"/>
      <c r="R195" s="59"/>
      <c r="S195" s="59"/>
      <c r="T195" s="59"/>
      <c r="U195" s="59"/>
    </row>
    <row r="196" spans="1:21" ht="30" customHeight="1" outlineLevel="2" x14ac:dyDescent="0.3">
      <c r="A196" s="77" t="s">
        <v>532</v>
      </c>
      <c r="B196" s="77" t="s">
        <v>524</v>
      </c>
      <c r="C196" s="55" t="str">
        <f>VLOOKUP(B196,Tables!$G$2:$H$90,2,FALSE)</f>
        <v>UMA-Commandant's Office</v>
      </c>
      <c r="D196" s="76" t="s">
        <v>418</v>
      </c>
      <c r="E196" s="75">
        <v>123</v>
      </c>
      <c r="F196" s="76" t="s">
        <v>15</v>
      </c>
      <c r="G196" s="50" t="str">
        <f>VLOOKUP(F196,Tables!$D$2:$E$20,2,FALSE)</f>
        <v>PTR</v>
      </c>
      <c r="H196" s="69">
        <v>17099783</v>
      </c>
      <c r="I196" s="71">
        <f>SUM(S196-R196)</f>
        <v>982</v>
      </c>
      <c r="J196" s="71">
        <f>SUM(U196-T196)</f>
        <v>0</v>
      </c>
      <c r="K196" s="73">
        <f>SUM(I196*$P196)</f>
        <v>25.728400000000001</v>
      </c>
      <c r="L196" s="73">
        <f>SUM(J196*$Q196)</f>
        <v>0</v>
      </c>
      <c r="M196" s="74">
        <f>K196+L196</f>
        <v>25.728400000000001</v>
      </c>
      <c r="N196" s="76" t="s">
        <v>533</v>
      </c>
      <c r="O196" s="76" t="s">
        <v>534</v>
      </c>
      <c r="P196" s="51">
        <f>IF(G196="MFP",Tables!$B$2,Tables!$B$5)</f>
        <v>2.6200000000000001E-2</v>
      </c>
      <c r="Q196" s="86">
        <f>IF(G196="MFP",Tables!$B$3,Tables!$B$6)</f>
        <v>0.11799999999999999</v>
      </c>
      <c r="R196" s="59">
        <f>VLOOKUP($N196,'Meter Comparison'!$C$2:$G$314,2,FALSE)</f>
        <v>6657</v>
      </c>
      <c r="S196" s="59">
        <f>VLOOKUP($N196,'Meter Comparison'!$C$2:$G$314,3,FALSE)</f>
        <v>7639</v>
      </c>
      <c r="T196" s="59">
        <f>VLOOKUP($N196,'Meter Comparison'!$C$2:$G$314,4,FALSE)</f>
        <v>0</v>
      </c>
      <c r="U196" s="59">
        <f>VLOOKUP($N196,'Meter Comparison'!$C$2:$G$314,5,FALSE)</f>
        <v>0</v>
      </c>
    </row>
    <row r="197" spans="1:21" ht="30" customHeight="1" outlineLevel="1" x14ac:dyDescent="0.3">
      <c r="A197" s="77"/>
      <c r="B197" s="160" t="s">
        <v>1076</v>
      </c>
      <c r="C197" s="55"/>
      <c r="D197" s="76"/>
      <c r="E197" s="75"/>
      <c r="F197" s="76"/>
      <c r="G197" s="50"/>
      <c r="H197" s="69"/>
      <c r="I197" s="71"/>
      <c r="J197" s="71"/>
      <c r="K197" s="73"/>
      <c r="L197" s="73"/>
      <c r="M197" s="74">
        <f>SUBTOTAL(9,M196:M196)</f>
        <v>25.728400000000001</v>
      </c>
      <c r="N197" s="76"/>
      <c r="O197" s="76"/>
      <c r="P197" s="51"/>
      <c r="Q197" s="86"/>
      <c r="R197" s="59"/>
      <c r="S197" s="59"/>
      <c r="T197" s="59"/>
      <c r="U197" s="59"/>
    </row>
    <row r="198" spans="1:21" ht="30" customHeight="1" outlineLevel="2" x14ac:dyDescent="0.3">
      <c r="A198" s="77" t="s">
        <v>141</v>
      </c>
      <c r="B198" s="77" t="s">
        <v>142</v>
      </c>
      <c r="C198" s="55" t="str">
        <f>VLOOKUP(B198,Tables!$G$2:$H$90,2,FALSE)</f>
        <v>History</v>
      </c>
      <c r="D198" s="76" t="s">
        <v>96</v>
      </c>
      <c r="E198" s="75">
        <v>521</v>
      </c>
      <c r="F198" s="76" t="s">
        <v>15</v>
      </c>
      <c r="G198" s="50" t="str">
        <f>VLOOKUP(F198,Tables!$D$2:$E$20,2,FALSE)</f>
        <v>PTR</v>
      </c>
      <c r="H198" s="69">
        <v>17099544</v>
      </c>
      <c r="I198" s="71">
        <f>SUM(S198-R198)</f>
        <v>134</v>
      </c>
      <c r="J198" s="71">
        <f>SUM(U198-T198)</f>
        <v>0</v>
      </c>
      <c r="K198" s="73">
        <f>SUM(I198*$P198)</f>
        <v>3.5108000000000001</v>
      </c>
      <c r="L198" s="73">
        <f>SUM(J198*$Q198)</f>
        <v>0</v>
      </c>
      <c r="M198" s="74">
        <f>K198+L198</f>
        <v>3.5108000000000001</v>
      </c>
      <c r="N198" s="76" t="s">
        <v>145</v>
      </c>
      <c r="O198" s="76" t="s">
        <v>146</v>
      </c>
      <c r="P198" s="51">
        <f>IF(G198="MFP",Tables!$B$2,Tables!$B$5)</f>
        <v>2.6200000000000001E-2</v>
      </c>
      <c r="Q198" s="86">
        <f>IF(G198="MFP",Tables!$B$3,Tables!$B$6)</f>
        <v>0.11799999999999999</v>
      </c>
      <c r="R198" s="59">
        <f>VLOOKUP($N198,'Meter Comparison'!$C$2:$G$314,2,FALSE)</f>
        <v>802</v>
      </c>
      <c r="S198" s="59">
        <f>VLOOKUP($N198,'Meter Comparison'!$C$2:$G$314,3,FALSE)</f>
        <v>936</v>
      </c>
      <c r="T198" s="59">
        <f>VLOOKUP($N198,'Meter Comparison'!$C$2:$G$314,4,FALSE)</f>
        <v>0</v>
      </c>
      <c r="U198" s="59">
        <f>VLOOKUP($N198,'Meter Comparison'!$C$2:$G$314,5,FALSE)</f>
        <v>0</v>
      </c>
    </row>
    <row r="199" spans="1:21" ht="30" customHeight="1" outlineLevel="2" x14ac:dyDescent="0.3">
      <c r="A199" s="77" t="s">
        <v>141</v>
      </c>
      <c r="B199" s="77" t="s">
        <v>142</v>
      </c>
      <c r="C199" s="55" t="str">
        <f>VLOOKUP(B199,Tables!$G$2:$H$90,2,FALSE)</f>
        <v>History</v>
      </c>
      <c r="D199" s="76" t="s">
        <v>96</v>
      </c>
      <c r="E199" s="75">
        <v>523</v>
      </c>
      <c r="F199" s="76" t="s">
        <v>15</v>
      </c>
      <c r="G199" s="50" t="str">
        <f>VLOOKUP(F199,Tables!$D$2:$E$20,2,FALSE)</f>
        <v>PTR</v>
      </c>
      <c r="H199" s="69">
        <v>17099543</v>
      </c>
      <c r="I199" s="71">
        <f>SUM(S199-R199)</f>
        <v>447</v>
      </c>
      <c r="J199" s="71">
        <f>SUM(U199-T199)</f>
        <v>0</v>
      </c>
      <c r="K199" s="73">
        <f>SUM(I199*$P199)</f>
        <v>11.711400000000001</v>
      </c>
      <c r="L199" s="73">
        <f>SUM(J199*$Q199)</f>
        <v>0</v>
      </c>
      <c r="M199" s="74">
        <f>K199+L199</f>
        <v>11.711400000000001</v>
      </c>
      <c r="N199" s="76" t="s">
        <v>147</v>
      </c>
      <c r="O199" s="76" t="s">
        <v>148</v>
      </c>
      <c r="P199" s="51">
        <f>IF(G199="MFP",Tables!$B$2,Tables!$B$5)</f>
        <v>2.6200000000000001E-2</v>
      </c>
      <c r="Q199" s="86">
        <f>IF(G199="MFP",Tables!$B$3,Tables!$B$6)</f>
        <v>0.11799999999999999</v>
      </c>
      <c r="R199" s="59">
        <f>VLOOKUP($N199,'Meter Comparison'!$C$2:$G$314,2,FALSE)</f>
        <v>1928</v>
      </c>
      <c r="S199" s="59">
        <f>VLOOKUP($N199,'Meter Comparison'!$C$2:$G$314,3,FALSE)</f>
        <v>2375</v>
      </c>
      <c r="T199" s="59">
        <f>VLOOKUP($N199,'Meter Comparison'!$C$2:$G$314,4,FALSE)</f>
        <v>0</v>
      </c>
      <c r="U199" s="59">
        <f>VLOOKUP($N199,'Meter Comparison'!$C$2:$G$314,5,FALSE)</f>
        <v>0</v>
      </c>
    </row>
    <row r="200" spans="1:21" ht="30" customHeight="1" outlineLevel="2" x14ac:dyDescent="0.3">
      <c r="A200" s="77" t="s">
        <v>141</v>
      </c>
      <c r="B200" s="77" t="s">
        <v>142</v>
      </c>
      <c r="C200" s="55" t="str">
        <f>VLOOKUP(B200,Tables!$G$2:$H$90,2,FALSE)</f>
        <v>History</v>
      </c>
      <c r="D200" s="76" t="s">
        <v>96</v>
      </c>
      <c r="E200" s="75">
        <v>528</v>
      </c>
      <c r="F200" s="76" t="s">
        <v>54</v>
      </c>
      <c r="G200" s="50" t="str">
        <f>VLOOKUP(F200,Tables!$D$2:$E$20,2,FALSE)</f>
        <v>MFP</v>
      </c>
      <c r="H200" s="69">
        <v>17099485</v>
      </c>
      <c r="I200" s="71">
        <f>SUM(S200-R200)</f>
        <v>2172</v>
      </c>
      <c r="J200" s="71">
        <f>SUM(U200-T200)</f>
        <v>56</v>
      </c>
      <c r="K200" s="73">
        <f>SUM(I200*$P200)</f>
        <v>44.9604</v>
      </c>
      <c r="L200" s="73">
        <f>SUM(J200*$Q200)</f>
        <v>4.8719999999999999</v>
      </c>
      <c r="M200" s="74">
        <f>K200+L200</f>
        <v>49.8324</v>
      </c>
      <c r="N200" s="76" t="s">
        <v>143</v>
      </c>
      <c r="O200" s="76" t="s">
        <v>144</v>
      </c>
      <c r="P200" s="51">
        <f>IF(G200="MFP",Tables!$B$2,Tables!$B$5)</f>
        <v>2.07E-2</v>
      </c>
      <c r="Q200" s="86">
        <f>IF(G200="MFP",Tables!$B$3,Tables!$B$6)</f>
        <v>8.6999999999999994E-2</v>
      </c>
      <c r="R200" s="59">
        <f>VLOOKUP($N200,'Meter Comparison'!$C$2:$G$314,2,FALSE)</f>
        <v>24424</v>
      </c>
      <c r="S200" s="59">
        <f>VLOOKUP($N200,'Meter Comparison'!$C$2:$G$314,3,FALSE)</f>
        <v>26596</v>
      </c>
      <c r="T200" s="59">
        <f>VLOOKUP($N200,'Meter Comparison'!$C$2:$G$314,4,FALSE)</f>
        <v>644</v>
      </c>
      <c r="U200" s="59">
        <f>VLOOKUP($N200,'Meter Comparison'!$C$2:$G$314,5,FALSE)</f>
        <v>700</v>
      </c>
    </row>
    <row r="201" spans="1:21" ht="30" customHeight="1" outlineLevel="2" x14ac:dyDescent="0.3">
      <c r="A201" s="77" t="s">
        <v>141</v>
      </c>
      <c r="B201" s="77" t="s">
        <v>142</v>
      </c>
      <c r="C201" s="55" t="str">
        <f>VLOOKUP(B201,Tables!$G$2:$H$90,2,FALSE)</f>
        <v>History</v>
      </c>
      <c r="D201" s="76" t="s">
        <v>96</v>
      </c>
      <c r="E201" s="75">
        <v>532</v>
      </c>
      <c r="F201" s="76" t="s">
        <v>15</v>
      </c>
      <c r="G201" s="50" t="str">
        <f>VLOOKUP(F201,Tables!$D$2:$E$20,2,FALSE)</f>
        <v>PTR</v>
      </c>
      <c r="H201" s="69">
        <v>17099545</v>
      </c>
      <c r="I201" s="71">
        <f>SUM(S201-R201)</f>
        <v>27</v>
      </c>
      <c r="J201" s="71">
        <f>SUM(U201-T201)</f>
        <v>0</v>
      </c>
      <c r="K201" s="73">
        <f>SUM(I201*$P201)</f>
        <v>0.70740000000000003</v>
      </c>
      <c r="L201" s="73">
        <f>SUM(J201*$Q201)</f>
        <v>0</v>
      </c>
      <c r="M201" s="74">
        <f>K201+L201</f>
        <v>0.70740000000000003</v>
      </c>
      <c r="N201" s="76" t="s">
        <v>151</v>
      </c>
      <c r="O201" s="76" t="s">
        <v>152</v>
      </c>
      <c r="P201" s="51">
        <f>IF(G201="MFP",Tables!$B$2,Tables!$B$5)</f>
        <v>2.6200000000000001E-2</v>
      </c>
      <c r="Q201" s="86">
        <f>IF(G201="MFP",Tables!$B$3,Tables!$B$6)</f>
        <v>0.11799999999999999</v>
      </c>
      <c r="R201" s="59">
        <f>VLOOKUP($N201,'Meter Comparison'!$C$2:$G$314,2,FALSE)</f>
        <v>226</v>
      </c>
      <c r="S201" s="59">
        <f>VLOOKUP($N201,'Meter Comparison'!$C$2:$G$314,3,FALSE)</f>
        <v>253</v>
      </c>
      <c r="T201" s="59">
        <f>VLOOKUP($N201,'Meter Comparison'!$C$2:$G$314,4,FALSE)</f>
        <v>0</v>
      </c>
      <c r="U201" s="59">
        <f>VLOOKUP($N201,'Meter Comparison'!$C$2:$G$314,5,FALSE)</f>
        <v>0</v>
      </c>
    </row>
    <row r="202" spans="1:21" ht="30" customHeight="1" outlineLevel="2" x14ac:dyDescent="0.3">
      <c r="A202" s="77" t="s">
        <v>141</v>
      </c>
      <c r="B202" s="77" t="s">
        <v>142</v>
      </c>
      <c r="C202" s="55" t="str">
        <f>VLOOKUP(B202,Tables!$G$2:$H$90,2,FALSE)</f>
        <v>History</v>
      </c>
      <c r="D202" s="76" t="s">
        <v>96</v>
      </c>
      <c r="E202" s="75">
        <v>536</v>
      </c>
      <c r="F202" s="76" t="s">
        <v>15</v>
      </c>
      <c r="G202" s="50" t="str">
        <f>VLOOKUP(F202,Tables!$D$2:$E$20,2,FALSE)</f>
        <v>PTR</v>
      </c>
      <c r="H202" s="69">
        <v>17099546</v>
      </c>
      <c r="I202" s="71">
        <f>SUM(S202-R202)</f>
        <v>523</v>
      </c>
      <c r="J202" s="71">
        <f>SUM(U202-T202)</f>
        <v>0</v>
      </c>
      <c r="K202" s="73">
        <f>SUM(I202*$P202)</f>
        <v>13.7026</v>
      </c>
      <c r="L202" s="73">
        <f>SUM(J202*$Q202)</f>
        <v>0</v>
      </c>
      <c r="M202" s="74">
        <f>K202+L202</f>
        <v>13.7026</v>
      </c>
      <c r="N202" s="76" t="s">
        <v>149</v>
      </c>
      <c r="O202" s="76" t="s">
        <v>150</v>
      </c>
      <c r="P202" s="51">
        <f>IF(G202="MFP",Tables!$B$2,Tables!$B$5)</f>
        <v>2.6200000000000001E-2</v>
      </c>
      <c r="Q202" s="86">
        <f>IF(G202="MFP",Tables!$B$3,Tables!$B$6)</f>
        <v>0.11799999999999999</v>
      </c>
      <c r="R202" s="59">
        <f>VLOOKUP($N202,'Meter Comparison'!$C$2:$G$314,2,FALSE)</f>
        <v>6484</v>
      </c>
      <c r="S202" s="59">
        <f>VLOOKUP($N202,'Meter Comparison'!$C$2:$G$314,3,FALSE)</f>
        <v>7007</v>
      </c>
      <c r="T202" s="59">
        <f>VLOOKUP($N202,'Meter Comparison'!$C$2:$G$314,4,FALSE)</f>
        <v>0</v>
      </c>
      <c r="U202" s="59">
        <f>VLOOKUP($N202,'Meter Comparison'!$C$2:$G$314,5,FALSE)</f>
        <v>0</v>
      </c>
    </row>
    <row r="203" spans="1:21" ht="30" customHeight="1" outlineLevel="1" x14ac:dyDescent="0.3">
      <c r="A203" s="77"/>
      <c r="B203" s="160" t="s">
        <v>1086</v>
      </c>
      <c r="C203" s="55"/>
      <c r="D203" s="76"/>
      <c r="E203" s="75"/>
      <c r="F203" s="76"/>
      <c r="G203" s="50"/>
      <c r="H203" s="69"/>
      <c r="I203" s="71"/>
      <c r="J203" s="71"/>
      <c r="K203" s="73"/>
      <c r="L203" s="73"/>
      <c r="M203" s="74">
        <f>SUBTOTAL(9,M198:M202)</f>
        <v>79.464600000000004</v>
      </c>
      <c r="N203" s="76"/>
      <c r="O203" s="76"/>
      <c r="P203" s="51"/>
      <c r="Q203" s="86"/>
      <c r="R203" s="59"/>
      <c r="S203" s="59"/>
      <c r="T203" s="59"/>
      <c r="U203" s="59"/>
    </row>
    <row r="204" spans="1:21" ht="30" customHeight="1" outlineLevel="2" x14ac:dyDescent="0.3">
      <c r="A204" s="77" t="s">
        <v>740</v>
      </c>
      <c r="B204" s="122" t="s">
        <v>741</v>
      </c>
      <c r="C204" s="55" t="str">
        <f>VLOOKUP(B204,Tables!$G$2:$H$90,2,FALSE)</f>
        <v>Honor Court</v>
      </c>
      <c r="D204" s="112" t="s">
        <v>335</v>
      </c>
      <c r="E204" s="102">
        <v>404</v>
      </c>
      <c r="F204" s="103" t="s">
        <v>15</v>
      </c>
      <c r="G204" s="50" t="str">
        <f>VLOOKUP(F204,Tables!$D$2:$E$20,2,FALSE)</f>
        <v>PTR</v>
      </c>
      <c r="H204" s="105">
        <v>17099655</v>
      </c>
      <c r="I204" s="106">
        <f>SUM(S204-R204)</f>
        <v>195</v>
      </c>
      <c r="J204" s="106">
        <f>SUM(U204-T204)</f>
        <v>0</v>
      </c>
      <c r="K204" s="107">
        <f>SUM(I204*$P204)</f>
        <v>5.109</v>
      </c>
      <c r="L204" s="107">
        <f>SUM(J204*$Q204)</f>
        <v>0</v>
      </c>
      <c r="M204" s="108">
        <f>K204+L204</f>
        <v>5.109</v>
      </c>
      <c r="N204" s="58" t="s">
        <v>890</v>
      </c>
      <c r="O204" s="54" t="s">
        <v>970</v>
      </c>
      <c r="P204" s="51">
        <f>IF(G204="MFP",Tables!$B$2,Tables!$B$5)</f>
        <v>2.6200000000000001E-2</v>
      </c>
      <c r="Q204" s="86">
        <f>IF(G204="MFP",Tables!$B$3,Tables!$B$6)</f>
        <v>0.11799999999999999</v>
      </c>
      <c r="R204" s="59">
        <f>VLOOKUP($N204,'Meter Comparison'!$C$2:$G$314,2,FALSE)</f>
        <v>771</v>
      </c>
      <c r="S204" s="59">
        <f>VLOOKUP($N204,'Meter Comparison'!$C$2:$G$314,3,FALSE)</f>
        <v>966</v>
      </c>
      <c r="T204" s="59">
        <f>VLOOKUP($N204,'Meter Comparison'!$C$2:$G$314,4,FALSE)</f>
        <v>0</v>
      </c>
      <c r="U204" s="59">
        <f>VLOOKUP($N204,'Meter Comparison'!$C$2:$G$314,5,FALSE)</f>
        <v>0</v>
      </c>
    </row>
    <row r="205" spans="1:21" ht="30" customHeight="1" outlineLevel="2" x14ac:dyDescent="0.3">
      <c r="A205" s="55" t="s">
        <v>740</v>
      </c>
      <c r="B205" s="55" t="s">
        <v>741</v>
      </c>
      <c r="C205" s="55" t="str">
        <f>VLOOKUP(B205,Tables!$G$2:$H$90,2,FALSE)</f>
        <v>Honor Court</v>
      </c>
      <c r="D205" s="56" t="s">
        <v>335</v>
      </c>
      <c r="E205" s="114">
        <v>411</v>
      </c>
      <c r="F205" s="56" t="s">
        <v>157</v>
      </c>
      <c r="G205" s="50" t="str">
        <f>VLOOKUP(F205,Tables!$D$2:$E$20,2,FALSE)</f>
        <v>MFP</v>
      </c>
      <c r="H205" s="105">
        <v>17099433</v>
      </c>
      <c r="I205" s="106">
        <f>SUM(S205-R205)</f>
        <v>3040</v>
      </c>
      <c r="J205" s="106">
        <f>SUM(U205-T205)</f>
        <v>0</v>
      </c>
      <c r="K205" s="107">
        <f>SUM(I205*$P205)</f>
        <v>62.927999999999997</v>
      </c>
      <c r="L205" s="107">
        <f>SUM(J205*$Q205)</f>
        <v>0</v>
      </c>
      <c r="M205" s="108">
        <f>K205+L205</f>
        <v>62.927999999999997</v>
      </c>
      <c r="N205" s="56" t="s">
        <v>742</v>
      </c>
      <c r="O205" s="56" t="s">
        <v>743</v>
      </c>
      <c r="P205" s="51">
        <f>IF(G205="MFP",Tables!$B$2,Tables!$B$5)</f>
        <v>2.07E-2</v>
      </c>
      <c r="Q205" s="86">
        <f>IF(G205="MFP",Tables!$B$3,Tables!$B$6)</f>
        <v>8.6999999999999994E-2</v>
      </c>
      <c r="R205" s="59">
        <f>VLOOKUP($N205,'Meter Comparison'!$C$2:$G$314,2,FALSE)</f>
        <v>8639</v>
      </c>
      <c r="S205" s="59">
        <f>VLOOKUP($N205,'Meter Comparison'!$C$2:$G$314,3,FALSE)</f>
        <v>11679</v>
      </c>
      <c r="T205" s="59">
        <f>VLOOKUP($N205,'Meter Comparison'!$C$2:$G$314,4,FALSE)</f>
        <v>0</v>
      </c>
      <c r="U205" s="59">
        <f>VLOOKUP($N205,'Meter Comparison'!$C$2:$G$314,5,FALSE)</f>
        <v>0</v>
      </c>
    </row>
    <row r="206" spans="1:21" ht="30" customHeight="1" outlineLevel="1" x14ac:dyDescent="0.3">
      <c r="A206" s="55"/>
      <c r="B206" s="161" t="s">
        <v>1087</v>
      </c>
      <c r="C206" s="55"/>
      <c r="D206" s="56"/>
      <c r="E206" s="114"/>
      <c r="F206" s="56"/>
      <c r="G206" s="50"/>
      <c r="H206" s="105"/>
      <c r="I206" s="106"/>
      <c r="J206" s="106"/>
      <c r="K206" s="107"/>
      <c r="L206" s="107"/>
      <c r="M206" s="108">
        <f>SUBTOTAL(9,M204:M205)</f>
        <v>68.036999999999992</v>
      </c>
      <c r="N206" s="56"/>
      <c r="O206" s="56"/>
      <c r="P206" s="51"/>
      <c r="Q206" s="86"/>
      <c r="R206" s="59"/>
      <c r="S206" s="59"/>
      <c r="T206" s="59"/>
      <c r="U206" s="59"/>
    </row>
    <row r="207" spans="1:21" ht="30" customHeight="1" outlineLevel="2" x14ac:dyDescent="0.3">
      <c r="A207" s="55" t="s">
        <v>391</v>
      </c>
      <c r="B207" s="55" t="s">
        <v>392</v>
      </c>
      <c r="C207" s="55" t="str">
        <f>VLOOKUP(B207,Tables!$G$2:$H$90,2,FALSE)</f>
        <v>Personnel Administration</v>
      </c>
      <c r="D207" s="56" t="s">
        <v>664</v>
      </c>
      <c r="E207" s="114">
        <v>301</v>
      </c>
      <c r="F207" s="56" t="s">
        <v>15</v>
      </c>
      <c r="G207" s="50" t="str">
        <f>VLOOKUP(F207,Tables!$D$2:$E$20,2,FALSE)</f>
        <v>PTR</v>
      </c>
      <c r="H207" s="105">
        <v>17099422</v>
      </c>
      <c r="I207" s="106">
        <f t="shared" ref="I207:I212" si="50">SUM(S207-R207)</f>
        <v>878</v>
      </c>
      <c r="J207" s="106">
        <f t="shared" ref="J207:J212" si="51">SUM(U207-T207)</f>
        <v>0</v>
      </c>
      <c r="K207" s="107">
        <f t="shared" ref="K207:K212" si="52">SUM(I207*$P207)</f>
        <v>23.003600000000002</v>
      </c>
      <c r="L207" s="107">
        <f t="shared" ref="L207:L212" si="53">SUM(J207*$Q207)</f>
        <v>0</v>
      </c>
      <c r="M207" s="108">
        <f t="shared" ref="M207:M212" si="54">K207+L207</f>
        <v>23.003600000000002</v>
      </c>
      <c r="N207" s="56" t="s">
        <v>481</v>
      </c>
      <c r="O207" s="56" t="s">
        <v>482</v>
      </c>
      <c r="P207" s="51">
        <f>IF(G207="MFP",Tables!$B$2,Tables!$B$5)</f>
        <v>2.6200000000000001E-2</v>
      </c>
      <c r="Q207" s="86">
        <f>IF(G207="MFP",Tables!$B$3,Tables!$B$6)</f>
        <v>0.11799999999999999</v>
      </c>
      <c r="R207" s="59">
        <f>VLOOKUP($N207,'Meter Comparison'!$C$2:$G$314,2,FALSE)</f>
        <v>3808</v>
      </c>
      <c r="S207" s="59">
        <f>VLOOKUP($N207,'Meter Comparison'!$C$2:$G$314,3,FALSE)</f>
        <v>4686</v>
      </c>
      <c r="T207" s="59">
        <f>VLOOKUP($N207,'Meter Comparison'!$C$2:$G$314,4,FALSE)</f>
        <v>0</v>
      </c>
      <c r="U207" s="59">
        <f>VLOOKUP($N207,'Meter Comparison'!$C$2:$G$314,5,FALSE)</f>
        <v>0</v>
      </c>
    </row>
    <row r="208" spans="1:21" ht="30" customHeight="1" outlineLevel="2" x14ac:dyDescent="0.3">
      <c r="A208" s="55" t="s">
        <v>391</v>
      </c>
      <c r="B208" s="55" t="s">
        <v>392</v>
      </c>
      <c r="C208" s="55" t="str">
        <f>VLOOKUP(B208,Tables!$G$2:$H$90,2,FALSE)</f>
        <v>Personnel Administration</v>
      </c>
      <c r="D208" s="56" t="s">
        <v>664</v>
      </c>
      <c r="E208" s="114">
        <v>301</v>
      </c>
      <c r="F208" s="56" t="s">
        <v>15</v>
      </c>
      <c r="G208" s="50" t="str">
        <f>VLOOKUP(F208,Tables!$D$2:$E$20,2,FALSE)</f>
        <v>PTR</v>
      </c>
      <c r="H208" s="105">
        <v>17099508</v>
      </c>
      <c r="I208" s="106">
        <f t="shared" si="50"/>
        <v>501</v>
      </c>
      <c r="J208" s="106">
        <f t="shared" si="51"/>
        <v>0</v>
      </c>
      <c r="K208" s="107">
        <f t="shared" si="52"/>
        <v>13.126200000000001</v>
      </c>
      <c r="L208" s="107">
        <f t="shared" si="53"/>
        <v>0</v>
      </c>
      <c r="M208" s="108">
        <f t="shared" si="54"/>
        <v>13.126200000000001</v>
      </c>
      <c r="N208" s="56" t="s">
        <v>400</v>
      </c>
      <c r="O208" s="56" t="s">
        <v>401</v>
      </c>
      <c r="P208" s="51">
        <f>IF(G208="MFP",Tables!$B$2,Tables!$B$5)</f>
        <v>2.6200000000000001E-2</v>
      </c>
      <c r="Q208" s="86">
        <f>IF(G208="MFP",Tables!$B$3,Tables!$B$6)</f>
        <v>0.11799999999999999</v>
      </c>
      <c r="R208" s="59">
        <f>VLOOKUP($N208,'Meter Comparison'!$C$2:$G$314,2,FALSE)</f>
        <v>2654</v>
      </c>
      <c r="S208" s="59">
        <f>VLOOKUP($N208,'Meter Comparison'!$C$2:$G$314,3,FALSE)</f>
        <v>3155</v>
      </c>
      <c r="T208" s="59">
        <f>VLOOKUP($N208,'Meter Comparison'!$C$2:$G$314,4,FALSE)</f>
        <v>0</v>
      </c>
      <c r="U208" s="59">
        <f>VLOOKUP($N208,'Meter Comparison'!$C$2:$G$314,5,FALSE)</f>
        <v>0</v>
      </c>
    </row>
    <row r="209" spans="1:22" ht="30" customHeight="1" outlineLevel="2" x14ac:dyDescent="0.3">
      <c r="A209" s="55" t="s">
        <v>391</v>
      </c>
      <c r="B209" s="55" t="s">
        <v>392</v>
      </c>
      <c r="C209" s="55" t="str">
        <f>VLOOKUP(B209,Tables!$G$2:$H$90,2,FALSE)</f>
        <v>Personnel Administration</v>
      </c>
      <c r="D209" s="56" t="s">
        <v>664</v>
      </c>
      <c r="E209" s="114">
        <v>303</v>
      </c>
      <c r="F209" s="56" t="s">
        <v>15</v>
      </c>
      <c r="G209" s="50" t="str">
        <f>VLOOKUP(F209,Tables!$D$2:$E$20,2,FALSE)</f>
        <v>PTR</v>
      </c>
      <c r="H209" s="105">
        <v>17099441</v>
      </c>
      <c r="I209" s="106">
        <f t="shared" si="50"/>
        <v>323</v>
      </c>
      <c r="J209" s="106">
        <f t="shared" si="51"/>
        <v>0</v>
      </c>
      <c r="K209" s="107">
        <f t="shared" si="52"/>
        <v>8.4626000000000001</v>
      </c>
      <c r="L209" s="107">
        <f t="shared" si="53"/>
        <v>0</v>
      </c>
      <c r="M209" s="108">
        <f t="shared" si="54"/>
        <v>8.4626000000000001</v>
      </c>
      <c r="N209" s="56" t="s">
        <v>396</v>
      </c>
      <c r="O209" s="56" t="s">
        <v>397</v>
      </c>
      <c r="P209" s="51">
        <f>IF(G209="MFP",Tables!$B$2,Tables!$B$5)</f>
        <v>2.6200000000000001E-2</v>
      </c>
      <c r="Q209" s="86">
        <f>IF(G209="MFP",Tables!$B$3,Tables!$B$6)</f>
        <v>0.11799999999999999</v>
      </c>
      <c r="R209" s="59">
        <f>VLOOKUP($N209,'Meter Comparison'!$C$2:$G$314,2,FALSE)</f>
        <v>2362</v>
      </c>
      <c r="S209" s="59">
        <f>VLOOKUP($N209,'Meter Comparison'!$C$2:$G$314,3,FALSE)</f>
        <v>2685</v>
      </c>
      <c r="T209" s="59">
        <f>VLOOKUP($N209,'Meter Comparison'!$C$2:$G$314,4,FALSE)</f>
        <v>0</v>
      </c>
      <c r="U209" s="59">
        <f>VLOOKUP($N209,'Meter Comparison'!$C$2:$G$314,5,FALSE)</f>
        <v>0</v>
      </c>
    </row>
    <row r="210" spans="1:22" ht="30" customHeight="1" outlineLevel="2" x14ac:dyDescent="0.3">
      <c r="A210" s="55" t="s">
        <v>391</v>
      </c>
      <c r="B210" s="55" t="s">
        <v>392</v>
      </c>
      <c r="C210" s="55" t="str">
        <f>VLOOKUP(B210,Tables!$G$2:$H$90,2,FALSE)</f>
        <v>Personnel Administration</v>
      </c>
      <c r="D210" s="56" t="s">
        <v>664</v>
      </c>
      <c r="E210" s="114">
        <v>303</v>
      </c>
      <c r="F210" s="56" t="s">
        <v>15</v>
      </c>
      <c r="G210" s="50" t="str">
        <f>VLOOKUP(F210,Tables!$D$2:$E$20,2,FALSE)</f>
        <v>PTR</v>
      </c>
      <c r="H210" s="105">
        <v>17099510</v>
      </c>
      <c r="I210" s="106">
        <f t="shared" si="50"/>
        <v>418</v>
      </c>
      <c r="J210" s="106">
        <f t="shared" si="51"/>
        <v>0</v>
      </c>
      <c r="K210" s="107">
        <f t="shared" si="52"/>
        <v>10.951600000000001</v>
      </c>
      <c r="L210" s="107">
        <f t="shared" si="53"/>
        <v>0</v>
      </c>
      <c r="M210" s="108">
        <f t="shared" si="54"/>
        <v>10.951600000000001</v>
      </c>
      <c r="N210" s="56" t="s">
        <v>402</v>
      </c>
      <c r="O210" s="56" t="s">
        <v>403</v>
      </c>
      <c r="P210" s="51">
        <f>IF(G210="MFP",Tables!$B$2,Tables!$B$5)</f>
        <v>2.6200000000000001E-2</v>
      </c>
      <c r="Q210" s="86">
        <f>IF(G210="MFP",Tables!$B$3,Tables!$B$6)</f>
        <v>0.11799999999999999</v>
      </c>
      <c r="R210" s="59">
        <f>VLOOKUP($N210,'Meter Comparison'!$C$2:$G$314,2,FALSE)</f>
        <v>1929</v>
      </c>
      <c r="S210" s="59">
        <f>VLOOKUP($N210,'Meter Comparison'!$C$2:$G$314,3,FALSE)</f>
        <v>2347</v>
      </c>
      <c r="T210" s="59">
        <f>VLOOKUP($N210,'Meter Comparison'!$C$2:$G$314,4,FALSE)</f>
        <v>0</v>
      </c>
      <c r="U210" s="59">
        <f>VLOOKUP($N210,'Meter Comparison'!$C$2:$G$314,5,FALSE)</f>
        <v>0</v>
      </c>
    </row>
    <row r="211" spans="1:22" ht="30" customHeight="1" outlineLevel="2" x14ac:dyDescent="0.3">
      <c r="A211" s="55" t="s">
        <v>391</v>
      </c>
      <c r="B211" s="55" t="s">
        <v>392</v>
      </c>
      <c r="C211" s="55" t="str">
        <f>VLOOKUP(B211,Tables!$G$2:$H$90,2,FALSE)</f>
        <v>Personnel Administration</v>
      </c>
      <c r="D211" s="56" t="s">
        <v>664</v>
      </c>
      <c r="E211" s="114">
        <v>303</v>
      </c>
      <c r="F211" s="56" t="s">
        <v>15</v>
      </c>
      <c r="G211" s="50" t="str">
        <f>VLOOKUP(F211,Tables!$D$2:$E$20,2,FALSE)</f>
        <v>PTR</v>
      </c>
      <c r="H211" s="105">
        <v>17099509</v>
      </c>
      <c r="I211" s="106">
        <f t="shared" si="50"/>
        <v>1454</v>
      </c>
      <c r="J211" s="106">
        <f t="shared" si="51"/>
        <v>0</v>
      </c>
      <c r="K211" s="107">
        <f t="shared" si="52"/>
        <v>38.094799999999999</v>
      </c>
      <c r="L211" s="107">
        <f t="shared" si="53"/>
        <v>0</v>
      </c>
      <c r="M211" s="108">
        <f t="shared" si="54"/>
        <v>38.094799999999999</v>
      </c>
      <c r="N211" s="56" t="s">
        <v>398</v>
      </c>
      <c r="O211" s="56" t="s">
        <v>399</v>
      </c>
      <c r="P211" s="51">
        <f>IF(G211="MFP",Tables!$B$2,Tables!$B$5)</f>
        <v>2.6200000000000001E-2</v>
      </c>
      <c r="Q211" s="86">
        <f>IF(G211="MFP",Tables!$B$3,Tables!$B$6)</f>
        <v>0.11799999999999999</v>
      </c>
      <c r="R211" s="59">
        <f>VLOOKUP($N211,'Meter Comparison'!$C$2:$G$314,2,FALSE)</f>
        <v>7743</v>
      </c>
      <c r="S211" s="59">
        <f>VLOOKUP($N211,'Meter Comparison'!$C$2:$G$314,3,FALSE)</f>
        <v>9197</v>
      </c>
      <c r="T211" s="59">
        <f>VLOOKUP($N211,'Meter Comparison'!$C$2:$G$314,4,FALSE)</f>
        <v>0</v>
      </c>
      <c r="U211" s="59">
        <f>VLOOKUP($N211,'Meter Comparison'!$C$2:$G$314,5,FALSE)</f>
        <v>0</v>
      </c>
    </row>
    <row r="212" spans="1:22" ht="30" customHeight="1" outlineLevel="2" x14ac:dyDescent="0.3">
      <c r="A212" s="55" t="s">
        <v>391</v>
      </c>
      <c r="B212" s="55" t="s">
        <v>392</v>
      </c>
      <c r="C212" s="55" t="str">
        <f>VLOOKUP(B212,Tables!$G$2:$H$90,2,FALSE)</f>
        <v>Personnel Administration</v>
      </c>
      <c r="D212" s="56" t="s">
        <v>664</v>
      </c>
      <c r="E212" s="114">
        <v>305</v>
      </c>
      <c r="F212" s="56" t="s">
        <v>54</v>
      </c>
      <c r="G212" s="50" t="str">
        <f>VLOOKUP(F212,Tables!$D$2:$E$20,2,FALSE)</f>
        <v>MFP</v>
      </c>
      <c r="H212" s="105">
        <v>17099494</v>
      </c>
      <c r="I212" s="106">
        <f t="shared" si="50"/>
        <v>5659</v>
      </c>
      <c r="J212" s="106">
        <f t="shared" si="51"/>
        <v>550</v>
      </c>
      <c r="K212" s="107">
        <f t="shared" si="52"/>
        <v>117.1413</v>
      </c>
      <c r="L212" s="107">
        <f t="shared" si="53"/>
        <v>47.849999999999994</v>
      </c>
      <c r="M212" s="108">
        <f t="shared" si="54"/>
        <v>164.9913</v>
      </c>
      <c r="N212" s="56" t="s">
        <v>394</v>
      </c>
      <c r="O212" s="56" t="s">
        <v>395</v>
      </c>
      <c r="P212" s="51">
        <f>IF(G212="MFP",Tables!$B$2,Tables!$B$5)</f>
        <v>2.07E-2</v>
      </c>
      <c r="Q212" s="86">
        <f>IF(G212="MFP",Tables!$B$3,Tables!$B$6)</f>
        <v>8.6999999999999994E-2</v>
      </c>
      <c r="R212" s="59">
        <f>VLOOKUP($N212,'Meter Comparison'!$C$2:$G$314,2,FALSE)</f>
        <v>14716</v>
      </c>
      <c r="S212" s="59">
        <f>VLOOKUP($N212,'Meter Comparison'!$C$2:$G$314,3,FALSE)</f>
        <v>20375</v>
      </c>
      <c r="T212" s="59">
        <f>VLOOKUP($N212,'Meter Comparison'!$C$2:$G$314,4,FALSE)</f>
        <v>2033</v>
      </c>
      <c r="U212" s="59">
        <f>VLOOKUP($N212,'Meter Comparison'!$C$2:$G$314,5,FALSE)</f>
        <v>2583</v>
      </c>
    </row>
    <row r="213" spans="1:22" ht="30" customHeight="1" outlineLevel="1" x14ac:dyDescent="0.3">
      <c r="A213" s="55"/>
      <c r="B213" s="161" t="s">
        <v>1088</v>
      </c>
      <c r="C213" s="55"/>
      <c r="D213" s="56"/>
      <c r="E213" s="114"/>
      <c r="F213" s="56"/>
      <c r="G213" s="50"/>
      <c r="H213" s="105"/>
      <c r="I213" s="106"/>
      <c r="J213" s="106"/>
      <c r="K213" s="107"/>
      <c r="L213" s="107"/>
      <c r="M213" s="108">
        <f>SUBTOTAL(9,M207:M212)</f>
        <v>258.63009999999997</v>
      </c>
      <c r="N213" s="56"/>
      <c r="O213" s="56"/>
      <c r="P213" s="51"/>
      <c r="Q213" s="86"/>
      <c r="R213" s="59"/>
      <c r="S213" s="59"/>
      <c r="T213" s="59"/>
      <c r="U213" s="59"/>
    </row>
    <row r="214" spans="1:22" ht="30" customHeight="1" outlineLevel="2" x14ac:dyDescent="0.3">
      <c r="A214" s="77" t="s">
        <v>563</v>
      </c>
      <c r="B214" s="77" t="s">
        <v>564</v>
      </c>
      <c r="C214" s="55" t="str">
        <f>VLOOKUP(B214,Tables!$G$2:$H$90,2,FALSE)</f>
        <v>AUX-Student Health</v>
      </c>
      <c r="D214" s="76" t="s">
        <v>563</v>
      </c>
      <c r="E214" s="75">
        <v>113</v>
      </c>
      <c r="F214" s="76" t="s">
        <v>15</v>
      </c>
      <c r="G214" s="50" t="str">
        <f>VLOOKUP(F214,Tables!$D$2:$E$20,2,FALSE)</f>
        <v>PTR</v>
      </c>
      <c r="H214" s="69">
        <v>17099605</v>
      </c>
      <c r="I214" s="71">
        <f>SUM(S214-R214)</f>
        <v>3400</v>
      </c>
      <c r="J214" s="71">
        <f>SUM(U214-T214)</f>
        <v>0</v>
      </c>
      <c r="K214" s="73">
        <f>SUM(I214*$P214)</f>
        <v>89.08</v>
      </c>
      <c r="L214" s="73">
        <f>SUM(J214*$Q214)</f>
        <v>0</v>
      </c>
      <c r="M214" s="74">
        <f>K214+L214</f>
        <v>89.08</v>
      </c>
      <c r="N214" s="76" t="s">
        <v>792</v>
      </c>
      <c r="O214" s="76" t="s">
        <v>800</v>
      </c>
      <c r="P214" s="51">
        <f>IF(G214="MFP",Tables!$B$2,Tables!$B$5)</f>
        <v>2.6200000000000001E-2</v>
      </c>
      <c r="Q214" s="86">
        <f>IF(G214="MFP",Tables!$B$3,Tables!$B$6)</f>
        <v>0.11799999999999999</v>
      </c>
      <c r="R214" s="59">
        <f>VLOOKUP($N214,'Meter Comparison'!$C$2:$G$314,2,FALSE)</f>
        <v>11273</v>
      </c>
      <c r="S214" s="59">
        <f>VLOOKUP($N214,'Meter Comparison'!$C$2:$G$314,3,FALSE)</f>
        <v>14673</v>
      </c>
      <c r="T214" s="59">
        <f>VLOOKUP($N214,'Meter Comparison'!$C$2:$G$314,4,FALSE)</f>
        <v>0</v>
      </c>
      <c r="U214" s="59">
        <f>VLOOKUP($N214,'Meter Comparison'!$C$2:$G$314,5,FALSE)</f>
        <v>0</v>
      </c>
    </row>
    <row r="215" spans="1:22" s="126" customFormat="1" ht="30" customHeight="1" outlineLevel="2" x14ac:dyDescent="0.3">
      <c r="A215" s="77" t="s">
        <v>563</v>
      </c>
      <c r="B215" s="77" t="s">
        <v>564</v>
      </c>
      <c r="C215" s="55" t="str">
        <f>VLOOKUP(B215,Tables!$G$2:$H$90,2,FALSE)</f>
        <v>AUX-Student Health</v>
      </c>
      <c r="D215" s="76" t="s">
        <v>563</v>
      </c>
      <c r="E215" s="75">
        <v>121</v>
      </c>
      <c r="F215" s="76" t="s">
        <v>54</v>
      </c>
      <c r="G215" s="50" t="str">
        <f>VLOOKUP(F215,Tables!$D$2:$E$20,2,FALSE)</f>
        <v>MFP</v>
      </c>
      <c r="H215" s="69">
        <v>17099496</v>
      </c>
      <c r="I215" s="71">
        <f>SUM(S215-R215)</f>
        <v>2593</v>
      </c>
      <c r="J215" s="71">
        <f>SUM(U215-T215)</f>
        <v>291</v>
      </c>
      <c r="K215" s="73">
        <f>SUM(I215*$P215)</f>
        <v>53.6751</v>
      </c>
      <c r="L215" s="73">
        <f>SUM(J215*$Q215)</f>
        <v>25.316999999999997</v>
      </c>
      <c r="M215" s="74">
        <f>K215+L215</f>
        <v>78.992099999999994</v>
      </c>
      <c r="N215" s="76" t="s">
        <v>568</v>
      </c>
      <c r="O215" s="76" t="s">
        <v>569</v>
      </c>
      <c r="P215" s="51">
        <f>IF(G215="MFP",Tables!$B$2,Tables!$B$5)</f>
        <v>2.07E-2</v>
      </c>
      <c r="Q215" s="86">
        <f>IF(G215="MFP",Tables!$B$3,Tables!$B$6)</f>
        <v>8.6999999999999994E-2</v>
      </c>
      <c r="R215" s="59">
        <f>VLOOKUP($N215,'Meter Comparison'!$C$2:$G$314,2,FALSE)</f>
        <v>15814</v>
      </c>
      <c r="S215" s="59">
        <f>VLOOKUP($N215,'Meter Comparison'!$C$2:$G$314,3,FALSE)</f>
        <v>18407</v>
      </c>
      <c r="T215" s="59">
        <f>VLOOKUP($N215,'Meter Comparison'!$C$2:$G$314,4,FALSE)</f>
        <v>1859</v>
      </c>
      <c r="U215" s="59">
        <f>VLOOKUP($N215,'Meter Comparison'!$C$2:$G$314,5,FALSE)</f>
        <v>2150</v>
      </c>
      <c r="V215" s="64"/>
    </row>
    <row r="216" spans="1:22" s="126" customFormat="1" ht="30" customHeight="1" outlineLevel="2" x14ac:dyDescent="0.3">
      <c r="A216" s="77" t="s">
        <v>563</v>
      </c>
      <c r="B216" s="77" t="s">
        <v>564</v>
      </c>
      <c r="C216" s="55" t="str">
        <f>VLOOKUP(B216,Tables!$G$2:$H$90,2,FALSE)</f>
        <v>AUX-Student Health</v>
      </c>
      <c r="D216" s="76" t="s">
        <v>563</v>
      </c>
      <c r="E216" s="75">
        <v>219</v>
      </c>
      <c r="F216" s="76" t="s">
        <v>15</v>
      </c>
      <c r="G216" s="50" t="str">
        <f>VLOOKUP(F216,Tables!$D$2:$E$20,2,FALSE)</f>
        <v>PTR</v>
      </c>
      <c r="H216" s="69">
        <v>17099635</v>
      </c>
      <c r="I216" s="71">
        <f>SUM(S216-R216)</f>
        <v>983</v>
      </c>
      <c r="J216" s="71">
        <f>SUM(U216-T216)</f>
        <v>0</v>
      </c>
      <c r="K216" s="73">
        <f>SUM(I216*$P216)</f>
        <v>25.7546</v>
      </c>
      <c r="L216" s="73">
        <f>SUM(J216*$Q216)</f>
        <v>0</v>
      </c>
      <c r="M216" s="74">
        <f>K216+L216</f>
        <v>25.7546</v>
      </c>
      <c r="N216" s="76" t="s">
        <v>570</v>
      </c>
      <c r="O216" s="76" t="s">
        <v>571</v>
      </c>
      <c r="P216" s="51">
        <f>IF(G216="MFP",Tables!$B$2,Tables!$B$5)</f>
        <v>2.6200000000000001E-2</v>
      </c>
      <c r="Q216" s="86">
        <f>IF(G216="MFP",Tables!$B$3,Tables!$B$6)</f>
        <v>0.11799999999999999</v>
      </c>
      <c r="R216" s="59">
        <f>VLOOKUP($N216,'Meter Comparison'!$C$2:$G$314,2,FALSE)</f>
        <v>5850</v>
      </c>
      <c r="S216" s="59">
        <f>VLOOKUP($N216,'Meter Comparison'!$C$2:$G$314,3,FALSE)</f>
        <v>6833</v>
      </c>
      <c r="T216" s="59">
        <f>VLOOKUP($N216,'Meter Comparison'!$C$2:$G$314,4,FALSE)</f>
        <v>0</v>
      </c>
      <c r="U216" s="59">
        <f>VLOOKUP($N216,'Meter Comparison'!$C$2:$G$314,5,FALSE)</f>
        <v>0</v>
      </c>
      <c r="V216" s="64"/>
    </row>
    <row r="217" spans="1:22" s="126" customFormat="1" ht="30" customHeight="1" outlineLevel="2" x14ac:dyDescent="0.3">
      <c r="A217" s="55" t="s">
        <v>563</v>
      </c>
      <c r="B217" s="55" t="s">
        <v>564</v>
      </c>
      <c r="C217" s="55" t="str">
        <f>VLOOKUP(B217,Tables!$G$2:$H$90,2,FALSE)</f>
        <v>AUX-Student Health</v>
      </c>
      <c r="D217" s="56" t="s">
        <v>563</v>
      </c>
      <c r="E217" s="114">
        <v>219</v>
      </c>
      <c r="F217" s="56" t="s">
        <v>54</v>
      </c>
      <c r="G217" s="50" t="str">
        <f>VLOOKUP(F217,Tables!$D$2:$E$20,2,FALSE)</f>
        <v>MFP</v>
      </c>
      <c r="H217" s="105">
        <v>17099495</v>
      </c>
      <c r="I217" s="106">
        <f>SUM(S217-R217)</f>
        <v>665</v>
      </c>
      <c r="J217" s="106">
        <f>SUM(U217-T217)</f>
        <v>10</v>
      </c>
      <c r="K217" s="107">
        <f>SUM(I217*$P217)</f>
        <v>13.765499999999999</v>
      </c>
      <c r="L217" s="107">
        <f>SUM(J217*$Q217)</f>
        <v>0.86999999999999988</v>
      </c>
      <c r="M217" s="108">
        <f>K217+L217</f>
        <v>14.635499999999999</v>
      </c>
      <c r="N217" s="56" t="s">
        <v>566</v>
      </c>
      <c r="O217" s="56" t="s">
        <v>567</v>
      </c>
      <c r="P217" s="51">
        <f>IF(G217="MFP",Tables!$B$2,Tables!$B$5)</f>
        <v>2.07E-2</v>
      </c>
      <c r="Q217" s="86">
        <f>IF(G217="MFP",Tables!$B$3,Tables!$B$6)</f>
        <v>8.6999999999999994E-2</v>
      </c>
      <c r="R217" s="59">
        <f>VLOOKUP($N217,'Meter Comparison'!$C$2:$G$314,2,FALSE)</f>
        <v>4459</v>
      </c>
      <c r="S217" s="59">
        <f>VLOOKUP($N217,'Meter Comparison'!$C$2:$G$314,3,FALSE)</f>
        <v>5124</v>
      </c>
      <c r="T217" s="59">
        <f>VLOOKUP($N217,'Meter Comparison'!$C$2:$G$314,4,FALSE)</f>
        <v>268</v>
      </c>
      <c r="U217" s="59">
        <f>VLOOKUP($N217,'Meter Comparison'!$C$2:$G$314,5,FALSE)</f>
        <v>278</v>
      </c>
      <c r="V217" s="64"/>
    </row>
    <row r="218" spans="1:22" s="126" customFormat="1" ht="30" customHeight="1" outlineLevel="1" x14ac:dyDescent="0.3">
      <c r="A218" s="55"/>
      <c r="B218" s="161" t="s">
        <v>1089</v>
      </c>
      <c r="C218" s="55"/>
      <c r="D218" s="56"/>
      <c r="E218" s="114"/>
      <c r="F218" s="56"/>
      <c r="G218" s="50"/>
      <c r="H218" s="105"/>
      <c r="I218" s="106"/>
      <c r="J218" s="106"/>
      <c r="K218" s="107"/>
      <c r="L218" s="107"/>
      <c r="M218" s="108">
        <f>SUBTOTAL(9,M214:M217)</f>
        <v>208.4622</v>
      </c>
      <c r="N218" s="56"/>
      <c r="O218" s="56"/>
      <c r="P218" s="51"/>
      <c r="Q218" s="86"/>
      <c r="R218" s="59"/>
      <c r="S218" s="59"/>
      <c r="T218" s="59"/>
      <c r="U218" s="59"/>
      <c r="V218" s="64"/>
    </row>
    <row r="219" spans="1:22" s="126" customFormat="1" ht="30" customHeight="1" outlineLevel="2" x14ac:dyDescent="0.3">
      <c r="A219" s="55" t="s">
        <v>267</v>
      </c>
      <c r="B219" s="55" t="s">
        <v>268</v>
      </c>
      <c r="C219" s="55" t="str">
        <f>VLOOKUP(B219,Tables!$G$2:$H$90,2,FALSE)</f>
        <v>IST</v>
      </c>
      <c r="D219" s="56" t="s">
        <v>82</v>
      </c>
      <c r="E219" s="114">
        <v>308</v>
      </c>
      <c r="F219" s="56" t="s">
        <v>15</v>
      </c>
      <c r="G219" s="50" t="str">
        <f>VLOOKUP(F219,Tables!$D$2:$E$20,2,FALSE)</f>
        <v>PTR</v>
      </c>
      <c r="H219" s="105">
        <v>17099640</v>
      </c>
      <c r="I219" s="106">
        <f>SUM(S219-R219)</f>
        <v>237</v>
      </c>
      <c r="J219" s="106">
        <f>SUM(U219-T219)</f>
        <v>0</v>
      </c>
      <c r="K219" s="107">
        <f>SUM(I219*$P219)</f>
        <v>6.2094000000000005</v>
      </c>
      <c r="L219" s="107">
        <f>SUM(J219*$Q219)</f>
        <v>0</v>
      </c>
      <c r="M219" s="108">
        <f>K219+L219</f>
        <v>6.2094000000000005</v>
      </c>
      <c r="N219" s="56" t="s">
        <v>272</v>
      </c>
      <c r="O219" s="56" t="s">
        <v>273</v>
      </c>
      <c r="P219" s="51">
        <f>IF(G219="MFP",Tables!$B$2,Tables!$B$5)</f>
        <v>2.6200000000000001E-2</v>
      </c>
      <c r="Q219" s="86">
        <f>IF(G219="MFP",Tables!$B$3,Tables!$B$6)</f>
        <v>0.11799999999999999</v>
      </c>
      <c r="R219" s="59">
        <f>VLOOKUP($N219,'Meter Comparison'!$C$2:$G$314,2,FALSE)</f>
        <v>1512</v>
      </c>
      <c r="S219" s="59">
        <f>VLOOKUP($N219,'Meter Comparison'!$C$2:$G$314,3,FALSE)</f>
        <v>1749</v>
      </c>
      <c r="T219" s="59">
        <f>VLOOKUP($N219,'Meter Comparison'!$C$2:$G$314,4,FALSE)</f>
        <v>0</v>
      </c>
      <c r="U219" s="59">
        <f>VLOOKUP($N219,'Meter Comparison'!$C$2:$G$314,5,FALSE)</f>
        <v>0</v>
      </c>
      <c r="V219" s="64"/>
    </row>
    <row r="220" spans="1:22" ht="30" customHeight="1" outlineLevel="2" x14ac:dyDescent="0.3">
      <c r="A220" s="55" t="s">
        <v>267</v>
      </c>
      <c r="B220" s="55" t="s">
        <v>268</v>
      </c>
      <c r="C220" s="55" t="str">
        <f>VLOOKUP(B220,Tables!$G$2:$H$90,2,FALSE)</f>
        <v>IST</v>
      </c>
      <c r="D220" s="56" t="s">
        <v>82</v>
      </c>
      <c r="E220" s="114">
        <v>315</v>
      </c>
      <c r="F220" s="56" t="s">
        <v>90</v>
      </c>
      <c r="G220" s="50" t="str">
        <f>VLOOKUP(F220,Tables!$D$2:$E$20,2,FALSE)</f>
        <v>PTR</v>
      </c>
      <c r="H220" s="105">
        <v>17099629</v>
      </c>
      <c r="I220" s="106">
        <f>SUM(S220-R220)</f>
        <v>408</v>
      </c>
      <c r="J220" s="106">
        <f>SUM(U220-T220)</f>
        <v>6</v>
      </c>
      <c r="K220" s="107">
        <f>SUM(I220*$P220)</f>
        <v>10.6896</v>
      </c>
      <c r="L220" s="107">
        <f>SUM(J220*$Q220)</f>
        <v>0.70799999999999996</v>
      </c>
      <c r="M220" s="108">
        <f>ROUNDUP(K220+L220,2)</f>
        <v>11.4</v>
      </c>
      <c r="N220" s="58" t="s">
        <v>757</v>
      </c>
      <c r="O220" s="56" t="s">
        <v>273</v>
      </c>
      <c r="P220" s="51">
        <f>IF(G220="MFP",Tables!$B$2,Tables!$B$5)</f>
        <v>2.6200000000000001E-2</v>
      </c>
      <c r="Q220" s="86">
        <f>IF(G220="MFP",Tables!$B$3,Tables!$B$6)</f>
        <v>0.11799999999999999</v>
      </c>
      <c r="R220" s="59">
        <f>VLOOKUP($N220,'Meter Comparison'!$C$2:$G$314,2,FALSE)</f>
        <v>3465</v>
      </c>
      <c r="S220" s="59">
        <f>VLOOKUP($N220,'Meter Comparison'!$C$2:$G$314,3,FALSE)</f>
        <v>3873</v>
      </c>
      <c r="T220" s="59">
        <f>VLOOKUP($N220,'Meter Comparison'!$C$2:$G$314,4,FALSE)</f>
        <v>48</v>
      </c>
      <c r="U220" s="59">
        <f>VLOOKUP($N220,'Meter Comparison'!$C$2:$G$314,5,FALSE)</f>
        <v>54</v>
      </c>
    </row>
    <row r="221" spans="1:22" ht="30" customHeight="1" outlineLevel="2" x14ac:dyDescent="0.3">
      <c r="A221" s="77" t="s">
        <v>267</v>
      </c>
      <c r="B221" s="77" t="s">
        <v>268</v>
      </c>
      <c r="C221" s="55" t="str">
        <f>VLOOKUP(B221,Tables!$G$2:$H$90,2,FALSE)</f>
        <v>IST</v>
      </c>
      <c r="D221" s="76" t="s">
        <v>82</v>
      </c>
      <c r="E221" s="75">
        <v>343</v>
      </c>
      <c r="F221" s="76" t="s">
        <v>83</v>
      </c>
      <c r="G221" s="50" t="str">
        <f>VLOOKUP(F221,Tables!$D$2:$E$20,2,FALSE)</f>
        <v>MFP</v>
      </c>
      <c r="H221" s="69">
        <v>17099400</v>
      </c>
      <c r="I221" s="71">
        <f>SUM(S221-R221)</f>
        <v>4286</v>
      </c>
      <c r="J221" s="71">
        <f>SUM(U221-T221)</f>
        <v>522</v>
      </c>
      <c r="K221" s="73">
        <f>SUM(I221*$P221)</f>
        <v>88.720200000000006</v>
      </c>
      <c r="L221" s="73">
        <f>SUM(J221*$Q221)</f>
        <v>45.413999999999994</v>
      </c>
      <c r="M221" s="74">
        <f>K221+L221</f>
        <v>134.13419999999999</v>
      </c>
      <c r="N221" s="76" t="s">
        <v>270</v>
      </c>
      <c r="O221" s="76" t="s">
        <v>271</v>
      </c>
      <c r="P221" s="51">
        <f>IF(G221="MFP",Tables!$B$2,Tables!$B$5)</f>
        <v>2.07E-2</v>
      </c>
      <c r="Q221" s="86">
        <f>IF(G221="MFP",Tables!$B$3,Tables!$B$6)</f>
        <v>8.6999999999999994E-2</v>
      </c>
      <c r="R221" s="59">
        <f>VLOOKUP($N221,'Meter Comparison'!$C$2:$G$314,2,FALSE)</f>
        <v>32812</v>
      </c>
      <c r="S221" s="59">
        <f>VLOOKUP($N221,'Meter Comparison'!$C$2:$G$314,3,FALSE)</f>
        <v>37098</v>
      </c>
      <c r="T221" s="59">
        <f>VLOOKUP($N221,'Meter Comparison'!$C$2:$G$314,4,FALSE)</f>
        <v>3176</v>
      </c>
      <c r="U221" s="59">
        <f>VLOOKUP($N221,'Meter Comparison'!$C$2:$G$314,5,FALSE)</f>
        <v>3698</v>
      </c>
    </row>
    <row r="222" spans="1:22" ht="30" customHeight="1" outlineLevel="1" x14ac:dyDescent="0.3">
      <c r="A222" s="77"/>
      <c r="B222" s="160" t="s">
        <v>1090</v>
      </c>
      <c r="C222" s="55"/>
      <c r="D222" s="76"/>
      <c r="E222" s="75"/>
      <c r="F222" s="76"/>
      <c r="G222" s="50"/>
      <c r="H222" s="69"/>
      <c r="I222" s="71"/>
      <c r="J222" s="71"/>
      <c r="K222" s="73"/>
      <c r="L222" s="73"/>
      <c r="M222" s="74">
        <f>SUBTOTAL(9,M219:M221)</f>
        <v>151.74359999999999</v>
      </c>
      <c r="N222" s="76"/>
      <c r="O222" s="76"/>
      <c r="P222" s="51"/>
      <c r="Q222" s="86"/>
      <c r="R222" s="59"/>
      <c r="S222" s="59"/>
      <c r="T222" s="59"/>
      <c r="U222" s="59"/>
    </row>
    <row r="223" spans="1:22" ht="30" customHeight="1" outlineLevel="2" x14ac:dyDescent="0.3">
      <c r="A223" s="77" t="s">
        <v>267</v>
      </c>
      <c r="B223" s="77" t="s">
        <v>422</v>
      </c>
      <c r="C223" s="55" t="str">
        <f>VLOOKUP(B223,Tables!$G$2:$H$90,2,FALSE)</f>
        <v>Printer Services</v>
      </c>
      <c r="D223" s="76" t="s">
        <v>166</v>
      </c>
      <c r="E223" s="75">
        <v>414</v>
      </c>
      <c r="F223" s="76" t="s">
        <v>15</v>
      </c>
      <c r="G223" s="50" t="str">
        <f>VLOOKUP(F223,Tables!$D$2:$E$20,2,FALSE)</f>
        <v>PTR</v>
      </c>
      <c r="H223" s="69">
        <v>17099786</v>
      </c>
      <c r="I223" s="71">
        <f t="shared" ref="I223:I230" si="55">SUM(S223-R223)</f>
        <v>7634</v>
      </c>
      <c r="J223" s="71">
        <f t="shared" ref="J223:J230" si="56">SUM(U223-T223)</f>
        <v>0</v>
      </c>
      <c r="K223" s="73">
        <f t="shared" ref="K223:K230" si="57">SUM(I223*$P223)</f>
        <v>200.01080000000002</v>
      </c>
      <c r="L223" s="73">
        <f t="shared" ref="L223:L230" si="58">SUM(J223*$Q223)</f>
        <v>0</v>
      </c>
      <c r="M223" s="74">
        <f t="shared" ref="M223:M230" si="59">K223+L223</f>
        <v>200.01080000000002</v>
      </c>
      <c r="N223" s="76" t="s">
        <v>459</v>
      </c>
      <c r="O223" s="76" t="s">
        <v>460</v>
      </c>
      <c r="P223" s="51">
        <f>IF(G223="MFP",Tables!$B$2,Tables!$B$5)</f>
        <v>2.6200000000000001E-2</v>
      </c>
      <c r="Q223" s="86">
        <f>IF(G223="MFP",Tables!$B$3,Tables!$B$6)</f>
        <v>0.11799999999999999</v>
      </c>
      <c r="R223" s="59">
        <f>VLOOKUP($N223,'Meter Comparison'!$C$2:$G$314,2,FALSE)</f>
        <v>26000</v>
      </c>
      <c r="S223" s="59">
        <f>VLOOKUP($N223,'Meter Comparison'!$C$2:$G$314,3,FALSE)</f>
        <v>33634</v>
      </c>
      <c r="T223" s="59">
        <f>VLOOKUP($N223,'Meter Comparison'!$C$2:$G$314,4,FALSE)</f>
        <v>0</v>
      </c>
      <c r="U223" s="59">
        <f>VLOOKUP($N223,'Meter Comparison'!$C$2:$G$314,5,FALSE)</f>
        <v>0</v>
      </c>
    </row>
    <row r="224" spans="1:22" ht="30" customHeight="1" outlineLevel="2" x14ac:dyDescent="0.3">
      <c r="A224" s="77" t="s">
        <v>267</v>
      </c>
      <c r="B224" s="77" t="s">
        <v>422</v>
      </c>
      <c r="C224" s="55" t="str">
        <f>VLOOKUP(B224,Tables!$G$2:$H$90,2,FALSE)</f>
        <v>Printer Services</v>
      </c>
      <c r="D224" s="76" t="s">
        <v>424</v>
      </c>
      <c r="E224" s="75" t="s">
        <v>425</v>
      </c>
      <c r="F224" s="76" t="s">
        <v>407</v>
      </c>
      <c r="G224" s="50" t="str">
        <f>VLOOKUP(F224,Tables!$D$2:$E$20,2,FALSE)</f>
        <v>MFP</v>
      </c>
      <c r="H224" s="69">
        <v>17099482</v>
      </c>
      <c r="I224" s="71">
        <f t="shared" si="55"/>
        <v>27447</v>
      </c>
      <c r="J224" s="71">
        <f t="shared" si="56"/>
        <v>0</v>
      </c>
      <c r="K224" s="73">
        <f t="shared" si="57"/>
        <v>568.15290000000005</v>
      </c>
      <c r="L224" s="73">
        <f t="shared" si="58"/>
        <v>0</v>
      </c>
      <c r="M224" s="74">
        <f t="shared" si="59"/>
        <v>568.15290000000005</v>
      </c>
      <c r="N224" s="76" t="s">
        <v>428</v>
      </c>
      <c r="O224" s="76" t="s">
        <v>429</v>
      </c>
      <c r="P224" s="51">
        <f>IF(G224="MFP",Tables!$B$2,Tables!$B$5)</f>
        <v>2.07E-2</v>
      </c>
      <c r="Q224" s="86">
        <f>IF(G224="MFP",Tables!$B$3,Tables!$B$6)</f>
        <v>8.6999999999999994E-2</v>
      </c>
      <c r="R224" s="59">
        <f>VLOOKUP($N224,'Meter Comparison'!$C$2:$G$314,2,FALSE)</f>
        <v>205159</v>
      </c>
      <c r="S224" s="59">
        <f>VLOOKUP($N224,'Meter Comparison'!$C$2:$G$314,3,FALSE)</f>
        <v>232606</v>
      </c>
      <c r="T224" s="59">
        <f>VLOOKUP($N224,'Meter Comparison'!$C$2:$G$314,4,FALSE)</f>
        <v>0</v>
      </c>
      <c r="U224" s="59">
        <f>VLOOKUP($N224,'Meter Comparison'!$C$2:$G$314,5,FALSE)</f>
        <v>0</v>
      </c>
    </row>
    <row r="225" spans="1:22" ht="30" customHeight="1" outlineLevel="2" x14ac:dyDescent="0.3">
      <c r="A225" s="77" t="s">
        <v>267</v>
      </c>
      <c r="B225" s="77" t="s">
        <v>422</v>
      </c>
      <c r="C225" s="55" t="str">
        <f>VLOOKUP(B225,Tables!$G$2:$H$90,2,FALSE)</f>
        <v>Printer Services</v>
      </c>
      <c r="D225" s="76" t="s">
        <v>424</v>
      </c>
      <c r="E225" s="75" t="s">
        <v>425</v>
      </c>
      <c r="F225" s="76" t="s">
        <v>407</v>
      </c>
      <c r="G225" s="50" t="str">
        <f>VLOOKUP(F225,Tables!$D$2:$E$20,2,FALSE)</f>
        <v>MFP</v>
      </c>
      <c r="H225" s="69">
        <v>17099483</v>
      </c>
      <c r="I225" s="71">
        <f t="shared" si="55"/>
        <v>59707</v>
      </c>
      <c r="J225" s="71">
        <f t="shared" si="56"/>
        <v>0</v>
      </c>
      <c r="K225" s="73">
        <f t="shared" si="57"/>
        <v>1235.9349</v>
      </c>
      <c r="L225" s="73">
        <f t="shared" si="58"/>
        <v>0</v>
      </c>
      <c r="M225" s="74">
        <f t="shared" si="59"/>
        <v>1235.9349</v>
      </c>
      <c r="N225" s="76" t="s">
        <v>426</v>
      </c>
      <c r="O225" s="76" t="s">
        <v>427</v>
      </c>
      <c r="P225" s="51">
        <f>IF(G225="MFP",Tables!$B$2,Tables!$B$5)</f>
        <v>2.07E-2</v>
      </c>
      <c r="Q225" s="86">
        <f>IF(G225="MFP",Tables!$B$3,Tables!$B$6)</f>
        <v>8.6999999999999994E-2</v>
      </c>
      <c r="R225" s="59">
        <f>VLOOKUP($N225,'Meter Comparison'!$C$2:$G$314,2,FALSE)</f>
        <v>257652</v>
      </c>
      <c r="S225" s="59">
        <f>VLOOKUP($N225,'Meter Comparison'!$C$2:$G$314,3,FALSE)</f>
        <v>317359</v>
      </c>
      <c r="T225" s="59">
        <f>VLOOKUP($N225,'Meter Comparison'!$C$2:$G$314,4,FALSE)</f>
        <v>0</v>
      </c>
      <c r="U225" s="59">
        <f>VLOOKUP($N225,'Meter Comparison'!$C$2:$G$314,5,FALSE)</f>
        <v>0</v>
      </c>
    </row>
    <row r="226" spans="1:22" ht="30" customHeight="1" outlineLevel="2" x14ac:dyDescent="0.3">
      <c r="A226" s="77" t="s">
        <v>267</v>
      </c>
      <c r="B226" s="77" t="s">
        <v>422</v>
      </c>
      <c r="C226" s="55" t="str">
        <f>VLOOKUP(B226,Tables!$G$2:$H$90,2,FALSE)</f>
        <v>Printer Services</v>
      </c>
      <c r="D226" s="76" t="s">
        <v>82</v>
      </c>
      <c r="E226" s="75">
        <v>304</v>
      </c>
      <c r="F226" s="76" t="s">
        <v>15</v>
      </c>
      <c r="G226" s="50" t="str">
        <f>VLOOKUP(F226,Tables!$D$2:$E$20,2,FALSE)</f>
        <v>PTR</v>
      </c>
      <c r="H226" s="69">
        <v>17099645</v>
      </c>
      <c r="I226" s="71">
        <f t="shared" si="55"/>
        <v>403</v>
      </c>
      <c r="J226" s="71">
        <f t="shared" si="56"/>
        <v>0</v>
      </c>
      <c r="K226" s="73">
        <f t="shared" si="57"/>
        <v>10.5586</v>
      </c>
      <c r="L226" s="73">
        <f t="shared" si="58"/>
        <v>0</v>
      </c>
      <c r="M226" s="74">
        <f t="shared" si="59"/>
        <v>10.5586</v>
      </c>
      <c r="N226" s="76" t="s">
        <v>455</v>
      </c>
      <c r="O226" s="76" t="s">
        <v>456</v>
      </c>
      <c r="P226" s="51">
        <f>IF(G226="MFP",Tables!$B$2,Tables!$B$5)</f>
        <v>2.6200000000000001E-2</v>
      </c>
      <c r="Q226" s="86">
        <f>IF(G226="MFP",Tables!$B$3,Tables!$B$6)</f>
        <v>0.11799999999999999</v>
      </c>
      <c r="R226" s="59">
        <f>VLOOKUP($N226,'Meter Comparison'!$C$2:$G$314,2,FALSE)</f>
        <v>1140</v>
      </c>
      <c r="S226" s="59">
        <f>VLOOKUP($N226,'Meter Comparison'!$C$2:$G$314,3,FALSE)</f>
        <v>1543</v>
      </c>
      <c r="T226" s="59">
        <f>VLOOKUP($N226,'Meter Comparison'!$C$2:$G$314,4,FALSE)</f>
        <v>0</v>
      </c>
      <c r="U226" s="59">
        <f>VLOOKUP($N226,'Meter Comparison'!$C$2:$G$314,5,FALSE)</f>
        <v>0</v>
      </c>
    </row>
    <row r="227" spans="1:22" ht="30" customHeight="1" outlineLevel="2" x14ac:dyDescent="0.3">
      <c r="A227" s="55" t="s">
        <v>267</v>
      </c>
      <c r="B227" s="55" t="s">
        <v>422</v>
      </c>
      <c r="C227" s="55" t="str">
        <f>VLOOKUP(B227,Tables!$G$2:$H$90,2,FALSE)</f>
        <v>Printer Services</v>
      </c>
      <c r="D227" s="56" t="s">
        <v>82</v>
      </c>
      <c r="E227" s="114">
        <v>348</v>
      </c>
      <c r="F227" s="56" t="s">
        <v>90</v>
      </c>
      <c r="G227" s="50" t="str">
        <f>VLOOKUP(F227,Tables!$D$2:$E$20,2,FALSE)</f>
        <v>PTR</v>
      </c>
      <c r="H227" s="105">
        <v>17099740</v>
      </c>
      <c r="I227" s="106">
        <f t="shared" si="55"/>
        <v>0</v>
      </c>
      <c r="J227" s="106">
        <f t="shared" si="56"/>
        <v>0</v>
      </c>
      <c r="K227" s="107">
        <f t="shared" si="57"/>
        <v>0</v>
      </c>
      <c r="L227" s="107">
        <f t="shared" si="58"/>
        <v>0</v>
      </c>
      <c r="M227" s="108">
        <f t="shared" si="59"/>
        <v>0</v>
      </c>
      <c r="N227" s="56" t="s">
        <v>91</v>
      </c>
      <c r="O227" s="56" t="s">
        <v>92</v>
      </c>
      <c r="P227" s="51">
        <f>IF(G227="MFP",Tables!$B$2,Tables!$B$5)</f>
        <v>2.6200000000000001E-2</v>
      </c>
      <c r="Q227" s="86">
        <f>IF(G227="MFP",Tables!$B$3,Tables!$B$6)</f>
        <v>0.11799999999999999</v>
      </c>
      <c r="R227" s="59">
        <f>VLOOKUP($N227,'Meter Comparison'!$C$2:$G$314,2,FALSE)</f>
        <v>0</v>
      </c>
      <c r="S227" s="59">
        <f>VLOOKUP($N227,'Meter Comparison'!$C$2:$G$314,3,FALSE)</f>
        <v>0</v>
      </c>
      <c r="T227" s="59">
        <f>VLOOKUP($N227,'Meter Comparison'!$C$2:$G$314,4,FALSE)</f>
        <v>0</v>
      </c>
      <c r="U227" s="59">
        <f>VLOOKUP($N227,'Meter Comparison'!$C$2:$G$314,5,FALSE)</f>
        <v>0</v>
      </c>
    </row>
    <row r="228" spans="1:22" ht="30" customHeight="1" outlineLevel="2" x14ac:dyDescent="0.3">
      <c r="A228" s="55" t="s">
        <v>267</v>
      </c>
      <c r="B228" s="55" t="s">
        <v>422</v>
      </c>
      <c r="C228" s="55" t="str">
        <f>VLOOKUP(B228,Tables!$G$2:$H$90,2,FALSE)</f>
        <v>Printer Services</v>
      </c>
      <c r="D228" s="56" t="s">
        <v>82</v>
      </c>
      <c r="E228" s="114">
        <v>348</v>
      </c>
      <c r="F228" s="56" t="s">
        <v>90</v>
      </c>
      <c r="G228" s="50" t="str">
        <f>VLOOKUP(F228,Tables!$D$2:$E$20,2,FALSE)</f>
        <v>PTR</v>
      </c>
      <c r="H228" s="105">
        <v>17099522</v>
      </c>
      <c r="I228" s="106">
        <f t="shared" si="55"/>
        <v>0</v>
      </c>
      <c r="J228" s="106">
        <f t="shared" si="56"/>
        <v>0</v>
      </c>
      <c r="K228" s="107">
        <f t="shared" si="57"/>
        <v>0</v>
      </c>
      <c r="L228" s="107">
        <f t="shared" si="58"/>
        <v>0</v>
      </c>
      <c r="M228" s="108">
        <f t="shared" si="59"/>
        <v>0</v>
      </c>
      <c r="N228" s="56" t="s">
        <v>312</v>
      </c>
      <c r="O228" s="56"/>
      <c r="P228" s="51">
        <f>IF(G228="MFP",Tables!$B$2,Tables!$B$5)</f>
        <v>2.6200000000000001E-2</v>
      </c>
      <c r="Q228" s="86">
        <f>IF(G228="MFP",Tables!$B$3,Tables!$B$6)</f>
        <v>0.11799999999999999</v>
      </c>
      <c r="R228" s="59">
        <f>VLOOKUP($N228,'Meter Comparison'!$C$2:$G$314,2,FALSE)</f>
        <v>0</v>
      </c>
      <c r="S228" s="59">
        <f>VLOOKUP($N228,'Meter Comparison'!$C$2:$G$314,3,FALSE)</f>
        <v>0</v>
      </c>
      <c r="T228" s="59">
        <f>VLOOKUP($N228,'Meter Comparison'!$C$2:$G$314,4,FALSE)</f>
        <v>0</v>
      </c>
      <c r="U228" s="59">
        <f>VLOOKUP($N228,'Meter Comparison'!$C$2:$G$314,5,FALSE)</f>
        <v>0</v>
      </c>
    </row>
    <row r="229" spans="1:22" ht="30" customHeight="1" outlineLevel="2" x14ac:dyDescent="0.3">
      <c r="A229" s="77" t="s">
        <v>267</v>
      </c>
      <c r="B229" s="77" t="s">
        <v>422</v>
      </c>
      <c r="C229" s="55" t="str">
        <f>VLOOKUP(B229,Tables!$G$2:$H$90,2,FALSE)</f>
        <v>Printer Services</v>
      </c>
      <c r="D229" s="76" t="s">
        <v>82</v>
      </c>
      <c r="E229" s="75">
        <v>343</v>
      </c>
      <c r="F229" s="76" t="s">
        <v>15</v>
      </c>
      <c r="G229" s="50" t="str">
        <f>VLOOKUP(F229,Tables!$D$2:$E$20,2,FALSE)</f>
        <v>PTR</v>
      </c>
      <c r="H229" s="69">
        <v>17099575</v>
      </c>
      <c r="I229" s="71">
        <f t="shared" si="55"/>
        <v>299</v>
      </c>
      <c r="J229" s="71">
        <f t="shared" si="56"/>
        <v>0</v>
      </c>
      <c r="K229" s="73">
        <f t="shared" si="57"/>
        <v>7.8338000000000001</v>
      </c>
      <c r="L229" s="73">
        <f t="shared" si="58"/>
        <v>0</v>
      </c>
      <c r="M229" s="74">
        <f t="shared" si="59"/>
        <v>7.8338000000000001</v>
      </c>
      <c r="N229" s="76" t="s">
        <v>354</v>
      </c>
      <c r="O229" s="76"/>
      <c r="P229" s="51">
        <f>IF(G229="MFP",Tables!$B$2,Tables!$B$5)</f>
        <v>2.6200000000000001E-2</v>
      </c>
      <c r="Q229" s="86">
        <f>IF(G229="MFP",Tables!$B$3,Tables!$B$6)</f>
        <v>0.11799999999999999</v>
      </c>
      <c r="R229" s="59">
        <f>VLOOKUP($N229,'Meter Comparison'!$C$2:$G$314,2,FALSE)</f>
        <v>2284</v>
      </c>
      <c r="S229" s="59">
        <f>VLOOKUP($N229,'Meter Comparison'!$C$2:$G$314,3,FALSE)</f>
        <v>2583</v>
      </c>
      <c r="T229" s="59">
        <f>VLOOKUP($N229,'Meter Comparison'!$C$2:$G$314,4,FALSE)</f>
        <v>0</v>
      </c>
      <c r="U229" s="59">
        <f>VLOOKUP($N229,'Meter Comparison'!$C$2:$G$314,5,FALSE)</f>
        <v>0</v>
      </c>
    </row>
    <row r="230" spans="1:22" ht="30" customHeight="1" outlineLevel="2" x14ac:dyDescent="0.3">
      <c r="A230" s="55" t="s">
        <v>267</v>
      </c>
      <c r="B230" s="55" t="s">
        <v>422</v>
      </c>
      <c r="C230" s="55" t="str">
        <f>VLOOKUP(B230,Tables!$G$2:$H$90,2,FALSE)</f>
        <v>Printer Services</v>
      </c>
      <c r="D230" s="58" t="s">
        <v>96</v>
      </c>
      <c r="E230" s="120">
        <v>117</v>
      </c>
      <c r="F230" s="58" t="s">
        <v>15</v>
      </c>
      <c r="G230" s="50" t="str">
        <f>VLOOKUP(F230,Tables!$D$2:$E$20,2,FALSE)</f>
        <v>PTR</v>
      </c>
      <c r="H230" s="105">
        <v>17099501</v>
      </c>
      <c r="I230" s="106">
        <f t="shared" si="55"/>
        <v>1835</v>
      </c>
      <c r="J230" s="71">
        <f t="shared" si="56"/>
        <v>0</v>
      </c>
      <c r="K230" s="73">
        <f t="shared" si="57"/>
        <v>48.077000000000005</v>
      </c>
      <c r="L230" s="73">
        <f t="shared" si="58"/>
        <v>0</v>
      </c>
      <c r="M230" s="74">
        <f t="shared" si="59"/>
        <v>48.077000000000005</v>
      </c>
      <c r="N230" s="58" t="s">
        <v>760</v>
      </c>
      <c r="O230" s="58" t="s">
        <v>761</v>
      </c>
      <c r="P230" s="51">
        <f>IF(G230="MFP",Tables!$B$2,Tables!$B$5)</f>
        <v>2.6200000000000001E-2</v>
      </c>
      <c r="Q230" s="86">
        <f>IF(G230="MFP",Tables!$B$3,Tables!$B$6)</f>
        <v>0.11799999999999999</v>
      </c>
      <c r="R230" s="59">
        <f>VLOOKUP($N230,'Meter Comparison'!$C$2:$G$314,2,FALSE)</f>
        <v>34719</v>
      </c>
      <c r="S230" s="59">
        <f>VLOOKUP($N230,'Meter Comparison'!$C$2:$G$314,3,FALSE)</f>
        <v>36554</v>
      </c>
      <c r="T230" s="59">
        <f>VLOOKUP($N230,'Meter Comparison'!$C$2:$G$314,4,FALSE)</f>
        <v>0</v>
      </c>
      <c r="U230" s="59">
        <f>VLOOKUP($N230,'Meter Comparison'!$C$2:$G$314,5,FALSE)</f>
        <v>0</v>
      </c>
    </row>
    <row r="231" spans="1:22" ht="30" customHeight="1" outlineLevel="1" x14ac:dyDescent="0.3">
      <c r="A231" s="55"/>
      <c r="B231" s="161" t="s">
        <v>1053</v>
      </c>
      <c r="C231" s="55"/>
      <c r="D231" s="58"/>
      <c r="E231" s="120"/>
      <c r="F231" s="58"/>
      <c r="G231" s="50"/>
      <c r="H231" s="105"/>
      <c r="I231" s="106"/>
      <c r="J231" s="71"/>
      <c r="K231" s="73"/>
      <c r="L231" s="73"/>
      <c r="M231" s="74">
        <f>SUBTOTAL(9,M223:M230)</f>
        <v>2070.5680000000002</v>
      </c>
      <c r="N231" s="58"/>
      <c r="O231" s="58"/>
      <c r="P231" s="51"/>
      <c r="Q231" s="86"/>
      <c r="R231" s="59"/>
      <c r="S231" s="59"/>
      <c r="T231" s="59"/>
      <c r="U231" s="59"/>
    </row>
    <row r="232" spans="1:22" ht="30" customHeight="1" outlineLevel="2" x14ac:dyDescent="0.3">
      <c r="A232" s="77" t="s">
        <v>808</v>
      </c>
      <c r="B232" s="77" t="s">
        <v>807</v>
      </c>
      <c r="C232" s="55" t="str">
        <f>VLOOKUP(B232,Tables!$G$2:$H$90,2,FALSE)</f>
        <v>Institute Planning</v>
      </c>
      <c r="D232" s="76" t="s">
        <v>665</v>
      </c>
      <c r="E232" s="75">
        <v>301</v>
      </c>
      <c r="F232" s="76" t="s">
        <v>15</v>
      </c>
      <c r="G232" s="50" t="str">
        <f>VLOOKUP(F232,Tables!$D$2:$E$20,2,FALSE)</f>
        <v>PTR</v>
      </c>
      <c r="H232" s="69">
        <v>17099561</v>
      </c>
      <c r="I232" s="71">
        <f>SUM(S232-R232)</f>
        <v>309</v>
      </c>
      <c r="J232" s="71">
        <f>SUM(U232-T232)</f>
        <v>0</v>
      </c>
      <c r="K232" s="73">
        <f>SUM(I232*$P232)</f>
        <v>8.0958000000000006</v>
      </c>
      <c r="L232" s="73">
        <f>SUM(J232*$Q232)</f>
        <v>0</v>
      </c>
      <c r="M232" s="74">
        <f>K232+L232</f>
        <v>8.0958000000000006</v>
      </c>
      <c r="N232" s="76" t="s">
        <v>514</v>
      </c>
      <c r="O232" s="76" t="s">
        <v>515</v>
      </c>
      <c r="P232" s="51">
        <f>IF(G232="MFP",Tables!$B$2,Tables!$B$5)</f>
        <v>2.6200000000000001E-2</v>
      </c>
      <c r="Q232" s="86">
        <f>IF(G232="MFP",Tables!$B$3,Tables!$B$6)</f>
        <v>0.11799999999999999</v>
      </c>
      <c r="R232" s="59">
        <f>VLOOKUP($N232,'Meter Comparison'!$C$2:$G$314,2,FALSE)</f>
        <v>1993</v>
      </c>
      <c r="S232" s="59">
        <f>VLOOKUP($N232,'Meter Comparison'!$C$2:$G$314,3,FALSE)</f>
        <v>2302</v>
      </c>
      <c r="T232" s="59">
        <f>VLOOKUP($N232,'Meter Comparison'!$C$2:$G$314,4,FALSE)</f>
        <v>0</v>
      </c>
      <c r="U232" s="59">
        <f>VLOOKUP($N232,'Meter Comparison'!$C$2:$G$314,5,FALSE)</f>
        <v>0</v>
      </c>
      <c r="V232" s="126"/>
    </row>
    <row r="233" spans="1:22" ht="30" customHeight="1" outlineLevel="1" x14ac:dyDescent="0.3">
      <c r="A233" s="77"/>
      <c r="B233" s="160" t="s">
        <v>1067</v>
      </c>
      <c r="C233" s="55"/>
      <c r="D233" s="76"/>
      <c r="E233" s="75"/>
      <c r="F233" s="76"/>
      <c r="G233" s="50"/>
      <c r="H233" s="69"/>
      <c r="I233" s="71"/>
      <c r="J233" s="71"/>
      <c r="K233" s="73"/>
      <c r="L233" s="73"/>
      <c r="M233" s="74">
        <f>SUBTOTAL(9,M232:M232)</f>
        <v>8.0958000000000006</v>
      </c>
      <c r="N233" s="76"/>
      <c r="O233" s="76"/>
      <c r="P233" s="51"/>
      <c r="Q233" s="86"/>
      <c r="R233" s="59"/>
      <c r="S233" s="59"/>
      <c r="T233" s="59"/>
      <c r="U233" s="59"/>
      <c r="V233" s="126"/>
    </row>
    <row r="234" spans="1:22" ht="30" customHeight="1" outlineLevel="2" x14ac:dyDescent="0.3">
      <c r="A234" s="77" t="s">
        <v>810</v>
      </c>
      <c r="B234" s="77" t="s">
        <v>483</v>
      </c>
      <c r="C234" s="55" t="str">
        <f>VLOOKUP(B234,Tables!$G$2:$H$90,2,FALSE)</f>
        <v>Institutional Analysis</v>
      </c>
      <c r="D234" s="76" t="s">
        <v>276</v>
      </c>
      <c r="E234" s="75">
        <v>101</v>
      </c>
      <c r="F234" s="76" t="s">
        <v>54</v>
      </c>
      <c r="G234" s="50" t="str">
        <f>VLOOKUP(F234,Tables!$D$2:$E$20,2,FALSE)</f>
        <v>MFP</v>
      </c>
      <c r="H234" s="69">
        <v>17099527</v>
      </c>
      <c r="I234" s="71">
        <f>SUM(S234-R234)</f>
        <v>594</v>
      </c>
      <c r="J234" s="71">
        <f>SUM(U234-T234)</f>
        <v>0</v>
      </c>
      <c r="K234" s="73">
        <f>SUM(I234*$P234)</f>
        <v>12.2958</v>
      </c>
      <c r="L234" s="73">
        <f>SUM(J234*$Q234)</f>
        <v>0</v>
      </c>
      <c r="M234" s="74">
        <f>K234+L234</f>
        <v>12.2958</v>
      </c>
      <c r="N234" s="76" t="s">
        <v>485</v>
      </c>
      <c r="O234" s="76" t="s">
        <v>486</v>
      </c>
      <c r="P234" s="51">
        <f>IF(G234="MFP",Tables!$B$2,Tables!$B$5)</f>
        <v>2.07E-2</v>
      </c>
      <c r="Q234" s="86">
        <f>IF(G234="MFP",Tables!$B$3,Tables!$B$6)</f>
        <v>8.6999999999999994E-2</v>
      </c>
      <c r="R234" s="59">
        <f>VLOOKUP($N234,'Meter Comparison'!$C$2:$G$314,2,FALSE)</f>
        <v>1127</v>
      </c>
      <c r="S234" s="59">
        <f>VLOOKUP($N234,'Meter Comparison'!$C$2:$G$314,3,FALSE)</f>
        <v>1721</v>
      </c>
      <c r="T234" s="59">
        <f>VLOOKUP($N234,'Meter Comparison'!$C$2:$G$314,4,FALSE)</f>
        <v>13</v>
      </c>
      <c r="U234" s="59">
        <f>VLOOKUP($N234,'Meter Comparison'!$C$2:$G$314,5,FALSE)</f>
        <v>13</v>
      </c>
    </row>
    <row r="235" spans="1:22" ht="30" customHeight="1" outlineLevel="1" x14ac:dyDescent="0.3">
      <c r="A235" s="77"/>
      <c r="B235" s="160" t="s">
        <v>1091</v>
      </c>
      <c r="C235" s="55"/>
      <c r="D235" s="76"/>
      <c r="E235" s="75"/>
      <c r="F235" s="76"/>
      <c r="G235" s="50"/>
      <c r="H235" s="69"/>
      <c r="I235" s="71"/>
      <c r="J235" s="71"/>
      <c r="K235" s="73"/>
      <c r="L235" s="73"/>
      <c r="M235" s="74">
        <f>SUBTOTAL(9,M234:M234)</f>
        <v>12.2958</v>
      </c>
      <c r="N235" s="76"/>
      <c r="O235" s="76"/>
      <c r="P235" s="51"/>
      <c r="Q235" s="86"/>
      <c r="R235" s="59"/>
      <c r="S235" s="59"/>
      <c r="T235" s="59"/>
      <c r="U235" s="59"/>
    </row>
    <row r="236" spans="1:22" ht="30" customHeight="1" outlineLevel="2" x14ac:dyDescent="0.3">
      <c r="A236" s="77" t="s">
        <v>155</v>
      </c>
      <c r="B236" s="77" t="s">
        <v>728</v>
      </c>
      <c r="C236" s="55" t="str">
        <f>VLOOKUP(B236,Tables!$G$2:$H$90,2,FALSE)</f>
        <v>International Programs</v>
      </c>
      <c r="D236" s="76" t="s">
        <v>156</v>
      </c>
      <c r="E236" s="75">
        <v>101</v>
      </c>
      <c r="F236" s="76" t="s">
        <v>157</v>
      </c>
      <c r="G236" s="50" t="str">
        <f>VLOOKUP(F236,Tables!$D$2:$E$20,2,FALSE)</f>
        <v>MFP</v>
      </c>
      <c r="H236" s="69">
        <v>17099533</v>
      </c>
      <c r="I236" s="71">
        <f>SUM(S236-R236)</f>
        <v>1031</v>
      </c>
      <c r="J236" s="71">
        <f>SUM(U236-T236)</f>
        <v>0</v>
      </c>
      <c r="K236" s="73">
        <f>SUM(I236*$P236)</f>
        <v>21.341699999999999</v>
      </c>
      <c r="L236" s="73">
        <f>SUM(J236*$Q236)</f>
        <v>0</v>
      </c>
      <c r="M236" s="74">
        <f>K236+L236</f>
        <v>21.341699999999999</v>
      </c>
      <c r="N236" s="76" t="s">
        <v>158</v>
      </c>
      <c r="O236" s="76" t="s">
        <v>159</v>
      </c>
      <c r="P236" s="51">
        <f>IF(G236="MFP",Tables!$B$2,Tables!$B$5)</f>
        <v>2.07E-2</v>
      </c>
      <c r="Q236" s="86">
        <f>IF(G236="MFP",Tables!$B$3,Tables!$B$6)</f>
        <v>8.6999999999999994E-2</v>
      </c>
      <c r="R236" s="59">
        <f>VLOOKUP($N236,'Meter Comparison'!$C$2:$G$314,2,FALSE)</f>
        <v>2780</v>
      </c>
      <c r="S236" s="59">
        <f>VLOOKUP($N236,'Meter Comparison'!$C$2:$G$314,3,FALSE)</f>
        <v>3811</v>
      </c>
      <c r="T236" s="59">
        <f>VLOOKUP($N236,'Meter Comparison'!$C$2:$G$314,4,FALSE)</f>
        <v>0</v>
      </c>
      <c r="U236" s="59">
        <f>VLOOKUP($N236,'Meter Comparison'!$C$2:$G$314,5,FALSE)</f>
        <v>0</v>
      </c>
    </row>
    <row r="237" spans="1:22" ht="30" customHeight="1" outlineLevel="2" x14ac:dyDescent="0.3">
      <c r="A237" s="77" t="s">
        <v>155</v>
      </c>
      <c r="B237" s="77" t="s">
        <v>728</v>
      </c>
      <c r="C237" s="55" t="str">
        <f>VLOOKUP(B237,Tables!$G$2:$H$90,2,FALSE)</f>
        <v>International Programs</v>
      </c>
      <c r="D237" s="76" t="s">
        <v>156</v>
      </c>
      <c r="E237" s="75">
        <v>102</v>
      </c>
      <c r="F237" s="76" t="s">
        <v>90</v>
      </c>
      <c r="G237" s="50" t="str">
        <f>VLOOKUP(F237,Tables!$D$2:$E$20,2,FALSE)</f>
        <v>PTR</v>
      </c>
      <c r="H237" s="69">
        <v>17099693</v>
      </c>
      <c r="I237" s="71">
        <f>SUM(S237-R237)</f>
        <v>441</v>
      </c>
      <c r="J237" s="71">
        <f>SUM(U237-T237)</f>
        <v>149</v>
      </c>
      <c r="K237" s="73">
        <f>SUM(I237*$P237)</f>
        <v>11.5542</v>
      </c>
      <c r="L237" s="73">
        <f>SUM(J237*$Q237)</f>
        <v>17.582000000000001</v>
      </c>
      <c r="M237" s="74">
        <f>K237+L237</f>
        <v>29.136200000000002</v>
      </c>
      <c r="N237" s="57" t="s">
        <v>762</v>
      </c>
      <c r="O237" s="57" t="s">
        <v>763</v>
      </c>
      <c r="P237" s="51">
        <f>IF(G237="MFP",Tables!$B$2,Tables!$B$5)</f>
        <v>2.6200000000000001E-2</v>
      </c>
      <c r="Q237" s="86">
        <f>IF(G237="MFP",Tables!$B$3,Tables!$B$6)</f>
        <v>0.11799999999999999</v>
      </c>
      <c r="R237" s="59">
        <f>VLOOKUP($N237,'Meter Comparison'!$C$2:$G$314,2,FALSE)</f>
        <v>1057</v>
      </c>
      <c r="S237" s="59">
        <f>VLOOKUP($N237,'Meter Comparison'!$C$2:$G$314,3,FALSE)</f>
        <v>1498</v>
      </c>
      <c r="T237" s="59">
        <f>VLOOKUP($N237,'Meter Comparison'!$C$2:$G$314,4,FALSE)</f>
        <v>295</v>
      </c>
      <c r="U237" s="59">
        <f>VLOOKUP($N237,'Meter Comparison'!$C$2:$G$314,5,FALSE)</f>
        <v>444</v>
      </c>
    </row>
    <row r="238" spans="1:22" ht="30" customHeight="1" outlineLevel="1" x14ac:dyDescent="0.3">
      <c r="A238" s="77"/>
      <c r="B238" s="160" t="s">
        <v>1092</v>
      </c>
      <c r="C238" s="55"/>
      <c r="D238" s="76"/>
      <c r="E238" s="75"/>
      <c r="F238" s="76"/>
      <c r="G238" s="50"/>
      <c r="H238" s="69"/>
      <c r="I238" s="71"/>
      <c r="J238" s="71"/>
      <c r="K238" s="73"/>
      <c r="L238" s="73"/>
      <c r="M238" s="74">
        <f>SUBTOTAL(9,M236:M237)</f>
        <v>50.477900000000005</v>
      </c>
      <c r="N238" s="57"/>
      <c r="O238" s="57"/>
      <c r="P238" s="51"/>
      <c r="Q238" s="86"/>
      <c r="R238" s="59"/>
      <c r="S238" s="59"/>
      <c r="T238" s="59"/>
      <c r="U238" s="59"/>
    </row>
    <row r="239" spans="1:22" ht="30" customHeight="1" outlineLevel="2" x14ac:dyDescent="0.3">
      <c r="A239" s="77" t="s">
        <v>153</v>
      </c>
      <c r="B239" s="77" t="s">
        <v>727</v>
      </c>
      <c r="C239" s="55" t="str">
        <f>VLOOKUP(B239,Tables!$G$2:$H$90,2,FALSE)</f>
        <v>International Studies Depart</v>
      </c>
      <c r="D239" s="76" t="s">
        <v>96</v>
      </c>
      <c r="E239" s="75">
        <v>429</v>
      </c>
      <c r="F239" s="76" t="s">
        <v>15</v>
      </c>
      <c r="G239" s="50" t="str">
        <f>VLOOKUP(F239,Tables!$D$2:$E$20,2,FALSE)</f>
        <v>PTR</v>
      </c>
      <c r="H239" s="69">
        <v>17099547</v>
      </c>
      <c r="I239" s="71">
        <f>SUM(S239-R239)</f>
        <v>688</v>
      </c>
      <c r="J239" s="71">
        <f>SUM(U239-T239)</f>
        <v>0</v>
      </c>
      <c r="K239" s="73">
        <f>SUM(I239*$P239)</f>
        <v>18.025600000000001</v>
      </c>
      <c r="L239" s="73">
        <f>SUM(J239*$Q239)</f>
        <v>0</v>
      </c>
      <c r="M239" s="74">
        <f>K239+L239</f>
        <v>18.025600000000001</v>
      </c>
      <c r="N239" s="76" t="s">
        <v>160</v>
      </c>
      <c r="O239" s="76" t="s">
        <v>161</v>
      </c>
      <c r="P239" s="51">
        <f>IF(G239="MFP",Tables!$B$2,Tables!$B$5)</f>
        <v>2.6200000000000001E-2</v>
      </c>
      <c r="Q239" s="86">
        <f>IF(G239="MFP",Tables!$B$3,Tables!$B$6)</f>
        <v>0.11799999999999999</v>
      </c>
      <c r="R239" s="59">
        <f>VLOOKUP($N239,'Meter Comparison'!$C$2:$G$314,2,FALSE)</f>
        <v>4623</v>
      </c>
      <c r="S239" s="59">
        <f>VLOOKUP($N239,'Meter Comparison'!$C$2:$G$314,3,FALSE)</f>
        <v>5311</v>
      </c>
      <c r="T239" s="59">
        <f>VLOOKUP($N239,'Meter Comparison'!$C$2:$G$314,4,FALSE)</f>
        <v>0</v>
      </c>
      <c r="U239" s="59">
        <f>VLOOKUP($N239,'Meter Comparison'!$C$2:$G$314,5,FALSE)</f>
        <v>0</v>
      </c>
    </row>
    <row r="240" spans="1:22" ht="30" customHeight="1" outlineLevel="2" x14ac:dyDescent="0.3">
      <c r="A240" s="77" t="s">
        <v>153</v>
      </c>
      <c r="B240" s="77" t="s">
        <v>727</v>
      </c>
      <c r="C240" s="55" t="str">
        <f>VLOOKUP(B240,Tables!$G$2:$H$90,2,FALSE)</f>
        <v>International Studies Depart</v>
      </c>
      <c r="D240" s="76" t="s">
        <v>96</v>
      </c>
      <c r="E240" s="75">
        <v>432</v>
      </c>
      <c r="F240" s="57" t="s">
        <v>15</v>
      </c>
      <c r="G240" s="50" t="str">
        <f>VLOOKUP(F240,Tables!$D$2:$E$20,2,FALSE)</f>
        <v>PTR</v>
      </c>
      <c r="H240" s="69">
        <v>17099549</v>
      </c>
      <c r="I240" s="71">
        <f>SUM(S240-R240)</f>
        <v>3345</v>
      </c>
      <c r="J240" s="71">
        <f>SUM(U240-T240)</f>
        <v>0</v>
      </c>
      <c r="K240" s="73">
        <f>SUM(I240*$P240)</f>
        <v>87.63900000000001</v>
      </c>
      <c r="L240" s="73">
        <f>SUM(J240*$Q240)</f>
        <v>0</v>
      </c>
      <c r="M240" s="74">
        <f>K240+L240</f>
        <v>87.63900000000001</v>
      </c>
      <c r="N240" s="57" t="s">
        <v>766</v>
      </c>
      <c r="O240" s="57" t="s">
        <v>767</v>
      </c>
      <c r="P240" s="51">
        <f>IF(G240="MFP",Tables!$B$2,Tables!$B$5)</f>
        <v>2.6200000000000001E-2</v>
      </c>
      <c r="Q240" s="86">
        <f>IF(G240="MFP",Tables!$B$3,Tables!$B$6)</f>
        <v>0.11799999999999999</v>
      </c>
      <c r="R240" s="59">
        <f>VLOOKUP($N240,'Meter Comparison'!$C$2:$G$314,2,FALSE)</f>
        <v>6360</v>
      </c>
      <c r="S240" s="59">
        <f>VLOOKUP($N240,'Meter Comparison'!$C$2:$G$314,3,FALSE)</f>
        <v>9705</v>
      </c>
      <c r="T240" s="59">
        <f>VLOOKUP($N240,'Meter Comparison'!$C$2:$G$314,4,FALSE)</f>
        <v>0</v>
      </c>
      <c r="U240" s="59">
        <f>VLOOKUP($N240,'Meter Comparison'!$C$2:$G$314,5,FALSE)</f>
        <v>0</v>
      </c>
    </row>
    <row r="241" spans="1:21" ht="30" customHeight="1" outlineLevel="2" x14ac:dyDescent="0.3">
      <c r="A241" s="77" t="s">
        <v>153</v>
      </c>
      <c r="B241" s="77" t="s">
        <v>727</v>
      </c>
      <c r="C241" s="55" t="str">
        <f>VLOOKUP(B241,Tables!$G$2:$H$90,2,FALSE)</f>
        <v>International Studies Depart</v>
      </c>
      <c r="D241" s="76" t="s">
        <v>96</v>
      </c>
      <c r="E241" s="75">
        <v>434</v>
      </c>
      <c r="F241" s="76" t="s">
        <v>15</v>
      </c>
      <c r="G241" s="50" t="str">
        <f>VLOOKUP(F241,Tables!$D$2:$E$20,2,FALSE)</f>
        <v>PTR</v>
      </c>
      <c r="H241" s="69">
        <v>17099550</v>
      </c>
      <c r="I241" s="71">
        <f>SUM(S241-R241)</f>
        <v>164</v>
      </c>
      <c r="J241" s="71">
        <f>SUM(U241-T241)</f>
        <v>0</v>
      </c>
      <c r="K241" s="73">
        <f>SUM(I241*$P241)</f>
        <v>4.2968000000000002</v>
      </c>
      <c r="L241" s="73">
        <f>SUM(J241*$Q241)</f>
        <v>0</v>
      </c>
      <c r="M241" s="74">
        <f>K241+L241</f>
        <v>4.2968000000000002</v>
      </c>
      <c r="N241" s="76" t="s">
        <v>162</v>
      </c>
      <c r="O241" s="76" t="s">
        <v>163</v>
      </c>
      <c r="P241" s="51">
        <f>IF(G241="MFP",Tables!$B$2,Tables!$B$5)</f>
        <v>2.6200000000000001E-2</v>
      </c>
      <c r="Q241" s="86">
        <f>IF(G241="MFP",Tables!$B$3,Tables!$B$6)</f>
        <v>0.11799999999999999</v>
      </c>
      <c r="R241" s="59">
        <f>VLOOKUP($N241,'Meter Comparison'!$C$2:$G$314,2,FALSE)</f>
        <v>1064</v>
      </c>
      <c r="S241" s="59">
        <f>VLOOKUP($N241,'Meter Comparison'!$C$2:$G$314,3,FALSE)</f>
        <v>1228</v>
      </c>
      <c r="T241" s="59">
        <f>VLOOKUP($N241,'Meter Comparison'!$C$2:$G$314,4,FALSE)</f>
        <v>0</v>
      </c>
      <c r="U241" s="59">
        <f>VLOOKUP($N241,'Meter Comparison'!$C$2:$G$314,5,FALSE)</f>
        <v>0</v>
      </c>
    </row>
    <row r="242" spans="1:21" ht="30" customHeight="1" outlineLevel="2" x14ac:dyDescent="0.3">
      <c r="A242" s="77" t="s">
        <v>153</v>
      </c>
      <c r="B242" s="77" t="s">
        <v>727</v>
      </c>
      <c r="C242" s="55" t="str">
        <f>VLOOKUP(B242,Tables!$G$2:$H$90,2,FALSE)</f>
        <v>International Studies Depart</v>
      </c>
      <c r="D242" s="76" t="s">
        <v>96</v>
      </c>
      <c r="E242" s="75">
        <v>444</v>
      </c>
      <c r="F242" s="57" t="s">
        <v>764</v>
      </c>
      <c r="G242" s="50" t="str">
        <f>VLOOKUP(F242,Tables!$D$2:$E$20,2,FALSE)</f>
        <v>MFP</v>
      </c>
      <c r="H242" s="69">
        <v>17099404</v>
      </c>
      <c r="I242" s="71">
        <f>SUM(S242-R242)</f>
        <v>9213</v>
      </c>
      <c r="J242" s="71">
        <f>SUM(U242-T242)</f>
        <v>156</v>
      </c>
      <c r="K242" s="73">
        <f>SUM(I242*$P242)</f>
        <v>190.70910000000001</v>
      </c>
      <c r="L242" s="73">
        <f>SUM(J242*$Q242)</f>
        <v>13.571999999999999</v>
      </c>
      <c r="M242" s="74">
        <f>K242+L242</f>
        <v>204.28110000000001</v>
      </c>
      <c r="N242" s="57" t="s">
        <v>765</v>
      </c>
      <c r="O242" s="57" t="s">
        <v>189</v>
      </c>
      <c r="P242" s="51">
        <f>IF(G242="MFP",Tables!$B$2,Tables!$B$5)</f>
        <v>2.07E-2</v>
      </c>
      <c r="Q242" s="86">
        <f>IF(G242="MFP",Tables!$B$3,Tables!$B$6)</f>
        <v>8.6999999999999994E-2</v>
      </c>
      <c r="R242" s="59">
        <f>VLOOKUP($N242,'Meter Comparison'!$C$2:$G$314,2,FALSE)</f>
        <v>53561</v>
      </c>
      <c r="S242" s="59">
        <f>VLOOKUP($N242,'Meter Comparison'!$C$2:$G$314,3,FALSE)</f>
        <v>62774</v>
      </c>
      <c r="T242" s="59">
        <f>VLOOKUP($N242,'Meter Comparison'!$C$2:$G$314,4,FALSE)</f>
        <v>1579</v>
      </c>
      <c r="U242" s="59">
        <f>VLOOKUP($N242,'Meter Comparison'!$C$2:$G$314,5,FALSE)</f>
        <v>1735</v>
      </c>
    </row>
    <row r="243" spans="1:21" ht="30" customHeight="1" outlineLevel="1" x14ac:dyDescent="0.3">
      <c r="A243" s="77"/>
      <c r="B243" s="160" t="s">
        <v>1093</v>
      </c>
      <c r="C243" s="55"/>
      <c r="D243" s="76"/>
      <c r="E243" s="75"/>
      <c r="F243" s="57"/>
      <c r="G243" s="50"/>
      <c r="H243" s="69"/>
      <c r="I243" s="71"/>
      <c r="J243" s="71"/>
      <c r="K243" s="73"/>
      <c r="L243" s="73"/>
      <c r="M243" s="74">
        <f>SUBTOTAL(9,M239:M242)</f>
        <v>314.24250000000001</v>
      </c>
      <c r="N243" s="57"/>
      <c r="O243" s="57"/>
      <c r="P243" s="51"/>
      <c r="Q243" s="86"/>
      <c r="R243" s="59"/>
      <c r="S243" s="59"/>
      <c r="T243" s="59"/>
      <c r="U243" s="59"/>
    </row>
    <row r="244" spans="1:21" ht="30" customHeight="1" outlineLevel="2" x14ac:dyDescent="0.3">
      <c r="A244" s="77" t="s">
        <v>556</v>
      </c>
      <c r="B244" s="77" t="s">
        <v>557</v>
      </c>
      <c r="C244" s="55" t="str">
        <f>VLOOKUP(B244,Tables!$G$2:$H$90,2,FALSE)</f>
        <v>AUX-Laundry &amp; Pressing</v>
      </c>
      <c r="D244" s="76" t="s">
        <v>550</v>
      </c>
      <c r="E244" s="75">
        <v>201</v>
      </c>
      <c r="F244" s="76" t="s">
        <v>90</v>
      </c>
      <c r="G244" s="50" t="str">
        <f>VLOOKUP(F244,Tables!$D$2:$E$20,2,FALSE)</f>
        <v>PTR</v>
      </c>
      <c r="H244" s="69">
        <v>17099622</v>
      </c>
      <c r="I244" s="71">
        <f>SUM(S244-R244)</f>
        <v>2</v>
      </c>
      <c r="J244" s="71">
        <f>SUM(U244-T244)</f>
        <v>42</v>
      </c>
      <c r="K244" s="73">
        <f>SUM(I244*$P244)</f>
        <v>5.2400000000000002E-2</v>
      </c>
      <c r="L244" s="73">
        <f>SUM(J244*$Q244)</f>
        <v>4.9559999999999995</v>
      </c>
      <c r="M244" s="74">
        <f>K244+L244</f>
        <v>5.0084</v>
      </c>
      <c r="N244" s="76" t="s">
        <v>561</v>
      </c>
      <c r="O244" s="76" t="s">
        <v>562</v>
      </c>
      <c r="P244" s="51">
        <f>IF(G244="MFP",Tables!$B$2,Tables!$B$5)</f>
        <v>2.6200000000000001E-2</v>
      </c>
      <c r="Q244" s="86">
        <f>IF(G244="MFP",Tables!$B$3,Tables!$B$6)</f>
        <v>0.11799999999999999</v>
      </c>
      <c r="R244" s="59">
        <f>VLOOKUP($N244,'Meter Comparison'!$C$2:$G$314,2,FALSE)</f>
        <v>90</v>
      </c>
      <c r="S244" s="59">
        <f>VLOOKUP($N244,'Meter Comparison'!$C$2:$G$314,3,FALSE)</f>
        <v>92</v>
      </c>
      <c r="T244" s="59">
        <f>VLOOKUP($N244,'Meter Comparison'!$C$2:$G$314,4,FALSE)</f>
        <v>75</v>
      </c>
      <c r="U244" s="59">
        <f>VLOOKUP($N244,'Meter Comparison'!$C$2:$G$314,5,FALSE)</f>
        <v>117</v>
      </c>
    </row>
    <row r="245" spans="1:21" ht="30" customHeight="1" outlineLevel="2" x14ac:dyDescent="0.3">
      <c r="A245" s="77" t="s">
        <v>556</v>
      </c>
      <c r="B245" s="77" t="s">
        <v>557</v>
      </c>
      <c r="C245" s="55" t="str">
        <f>VLOOKUP(B245,Tables!$G$2:$H$90,2,FALSE)</f>
        <v>AUX-Laundry &amp; Pressing</v>
      </c>
      <c r="D245" s="76" t="s">
        <v>550</v>
      </c>
      <c r="E245" s="75">
        <v>201</v>
      </c>
      <c r="F245" s="76" t="s">
        <v>157</v>
      </c>
      <c r="G245" s="50" t="str">
        <f>VLOOKUP(F245,Tables!$D$2:$E$20,2,FALSE)</f>
        <v>MFP</v>
      </c>
      <c r="H245" s="69">
        <v>17099401</v>
      </c>
      <c r="I245" s="71">
        <f>SUM(S245-R245)</f>
        <v>1135</v>
      </c>
      <c r="J245" s="71">
        <f>SUM(U245-T245)</f>
        <v>0</v>
      </c>
      <c r="K245" s="73">
        <f>SUM(I245*$P245)</f>
        <v>23.494499999999999</v>
      </c>
      <c r="L245" s="73">
        <f>SUM(J245*$Q245)</f>
        <v>0</v>
      </c>
      <c r="M245" s="74">
        <f>K245+L245</f>
        <v>23.494499999999999</v>
      </c>
      <c r="N245" s="76" t="s">
        <v>559</v>
      </c>
      <c r="O245" s="76" t="s">
        <v>560</v>
      </c>
      <c r="P245" s="51">
        <f>IF(G245="MFP",Tables!$B$2,Tables!$B$5)</f>
        <v>2.07E-2</v>
      </c>
      <c r="Q245" s="86">
        <f>IF(G245="MFP",Tables!$B$3,Tables!$B$6)</f>
        <v>8.6999999999999994E-2</v>
      </c>
      <c r="R245" s="59">
        <f>VLOOKUP($N245,'Meter Comparison'!$C$2:$G$314,2,FALSE)</f>
        <v>7177</v>
      </c>
      <c r="S245" s="59">
        <f>VLOOKUP($N245,'Meter Comparison'!$C$2:$G$314,3,FALSE)</f>
        <v>8312</v>
      </c>
      <c r="T245" s="59">
        <f>VLOOKUP($N245,'Meter Comparison'!$C$2:$G$314,4,FALSE)</f>
        <v>0</v>
      </c>
      <c r="U245" s="59">
        <f>VLOOKUP($N245,'Meter Comparison'!$C$2:$G$314,5,FALSE)</f>
        <v>0</v>
      </c>
    </row>
    <row r="246" spans="1:21" ht="30" customHeight="1" outlineLevel="1" x14ac:dyDescent="0.3">
      <c r="A246" s="77"/>
      <c r="B246" s="160" t="s">
        <v>1094</v>
      </c>
      <c r="C246" s="55"/>
      <c r="D246" s="76"/>
      <c r="E246" s="75"/>
      <c r="F246" s="76"/>
      <c r="G246" s="50"/>
      <c r="H246" s="69"/>
      <c r="I246" s="71"/>
      <c r="J246" s="71"/>
      <c r="K246" s="73"/>
      <c r="L246" s="73"/>
      <c r="M246" s="74">
        <f>SUBTOTAL(9,M244:M245)</f>
        <v>28.502899999999997</v>
      </c>
      <c r="N246" s="76"/>
      <c r="O246" s="76"/>
      <c r="P246" s="51"/>
      <c r="Q246" s="86"/>
      <c r="R246" s="59"/>
      <c r="S246" s="59"/>
      <c r="T246" s="59"/>
      <c r="U246" s="59"/>
    </row>
    <row r="247" spans="1:21" ht="30" customHeight="1" outlineLevel="2" x14ac:dyDescent="0.3">
      <c r="A247" s="77" t="s">
        <v>473</v>
      </c>
      <c r="B247" s="77" t="s">
        <v>474</v>
      </c>
      <c r="C247" s="55" t="str">
        <f>VLOOKUP(B247,Tables!$G$2:$H$90,2,FALSE)</f>
        <v>Post Mail</v>
      </c>
      <c r="D247" s="76" t="s">
        <v>424</v>
      </c>
      <c r="E247" s="75" t="s">
        <v>476</v>
      </c>
      <c r="F247" s="76" t="s">
        <v>157</v>
      </c>
      <c r="G247" s="50" t="str">
        <f>VLOOKUP(F247,Tables!$D$2:$E$20,2,FALSE)</f>
        <v>MFP</v>
      </c>
      <c r="H247" s="69">
        <v>17099535</v>
      </c>
      <c r="I247" s="71">
        <f>SUM(S247-R247)</f>
        <v>1119</v>
      </c>
      <c r="J247" s="71">
        <f>SUM(U247-T247)</f>
        <v>0</v>
      </c>
      <c r="K247" s="73">
        <f>SUM(I247*$P247)</f>
        <v>23.1633</v>
      </c>
      <c r="L247" s="73">
        <f>SUM(J247*$Q247)</f>
        <v>0</v>
      </c>
      <c r="M247" s="74">
        <f>K247+L247</f>
        <v>23.1633</v>
      </c>
      <c r="N247" s="76" t="s">
        <v>477</v>
      </c>
      <c r="O247" s="76" t="s">
        <v>478</v>
      </c>
      <c r="P247" s="51">
        <f>IF(G247="MFP",Tables!$B$2,Tables!$B$5)</f>
        <v>2.07E-2</v>
      </c>
      <c r="Q247" s="86">
        <f>IF(G247="MFP",Tables!$B$3,Tables!$B$6)</f>
        <v>8.6999999999999994E-2</v>
      </c>
      <c r="R247" s="59">
        <f>VLOOKUP($N247,'Meter Comparison'!$C$2:$G$314,2,FALSE)</f>
        <v>8461</v>
      </c>
      <c r="S247" s="59">
        <f>VLOOKUP($N247,'Meter Comparison'!$C$2:$G$314,3,FALSE)</f>
        <v>9580</v>
      </c>
      <c r="T247" s="59">
        <f>VLOOKUP($N247,'Meter Comparison'!$C$2:$G$314,4,FALSE)</f>
        <v>0</v>
      </c>
      <c r="U247" s="59">
        <f>VLOOKUP($N247,'Meter Comparison'!$C$2:$G$314,5,FALSE)</f>
        <v>0</v>
      </c>
    </row>
    <row r="248" spans="1:21" ht="30" customHeight="1" outlineLevel="1" x14ac:dyDescent="0.3">
      <c r="A248" s="77"/>
      <c r="B248" s="160" t="s">
        <v>1095</v>
      </c>
      <c r="C248" s="55"/>
      <c r="D248" s="76"/>
      <c r="E248" s="75"/>
      <c r="F248" s="76"/>
      <c r="G248" s="50"/>
      <c r="H248" s="69"/>
      <c r="I248" s="71"/>
      <c r="J248" s="71"/>
      <c r="K248" s="73"/>
      <c r="L248" s="73"/>
      <c r="M248" s="74">
        <f>SUBTOTAL(9,M247:M247)</f>
        <v>23.1633</v>
      </c>
      <c r="N248" s="76"/>
      <c r="O248" s="76"/>
      <c r="P248" s="51"/>
      <c r="Q248" s="86"/>
      <c r="R248" s="59"/>
      <c r="S248" s="59"/>
      <c r="T248" s="59"/>
      <c r="U248" s="59"/>
    </row>
    <row r="249" spans="1:21" ht="30" customHeight="1" outlineLevel="2" x14ac:dyDescent="0.3">
      <c r="A249" s="77" t="s">
        <v>799</v>
      </c>
      <c r="B249" s="77" t="s">
        <v>164</v>
      </c>
      <c r="C249" s="55" t="str">
        <f>VLOOKUP(B249,Tables!$G$2:$H$90,2,FALSE)</f>
        <v>Mathematics</v>
      </c>
      <c r="D249" s="76" t="s">
        <v>166</v>
      </c>
      <c r="E249" s="75">
        <v>415</v>
      </c>
      <c r="F249" s="76" t="s">
        <v>15</v>
      </c>
      <c r="G249" s="50" t="str">
        <f>VLOOKUP(F249,Tables!$D$2:$E$20,2,FALSE)</f>
        <v>PTR</v>
      </c>
      <c r="H249" s="69">
        <v>17099579</v>
      </c>
      <c r="I249" s="71">
        <f>SUM(S249-R249)</f>
        <v>1101</v>
      </c>
      <c r="J249" s="71">
        <f>SUM(U249-T249)</f>
        <v>0</v>
      </c>
      <c r="K249" s="73">
        <f>SUM(I249*$P249)</f>
        <v>28.8462</v>
      </c>
      <c r="L249" s="73">
        <f>SUM(J249*$Q249)</f>
        <v>0</v>
      </c>
      <c r="M249" s="74">
        <f>K249+L249</f>
        <v>28.8462</v>
      </c>
      <c r="N249" s="76" t="s">
        <v>169</v>
      </c>
      <c r="O249" s="76" t="s">
        <v>170</v>
      </c>
      <c r="P249" s="51">
        <f>IF(G249="MFP",Tables!$B$2,Tables!$B$5)</f>
        <v>2.6200000000000001E-2</v>
      </c>
      <c r="Q249" s="86">
        <f>IF(G249="MFP",Tables!$B$3,Tables!$B$6)</f>
        <v>0.11799999999999999</v>
      </c>
      <c r="R249" s="59">
        <f>VLOOKUP($N249,'Meter Comparison'!$C$2:$G$314,2,FALSE)</f>
        <v>3172</v>
      </c>
      <c r="S249" s="59">
        <f>VLOOKUP($N249,'Meter Comparison'!$C$2:$G$314,3,FALSE)</f>
        <v>4273</v>
      </c>
      <c r="T249" s="59">
        <f>VLOOKUP($N249,'Meter Comparison'!$C$2:$G$314,4,FALSE)</f>
        <v>0</v>
      </c>
      <c r="U249" s="59">
        <f>VLOOKUP($N249,'Meter Comparison'!$C$2:$G$314,5,FALSE)</f>
        <v>0</v>
      </c>
    </row>
    <row r="250" spans="1:21" ht="30" customHeight="1" outlineLevel="2" x14ac:dyDescent="0.3">
      <c r="A250" s="77" t="s">
        <v>799</v>
      </c>
      <c r="B250" s="77" t="s">
        <v>164</v>
      </c>
      <c r="C250" s="55" t="str">
        <f>VLOOKUP(B250,Tables!$G$2:$H$90,2,FALSE)</f>
        <v>Mathematics</v>
      </c>
      <c r="D250" s="76" t="s">
        <v>166</v>
      </c>
      <c r="E250" s="75">
        <v>416</v>
      </c>
      <c r="F250" s="76" t="s">
        <v>83</v>
      </c>
      <c r="G250" s="50" t="str">
        <f>VLOOKUP(F250,Tables!$D$2:$E$20,2,FALSE)</f>
        <v>MFP</v>
      </c>
      <c r="H250" s="69">
        <v>17099492</v>
      </c>
      <c r="I250" s="71">
        <f>SUM(S250-R250)</f>
        <v>24809</v>
      </c>
      <c r="J250" s="71">
        <f>SUM(U250-T250)</f>
        <v>995</v>
      </c>
      <c r="K250" s="73">
        <f>SUM(I250*$P250)</f>
        <v>513.54629999999997</v>
      </c>
      <c r="L250" s="73">
        <f>SUM(J250*$Q250)</f>
        <v>86.564999999999998</v>
      </c>
      <c r="M250" s="74">
        <f>K250+L250</f>
        <v>600.11130000000003</v>
      </c>
      <c r="N250" s="76" t="s">
        <v>167</v>
      </c>
      <c r="O250" s="76" t="s">
        <v>168</v>
      </c>
      <c r="P250" s="51">
        <f>IF(G250="MFP",Tables!$B$2,Tables!$B$5)</f>
        <v>2.07E-2</v>
      </c>
      <c r="Q250" s="86">
        <f>IF(G250="MFP",Tables!$B$3,Tables!$B$6)</f>
        <v>8.6999999999999994E-2</v>
      </c>
      <c r="R250" s="59">
        <f>VLOOKUP($N250,'Meter Comparison'!$C$2:$G$314,2,FALSE)</f>
        <v>197082</v>
      </c>
      <c r="S250" s="59">
        <f>VLOOKUP($N250,'Meter Comparison'!$C$2:$G$314,3,FALSE)</f>
        <v>221891</v>
      </c>
      <c r="T250" s="59">
        <f>VLOOKUP($N250,'Meter Comparison'!$C$2:$G$314,4,FALSE)</f>
        <v>16750</v>
      </c>
      <c r="U250" s="59">
        <f>VLOOKUP($N250,'Meter Comparison'!$C$2:$G$314,5,FALSE)</f>
        <v>17745</v>
      </c>
    </row>
    <row r="251" spans="1:21" ht="30" customHeight="1" outlineLevel="2" x14ac:dyDescent="0.3">
      <c r="A251" s="77" t="s">
        <v>799</v>
      </c>
      <c r="B251" s="77" t="s">
        <v>164</v>
      </c>
      <c r="C251" s="55" t="str">
        <f>VLOOKUP(B251,Tables!$G$2:$H$90,2,FALSE)</f>
        <v>Mathematics</v>
      </c>
      <c r="D251" s="76" t="s">
        <v>166</v>
      </c>
      <c r="E251" s="75">
        <v>425</v>
      </c>
      <c r="F251" s="76" t="s">
        <v>15</v>
      </c>
      <c r="G251" s="50" t="str">
        <f>VLOOKUP(F251,Tables!$D$2:$E$20,2,FALSE)</f>
        <v>PTR</v>
      </c>
      <c r="H251" s="69">
        <v>17099582</v>
      </c>
      <c r="I251" s="71">
        <f>SUM(S251-R251)</f>
        <v>132</v>
      </c>
      <c r="J251" s="71">
        <f>SUM(U251-T251)</f>
        <v>0</v>
      </c>
      <c r="K251" s="73">
        <f>SUM(I251*$P251)</f>
        <v>3.4584000000000001</v>
      </c>
      <c r="L251" s="73">
        <f>SUM(J251*$Q251)</f>
        <v>0</v>
      </c>
      <c r="M251" s="74">
        <f>K251+L251</f>
        <v>3.4584000000000001</v>
      </c>
      <c r="N251" s="76" t="s">
        <v>171</v>
      </c>
      <c r="O251" s="76" t="s">
        <v>172</v>
      </c>
      <c r="P251" s="51">
        <f>IF(G251="MFP",Tables!$B$2,Tables!$B$5)</f>
        <v>2.6200000000000001E-2</v>
      </c>
      <c r="Q251" s="86">
        <f>IF(G251="MFP",Tables!$B$3,Tables!$B$6)</f>
        <v>0.11799999999999999</v>
      </c>
      <c r="R251" s="59">
        <f>VLOOKUP($N251,'Meter Comparison'!$C$2:$G$314,2,FALSE)</f>
        <v>1822</v>
      </c>
      <c r="S251" s="59">
        <f>VLOOKUP($N251,'Meter Comparison'!$C$2:$G$314,3,FALSE)</f>
        <v>1954</v>
      </c>
      <c r="T251" s="59">
        <f>VLOOKUP($N251,'Meter Comparison'!$C$2:$G$314,4,FALSE)</f>
        <v>0</v>
      </c>
      <c r="U251" s="59">
        <f>VLOOKUP($N251,'Meter Comparison'!$C$2:$G$314,5,FALSE)</f>
        <v>0</v>
      </c>
    </row>
    <row r="252" spans="1:21" ht="30" customHeight="1" outlineLevel="1" x14ac:dyDescent="0.3">
      <c r="A252" s="77"/>
      <c r="B252" s="160" t="s">
        <v>1096</v>
      </c>
      <c r="C252" s="55"/>
      <c r="D252" s="76"/>
      <c r="E252" s="75"/>
      <c r="F252" s="76"/>
      <c r="G252" s="50"/>
      <c r="H252" s="69"/>
      <c r="I252" s="71"/>
      <c r="J252" s="71"/>
      <c r="K252" s="73"/>
      <c r="L252" s="73"/>
      <c r="M252" s="74">
        <f>SUBTOTAL(9,M249:M251)</f>
        <v>632.41589999999997</v>
      </c>
      <c r="N252" s="76"/>
      <c r="O252" s="76"/>
      <c r="P252" s="51"/>
      <c r="Q252" s="86"/>
      <c r="R252" s="59"/>
      <c r="S252" s="59"/>
      <c r="T252" s="59"/>
      <c r="U252" s="59"/>
    </row>
    <row r="253" spans="1:21" ht="30" customHeight="1" outlineLevel="2" x14ac:dyDescent="0.3">
      <c r="A253" s="77" t="s">
        <v>799</v>
      </c>
      <c r="B253" s="77" t="s">
        <v>422</v>
      </c>
      <c r="C253" s="55" t="str">
        <f>VLOOKUP(B253,Tables!$G$2:$H$90,2,FALSE)</f>
        <v>Printer Services</v>
      </c>
      <c r="D253" s="76" t="s">
        <v>166</v>
      </c>
      <c r="E253" s="75">
        <v>315</v>
      </c>
      <c r="F253" s="76" t="s">
        <v>157</v>
      </c>
      <c r="G253" s="50" t="str">
        <f>VLOOKUP(F253,Tables!$D$2:$E$20,2,FALSE)</f>
        <v>MFP</v>
      </c>
      <c r="H253" s="69">
        <v>17099464</v>
      </c>
      <c r="I253" s="71">
        <f>SUM(S253-R253)</f>
        <v>766</v>
      </c>
      <c r="J253" s="71">
        <f>SUM(U253-T253)</f>
        <v>0</v>
      </c>
      <c r="K253" s="73">
        <f>SUM(I253*$P253)</f>
        <v>15.856199999999999</v>
      </c>
      <c r="L253" s="73">
        <f>SUM(J253*$Q253)</f>
        <v>0</v>
      </c>
      <c r="M253" s="74">
        <f>K253+L253</f>
        <v>15.856199999999999</v>
      </c>
      <c r="N253" s="76" t="s">
        <v>457</v>
      </c>
      <c r="O253" s="76" t="s">
        <v>458</v>
      </c>
      <c r="P253" s="51">
        <f>IF(G253="MFP",Tables!$B$2,Tables!$B$5)</f>
        <v>2.07E-2</v>
      </c>
      <c r="Q253" s="86">
        <f>IF(G253="MFP",Tables!$B$3,Tables!$B$6)</f>
        <v>8.6999999999999994E-2</v>
      </c>
      <c r="R253" s="59">
        <f>VLOOKUP($N253,'Meter Comparison'!$C$2:$G$314,2,FALSE)</f>
        <v>435</v>
      </c>
      <c r="S253" s="59">
        <f>VLOOKUP($N253,'Meter Comparison'!$C$2:$G$314,3,FALSE)</f>
        <v>1201</v>
      </c>
      <c r="T253" s="59">
        <f>VLOOKUP($N253,'Meter Comparison'!$C$2:$G$314,4,FALSE)</f>
        <v>0</v>
      </c>
      <c r="U253" s="59">
        <f>VLOOKUP($N253,'Meter Comparison'!$C$2:$G$314,5,FALSE)</f>
        <v>0</v>
      </c>
    </row>
    <row r="254" spans="1:21" ht="30" customHeight="1" outlineLevel="2" x14ac:dyDescent="0.3">
      <c r="A254" s="55" t="s">
        <v>799</v>
      </c>
      <c r="B254" s="55" t="s">
        <v>422</v>
      </c>
      <c r="C254" s="55" t="str">
        <f>VLOOKUP(B254,Tables!$G$2:$H$90,2,FALSE)</f>
        <v>Printer Services</v>
      </c>
      <c r="D254" s="56" t="s">
        <v>166</v>
      </c>
      <c r="E254" s="114">
        <v>318</v>
      </c>
      <c r="F254" s="56" t="s">
        <v>15</v>
      </c>
      <c r="G254" s="50" t="str">
        <f>VLOOKUP(F254,Tables!$D$2:$E$20,2,FALSE)</f>
        <v>PTR</v>
      </c>
      <c r="H254" s="105">
        <v>17099583</v>
      </c>
      <c r="I254" s="106">
        <f>SUM(S254-R254)</f>
        <v>415</v>
      </c>
      <c r="J254" s="106">
        <f>SUM(U254-T254)</f>
        <v>0</v>
      </c>
      <c r="K254" s="107">
        <f>SUM(I254*$P254)</f>
        <v>10.873000000000001</v>
      </c>
      <c r="L254" s="107">
        <f>SUM(J254*$Q254)</f>
        <v>0</v>
      </c>
      <c r="M254" s="108">
        <f>K254+L254</f>
        <v>10.873000000000001</v>
      </c>
      <c r="N254" s="56" t="s">
        <v>467</v>
      </c>
      <c r="O254" s="56" t="s">
        <v>468</v>
      </c>
      <c r="P254" s="51">
        <f>IF(G254="MFP",Tables!$B$2,Tables!$B$5)</f>
        <v>2.6200000000000001E-2</v>
      </c>
      <c r="Q254" s="86">
        <f>IF(G254="MFP",Tables!$B$3,Tables!$B$6)</f>
        <v>0.11799999999999999</v>
      </c>
      <c r="R254" s="59">
        <f>VLOOKUP($N254,'Meter Comparison'!$C$2:$G$314,2,FALSE)</f>
        <v>1023</v>
      </c>
      <c r="S254" s="59">
        <f>VLOOKUP($N254,'Meter Comparison'!$C$2:$G$314,3,FALSE)</f>
        <v>1438</v>
      </c>
      <c r="T254" s="59">
        <f>VLOOKUP($N254,'Meter Comparison'!$C$2:$G$314,4,FALSE)</f>
        <v>0</v>
      </c>
      <c r="U254" s="59">
        <f>VLOOKUP($N254,'Meter Comparison'!$C$2:$G$314,5,FALSE)</f>
        <v>0</v>
      </c>
    </row>
    <row r="255" spans="1:21" ht="30" customHeight="1" outlineLevel="1" x14ac:dyDescent="0.3">
      <c r="A255" s="55"/>
      <c r="B255" s="161" t="s">
        <v>1053</v>
      </c>
      <c r="C255" s="55"/>
      <c r="D255" s="56"/>
      <c r="E255" s="114"/>
      <c r="F255" s="56"/>
      <c r="G255" s="50"/>
      <c r="H255" s="105"/>
      <c r="I255" s="106"/>
      <c r="J255" s="106"/>
      <c r="K255" s="107"/>
      <c r="L255" s="107"/>
      <c r="M255" s="108">
        <f>SUBTOTAL(9,M253:M254)</f>
        <v>26.729199999999999</v>
      </c>
      <c r="N255" s="56"/>
      <c r="O255" s="56"/>
      <c r="P255" s="51"/>
      <c r="Q255" s="86"/>
      <c r="R255" s="59"/>
      <c r="S255" s="59"/>
      <c r="T255" s="59"/>
      <c r="U255" s="59"/>
    </row>
    <row r="256" spans="1:21" ht="30" customHeight="1" outlineLevel="2" x14ac:dyDescent="0.3">
      <c r="A256" s="77" t="s">
        <v>165</v>
      </c>
      <c r="B256" s="77" t="s">
        <v>998</v>
      </c>
      <c r="C256" s="55" t="str">
        <f>VLOOKUP(B256,Tables!$G$2:$H$90,2,FALSE)</f>
        <v>Math Education Resource Center</v>
      </c>
      <c r="D256" s="76" t="s">
        <v>175</v>
      </c>
      <c r="E256" s="75">
        <v>700</v>
      </c>
      <c r="F256" s="76" t="s">
        <v>54</v>
      </c>
      <c r="G256" s="50" t="str">
        <f>VLOOKUP(F256,Tables!$D$2:$E$20,2,FALSE)</f>
        <v>MFP</v>
      </c>
      <c r="H256" s="69">
        <v>17099505</v>
      </c>
      <c r="I256" s="71">
        <f>SUM(S256-R256)</f>
        <v>661</v>
      </c>
      <c r="J256" s="71">
        <f>SUM(U256-T256)</f>
        <v>175</v>
      </c>
      <c r="K256" s="73">
        <f>SUM(I256*$P256)</f>
        <v>13.682700000000001</v>
      </c>
      <c r="L256" s="73">
        <f>SUM(J256*$Q256)</f>
        <v>15.225</v>
      </c>
      <c r="M256" s="74">
        <f>K256+L256</f>
        <v>28.907699999999998</v>
      </c>
      <c r="N256" s="76" t="s">
        <v>176</v>
      </c>
      <c r="O256" s="76" t="s">
        <v>177</v>
      </c>
      <c r="P256" s="51">
        <f>IF(G256="MFP",Tables!$B$2,Tables!$B$5)</f>
        <v>2.07E-2</v>
      </c>
      <c r="Q256" s="86">
        <f>IF(G256="MFP",Tables!$B$3,Tables!$B$6)</f>
        <v>8.6999999999999994E-2</v>
      </c>
      <c r="R256" s="59">
        <f>VLOOKUP($N256,'Meter Comparison'!$C$2:$G$314,2,FALSE)</f>
        <v>2595</v>
      </c>
      <c r="S256" s="59">
        <f>VLOOKUP($N256,'Meter Comparison'!$C$2:$G$314,3,FALSE)</f>
        <v>3256</v>
      </c>
      <c r="T256" s="59">
        <f>VLOOKUP($N256,'Meter Comparison'!$C$2:$G$314,4,FALSE)</f>
        <v>794</v>
      </c>
      <c r="U256" s="59">
        <f>VLOOKUP($N256,'Meter Comparison'!$C$2:$G$314,5,FALSE)</f>
        <v>969</v>
      </c>
    </row>
    <row r="257" spans="1:22" ht="30" customHeight="1" outlineLevel="1" x14ac:dyDescent="0.3">
      <c r="A257" s="77"/>
      <c r="B257" s="160" t="s">
        <v>1097</v>
      </c>
      <c r="C257" s="55"/>
      <c r="D257" s="76"/>
      <c r="E257" s="75"/>
      <c r="F257" s="76"/>
      <c r="G257" s="50"/>
      <c r="H257" s="69"/>
      <c r="I257" s="71"/>
      <c r="J257" s="71"/>
      <c r="K257" s="73"/>
      <c r="L257" s="73"/>
      <c r="M257" s="74">
        <f>SUBTOTAL(9,M256:M256)</f>
        <v>28.907699999999998</v>
      </c>
      <c r="N257" s="76"/>
      <c r="O257" s="76"/>
      <c r="P257" s="51"/>
      <c r="Q257" s="86"/>
      <c r="R257" s="59"/>
      <c r="S257" s="59"/>
      <c r="T257" s="59"/>
      <c r="U257" s="59"/>
    </row>
    <row r="258" spans="1:22" ht="30" customHeight="1" outlineLevel="2" x14ac:dyDescent="0.3">
      <c r="A258" s="77" t="s">
        <v>178</v>
      </c>
      <c r="B258" s="77" t="s">
        <v>179</v>
      </c>
      <c r="C258" s="55" t="str">
        <f>VLOOKUP(B258,Tables!$G$2:$H$90,2,FALSE)</f>
        <v>Mechanical Engineering</v>
      </c>
      <c r="D258" s="76" t="s">
        <v>82</v>
      </c>
      <c r="E258" s="75">
        <v>709</v>
      </c>
      <c r="F258" s="76" t="s">
        <v>90</v>
      </c>
      <c r="G258" s="50" t="str">
        <f>VLOOKUP(F258,Tables!$D$2:$E$20,2,FALSE)</f>
        <v>PTR</v>
      </c>
      <c r="H258" s="69">
        <v>17099632</v>
      </c>
      <c r="I258" s="71">
        <f>SUM(S258-R258)</f>
        <v>738</v>
      </c>
      <c r="J258" s="71">
        <f>SUM(U258-T258)</f>
        <v>125</v>
      </c>
      <c r="K258" s="73">
        <f>SUM(I258*$P258)</f>
        <v>19.335599999999999</v>
      </c>
      <c r="L258" s="73">
        <f>SUM(J258*$Q258)</f>
        <v>14.75</v>
      </c>
      <c r="M258" s="74">
        <f>K258+L258</f>
        <v>34.085599999999999</v>
      </c>
      <c r="N258" s="76" t="s">
        <v>184</v>
      </c>
      <c r="O258" s="76" t="s">
        <v>185</v>
      </c>
      <c r="P258" s="51">
        <f>IF(G258="MFP",Tables!$B$2,Tables!$B$5)</f>
        <v>2.6200000000000001E-2</v>
      </c>
      <c r="Q258" s="86">
        <f>IF(G258="MFP",Tables!$B$3,Tables!$B$6)</f>
        <v>0.11799999999999999</v>
      </c>
      <c r="R258" s="59">
        <f>VLOOKUP($N258,'Meter Comparison'!$C$2:$G$314,2,FALSE)</f>
        <v>2674</v>
      </c>
      <c r="S258" s="59">
        <f>VLOOKUP($N258,'Meter Comparison'!$C$2:$G$314,3,FALSE)</f>
        <v>3412</v>
      </c>
      <c r="T258" s="59">
        <f>VLOOKUP($N258,'Meter Comparison'!$C$2:$G$314,4,FALSE)</f>
        <v>538</v>
      </c>
      <c r="U258" s="59">
        <f>VLOOKUP($N258,'Meter Comparison'!$C$2:$G$314,5,FALSE)</f>
        <v>663</v>
      </c>
    </row>
    <row r="259" spans="1:22" ht="30" customHeight="1" outlineLevel="2" x14ac:dyDescent="0.3">
      <c r="A259" s="55" t="s">
        <v>178</v>
      </c>
      <c r="B259" s="55" t="s">
        <v>179</v>
      </c>
      <c r="C259" s="55" t="str">
        <f>VLOOKUP(B259,Tables!$G$2:$H$90,2,FALSE)</f>
        <v>Mechanical Engineering</v>
      </c>
      <c r="D259" s="56" t="s">
        <v>82</v>
      </c>
      <c r="E259" s="114">
        <v>709</v>
      </c>
      <c r="F259" s="56" t="s">
        <v>54</v>
      </c>
      <c r="G259" s="50" t="str">
        <f>VLOOKUP(F259,Tables!$D$2:$E$20,2,FALSE)</f>
        <v>MFP</v>
      </c>
      <c r="H259" s="105">
        <v>17099465</v>
      </c>
      <c r="I259" s="106">
        <f>SUM(S259-R259)</f>
        <v>8283</v>
      </c>
      <c r="J259" s="106">
        <f>SUM(U259-T259)</f>
        <v>502</v>
      </c>
      <c r="K259" s="107">
        <f>SUM(I259*$P259)</f>
        <v>171.4581</v>
      </c>
      <c r="L259" s="107">
        <f>SUM(J259*$Q259)</f>
        <v>43.673999999999999</v>
      </c>
      <c r="M259" s="108">
        <f>K259+L259</f>
        <v>215.13210000000001</v>
      </c>
      <c r="N259" s="56" t="s">
        <v>180</v>
      </c>
      <c r="O259" s="56" t="s">
        <v>181</v>
      </c>
      <c r="P259" s="51">
        <f>IF(G259="MFP",Tables!$B$2,Tables!$B$5)</f>
        <v>2.07E-2</v>
      </c>
      <c r="Q259" s="86">
        <f>IF(G259="MFP",Tables!$B$3,Tables!$B$6)</f>
        <v>8.6999999999999994E-2</v>
      </c>
      <c r="R259" s="59">
        <f>VLOOKUP($N259,'Meter Comparison'!$C$2:$G$314,2,FALSE)</f>
        <v>57669</v>
      </c>
      <c r="S259" s="59">
        <f>VLOOKUP($N259,'Meter Comparison'!$C$2:$G$314,3,FALSE)</f>
        <v>65952</v>
      </c>
      <c r="T259" s="59">
        <f>VLOOKUP($N259,'Meter Comparison'!$C$2:$G$314,4,FALSE)</f>
        <v>3341</v>
      </c>
      <c r="U259" s="59">
        <f>VLOOKUP($N259,'Meter Comparison'!$C$2:$G$314,5,FALSE)</f>
        <v>3843</v>
      </c>
    </row>
    <row r="260" spans="1:22" ht="30" customHeight="1" outlineLevel="2" x14ac:dyDescent="0.3">
      <c r="A260" s="77" t="s">
        <v>178</v>
      </c>
      <c r="B260" s="77" t="s">
        <v>179</v>
      </c>
      <c r="C260" s="55" t="str">
        <f>VLOOKUP(B260,Tables!$G$2:$H$90,2,FALSE)</f>
        <v>Mechanical Engineering</v>
      </c>
      <c r="D260" s="76" t="s">
        <v>82</v>
      </c>
      <c r="E260" s="75">
        <v>717</v>
      </c>
      <c r="F260" s="76" t="s">
        <v>15</v>
      </c>
      <c r="G260" s="50" t="str">
        <f>VLOOKUP(F260,Tables!$D$2:$E$20,2,FALSE)</f>
        <v>PTR</v>
      </c>
      <c r="H260" s="69">
        <v>17099586</v>
      </c>
      <c r="I260" s="71">
        <f>SUM(S260-R260)</f>
        <v>27</v>
      </c>
      <c r="J260" s="71">
        <f>SUM(U260-T260)</f>
        <v>0</v>
      </c>
      <c r="K260" s="73">
        <f>SUM(I260*$P260)</f>
        <v>0.70740000000000003</v>
      </c>
      <c r="L260" s="73">
        <f>SUM(J260*$Q260)</f>
        <v>0</v>
      </c>
      <c r="M260" s="74">
        <f>K260+L260</f>
        <v>0.70740000000000003</v>
      </c>
      <c r="N260" s="76" t="s">
        <v>182</v>
      </c>
      <c r="O260" s="76" t="s">
        <v>183</v>
      </c>
      <c r="P260" s="51">
        <f>IF(G260="MFP",Tables!$B$2,Tables!$B$5)</f>
        <v>2.6200000000000001E-2</v>
      </c>
      <c r="Q260" s="86">
        <f>IF(G260="MFP",Tables!$B$3,Tables!$B$6)</f>
        <v>0.11799999999999999</v>
      </c>
      <c r="R260" s="59">
        <f>VLOOKUP($N260,'Meter Comparison'!$C$2:$G$314,2,FALSE)</f>
        <v>117</v>
      </c>
      <c r="S260" s="59">
        <f>VLOOKUP($N260,'Meter Comparison'!$C$2:$G$314,3,FALSE)</f>
        <v>144</v>
      </c>
      <c r="T260" s="59">
        <f>VLOOKUP($N260,'Meter Comparison'!$C$2:$G$314,4,FALSE)</f>
        <v>0</v>
      </c>
      <c r="U260" s="59">
        <f>VLOOKUP($N260,'Meter Comparison'!$C$2:$G$314,5,FALSE)</f>
        <v>0</v>
      </c>
    </row>
    <row r="261" spans="1:22" ht="30" customHeight="1" outlineLevel="1" x14ac:dyDescent="0.3">
      <c r="A261" s="77"/>
      <c r="B261" s="160" t="s">
        <v>1098</v>
      </c>
      <c r="C261" s="55"/>
      <c r="D261" s="76"/>
      <c r="E261" s="75"/>
      <c r="F261" s="76"/>
      <c r="G261" s="50"/>
      <c r="H261" s="69"/>
      <c r="I261" s="71"/>
      <c r="J261" s="71"/>
      <c r="K261" s="73"/>
      <c r="L261" s="73"/>
      <c r="M261" s="74">
        <f>SUBTOTAL(9,M258:M260)</f>
        <v>249.92510000000001</v>
      </c>
      <c r="N261" s="76"/>
      <c r="O261" s="76"/>
      <c r="P261" s="51"/>
      <c r="Q261" s="86"/>
      <c r="R261" s="59"/>
      <c r="S261" s="59"/>
      <c r="T261" s="59"/>
      <c r="U261" s="59"/>
    </row>
    <row r="262" spans="1:22" ht="30" customHeight="1" outlineLevel="2" x14ac:dyDescent="0.3">
      <c r="A262" s="77" t="s">
        <v>178</v>
      </c>
      <c r="B262" s="77" t="s">
        <v>422</v>
      </c>
      <c r="C262" s="55" t="str">
        <f>VLOOKUP(B262,Tables!$G$2:$H$90,2,FALSE)</f>
        <v>Printer Services</v>
      </c>
      <c r="D262" s="76" t="s">
        <v>82</v>
      </c>
      <c r="E262" s="75">
        <v>701</v>
      </c>
      <c r="F262" s="76" t="s">
        <v>15</v>
      </c>
      <c r="G262" s="50" t="str">
        <f>VLOOKUP(F262,Tables!$D$2:$E$20,2,FALSE)</f>
        <v>PTR</v>
      </c>
      <c r="H262" s="69">
        <v>17099770</v>
      </c>
      <c r="I262" s="71">
        <f>SUM(S262-R262)</f>
        <v>14089</v>
      </c>
      <c r="J262" s="71">
        <f>SUM(U262-T262)</f>
        <v>0</v>
      </c>
      <c r="K262" s="73">
        <f>SUM(I262*$P262)</f>
        <v>369.1318</v>
      </c>
      <c r="L262" s="73">
        <f>SUM(J262*$Q262)</f>
        <v>0</v>
      </c>
      <c r="M262" s="74">
        <f>K262+L262</f>
        <v>369.1318</v>
      </c>
      <c r="N262" s="58" t="s">
        <v>768</v>
      </c>
      <c r="O262" s="58" t="s">
        <v>769</v>
      </c>
      <c r="P262" s="51">
        <f>IF(G262="MFP",Tables!$B$2,Tables!$B$5)</f>
        <v>2.6200000000000001E-2</v>
      </c>
      <c r="Q262" s="86">
        <f>IF(G262="MFP",Tables!$B$3,Tables!$B$6)</f>
        <v>0.11799999999999999</v>
      </c>
      <c r="R262" s="59">
        <f>VLOOKUP($N262,'Meter Comparison'!$C$2:$G$314,2,FALSE)</f>
        <v>87830</v>
      </c>
      <c r="S262" s="59">
        <f>VLOOKUP($N262,'Meter Comparison'!$C$2:$G$314,3,FALSE)</f>
        <v>101919</v>
      </c>
      <c r="T262" s="59">
        <f>VLOOKUP($N262,'Meter Comparison'!$C$2:$G$314,4,FALSE)</f>
        <v>0</v>
      </c>
      <c r="U262" s="59">
        <f>VLOOKUP($N262,'Meter Comparison'!$C$2:$G$314,5,FALSE)</f>
        <v>0</v>
      </c>
    </row>
    <row r="263" spans="1:22" ht="30" customHeight="1" outlineLevel="2" x14ac:dyDescent="0.3">
      <c r="A263" s="77" t="s">
        <v>178</v>
      </c>
      <c r="B263" s="77" t="s">
        <v>422</v>
      </c>
      <c r="C263" s="55" t="str">
        <f>VLOOKUP(B263,Tables!$G$2:$H$90,2,FALSE)</f>
        <v>Printer Services</v>
      </c>
      <c r="D263" s="76" t="s">
        <v>82</v>
      </c>
      <c r="E263" s="75">
        <v>701</v>
      </c>
      <c r="F263" s="76" t="s">
        <v>15</v>
      </c>
      <c r="G263" s="50" t="str">
        <f>VLOOKUP(F263,Tables!$D$2:$E$20,2,FALSE)</f>
        <v>PTR</v>
      </c>
      <c r="H263" s="69">
        <v>17099633</v>
      </c>
      <c r="I263" s="71">
        <f>SUM(S263-R263)</f>
        <v>1508</v>
      </c>
      <c r="J263" s="71">
        <f>SUM(U263-T263)</f>
        <v>0</v>
      </c>
      <c r="K263" s="73">
        <f>SUM(I263*$P263)</f>
        <v>39.509599999999999</v>
      </c>
      <c r="L263" s="73">
        <f>SUM(J263*$Q263)</f>
        <v>0</v>
      </c>
      <c r="M263" s="74">
        <f>K263+L263</f>
        <v>39.509599999999999</v>
      </c>
      <c r="N263" s="76" t="s">
        <v>463</v>
      </c>
      <c r="O263" s="76" t="s">
        <v>464</v>
      </c>
      <c r="P263" s="51">
        <f>IF(G263="MFP",Tables!$B$2,Tables!$B$5)</f>
        <v>2.6200000000000001E-2</v>
      </c>
      <c r="Q263" s="86">
        <f>IF(G263="MFP",Tables!$B$3,Tables!$B$6)</f>
        <v>0.11799999999999999</v>
      </c>
      <c r="R263" s="59">
        <f>VLOOKUP($N263,'Meter Comparison'!$C$2:$G$314,2,FALSE)</f>
        <v>10</v>
      </c>
      <c r="S263" s="59">
        <f>VLOOKUP($N263,'Meter Comparison'!$C$2:$G$314,3,FALSE)</f>
        <v>1518</v>
      </c>
      <c r="T263" s="59">
        <f>VLOOKUP($N263,'Meter Comparison'!$C$2:$G$314,4,FALSE)</f>
        <v>0</v>
      </c>
      <c r="U263" s="59">
        <f>VLOOKUP($N263,'Meter Comparison'!$C$2:$G$314,5,FALSE)</f>
        <v>0</v>
      </c>
      <c r="V263" s="126"/>
    </row>
    <row r="264" spans="1:22" ht="30" customHeight="1" outlineLevel="2" x14ac:dyDescent="0.3">
      <c r="A264" s="77" t="s">
        <v>178</v>
      </c>
      <c r="B264" s="77" t="s">
        <v>422</v>
      </c>
      <c r="C264" s="55" t="str">
        <f>VLOOKUP(B264,Tables!$G$2:$H$90,2,FALSE)</f>
        <v>Printer Services</v>
      </c>
      <c r="D264" s="76" t="s">
        <v>82</v>
      </c>
      <c r="E264" s="75">
        <v>708</v>
      </c>
      <c r="F264" s="76" t="s">
        <v>15</v>
      </c>
      <c r="G264" s="50" t="str">
        <f>VLOOKUP(F264,Tables!$D$2:$E$20,2,FALSE)</f>
        <v>PTR</v>
      </c>
      <c r="H264" s="69">
        <v>17099624</v>
      </c>
      <c r="I264" s="71">
        <f>SUM(S264-R264)</f>
        <v>260</v>
      </c>
      <c r="J264" s="71">
        <f>SUM(U264-T264)</f>
        <v>0</v>
      </c>
      <c r="K264" s="73">
        <f>SUM(I264*$P264)</f>
        <v>6.8120000000000003</v>
      </c>
      <c r="L264" s="73">
        <f>SUM(J264*$Q264)</f>
        <v>0</v>
      </c>
      <c r="M264" s="74">
        <f>K264+L264</f>
        <v>6.8120000000000003</v>
      </c>
      <c r="N264" s="76" t="s">
        <v>461</v>
      </c>
      <c r="O264" s="76" t="s">
        <v>462</v>
      </c>
      <c r="P264" s="51">
        <f>IF(G264="MFP",Tables!$B$2,Tables!$B$5)</f>
        <v>2.6200000000000001E-2</v>
      </c>
      <c r="Q264" s="86">
        <f>IF(G264="MFP",Tables!$B$3,Tables!$B$6)</f>
        <v>0.11799999999999999</v>
      </c>
      <c r="R264" s="59">
        <f>VLOOKUP($N264,'Meter Comparison'!$C$2:$G$314,2,FALSE)</f>
        <v>1275</v>
      </c>
      <c r="S264" s="59">
        <f>VLOOKUP($N264,'Meter Comparison'!$C$2:$G$314,3,FALSE)</f>
        <v>1535</v>
      </c>
      <c r="T264" s="59">
        <f>VLOOKUP($N264,'Meter Comparison'!$C$2:$G$314,4,FALSE)</f>
        <v>0</v>
      </c>
      <c r="U264" s="59">
        <f>VLOOKUP($N264,'Meter Comparison'!$C$2:$G$314,5,FALSE)</f>
        <v>0</v>
      </c>
    </row>
    <row r="265" spans="1:22" ht="30" customHeight="1" outlineLevel="1" x14ac:dyDescent="0.3">
      <c r="A265" s="77"/>
      <c r="B265" s="160" t="s">
        <v>1053</v>
      </c>
      <c r="C265" s="55"/>
      <c r="D265" s="76"/>
      <c r="E265" s="75"/>
      <c r="F265" s="76"/>
      <c r="G265" s="50"/>
      <c r="H265" s="69"/>
      <c r="I265" s="71"/>
      <c r="J265" s="71"/>
      <c r="K265" s="73"/>
      <c r="L265" s="73"/>
      <c r="M265" s="74">
        <f>SUBTOTAL(9,M262:M264)</f>
        <v>415.45339999999999</v>
      </c>
      <c r="N265" s="76"/>
      <c r="O265" s="76"/>
      <c r="P265" s="51"/>
      <c r="Q265" s="86"/>
      <c r="R265" s="59"/>
      <c r="S265" s="59"/>
      <c r="T265" s="59"/>
      <c r="U265" s="59"/>
    </row>
    <row r="266" spans="1:22" ht="30" customHeight="1" outlineLevel="2" x14ac:dyDescent="0.3">
      <c r="A266" s="77" t="s">
        <v>547</v>
      </c>
      <c r="B266" s="77" t="s">
        <v>548</v>
      </c>
      <c r="C266" s="55" t="str">
        <f>VLOOKUP(B266,Tables!$G$2:$H$90,2,FALSE)</f>
        <v>AUX-Military Store</v>
      </c>
      <c r="D266" s="112" t="s">
        <v>14</v>
      </c>
      <c r="E266" s="102" t="s">
        <v>931</v>
      </c>
      <c r="F266" s="103" t="s">
        <v>54</v>
      </c>
      <c r="G266" s="50" t="str">
        <f>VLOOKUP(F266,Tables!$D$2:$E$20,2,FALSE)</f>
        <v>MFP</v>
      </c>
      <c r="H266" s="105">
        <v>17099416</v>
      </c>
      <c r="I266" s="106">
        <f>SUM(S266-R266)</f>
        <v>408</v>
      </c>
      <c r="J266" s="106">
        <f>SUM(U266-T266)</f>
        <v>23</v>
      </c>
      <c r="K266" s="107">
        <f>SUM(I266*$P266)</f>
        <v>8.4456000000000007</v>
      </c>
      <c r="L266" s="107">
        <f>SUM(J266*$Q266)</f>
        <v>2.0009999999999999</v>
      </c>
      <c r="M266" s="108">
        <f>K266+L266</f>
        <v>10.4466</v>
      </c>
      <c r="N266" s="113" t="s">
        <v>908</v>
      </c>
      <c r="O266" s="54" t="s">
        <v>932</v>
      </c>
      <c r="P266" s="51">
        <f>IF(G266="MFP",Tables!$B$2,Tables!$B$5)</f>
        <v>2.07E-2</v>
      </c>
      <c r="Q266" s="86">
        <f>IF(G266="MFP",Tables!$B$3,Tables!$B$6)</f>
        <v>8.6999999999999994E-2</v>
      </c>
      <c r="R266" s="59">
        <f>VLOOKUP($N266,'Meter Comparison'!$C$2:$G$314,2,FALSE)</f>
        <v>1740</v>
      </c>
      <c r="S266" s="59">
        <f>VLOOKUP($N266,'Meter Comparison'!$C$2:$G$314,3,FALSE)</f>
        <v>2148</v>
      </c>
      <c r="T266" s="59">
        <f>VLOOKUP($N266,'Meter Comparison'!$C$2:$G$314,4,FALSE)</f>
        <v>33</v>
      </c>
      <c r="U266" s="59">
        <f>VLOOKUP($N266,'Meter Comparison'!$C$2:$G$314,5,FALSE)</f>
        <v>56</v>
      </c>
    </row>
    <row r="267" spans="1:22" ht="30" customHeight="1" outlineLevel="2" x14ac:dyDescent="0.3">
      <c r="A267" s="77" t="s">
        <v>547</v>
      </c>
      <c r="B267" s="77" t="s">
        <v>548</v>
      </c>
      <c r="C267" s="55" t="str">
        <f>VLOOKUP(B267,Tables!$G$2:$H$90,2,FALSE)</f>
        <v>AUX-Military Store</v>
      </c>
      <c r="D267" s="76" t="s">
        <v>550</v>
      </c>
      <c r="E267" s="75">
        <v>401</v>
      </c>
      <c r="F267" s="76" t="s">
        <v>15</v>
      </c>
      <c r="G267" s="50" t="str">
        <f>VLOOKUP(F267,Tables!$D$2:$E$20,2,FALSE)</f>
        <v>PTR</v>
      </c>
      <c r="H267" s="69">
        <v>17099589</v>
      </c>
      <c r="I267" s="71">
        <f>SUM(S267-R267)</f>
        <v>130</v>
      </c>
      <c r="J267" s="71">
        <f>SUM(U267-T267)</f>
        <v>0</v>
      </c>
      <c r="K267" s="73">
        <f>SUM(I267*$P267)</f>
        <v>3.4060000000000001</v>
      </c>
      <c r="L267" s="73">
        <f>SUM(J267*$Q267)</f>
        <v>0</v>
      </c>
      <c r="M267" s="74">
        <f>K267+L267</f>
        <v>3.4060000000000001</v>
      </c>
      <c r="N267" s="76" t="s">
        <v>553</v>
      </c>
      <c r="O267" s="76" t="s">
        <v>554</v>
      </c>
      <c r="P267" s="51">
        <f>IF(G267="MFP",Tables!$B$2,Tables!$B$5)</f>
        <v>2.6200000000000001E-2</v>
      </c>
      <c r="Q267" s="86">
        <f>IF(G267="MFP",Tables!$B$3,Tables!$B$6)</f>
        <v>0.11799999999999999</v>
      </c>
      <c r="R267" s="59">
        <f>VLOOKUP($N267,'Meter Comparison'!$C$2:$G$314,2,FALSE)</f>
        <v>463</v>
      </c>
      <c r="S267" s="59">
        <f>VLOOKUP($N267,'Meter Comparison'!$C$2:$G$314,3,FALSE)</f>
        <v>593</v>
      </c>
      <c r="T267" s="59">
        <f>VLOOKUP($N267,'Meter Comparison'!$C$2:$G$314,4,FALSE)</f>
        <v>0</v>
      </c>
      <c r="U267" s="59">
        <f>VLOOKUP($N267,'Meter Comparison'!$C$2:$G$314,5,FALSE)</f>
        <v>0</v>
      </c>
    </row>
    <row r="268" spans="1:22" ht="30" customHeight="1" outlineLevel="2" x14ac:dyDescent="0.3">
      <c r="A268" s="77" t="s">
        <v>547</v>
      </c>
      <c r="B268" s="77" t="s">
        <v>548</v>
      </c>
      <c r="C268" s="55" t="str">
        <f>VLOOKUP(B268,Tables!$G$2:$H$90,2,FALSE)</f>
        <v>AUX-Military Store</v>
      </c>
      <c r="D268" s="76" t="s">
        <v>550</v>
      </c>
      <c r="E268" s="75">
        <v>401</v>
      </c>
      <c r="F268" s="76" t="s">
        <v>90</v>
      </c>
      <c r="G268" s="50" t="str">
        <f>VLOOKUP(F268,Tables!$D$2:$E$20,2,FALSE)</f>
        <v>PTR</v>
      </c>
      <c r="H268" s="69">
        <v>17099724</v>
      </c>
      <c r="I268" s="71">
        <f>SUM(S268-R268)</f>
        <v>390</v>
      </c>
      <c r="J268" s="71">
        <f>SUM(U268-T268)</f>
        <v>213</v>
      </c>
      <c r="K268" s="73">
        <f>SUM(I268*$P268)</f>
        <v>10.218</v>
      </c>
      <c r="L268" s="73">
        <f>SUM(J268*$Q268)</f>
        <v>25.134</v>
      </c>
      <c r="M268" s="74">
        <f>K268+L268</f>
        <v>35.352000000000004</v>
      </c>
      <c r="N268" s="57" t="s">
        <v>793</v>
      </c>
      <c r="O268" s="57" t="s">
        <v>806</v>
      </c>
      <c r="P268" s="51">
        <f>IF(G268="MFP",Tables!$B$2,Tables!$B$5)</f>
        <v>2.6200000000000001E-2</v>
      </c>
      <c r="Q268" s="86">
        <f>IF(G268="MFP",Tables!$B$3,Tables!$B$6)</f>
        <v>0.11799999999999999</v>
      </c>
      <c r="R268" s="59">
        <f>VLOOKUP($N268,'Meter Comparison'!$C$2:$G$314,2,FALSE)</f>
        <v>1189</v>
      </c>
      <c r="S268" s="59">
        <f>VLOOKUP($N268,'Meter Comparison'!$C$2:$G$314,3,FALSE)</f>
        <v>1579</v>
      </c>
      <c r="T268" s="59">
        <f>VLOOKUP($N268,'Meter Comparison'!$C$2:$G$314,4,FALSE)</f>
        <v>316</v>
      </c>
      <c r="U268" s="59">
        <f>VLOOKUP($N268,'Meter Comparison'!$C$2:$G$314,5,FALSE)</f>
        <v>529</v>
      </c>
    </row>
    <row r="269" spans="1:22" ht="30" customHeight="1" outlineLevel="2" x14ac:dyDescent="0.3">
      <c r="A269" s="77" t="s">
        <v>547</v>
      </c>
      <c r="B269" s="77" t="s">
        <v>548</v>
      </c>
      <c r="C269" s="55" t="str">
        <f>VLOOKUP(B269,Tables!$G$2:$H$90,2,FALSE)</f>
        <v>AUX-Military Store</v>
      </c>
      <c r="D269" s="76" t="s">
        <v>550</v>
      </c>
      <c r="E269" s="75">
        <v>401</v>
      </c>
      <c r="F269" s="76" t="s">
        <v>54</v>
      </c>
      <c r="G269" s="50" t="str">
        <f>VLOOKUP(F269,Tables!$D$2:$E$20,2,FALSE)</f>
        <v>MFP</v>
      </c>
      <c r="H269" s="69">
        <v>17099491</v>
      </c>
      <c r="I269" s="71">
        <f>SUM(S269-R269)</f>
        <v>1474</v>
      </c>
      <c r="J269" s="71">
        <f>SUM(U269-T269)</f>
        <v>816</v>
      </c>
      <c r="K269" s="73">
        <f>SUM(I269*$P269)</f>
        <v>30.511800000000001</v>
      </c>
      <c r="L269" s="73">
        <f>SUM(J269*$Q269)</f>
        <v>70.99199999999999</v>
      </c>
      <c r="M269" s="74">
        <f>K269+L269</f>
        <v>101.50379999999998</v>
      </c>
      <c r="N269" s="76" t="s">
        <v>551</v>
      </c>
      <c r="O269" s="76" t="s">
        <v>552</v>
      </c>
      <c r="P269" s="51">
        <f>IF(G269="MFP",Tables!$B$2,Tables!$B$5)</f>
        <v>2.07E-2</v>
      </c>
      <c r="Q269" s="86">
        <f>IF(G269="MFP",Tables!$B$3,Tables!$B$6)</f>
        <v>8.6999999999999994E-2</v>
      </c>
      <c r="R269" s="59">
        <f>VLOOKUP($N269,'Meter Comparison'!$C$2:$G$314,2,FALSE)</f>
        <v>6916</v>
      </c>
      <c r="S269" s="59">
        <f>VLOOKUP($N269,'Meter Comparison'!$C$2:$G$314,3,FALSE)</f>
        <v>8390</v>
      </c>
      <c r="T269" s="59">
        <f>VLOOKUP($N269,'Meter Comparison'!$C$2:$G$314,4,FALSE)</f>
        <v>3743</v>
      </c>
      <c r="U269" s="59">
        <f>VLOOKUP($N269,'Meter Comparison'!$C$2:$G$314,5,FALSE)</f>
        <v>4559</v>
      </c>
    </row>
    <row r="270" spans="1:22" ht="30" customHeight="1" outlineLevel="1" x14ac:dyDescent="0.3">
      <c r="A270" s="77"/>
      <c r="B270" s="160" t="s">
        <v>1099</v>
      </c>
      <c r="C270" s="55"/>
      <c r="D270" s="76"/>
      <c r="E270" s="75"/>
      <c r="F270" s="76"/>
      <c r="G270" s="50"/>
      <c r="H270" s="69"/>
      <c r="I270" s="71"/>
      <c r="J270" s="71"/>
      <c r="K270" s="73"/>
      <c r="L270" s="73"/>
      <c r="M270" s="74">
        <f>SUBTOTAL(9,M266:M269)</f>
        <v>150.70839999999998</v>
      </c>
      <c r="N270" s="76"/>
      <c r="O270" s="76"/>
      <c r="P270" s="51"/>
      <c r="Q270" s="86"/>
      <c r="R270" s="59"/>
      <c r="S270" s="59"/>
      <c r="T270" s="59"/>
      <c r="U270" s="59"/>
    </row>
    <row r="271" spans="1:22" ht="30" customHeight="1" outlineLevel="2" x14ac:dyDescent="0.3">
      <c r="A271" s="77" t="s">
        <v>994</v>
      </c>
      <c r="B271" s="77" t="s">
        <v>324</v>
      </c>
      <c r="C271" s="55" t="str">
        <f>VLOOKUP(B271,Tables!$G$2:$H$90,2,FALSE)</f>
        <v>Learning Programs</v>
      </c>
      <c r="D271" s="76" t="s">
        <v>221</v>
      </c>
      <c r="E271" s="75">
        <v>202</v>
      </c>
      <c r="F271" s="76" t="s">
        <v>15</v>
      </c>
      <c r="G271" s="50" t="str">
        <f>VLOOKUP(F271,Tables!$D$2:$E$20,2,FALSE)</f>
        <v>PTR</v>
      </c>
      <c r="H271" s="69">
        <v>17099755</v>
      </c>
      <c r="I271" s="71">
        <f>SUM(S271-R271)</f>
        <v>2264</v>
      </c>
      <c r="J271" s="71">
        <f>SUM(U271-T271)</f>
        <v>0</v>
      </c>
      <c r="K271" s="73">
        <f>SUM(I271*$P271)</f>
        <v>59.316800000000001</v>
      </c>
      <c r="L271" s="73">
        <f>SUM(J271*$Q271)</f>
        <v>0</v>
      </c>
      <c r="M271" s="74">
        <f>K271+L271</f>
        <v>59.316800000000001</v>
      </c>
      <c r="N271" s="57" t="s">
        <v>770</v>
      </c>
      <c r="O271" s="57" t="s">
        <v>941</v>
      </c>
      <c r="P271" s="51">
        <f>IF(G271="MFP",Tables!$B$2,Tables!$B$5)</f>
        <v>2.6200000000000001E-2</v>
      </c>
      <c r="Q271" s="86">
        <f>IF(G271="MFP",Tables!$B$3,Tables!$B$6)</f>
        <v>0.11799999999999999</v>
      </c>
      <c r="R271" s="59">
        <f>VLOOKUP($N271,'Meter Comparison'!$C$2:$G$314,2,FALSE)</f>
        <v>12304</v>
      </c>
      <c r="S271" s="59">
        <f>VLOOKUP($N271,'Meter Comparison'!$C$2:$G$314,3,FALSE)</f>
        <v>14568</v>
      </c>
      <c r="T271" s="59">
        <f>VLOOKUP($N271,'Meter Comparison'!$C$2:$G$314,4,FALSE)</f>
        <v>0</v>
      </c>
      <c r="U271" s="59">
        <f>VLOOKUP($N271,'Meter Comparison'!$C$2:$G$314,5,FALSE)</f>
        <v>0</v>
      </c>
    </row>
    <row r="272" spans="1:22" ht="30" customHeight="1" outlineLevel="2" x14ac:dyDescent="0.3">
      <c r="A272" s="77" t="s">
        <v>994</v>
      </c>
      <c r="B272" s="55" t="s">
        <v>324</v>
      </c>
      <c r="C272" s="55" t="str">
        <f>VLOOKUP(B272,Tables!$G$2:$H$90,2,FALSE)</f>
        <v>Learning Programs</v>
      </c>
      <c r="D272" s="56" t="s">
        <v>221</v>
      </c>
      <c r="E272" s="114">
        <v>203</v>
      </c>
      <c r="F272" s="56" t="s">
        <v>15</v>
      </c>
      <c r="G272" s="50" t="str">
        <f>VLOOKUP(F272,Tables!$D$2:$E$20,2,FALSE)</f>
        <v>PTR</v>
      </c>
      <c r="H272" s="105">
        <v>17099584</v>
      </c>
      <c r="I272" s="106">
        <f>SUM(S272-R272)</f>
        <v>221</v>
      </c>
      <c r="J272" s="106">
        <f>SUM(U272-T272)</f>
        <v>0</v>
      </c>
      <c r="K272" s="107">
        <f>SUM(I272*$P272)</f>
        <v>5.7902000000000005</v>
      </c>
      <c r="L272" s="107">
        <f>SUM(J272*$Q272)</f>
        <v>0</v>
      </c>
      <c r="M272" s="108">
        <f>K272+L272</f>
        <v>5.7902000000000005</v>
      </c>
      <c r="N272" s="56" t="s">
        <v>330</v>
      </c>
      <c r="O272" s="56" t="s">
        <v>331</v>
      </c>
      <c r="P272" s="51">
        <f>IF(G272="MFP",Tables!$B$2,Tables!$B$5)</f>
        <v>2.6200000000000001E-2</v>
      </c>
      <c r="Q272" s="86">
        <f>IF(G272="MFP",Tables!$B$3,Tables!$B$6)</f>
        <v>0.11799999999999999</v>
      </c>
      <c r="R272" s="59">
        <f>VLOOKUP($N272,'Meter Comparison'!$C$2:$G$314,2,FALSE)</f>
        <v>1469</v>
      </c>
      <c r="S272" s="59">
        <f>VLOOKUP($N272,'Meter Comparison'!$C$2:$G$314,3,FALSE)</f>
        <v>1690</v>
      </c>
      <c r="T272" s="59">
        <f>VLOOKUP($N272,'Meter Comparison'!$C$2:$G$314,4,FALSE)</f>
        <v>0</v>
      </c>
      <c r="U272" s="59">
        <f>VLOOKUP($N272,'Meter Comparison'!$C$2:$G$314,5,FALSE)</f>
        <v>0</v>
      </c>
    </row>
    <row r="273" spans="1:22" ht="30" customHeight="1" outlineLevel="2" x14ac:dyDescent="0.3">
      <c r="A273" s="77" t="s">
        <v>994</v>
      </c>
      <c r="B273" s="122" t="s">
        <v>324</v>
      </c>
      <c r="C273" s="55" t="str">
        <f>VLOOKUP(B273,Tables!$G$2:$H$90,2,FALSE)</f>
        <v>Learning Programs</v>
      </c>
      <c r="D273" s="112" t="s">
        <v>221</v>
      </c>
      <c r="E273" s="102">
        <v>206</v>
      </c>
      <c r="F273" s="103" t="s">
        <v>15</v>
      </c>
      <c r="G273" s="50" t="str">
        <f>VLOOKUP(F273,Tables!$D$2:$E$20,2,FALSE)</f>
        <v>PTR</v>
      </c>
      <c r="H273" s="69">
        <v>17099825</v>
      </c>
      <c r="I273" s="106">
        <f>SUM(S273-R273)</f>
        <v>657</v>
      </c>
      <c r="J273" s="106">
        <f>SUM(U273-T273)</f>
        <v>0</v>
      </c>
      <c r="K273" s="107">
        <f>SUM(I273*$P273)</f>
        <v>17.2134</v>
      </c>
      <c r="L273" s="107">
        <f>SUM(J273*$Q273)</f>
        <v>0</v>
      </c>
      <c r="M273" s="108">
        <f>K273+L273</f>
        <v>17.2134</v>
      </c>
      <c r="N273" s="113" t="s">
        <v>875</v>
      </c>
      <c r="O273" s="54" t="s">
        <v>945</v>
      </c>
      <c r="P273" s="51">
        <f>IF(G273="MFP",Tables!$B$2,Tables!$B$5)</f>
        <v>2.6200000000000001E-2</v>
      </c>
      <c r="Q273" s="86">
        <f>IF(G273="MFP",Tables!$B$3,Tables!$B$6)</f>
        <v>0.11799999999999999</v>
      </c>
      <c r="R273" s="59">
        <f>VLOOKUP($N273,'Meter Comparison'!$C$2:$G$314,2,FALSE)</f>
        <v>1195</v>
      </c>
      <c r="S273" s="59">
        <f>VLOOKUP($N273,'Meter Comparison'!$C$2:$G$314,3,FALSE)</f>
        <v>1852</v>
      </c>
      <c r="T273" s="59">
        <f>VLOOKUP($N273,'Meter Comparison'!$C$2:$G$314,4,FALSE)</f>
        <v>0</v>
      </c>
      <c r="U273" s="59">
        <f>VLOOKUP($N273,'Meter Comparison'!$C$2:$G$314,5,FALSE)</f>
        <v>0</v>
      </c>
    </row>
    <row r="274" spans="1:22" ht="30" customHeight="1" outlineLevel="2" x14ac:dyDescent="0.3">
      <c r="A274" s="77" t="s">
        <v>994</v>
      </c>
      <c r="B274" s="77" t="s">
        <v>324</v>
      </c>
      <c r="C274" s="55" t="str">
        <f>VLOOKUP(B274,Tables!$G$2:$H$90,2,FALSE)</f>
        <v>Learning Programs</v>
      </c>
      <c r="D274" s="76" t="s">
        <v>221</v>
      </c>
      <c r="E274" s="75">
        <v>209</v>
      </c>
      <c r="F274" s="76" t="s">
        <v>15</v>
      </c>
      <c r="G274" s="50" t="str">
        <f>VLOOKUP(F274,Tables!$D$2:$E$20,2,FALSE)</f>
        <v>PTR</v>
      </c>
      <c r="H274" s="69">
        <v>17099577</v>
      </c>
      <c r="I274" s="71">
        <f>SUM(S274-R274)</f>
        <v>0</v>
      </c>
      <c r="J274" s="71">
        <f>SUM(U274-T274)</f>
        <v>0</v>
      </c>
      <c r="K274" s="73">
        <f>SUM(I274*$P274)</f>
        <v>0</v>
      </c>
      <c r="L274" s="73">
        <f>SUM(J274*$Q274)</f>
        <v>0</v>
      </c>
      <c r="M274" s="74">
        <f>K274+L274</f>
        <v>0</v>
      </c>
      <c r="N274" s="76" t="s">
        <v>302</v>
      </c>
      <c r="O274" s="76" t="s">
        <v>303</v>
      </c>
      <c r="P274" s="51">
        <f>IF(G274="MFP",Tables!$B$2,Tables!$B$5)</f>
        <v>2.6200000000000001E-2</v>
      </c>
      <c r="Q274" s="86">
        <f>IF(G274="MFP",Tables!$B$3,Tables!$B$6)</f>
        <v>0.11799999999999999</v>
      </c>
      <c r="R274" s="59">
        <f>VLOOKUP($N274,'Meter Comparison'!$C$2:$G$314,2,FALSE)</f>
        <v>31</v>
      </c>
      <c r="S274" s="59">
        <f>VLOOKUP($N274,'Meter Comparison'!$C$2:$G$314,3,FALSE)</f>
        <v>31</v>
      </c>
      <c r="T274" s="59">
        <f>VLOOKUP($N274,'Meter Comparison'!$C$2:$G$314,4,FALSE)</f>
        <v>0</v>
      </c>
      <c r="U274" s="59">
        <f>VLOOKUP($N274,'Meter Comparison'!$C$2:$G$314,5,FALSE)</f>
        <v>0</v>
      </c>
    </row>
    <row r="275" spans="1:22" ht="30" customHeight="1" outlineLevel="2" x14ac:dyDescent="0.3">
      <c r="A275" s="77" t="s">
        <v>994</v>
      </c>
      <c r="B275" s="77" t="s">
        <v>324</v>
      </c>
      <c r="C275" s="55" t="str">
        <f>VLOOKUP(B275,Tables!$G$2:$H$90,2,FALSE)</f>
        <v>Learning Programs</v>
      </c>
      <c r="D275" s="76" t="s">
        <v>221</v>
      </c>
      <c r="E275" s="75" t="s">
        <v>326</v>
      </c>
      <c r="F275" s="76" t="s">
        <v>15</v>
      </c>
      <c r="G275" s="50" t="str">
        <f>VLOOKUP(F275,Tables!$D$2:$E$20,2,FALSE)</f>
        <v>PTR</v>
      </c>
      <c r="H275" s="69">
        <v>17099754</v>
      </c>
      <c r="I275" s="71">
        <f>SUM(S275-R275)</f>
        <v>1177</v>
      </c>
      <c r="J275" s="71">
        <f>SUM(U275-T275)</f>
        <v>0</v>
      </c>
      <c r="K275" s="73">
        <f>SUM(I275*$P275)</f>
        <v>30.837400000000002</v>
      </c>
      <c r="L275" s="73">
        <f>SUM(J275*$Q275)</f>
        <v>0</v>
      </c>
      <c r="M275" s="74">
        <f>K275+L275</f>
        <v>30.837400000000002</v>
      </c>
      <c r="N275" s="76" t="s">
        <v>327</v>
      </c>
      <c r="O275" s="76" t="s">
        <v>328</v>
      </c>
      <c r="P275" s="51">
        <f>IF(G275="MFP",Tables!$B$2,Tables!$B$5)</f>
        <v>2.6200000000000001E-2</v>
      </c>
      <c r="Q275" s="86">
        <f>IF(G275="MFP",Tables!$B$3,Tables!$B$6)</f>
        <v>0.11799999999999999</v>
      </c>
      <c r="R275" s="59">
        <f>VLOOKUP($N275,'Meter Comparison'!$C$2:$G$314,2,FALSE)</f>
        <v>4781</v>
      </c>
      <c r="S275" s="59">
        <f>VLOOKUP($N275,'Meter Comparison'!$C$2:$G$314,3,FALSE)</f>
        <v>5958</v>
      </c>
      <c r="T275" s="59">
        <f>VLOOKUP($N275,'Meter Comparison'!$C$2:$G$314,4,FALSE)</f>
        <v>0</v>
      </c>
      <c r="U275" s="59">
        <f>VLOOKUP($N275,'Meter Comparison'!$C$2:$G$314,5,FALSE)</f>
        <v>0</v>
      </c>
    </row>
    <row r="276" spans="1:22" ht="30" customHeight="1" outlineLevel="1" x14ac:dyDescent="0.3">
      <c r="A276" s="77"/>
      <c r="B276" s="160" t="s">
        <v>1100</v>
      </c>
      <c r="C276" s="55"/>
      <c r="D276" s="76"/>
      <c r="E276" s="75"/>
      <c r="F276" s="76"/>
      <c r="G276" s="50"/>
      <c r="H276" s="69"/>
      <c r="I276" s="71"/>
      <c r="J276" s="71"/>
      <c r="K276" s="73"/>
      <c r="L276" s="73"/>
      <c r="M276" s="74">
        <f>SUBTOTAL(9,M271:M275)</f>
        <v>113.15780000000001</v>
      </c>
      <c r="N276" s="76"/>
      <c r="O276" s="76"/>
      <c r="P276" s="51"/>
      <c r="Q276" s="86"/>
      <c r="R276" s="59"/>
      <c r="S276" s="59"/>
      <c r="T276" s="59"/>
      <c r="U276" s="59"/>
    </row>
    <row r="277" spans="1:22" ht="30" customHeight="1" outlineLevel="2" x14ac:dyDescent="0.3">
      <c r="A277" s="77" t="s">
        <v>186</v>
      </c>
      <c r="B277" s="77" t="s">
        <v>187</v>
      </c>
      <c r="C277" s="55" t="str">
        <f>VLOOKUP(B277,Tables!$G$2:$H$90,2,FALSE)</f>
        <v>Modern Languages</v>
      </c>
      <c r="D277" s="76" t="s">
        <v>96</v>
      </c>
      <c r="E277" s="75">
        <v>416</v>
      </c>
      <c r="F277" s="76" t="s">
        <v>15</v>
      </c>
      <c r="G277" s="50" t="str">
        <f>VLOOKUP(F277,Tables!$D$2:$E$20,2,FALSE)</f>
        <v>PTR</v>
      </c>
      <c r="H277" s="69">
        <v>17099542</v>
      </c>
      <c r="I277" s="71">
        <f>SUM(S277-R277)</f>
        <v>2755</v>
      </c>
      <c r="J277" s="71">
        <f>SUM(U277-T277)</f>
        <v>0</v>
      </c>
      <c r="K277" s="73">
        <f>SUM(I277*$P277)</f>
        <v>72.180999999999997</v>
      </c>
      <c r="L277" s="73">
        <f>SUM(J277*$Q277)</f>
        <v>0</v>
      </c>
      <c r="M277" s="74">
        <f>K277+L277</f>
        <v>72.180999999999997</v>
      </c>
      <c r="N277" s="76" t="s">
        <v>192</v>
      </c>
      <c r="O277" s="76" t="s">
        <v>193</v>
      </c>
      <c r="P277" s="51">
        <f>IF(G277="MFP",Tables!$B$2,Tables!$B$5)</f>
        <v>2.6200000000000001E-2</v>
      </c>
      <c r="Q277" s="86">
        <f>IF(G277="MFP",Tables!$B$3,Tables!$B$6)</f>
        <v>0.11799999999999999</v>
      </c>
      <c r="R277" s="59">
        <f>VLOOKUP($N277,'Meter Comparison'!$C$2:$G$314,2,FALSE)</f>
        <v>7892</v>
      </c>
      <c r="S277" s="59">
        <f>VLOOKUP($N277,'Meter Comparison'!$C$2:$G$314,3,FALSE)</f>
        <v>10647</v>
      </c>
      <c r="T277" s="59">
        <f>VLOOKUP($N277,'Meter Comparison'!$C$2:$G$314,4,FALSE)</f>
        <v>0</v>
      </c>
      <c r="U277" s="59">
        <f>VLOOKUP($N277,'Meter Comparison'!$C$2:$G$314,5,FALSE)</f>
        <v>0</v>
      </c>
    </row>
    <row r="278" spans="1:22" ht="30" customHeight="1" outlineLevel="2" x14ac:dyDescent="0.3">
      <c r="A278" s="77" t="s">
        <v>186</v>
      </c>
      <c r="B278" s="77" t="s">
        <v>187</v>
      </c>
      <c r="C278" s="55" t="str">
        <f>VLOOKUP(B278,Tables!$G$2:$H$90,2,FALSE)</f>
        <v>Modern Languages</v>
      </c>
      <c r="D278" s="76" t="s">
        <v>96</v>
      </c>
      <c r="E278" s="75">
        <v>424</v>
      </c>
      <c r="F278" s="76" t="s">
        <v>15</v>
      </c>
      <c r="G278" s="50" t="str">
        <f>VLOOKUP(F278,Tables!$D$2:$E$20,2,FALSE)</f>
        <v>PTR</v>
      </c>
      <c r="H278" s="69">
        <v>17099548</v>
      </c>
      <c r="I278" s="71">
        <f>SUM(S278-R278)</f>
        <v>521</v>
      </c>
      <c r="J278" s="71">
        <f>SUM(U278-T278)</f>
        <v>0</v>
      </c>
      <c r="K278" s="73">
        <f>SUM(I278*$P278)</f>
        <v>13.6502</v>
      </c>
      <c r="L278" s="73">
        <f>SUM(J278*$Q278)</f>
        <v>0</v>
      </c>
      <c r="M278" s="74">
        <f>K278+L278</f>
        <v>13.6502</v>
      </c>
      <c r="N278" s="76" t="s">
        <v>795</v>
      </c>
      <c r="O278" s="76" t="s">
        <v>194</v>
      </c>
      <c r="P278" s="51">
        <f>IF(G278="MFP",Tables!$B$2,Tables!$B$5)</f>
        <v>2.6200000000000001E-2</v>
      </c>
      <c r="Q278" s="86">
        <f>IF(G278="MFP",Tables!$B$3,Tables!$B$6)</f>
        <v>0.11799999999999999</v>
      </c>
      <c r="R278" s="59">
        <f>VLOOKUP($N278,'Meter Comparison'!$C$2:$G$314,2,FALSE)</f>
        <v>3226</v>
      </c>
      <c r="S278" s="59">
        <f>VLOOKUP($N278,'Meter Comparison'!$C$2:$G$314,3,FALSE)</f>
        <v>3747</v>
      </c>
      <c r="T278" s="59">
        <f>VLOOKUP($N278,'Meter Comparison'!$C$2:$G$314,4,FALSE)</f>
        <v>0</v>
      </c>
      <c r="U278" s="59">
        <f>VLOOKUP($N278,'Meter Comparison'!$C$2:$G$314,5,FALSE)</f>
        <v>0</v>
      </c>
    </row>
    <row r="279" spans="1:22" ht="30" customHeight="1" outlineLevel="2" x14ac:dyDescent="0.3">
      <c r="A279" s="55" t="s">
        <v>186</v>
      </c>
      <c r="B279" s="55" t="s">
        <v>187</v>
      </c>
      <c r="C279" s="55" t="str">
        <f>VLOOKUP(B279,Tables!$G$2:$H$90,2,FALSE)</f>
        <v>Modern Languages</v>
      </c>
      <c r="D279" s="56" t="s">
        <v>96</v>
      </c>
      <c r="E279" s="114">
        <v>541</v>
      </c>
      <c r="F279" s="56" t="s">
        <v>15</v>
      </c>
      <c r="G279" s="50" t="str">
        <f>VLOOKUP(F279,Tables!$D$2:$E$20,2,FALSE)</f>
        <v>PTR</v>
      </c>
      <c r="H279" s="105">
        <v>17099551</v>
      </c>
      <c r="I279" s="106">
        <f>SUM(S279-R279)</f>
        <v>642</v>
      </c>
      <c r="J279" s="106">
        <f>SUM(U279-T279)</f>
        <v>0</v>
      </c>
      <c r="K279" s="107">
        <f>SUM(I279*$P279)</f>
        <v>16.820399999999999</v>
      </c>
      <c r="L279" s="107">
        <f>SUM(J279*$Q279)</f>
        <v>0</v>
      </c>
      <c r="M279" s="108">
        <f>K279+L279</f>
        <v>16.820399999999999</v>
      </c>
      <c r="N279" s="56" t="s">
        <v>190</v>
      </c>
      <c r="O279" s="56" t="s">
        <v>191</v>
      </c>
      <c r="P279" s="51">
        <f>IF(G279="MFP",Tables!$B$2,Tables!$B$5)</f>
        <v>2.6200000000000001E-2</v>
      </c>
      <c r="Q279" s="86">
        <f>IF(G279="MFP",Tables!$B$3,Tables!$B$6)</f>
        <v>0.11799999999999999</v>
      </c>
      <c r="R279" s="59">
        <f>VLOOKUP($N279,'Meter Comparison'!$C$2:$G$314,2,FALSE)</f>
        <v>3778</v>
      </c>
      <c r="S279" s="59">
        <f>VLOOKUP($N279,'Meter Comparison'!$C$2:$G$314,3,FALSE)</f>
        <v>4420</v>
      </c>
      <c r="T279" s="59">
        <f>VLOOKUP($N279,'Meter Comparison'!$C$2:$G$314,4,FALSE)</f>
        <v>0</v>
      </c>
      <c r="U279" s="59">
        <f>VLOOKUP($N279,'Meter Comparison'!$C$2:$G$314,5,FALSE)</f>
        <v>0</v>
      </c>
    </row>
    <row r="280" spans="1:22" ht="30" customHeight="1" outlineLevel="1" x14ac:dyDescent="0.3">
      <c r="A280" s="55"/>
      <c r="B280" s="161" t="s">
        <v>1101</v>
      </c>
      <c r="C280" s="55"/>
      <c r="D280" s="56"/>
      <c r="E280" s="114"/>
      <c r="F280" s="56"/>
      <c r="G280" s="50"/>
      <c r="H280" s="105"/>
      <c r="I280" s="106"/>
      <c r="J280" s="106"/>
      <c r="K280" s="107"/>
      <c r="L280" s="107"/>
      <c r="M280" s="108">
        <f>SUBTOTAL(9,M277:M279)</f>
        <v>102.6516</v>
      </c>
      <c r="N280" s="56"/>
      <c r="O280" s="56"/>
      <c r="P280" s="51"/>
      <c r="Q280" s="86"/>
      <c r="R280" s="59"/>
      <c r="S280" s="59"/>
      <c r="T280" s="59"/>
      <c r="U280" s="59"/>
    </row>
    <row r="281" spans="1:22" ht="30" customHeight="1" outlineLevel="2" x14ac:dyDescent="0.3">
      <c r="A281" s="77" t="s">
        <v>186</v>
      </c>
      <c r="B281" s="77" t="s">
        <v>422</v>
      </c>
      <c r="C281" s="55" t="str">
        <f>VLOOKUP(B281,Tables!$G$2:$H$90,2,FALSE)</f>
        <v>Printer Services</v>
      </c>
      <c r="D281" s="76" t="s">
        <v>96</v>
      </c>
      <c r="E281" s="75">
        <v>418</v>
      </c>
      <c r="F281" s="76" t="s">
        <v>15</v>
      </c>
      <c r="G281" s="50" t="str">
        <f>VLOOKUP(F281,Tables!$D$2:$E$20,2,FALSE)</f>
        <v>PTR</v>
      </c>
      <c r="H281" s="69">
        <v>17099520</v>
      </c>
      <c r="I281" s="71">
        <f>SUM(S281-R281)</f>
        <v>20004</v>
      </c>
      <c r="J281" s="71">
        <f>SUM(U281-T281)</f>
        <v>0</v>
      </c>
      <c r="K281" s="73">
        <f>SUM(I281*$P281)</f>
        <v>524.10480000000007</v>
      </c>
      <c r="L281" s="73">
        <f>SUM(J281*$Q281)</f>
        <v>0</v>
      </c>
      <c r="M281" s="74">
        <f>K281+L281</f>
        <v>524.10480000000007</v>
      </c>
      <c r="N281" s="76" t="s">
        <v>465</v>
      </c>
      <c r="O281" s="76" t="s">
        <v>466</v>
      </c>
      <c r="P281" s="51">
        <f>IF(G281="MFP",Tables!$B$2,Tables!$B$5)</f>
        <v>2.6200000000000001E-2</v>
      </c>
      <c r="Q281" s="86">
        <f>IF(G281="MFP",Tables!$B$3,Tables!$B$6)</f>
        <v>0.11799999999999999</v>
      </c>
      <c r="R281" s="59">
        <f>VLOOKUP($N281,'Meter Comparison'!$C$2:$G$314,2,FALSE)</f>
        <v>75306</v>
      </c>
      <c r="S281" s="59">
        <f>VLOOKUP($N281,'Meter Comparison'!$C$2:$G$314,3,FALSE)</f>
        <v>95310</v>
      </c>
      <c r="T281" s="59">
        <f>VLOOKUP($N281,'Meter Comparison'!$C$2:$G$314,4,FALSE)</f>
        <v>0</v>
      </c>
      <c r="U281" s="59">
        <f>VLOOKUP($N281,'Meter Comparison'!$C$2:$G$314,5,FALSE)</f>
        <v>0</v>
      </c>
    </row>
    <row r="282" spans="1:22" ht="30" customHeight="1" outlineLevel="2" x14ac:dyDescent="0.3">
      <c r="A282" s="77" t="s">
        <v>186</v>
      </c>
      <c r="B282" s="77" t="s">
        <v>422</v>
      </c>
      <c r="C282" s="55" t="str">
        <f>VLOOKUP(B282,Tables!$G$2:$H$90,2,FALSE)</f>
        <v>Printer Services</v>
      </c>
      <c r="D282" s="76" t="s">
        <v>96</v>
      </c>
      <c r="E282" s="75">
        <v>425</v>
      </c>
      <c r="F282" s="76" t="s">
        <v>24</v>
      </c>
      <c r="G282" s="50" t="str">
        <f>VLOOKUP(F282,Tables!$D$2:$E$20,2,FALSE)</f>
        <v>MFP</v>
      </c>
      <c r="H282" s="69">
        <v>17099405</v>
      </c>
      <c r="I282" s="71">
        <f>SUM(S282-R282)</f>
        <v>7887</v>
      </c>
      <c r="J282" s="71">
        <f>SUM(U282-T282)</f>
        <v>430</v>
      </c>
      <c r="K282" s="73">
        <f>SUM(I282*$P282)</f>
        <v>163.26089999999999</v>
      </c>
      <c r="L282" s="73">
        <f>SUM(J282*$Q282)</f>
        <v>37.409999999999997</v>
      </c>
      <c r="M282" s="74">
        <f>K282+L282</f>
        <v>200.67089999999999</v>
      </c>
      <c r="N282" s="76" t="s">
        <v>794</v>
      </c>
      <c r="O282" s="76" t="s">
        <v>154</v>
      </c>
      <c r="P282" s="51">
        <f>IF(G282="MFP",Tables!$B$2,Tables!$B$5)</f>
        <v>2.07E-2</v>
      </c>
      <c r="Q282" s="86">
        <f>IF(G282="MFP",Tables!$B$3,Tables!$B$6)</f>
        <v>8.6999999999999994E-2</v>
      </c>
      <c r="R282" s="59">
        <f>VLOOKUP($N282,'Meter Comparison'!$C$2:$G$314,2,FALSE)</f>
        <v>35171</v>
      </c>
      <c r="S282" s="59">
        <f>VLOOKUP($N282,'Meter Comparison'!$C$2:$G$314,3,FALSE)</f>
        <v>43058</v>
      </c>
      <c r="T282" s="59">
        <f>VLOOKUP($N282,'Meter Comparison'!$C$2:$G$314,4,FALSE)</f>
        <v>1844</v>
      </c>
      <c r="U282" s="59">
        <f>VLOOKUP($N282,'Meter Comparison'!$C$2:$G$314,5,FALSE)</f>
        <v>2274</v>
      </c>
    </row>
    <row r="283" spans="1:22" ht="30" customHeight="1" outlineLevel="1" x14ac:dyDescent="0.3">
      <c r="A283" s="77"/>
      <c r="B283" s="160" t="s">
        <v>1053</v>
      </c>
      <c r="C283" s="55"/>
      <c r="D283" s="76"/>
      <c r="E283" s="75"/>
      <c r="F283" s="76"/>
      <c r="G283" s="50"/>
      <c r="H283" s="69"/>
      <c r="I283" s="71"/>
      <c r="J283" s="71"/>
      <c r="K283" s="73"/>
      <c r="L283" s="73"/>
      <c r="M283" s="74">
        <f>SUBTOTAL(9,M281:M282)</f>
        <v>724.77570000000003</v>
      </c>
      <c r="N283" s="76"/>
      <c r="O283" s="76"/>
      <c r="P283" s="51"/>
      <c r="Q283" s="86"/>
      <c r="R283" s="59"/>
      <c r="S283" s="59"/>
      <c r="T283" s="59"/>
      <c r="U283" s="59"/>
    </row>
    <row r="284" spans="1:22" ht="30" customHeight="1" outlineLevel="2" x14ac:dyDescent="0.3">
      <c r="A284" s="77" t="s">
        <v>230</v>
      </c>
      <c r="B284" s="77" t="s">
        <v>231</v>
      </c>
      <c r="C284" s="55" t="str">
        <f>VLOOKUP(B284,Tables!$G$2:$H$90,2,FALSE)</f>
        <v>Museum</v>
      </c>
      <c r="D284" s="76" t="s">
        <v>233</v>
      </c>
      <c r="E284" s="75">
        <v>105</v>
      </c>
      <c r="F284" s="76" t="s">
        <v>54</v>
      </c>
      <c r="G284" s="50" t="str">
        <f>VLOOKUP(F284,Tables!$D$2:$E$20,2,FALSE)</f>
        <v>MFP</v>
      </c>
      <c r="H284" s="69">
        <v>17099721</v>
      </c>
      <c r="I284" s="71">
        <f>SUM(S284-R284)</f>
        <v>1112</v>
      </c>
      <c r="J284" s="71">
        <f>SUM(U284-T284)</f>
        <v>590</v>
      </c>
      <c r="K284" s="73">
        <f>SUM(I284*$P284)</f>
        <v>23.0184</v>
      </c>
      <c r="L284" s="73">
        <f>SUM(J284*$Q284)</f>
        <v>51.33</v>
      </c>
      <c r="M284" s="74">
        <f>K284+L284</f>
        <v>74.348399999999998</v>
      </c>
      <c r="N284" s="76" t="s">
        <v>234</v>
      </c>
      <c r="O284" s="76" t="s">
        <v>235</v>
      </c>
      <c r="P284" s="51">
        <f>IF(G284="MFP",Tables!$B$2,Tables!$B$5)</f>
        <v>2.07E-2</v>
      </c>
      <c r="Q284" s="86">
        <f>IF(G284="MFP",Tables!$B$3,Tables!$B$6)</f>
        <v>8.6999999999999994E-2</v>
      </c>
      <c r="R284" s="59">
        <f>VLOOKUP($N284,'Meter Comparison'!$C$2:$G$314,2,FALSE)</f>
        <v>12197</v>
      </c>
      <c r="S284" s="59">
        <f>VLOOKUP($N284,'Meter Comparison'!$C$2:$G$314,3,FALSE)</f>
        <v>13309</v>
      </c>
      <c r="T284" s="59">
        <f>VLOOKUP($N284,'Meter Comparison'!$C$2:$G$314,4,FALSE)</f>
        <v>5526</v>
      </c>
      <c r="U284" s="59">
        <f>VLOOKUP($N284,'Meter Comparison'!$C$2:$G$314,5,FALSE)</f>
        <v>6116</v>
      </c>
    </row>
    <row r="285" spans="1:22" ht="30" customHeight="1" outlineLevel="1" x14ac:dyDescent="0.3">
      <c r="A285" s="77"/>
      <c r="B285" s="160" t="s">
        <v>1102</v>
      </c>
      <c r="C285" s="55"/>
      <c r="D285" s="76"/>
      <c r="E285" s="75"/>
      <c r="F285" s="76"/>
      <c r="G285" s="50"/>
      <c r="H285" s="69"/>
      <c r="I285" s="71"/>
      <c r="J285" s="71"/>
      <c r="K285" s="73"/>
      <c r="L285" s="73"/>
      <c r="M285" s="74">
        <f>SUBTOTAL(9,M284:M284)</f>
        <v>74.348399999999998</v>
      </c>
      <c r="N285" s="76"/>
      <c r="O285" s="76"/>
      <c r="P285" s="51"/>
      <c r="Q285" s="86"/>
      <c r="R285" s="59"/>
      <c r="S285" s="59"/>
      <c r="T285" s="59"/>
      <c r="U285" s="59"/>
    </row>
    <row r="286" spans="1:22" ht="30" customHeight="1" outlineLevel="2" x14ac:dyDescent="0.3">
      <c r="A286" s="77" t="s">
        <v>195</v>
      </c>
      <c r="B286" s="77" t="s">
        <v>196</v>
      </c>
      <c r="C286" s="55" t="str">
        <f>VLOOKUP(B286,Tables!$G$2:$H$90,2,FALSE)</f>
        <v>ROTC-Navy</v>
      </c>
      <c r="D286" s="76" t="s">
        <v>14</v>
      </c>
      <c r="E286" s="75">
        <v>2080</v>
      </c>
      <c r="F286" s="76" t="s">
        <v>15</v>
      </c>
      <c r="G286" s="50" t="str">
        <f>VLOOKUP(F286,Tables!$D$2:$E$20,2,FALSE)</f>
        <v>PTR</v>
      </c>
      <c r="H286" s="69">
        <v>17099431</v>
      </c>
      <c r="I286" s="71">
        <f>SUM(S286-R286)</f>
        <v>20</v>
      </c>
      <c r="J286" s="71">
        <f>SUM(U286-T286)</f>
        <v>0</v>
      </c>
      <c r="K286" s="73">
        <f>SUM(I286*$P286)</f>
        <v>0.52400000000000002</v>
      </c>
      <c r="L286" s="73">
        <f>SUM(J286*$Q286)</f>
        <v>0</v>
      </c>
      <c r="M286" s="74">
        <f>K286+L286</f>
        <v>0.52400000000000002</v>
      </c>
      <c r="N286" s="76" t="s">
        <v>796</v>
      </c>
      <c r="O286" s="76" t="s">
        <v>200</v>
      </c>
      <c r="P286" s="51">
        <f>IF(G286="MFP",Tables!$B$2,Tables!$B$5)</f>
        <v>2.6200000000000001E-2</v>
      </c>
      <c r="Q286" s="86">
        <f>IF(G286="MFP",Tables!$B$3,Tables!$B$6)</f>
        <v>0.11799999999999999</v>
      </c>
      <c r="R286" s="59">
        <f>VLOOKUP($N286,'Meter Comparison'!$C$2:$G$314,2,FALSE)</f>
        <v>1912</v>
      </c>
      <c r="S286" s="59">
        <f>VLOOKUP($N286,'Meter Comparison'!$C$2:$G$314,3,FALSE)</f>
        <v>1932</v>
      </c>
      <c r="T286" s="59">
        <f>VLOOKUP($N286,'Meter Comparison'!$C$2:$G$314,4,FALSE)</f>
        <v>0</v>
      </c>
      <c r="U286" s="59">
        <f>VLOOKUP($N286,'Meter Comparison'!$C$2:$G$314,5,FALSE)</f>
        <v>0</v>
      </c>
    </row>
    <row r="287" spans="1:22" s="126" customFormat="1" ht="30" customHeight="1" outlineLevel="2" x14ac:dyDescent="0.3">
      <c r="A287" s="77" t="s">
        <v>195</v>
      </c>
      <c r="B287" s="77" t="s">
        <v>196</v>
      </c>
      <c r="C287" s="55" t="str">
        <f>VLOOKUP(B287,Tables!$G$2:$H$90,2,FALSE)</f>
        <v>ROTC-Navy</v>
      </c>
      <c r="D287" s="76" t="s">
        <v>14</v>
      </c>
      <c r="E287" s="75">
        <v>2082</v>
      </c>
      <c r="F287" s="76" t="s">
        <v>15</v>
      </c>
      <c r="G287" s="50" t="str">
        <f>VLOOKUP(F287,Tables!$D$2:$E$20,2,FALSE)</f>
        <v>PTR</v>
      </c>
      <c r="H287" s="69">
        <v>17099506</v>
      </c>
      <c r="I287" s="71">
        <f>SUM(S287-R287)</f>
        <v>284</v>
      </c>
      <c r="J287" s="71">
        <f>SUM(U287-T287)</f>
        <v>0</v>
      </c>
      <c r="K287" s="73">
        <f>SUM(I287*$P287)</f>
        <v>7.4408000000000003</v>
      </c>
      <c r="L287" s="73">
        <f>SUM(J287*$Q287)</f>
        <v>0</v>
      </c>
      <c r="M287" s="74">
        <f>K287+L287</f>
        <v>7.4408000000000003</v>
      </c>
      <c r="N287" s="76" t="s">
        <v>198</v>
      </c>
      <c r="O287" s="76" t="s">
        <v>199</v>
      </c>
      <c r="P287" s="51">
        <f>IF(G287="MFP",Tables!$B$2,Tables!$B$5)</f>
        <v>2.6200000000000001E-2</v>
      </c>
      <c r="Q287" s="86">
        <f>IF(G287="MFP",Tables!$B$3,Tables!$B$6)</f>
        <v>0.11799999999999999</v>
      </c>
      <c r="R287" s="59">
        <f>VLOOKUP($N287,'Meter Comparison'!$C$2:$G$314,2,FALSE)</f>
        <v>1394</v>
      </c>
      <c r="S287" s="59">
        <f>VLOOKUP($N287,'Meter Comparison'!$C$2:$G$314,3,FALSE)</f>
        <v>1678</v>
      </c>
      <c r="T287" s="59">
        <f>VLOOKUP($N287,'Meter Comparison'!$C$2:$G$314,4,FALSE)</f>
        <v>0</v>
      </c>
      <c r="U287" s="59">
        <f>VLOOKUP($N287,'Meter Comparison'!$C$2:$G$314,5,FALSE)</f>
        <v>0</v>
      </c>
      <c r="V287" s="64"/>
    </row>
    <row r="288" spans="1:22" ht="30" customHeight="1" outlineLevel="2" x14ac:dyDescent="0.3">
      <c r="A288" s="77" t="s">
        <v>195</v>
      </c>
      <c r="B288" s="77" t="s">
        <v>196</v>
      </c>
      <c r="C288" s="55" t="str">
        <f>VLOOKUP(B288,Tables!$G$2:$H$90,2,FALSE)</f>
        <v>ROTC-Navy</v>
      </c>
      <c r="D288" s="76" t="s">
        <v>14</v>
      </c>
      <c r="E288" s="75">
        <v>2090</v>
      </c>
      <c r="F288" s="76" t="s">
        <v>15</v>
      </c>
      <c r="G288" s="50" t="str">
        <f>VLOOKUP(F288,Tables!$D$2:$E$20,2,FALSE)</f>
        <v>PTR</v>
      </c>
      <c r="H288" s="69">
        <v>17099429</v>
      </c>
      <c r="I288" s="71">
        <f>SUM(S288-R288)</f>
        <v>30</v>
      </c>
      <c r="J288" s="71">
        <f>SUM(U288-T288)</f>
        <v>0</v>
      </c>
      <c r="K288" s="73">
        <f>SUM(I288*$P288)</f>
        <v>0.78600000000000003</v>
      </c>
      <c r="L288" s="73">
        <f>SUM(J288*$Q288)</f>
        <v>0</v>
      </c>
      <c r="M288" s="74">
        <f>K288+L288</f>
        <v>0.78600000000000003</v>
      </c>
      <c r="N288" s="76" t="s">
        <v>201</v>
      </c>
      <c r="O288" s="76" t="s">
        <v>202</v>
      </c>
      <c r="P288" s="51">
        <f>IF(G288="MFP",Tables!$B$2,Tables!$B$5)</f>
        <v>2.6200000000000001E-2</v>
      </c>
      <c r="Q288" s="86">
        <f>IF(G288="MFP",Tables!$B$3,Tables!$B$6)</f>
        <v>0.11799999999999999</v>
      </c>
      <c r="R288" s="59">
        <f>VLOOKUP($N288,'Meter Comparison'!$C$2:$G$314,2,FALSE)</f>
        <v>529</v>
      </c>
      <c r="S288" s="59">
        <f>VLOOKUP($N288,'Meter Comparison'!$C$2:$G$314,3,FALSE)</f>
        <v>559</v>
      </c>
      <c r="T288" s="59">
        <f>VLOOKUP($N288,'Meter Comparison'!$C$2:$G$314,4,FALSE)</f>
        <v>0</v>
      </c>
      <c r="U288" s="59">
        <f>VLOOKUP($N288,'Meter Comparison'!$C$2:$G$314,5,FALSE)</f>
        <v>0</v>
      </c>
    </row>
    <row r="289" spans="1:21" ht="30" customHeight="1" outlineLevel="1" x14ac:dyDescent="0.3">
      <c r="A289" s="77"/>
      <c r="B289" s="160" t="s">
        <v>1103</v>
      </c>
      <c r="C289" s="55"/>
      <c r="D289" s="76"/>
      <c r="E289" s="75"/>
      <c r="F289" s="76"/>
      <c r="G289" s="50"/>
      <c r="H289" s="69"/>
      <c r="I289" s="71"/>
      <c r="J289" s="71"/>
      <c r="K289" s="73"/>
      <c r="L289" s="73"/>
      <c r="M289" s="74">
        <f>SUBTOTAL(9,M286:M288)</f>
        <v>8.7507999999999999</v>
      </c>
      <c r="N289" s="76"/>
      <c r="O289" s="76"/>
      <c r="P289" s="51"/>
      <c r="Q289" s="86"/>
      <c r="R289" s="59"/>
      <c r="S289" s="59"/>
      <c r="T289" s="59"/>
      <c r="U289" s="59"/>
    </row>
    <row r="290" spans="1:21" ht="30" customHeight="1" outlineLevel="2" x14ac:dyDescent="0.3">
      <c r="A290" s="55" t="s">
        <v>572</v>
      </c>
      <c r="B290" s="55" t="s">
        <v>573</v>
      </c>
      <c r="C290" s="55" t="str">
        <f>VLOOKUP(B290,Tables!$G$2:$H$90,2,FALSE)</f>
        <v>Student Union</v>
      </c>
      <c r="D290" s="56" t="s">
        <v>424</v>
      </c>
      <c r="E290" s="114" t="s">
        <v>729</v>
      </c>
      <c r="F290" s="56" t="s">
        <v>157</v>
      </c>
      <c r="G290" s="50" t="str">
        <f>VLOOKUP(F290,Tables!$D$2:$E$20,2,FALSE)</f>
        <v>MFP</v>
      </c>
      <c r="H290" s="105">
        <v>17099701</v>
      </c>
      <c r="I290" s="106">
        <f>SUM(S290-R290)</f>
        <v>0</v>
      </c>
      <c r="J290" s="106">
        <f>SUM(U290-T290)</f>
        <v>0</v>
      </c>
      <c r="K290" s="107">
        <f>SUM(I290*$P290)</f>
        <v>0</v>
      </c>
      <c r="L290" s="107">
        <f>SUM(J290*$Q290)</f>
        <v>0</v>
      </c>
      <c r="M290" s="108">
        <f>K290+L290</f>
        <v>0</v>
      </c>
      <c r="N290" s="56" t="s">
        <v>575</v>
      </c>
      <c r="O290" s="56" t="s">
        <v>576</v>
      </c>
      <c r="P290" s="51">
        <f>IF(G290="MFP",Tables!$B$2,Tables!$B$5)</f>
        <v>2.07E-2</v>
      </c>
      <c r="Q290" s="86">
        <f>IF(G290="MFP",Tables!$B$3,Tables!$B$6)</f>
        <v>8.6999999999999994E-2</v>
      </c>
      <c r="R290" s="59">
        <f>VLOOKUP($N290,'Meter Comparison'!$C$2:$G$314,2,FALSE)</f>
        <v>62</v>
      </c>
      <c r="S290" s="59">
        <f>VLOOKUP($N290,'Meter Comparison'!$C$2:$G$314,3,FALSE)</f>
        <v>62</v>
      </c>
      <c r="T290" s="59">
        <f>VLOOKUP($N290,'Meter Comparison'!$C$2:$G$314,4,FALSE)</f>
        <v>0</v>
      </c>
      <c r="U290" s="59">
        <f>VLOOKUP($N290,'Meter Comparison'!$C$2:$G$314,5,FALSE)</f>
        <v>0</v>
      </c>
    </row>
    <row r="291" spans="1:21" ht="30" customHeight="1" outlineLevel="1" x14ac:dyDescent="0.3">
      <c r="A291" s="55"/>
      <c r="B291" s="161" t="s">
        <v>1069</v>
      </c>
      <c r="C291" s="55"/>
      <c r="D291" s="56"/>
      <c r="E291" s="114"/>
      <c r="F291" s="56"/>
      <c r="G291" s="50"/>
      <c r="H291" s="105"/>
      <c r="I291" s="106"/>
      <c r="J291" s="106"/>
      <c r="K291" s="107"/>
      <c r="L291" s="107"/>
      <c r="M291" s="108">
        <f>SUBTOTAL(9,M290:M290)</f>
        <v>0</v>
      </c>
      <c r="N291" s="56"/>
      <c r="O291" s="56"/>
      <c r="P291" s="51"/>
      <c r="Q291" s="86"/>
      <c r="R291" s="59"/>
      <c r="S291" s="59"/>
      <c r="T291" s="59"/>
      <c r="U291" s="59"/>
    </row>
    <row r="292" spans="1:21" ht="30" customHeight="1" outlineLevel="2" x14ac:dyDescent="0.3">
      <c r="A292" s="77" t="s">
        <v>535</v>
      </c>
      <c r="B292" s="77" t="s">
        <v>524</v>
      </c>
      <c r="C292" s="55" t="str">
        <f>VLOOKUP(B292,Tables!$G$2:$H$90,2,FALSE)</f>
        <v>UMA-Commandant's Office</v>
      </c>
      <c r="D292" s="76" t="s">
        <v>424</v>
      </c>
      <c r="E292" s="75" t="s">
        <v>536</v>
      </c>
      <c r="F292" s="76" t="s">
        <v>157</v>
      </c>
      <c r="G292" s="50" t="str">
        <f>VLOOKUP(F292,Tables!$D$2:$E$20,2,FALSE)</f>
        <v>MFP</v>
      </c>
      <c r="H292" s="69">
        <v>17099536</v>
      </c>
      <c r="I292" s="71">
        <f>SUM(S292-R292)</f>
        <v>234</v>
      </c>
      <c r="J292" s="71">
        <f>SUM(U292-T292)</f>
        <v>0</v>
      </c>
      <c r="K292" s="73">
        <f>SUM(I292*$P292)</f>
        <v>4.8437999999999999</v>
      </c>
      <c r="L292" s="73">
        <f>SUM(J292*$Q292)</f>
        <v>0</v>
      </c>
      <c r="M292" s="74">
        <f>K292+L292</f>
        <v>4.8437999999999999</v>
      </c>
      <c r="N292" s="76" t="s">
        <v>537</v>
      </c>
      <c r="O292" s="76" t="s">
        <v>538</v>
      </c>
      <c r="P292" s="51">
        <f>IF(G292="MFP",Tables!$B$2,Tables!$B$5)</f>
        <v>2.07E-2</v>
      </c>
      <c r="Q292" s="86">
        <f>IF(G292="MFP",Tables!$B$3,Tables!$B$6)</f>
        <v>8.6999999999999994E-2</v>
      </c>
      <c r="R292" s="59">
        <f>VLOOKUP($N292,'Meter Comparison'!$C$2:$G$314,2,FALSE)</f>
        <v>1131</v>
      </c>
      <c r="S292" s="59">
        <f>VLOOKUP($N292,'Meter Comparison'!$C$2:$G$314,3,FALSE)</f>
        <v>1365</v>
      </c>
      <c r="T292" s="59">
        <f>VLOOKUP($N292,'Meter Comparison'!$C$2:$G$314,4,FALSE)</f>
        <v>0</v>
      </c>
      <c r="U292" s="59">
        <f>VLOOKUP($N292,'Meter Comparison'!$C$2:$G$314,5,FALSE)</f>
        <v>0</v>
      </c>
    </row>
    <row r="293" spans="1:21" ht="30" customHeight="1" outlineLevel="1" x14ac:dyDescent="0.3">
      <c r="A293" s="77"/>
      <c r="B293" s="160" t="s">
        <v>1076</v>
      </c>
      <c r="C293" s="55"/>
      <c r="D293" s="76"/>
      <c r="E293" s="75"/>
      <c r="F293" s="76"/>
      <c r="G293" s="50"/>
      <c r="H293" s="69"/>
      <c r="I293" s="71"/>
      <c r="J293" s="71"/>
      <c r="K293" s="73"/>
      <c r="L293" s="73"/>
      <c r="M293" s="74">
        <f>SUBTOTAL(9,M292:M292)</f>
        <v>4.8437999999999999</v>
      </c>
      <c r="N293" s="76"/>
      <c r="O293" s="76"/>
      <c r="P293" s="51"/>
      <c r="Q293" s="86"/>
      <c r="R293" s="59"/>
      <c r="S293" s="59"/>
      <c r="T293" s="59"/>
      <c r="U293" s="59"/>
    </row>
    <row r="294" spans="1:21" ht="30" customHeight="1" outlineLevel="2" x14ac:dyDescent="0.3">
      <c r="A294" s="77" t="s">
        <v>510</v>
      </c>
      <c r="B294" s="77" t="s">
        <v>682</v>
      </c>
      <c r="C294" s="55" t="str">
        <f>VLOOKUP(B294,Tables!$G$2:$H$90,2,FALSE)</f>
        <v>Office of Construction</v>
      </c>
      <c r="D294" s="76" t="s">
        <v>665</v>
      </c>
      <c r="E294" s="75">
        <v>306</v>
      </c>
      <c r="F294" s="76" t="s">
        <v>15</v>
      </c>
      <c r="G294" s="50" t="str">
        <f>VLOOKUP(F294,Tables!$D$2:$E$20,2,FALSE)</f>
        <v>PTR</v>
      </c>
      <c r="H294" s="69">
        <v>17099567</v>
      </c>
      <c r="I294" s="71">
        <f>SUM(S294-R294)</f>
        <v>980</v>
      </c>
      <c r="J294" s="71">
        <f>SUM(U294-T294)</f>
        <v>0</v>
      </c>
      <c r="K294" s="73">
        <f>SUM(I294*$P294)</f>
        <v>25.676000000000002</v>
      </c>
      <c r="L294" s="73">
        <f>SUM(J294*$Q294)</f>
        <v>0</v>
      </c>
      <c r="M294" s="74">
        <f>K294+L294</f>
        <v>25.676000000000002</v>
      </c>
      <c r="N294" s="76" t="s">
        <v>516</v>
      </c>
      <c r="O294" s="76" t="s">
        <v>517</v>
      </c>
      <c r="P294" s="51">
        <f>IF(G294="MFP",Tables!$B$2,Tables!$B$5)</f>
        <v>2.6200000000000001E-2</v>
      </c>
      <c r="Q294" s="86">
        <f>IF(G294="MFP",Tables!$B$3,Tables!$B$6)</f>
        <v>0.11799999999999999</v>
      </c>
      <c r="R294" s="59">
        <f>VLOOKUP($N294,'Meter Comparison'!$C$2:$G$314,2,FALSE)</f>
        <v>1771</v>
      </c>
      <c r="S294" s="59">
        <f>VLOOKUP($N294,'Meter Comparison'!$C$2:$G$314,3,FALSE)</f>
        <v>2751</v>
      </c>
      <c r="T294" s="59">
        <f>VLOOKUP($N294,'Meter Comparison'!$C$2:$G$314,4,FALSE)</f>
        <v>0</v>
      </c>
      <c r="U294" s="59">
        <f>VLOOKUP($N294,'Meter Comparison'!$C$2:$G$314,5,FALSE)</f>
        <v>0</v>
      </c>
    </row>
    <row r="295" spans="1:21" ht="30" customHeight="1" outlineLevel="2" x14ac:dyDescent="0.3">
      <c r="A295" s="77" t="s">
        <v>510</v>
      </c>
      <c r="B295" s="77" t="s">
        <v>682</v>
      </c>
      <c r="C295" s="55" t="str">
        <f>VLOOKUP(B295,Tables!$G$2:$H$90,2,FALSE)</f>
        <v>Office of Construction</v>
      </c>
      <c r="D295" s="76" t="s">
        <v>665</v>
      </c>
      <c r="E295" s="75" t="s">
        <v>511</v>
      </c>
      <c r="F295" s="76" t="s">
        <v>24</v>
      </c>
      <c r="G295" s="50" t="str">
        <f>VLOOKUP(F295,Tables!$D$2:$E$20,2,FALSE)</f>
        <v>MFP</v>
      </c>
      <c r="H295" s="69">
        <v>17099488</v>
      </c>
      <c r="I295" s="71">
        <f>SUM(S295-R295)</f>
        <v>1497</v>
      </c>
      <c r="J295" s="71">
        <f>SUM(U295-T295)</f>
        <v>1566</v>
      </c>
      <c r="K295" s="73">
        <f>SUM(I295*$P295)</f>
        <v>30.9879</v>
      </c>
      <c r="L295" s="73">
        <f>SUM(J295*$Q295)</f>
        <v>136.24199999999999</v>
      </c>
      <c r="M295" s="74">
        <f>K295+L295</f>
        <v>167.22989999999999</v>
      </c>
      <c r="N295" s="76" t="s">
        <v>512</v>
      </c>
      <c r="O295" s="76" t="s">
        <v>513</v>
      </c>
      <c r="P295" s="51">
        <f>IF(G295="MFP",Tables!$B$2,Tables!$B$5)</f>
        <v>2.07E-2</v>
      </c>
      <c r="Q295" s="86">
        <f>IF(G295="MFP",Tables!$B$3,Tables!$B$6)</f>
        <v>8.6999999999999994E-2</v>
      </c>
      <c r="R295" s="59">
        <f>VLOOKUP($N295,'Meter Comparison'!$C$2:$G$314,2,FALSE)</f>
        <v>11907</v>
      </c>
      <c r="S295" s="59">
        <f>VLOOKUP($N295,'Meter Comparison'!$C$2:$G$314,3,FALSE)</f>
        <v>13404</v>
      </c>
      <c r="T295" s="59">
        <f>VLOOKUP($N295,'Meter Comparison'!$C$2:$G$314,4,FALSE)</f>
        <v>9975</v>
      </c>
      <c r="U295" s="59">
        <f>VLOOKUP($N295,'Meter Comparison'!$C$2:$G$314,5,FALSE)</f>
        <v>11541</v>
      </c>
    </row>
    <row r="296" spans="1:21" ht="30" customHeight="1" outlineLevel="1" x14ac:dyDescent="0.3">
      <c r="A296" s="77"/>
      <c r="B296" s="160" t="s">
        <v>1104</v>
      </c>
      <c r="C296" s="55"/>
      <c r="D296" s="76"/>
      <c r="E296" s="75"/>
      <c r="F296" s="76"/>
      <c r="G296" s="50"/>
      <c r="H296" s="69"/>
      <c r="I296" s="71"/>
      <c r="J296" s="71"/>
      <c r="K296" s="73"/>
      <c r="L296" s="73"/>
      <c r="M296" s="74">
        <f>SUBTOTAL(9,M294:M295)</f>
        <v>192.90589999999997</v>
      </c>
      <c r="N296" s="76"/>
      <c r="O296" s="76"/>
      <c r="P296" s="51"/>
      <c r="Q296" s="86"/>
      <c r="R296" s="59"/>
      <c r="S296" s="59"/>
      <c r="T296" s="59"/>
      <c r="U296" s="59"/>
    </row>
    <row r="297" spans="1:21" ht="30" customHeight="1" outlineLevel="2" x14ac:dyDescent="0.3">
      <c r="A297" s="77" t="s">
        <v>418</v>
      </c>
      <c r="B297" s="77" t="s">
        <v>410</v>
      </c>
      <c r="C297" s="55" t="str">
        <f>VLOOKUP(B297,Tables!$G$2:$H$90,2,FALSE)</f>
        <v>Duplicating</v>
      </c>
      <c r="D297" s="76" t="s">
        <v>418</v>
      </c>
      <c r="E297" s="75" t="s">
        <v>419</v>
      </c>
      <c r="F297" s="76" t="s">
        <v>90</v>
      </c>
      <c r="G297" s="50" t="str">
        <f>VLOOKUP(F297,Tables!$D$2:$E$20,2,FALSE)</f>
        <v>PTR</v>
      </c>
      <c r="H297" s="69">
        <v>17099702</v>
      </c>
      <c r="I297" s="71">
        <f>SUM(S297-R297)</f>
        <v>100</v>
      </c>
      <c r="J297" s="71">
        <f>SUM(U297-T297)</f>
        <v>186</v>
      </c>
      <c r="K297" s="73">
        <f>SUM(I297*$P297)</f>
        <v>2.62</v>
      </c>
      <c r="L297" s="73">
        <f>SUM(J297*$Q297)</f>
        <v>21.948</v>
      </c>
      <c r="M297" s="74">
        <f>K297+L297</f>
        <v>24.568000000000001</v>
      </c>
      <c r="N297" s="76" t="s">
        <v>420</v>
      </c>
      <c r="O297" s="76" t="s">
        <v>421</v>
      </c>
      <c r="P297" s="51">
        <f>IF(G297="MFP",Tables!$B$2,Tables!$B$5)</f>
        <v>2.6200000000000001E-2</v>
      </c>
      <c r="Q297" s="86">
        <f>IF(G297="MFP",Tables!$B$3,Tables!$B$6)</f>
        <v>0.11799999999999999</v>
      </c>
      <c r="R297" s="59">
        <f>VLOOKUP($N297,'Meter Comparison'!$C$2:$G$314,2,FALSE)</f>
        <v>248</v>
      </c>
      <c r="S297" s="59">
        <f>VLOOKUP($N297,'Meter Comparison'!$C$2:$G$314,3,FALSE)</f>
        <v>348</v>
      </c>
      <c r="T297" s="59">
        <f>VLOOKUP($N297,'Meter Comparison'!$C$2:$G$314,4,FALSE)</f>
        <v>503</v>
      </c>
      <c r="U297" s="59">
        <f>VLOOKUP($N297,'Meter Comparison'!$C$2:$G$314,5,FALSE)</f>
        <v>689</v>
      </c>
    </row>
    <row r="298" spans="1:21" ht="30" customHeight="1" outlineLevel="1" x14ac:dyDescent="0.3">
      <c r="A298" s="77"/>
      <c r="B298" s="160" t="s">
        <v>1071</v>
      </c>
      <c r="C298" s="55"/>
      <c r="D298" s="76"/>
      <c r="E298" s="75"/>
      <c r="F298" s="76"/>
      <c r="G298" s="50"/>
      <c r="H298" s="69"/>
      <c r="I298" s="71"/>
      <c r="J298" s="71"/>
      <c r="K298" s="73"/>
      <c r="L298" s="73"/>
      <c r="M298" s="74">
        <f>SUBTOTAL(9,M297:M297)</f>
        <v>24.568000000000001</v>
      </c>
      <c r="N298" s="76"/>
      <c r="O298" s="76"/>
      <c r="P298" s="51"/>
      <c r="Q298" s="86"/>
      <c r="R298" s="59"/>
      <c r="S298" s="59"/>
      <c r="T298" s="59"/>
      <c r="U298" s="59"/>
    </row>
    <row r="299" spans="1:21" ht="30" customHeight="1" outlineLevel="2" x14ac:dyDescent="0.3">
      <c r="A299" s="55" t="s">
        <v>203</v>
      </c>
      <c r="B299" s="55" t="s">
        <v>204</v>
      </c>
      <c r="C299" s="55" t="str">
        <f>VLOOKUP(B299,Tables!$G$2:$H$90,2,FALSE)</f>
        <v>Physical Education</v>
      </c>
      <c r="D299" s="56" t="s">
        <v>205</v>
      </c>
      <c r="E299" s="114">
        <v>201</v>
      </c>
      <c r="F299" s="56" t="s">
        <v>90</v>
      </c>
      <c r="G299" s="50" t="str">
        <f>VLOOKUP(F299,Tables!$D$2:$E$20,2,FALSE)</f>
        <v>PTR</v>
      </c>
      <c r="H299" s="105">
        <v>17099541</v>
      </c>
      <c r="I299" s="106">
        <f>SUM(S299-R299)</f>
        <v>123</v>
      </c>
      <c r="J299" s="106">
        <f>SUM(U299-T299)</f>
        <v>0</v>
      </c>
      <c r="K299" s="107">
        <f>SUM(I299*$P299)</f>
        <v>3.2225999999999999</v>
      </c>
      <c r="L299" s="107">
        <f>SUM(J299*$Q299)</f>
        <v>0</v>
      </c>
      <c r="M299" s="108">
        <f>K299+L299</f>
        <v>3.2225999999999999</v>
      </c>
      <c r="N299" s="58" t="s">
        <v>213</v>
      </c>
      <c r="O299" s="58" t="s">
        <v>771</v>
      </c>
      <c r="P299" s="51">
        <f>IF(G299="MFP",Tables!$B$2,Tables!$B$5)</f>
        <v>2.6200000000000001E-2</v>
      </c>
      <c r="Q299" s="86">
        <f>IF(G299="MFP",Tables!$B$3,Tables!$B$6)</f>
        <v>0.11799999999999999</v>
      </c>
      <c r="R299" s="59">
        <f>VLOOKUP($N299,'Meter Comparison'!$C$2:$G$314,2,FALSE)</f>
        <v>800</v>
      </c>
      <c r="S299" s="59">
        <f>VLOOKUP($N299,'Meter Comparison'!$C$2:$G$314,3,FALSE)</f>
        <v>923</v>
      </c>
      <c r="T299" s="59">
        <f>VLOOKUP($N299,'Meter Comparison'!$C$2:$G$314,4,FALSE)</f>
        <v>1</v>
      </c>
      <c r="U299" s="59">
        <f>VLOOKUP($N299,'Meter Comparison'!$C$2:$G$314,5,FALSE)</f>
        <v>1</v>
      </c>
    </row>
    <row r="300" spans="1:21" ht="30" customHeight="1" outlineLevel="2" x14ac:dyDescent="0.3">
      <c r="A300" s="77" t="s">
        <v>203</v>
      </c>
      <c r="B300" s="122" t="s">
        <v>204</v>
      </c>
      <c r="C300" s="55" t="str">
        <f>VLOOKUP(B300,Tables!$G$2:$H$90,2,FALSE)</f>
        <v>Physical Education</v>
      </c>
      <c r="D300" s="112" t="s">
        <v>205</v>
      </c>
      <c r="E300" s="102">
        <v>316</v>
      </c>
      <c r="F300" s="103" t="s">
        <v>15</v>
      </c>
      <c r="G300" s="50" t="str">
        <f>VLOOKUP(F300,Tables!$D$2:$E$20,2,FALSE)</f>
        <v>PTR</v>
      </c>
      <c r="H300" s="69">
        <v>17099792</v>
      </c>
      <c r="I300" s="106">
        <f>SUM(S300-R300)</f>
        <v>184</v>
      </c>
      <c r="J300" s="106">
        <f>SUM(U300-T300)</f>
        <v>0</v>
      </c>
      <c r="K300" s="107">
        <f>SUM(I300*$P300)</f>
        <v>4.8208000000000002</v>
      </c>
      <c r="L300" s="107">
        <f>SUM(J300*$Q300)</f>
        <v>0</v>
      </c>
      <c r="M300" s="108">
        <f>K300+L300</f>
        <v>4.8208000000000002</v>
      </c>
      <c r="N300" s="113" t="s">
        <v>891</v>
      </c>
      <c r="O300" s="54" t="s">
        <v>971</v>
      </c>
      <c r="P300" s="51">
        <f>IF(G300="MFP",Tables!$B$2,Tables!$B$5)</f>
        <v>2.6200000000000001E-2</v>
      </c>
      <c r="Q300" s="86">
        <f>IF(G300="MFP",Tables!$B$3,Tables!$B$6)</f>
        <v>0.11799999999999999</v>
      </c>
      <c r="R300" s="59">
        <f>VLOOKUP($N300,'Meter Comparison'!$C$2:$G$314,2,FALSE)</f>
        <v>876</v>
      </c>
      <c r="S300" s="59">
        <f>VLOOKUP($N300,'Meter Comparison'!$C$2:$G$314,3,FALSE)</f>
        <v>1060</v>
      </c>
      <c r="T300" s="59">
        <f>VLOOKUP($N300,'Meter Comparison'!$C$2:$G$314,4,FALSE)</f>
        <v>0</v>
      </c>
      <c r="U300" s="59">
        <f>VLOOKUP($N300,'Meter Comparison'!$C$2:$G$314,5,FALSE)</f>
        <v>0</v>
      </c>
    </row>
    <row r="301" spans="1:21" ht="30" customHeight="1" outlineLevel="2" x14ac:dyDescent="0.3">
      <c r="A301" s="55" t="s">
        <v>203</v>
      </c>
      <c r="B301" s="55" t="s">
        <v>204</v>
      </c>
      <c r="C301" s="55" t="str">
        <f>VLOOKUP(B301,Tables!$G$2:$H$90,2,FALSE)</f>
        <v>Physical Education</v>
      </c>
      <c r="D301" s="56" t="s">
        <v>205</v>
      </c>
      <c r="E301" s="114">
        <v>320</v>
      </c>
      <c r="F301" s="56" t="s">
        <v>15</v>
      </c>
      <c r="G301" s="50" t="str">
        <f>VLOOKUP(F301,Tables!$D$2:$E$20,2,FALSE)</f>
        <v>PTR</v>
      </c>
      <c r="H301" s="105">
        <v>17099598</v>
      </c>
      <c r="I301" s="106">
        <f>SUM(S301-R301)</f>
        <v>537</v>
      </c>
      <c r="J301" s="106">
        <f>SUM(U301-T301)</f>
        <v>0</v>
      </c>
      <c r="K301" s="107">
        <f>SUM(I301*$P301)</f>
        <v>14.0694</v>
      </c>
      <c r="L301" s="107">
        <f>SUM(J301*$Q301)</f>
        <v>0</v>
      </c>
      <c r="M301" s="108">
        <f>K301+L301</f>
        <v>14.0694</v>
      </c>
      <c r="N301" s="56" t="s">
        <v>208</v>
      </c>
      <c r="O301" s="56" t="s">
        <v>209</v>
      </c>
      <c r="P301" s="51">
        <f>IF(G301="MFP",Tables!$B$2,Tables!$B$5)</f>
        <v>2.6200000000000001E-2</v>
      </c>
      <c r="Q301" s="86">
        <f>IF(G301="MFP",Tables!$B$3,Tables!$B$6)</f>
        <v>0.11799999999999999</v>
      </c>
      <c r="R301" s="59">
        <f>VLOOKUP($N301,'Meter Comparison'!$C$2:$G$314,2,FALSE)</f>
        <v>3492</v>
      </c>
      <c r="S301" s="59">
        <f>VLOOKUP($N301,'Meter Comparison'!$C$2:$G$314,3,FALSE)</f>
        <v>4029</v>
      </c>
      <c r="T301" s="59">
        <f>VLOOKUP($N301,'Meter Comparison'!$C$2:$G$314,4,FALSE)</f>
        <v>0</v>
      </c>
      <c r="U301" s="59">
        <f>VLOOKUP($N301,'Meter Comparison'!$C$2:$G$314,5,FALSE)</f>
        <v>0</v>
      </c>
    </row>
    <row r="302" spans="1:21" ht="30" customHeight="1" outlineLevel="2" x14ac:dyDescent="0.3">
      <c r="A302" s="77" t="s">
        <v>203</v>
      </c>
      <c r="B302" s="77" t="s">
        <v>204</v>
      </c>
      <c r="C302" s="55" t="str">
        <f>VLOOKUP(B302,Tables!$G$2:$H$90,2,FALSE)</f>
        <v>Physical Education</v>
      </c>
      <c r="D302" s="76" t="s">
        <v>205</v>
      </c>
      <c r="E302" s="75">
        <v>328</v>
      </c>
      <c r="F302" s="76" t="s">
        <v>24</v>
      </c>
      <c r="G302" s="50" t="str">
        <f>VLOOKUP(F302,Tables!$D$2:$E$20,2,FALSE)</f>
        <v>MFP</v>
      </c>
      <c r="H302" s="69">
        <v>17099461</v>
      </c>
      <c r="I302" s="71">
        <f>SUM(S302-R302)</f>
        <v>9297</v>
      </c>
      <c r="J302" s="71">
        <f>SUM(U302-T302)</f>
        <v>41</v>
      </c>
      <c r="K302" s="73">
        <f>SUM(I302*$P302)</f>
        <v>192.4479</v>
      </c>
      <c r="L302" s="73">
        <f>SUM(J302*$Q302)</f>
        <v>3.5669999999999997</v>
      </c>
      <c r="M302" s="74">
        <f>K302+L302</f>
        <v>196.01490000000001</v>
      </c>
      <c r="N302" s="76" t="s">
        <v>206</v>
      </c>
      <c r="O302" s="76" t="s">
        <v>207</v>
      </c>
      <c r="P302" s="51">
        <f>IF(G302="MFP",Tables!$B$2,Tables!$B$5)</f>
        <v>2.07E-2</v>
      </c>
      <c r="Q302" s="86">
        <f>IF(G302="MFP",Tables!$B$3,Tables!$B$6)</f>
        <v>8.6999999999999994E-2</v>
      </c>
      <c r="R302" s="59">
        <f>VLOOKUP($N302,'Meter Comparison'!$C$2:$G$314,2,FALSE)</f>
        <v>46663</v>
      </c>
      <c r="S302" s="59">
        <f>VLOOKUP($N302,'Meter Comparison'!$C$2:$G$314,3,FALSE)</f>
        <v>55960</v>
      </c>
      <c r="T302" s="59">
        <f>VLOOKUP($N302,'Meter Comparison'!$C$2:$G$314,4,FALSE)</f>
        <v>592</v>
      </c>
      <c r="U302" s="59">
        <f>VLOOKUP($N302,'Meter Comparison'!$C$2:$G$314,5,FALSE)</f>
        <v>633</v>
      </c>
    </row>
    <row r="303" spans="1:21" ht="30" customHeight="1" outlineLevel="2" x14ac:dyDescent="0.3">
      <c r="A303" s="77" t="s">
        <v>203</v>
      </c>
      <c r="B303" s="77" t="s">
        <v>204</v>
      </c>
      <c r="C303" s="55" t="str">
        <f>VLOOKUP(B303,Tables!$G$2:$H$90,2,FALSE)</f>
        <v>Physical Education</v>
      </c>
      <c r="D303" s="76" t="s">
        <v>205</v>
      </c>
      <c r="E303" s="75" t="s">
        <v>210</v>
      </c>
      <c r="F303" s="76" t="s">
        <v>15</v>
      </c>
      <c r="G303" s="50" t="str">
        <f>VLOOKUP(F303,Tables!$D$2:$E$20,2,FALSE)</f>
        <v>PTR</v>
      </c>
      <c r="H303" s="69">
        <v>17099720</v>
      </c>
      <c r="I303" s="71">
        <f>SUM(S303-R303)</f>
        <v>235</v>
      </c>
      <c r="J303" s="71">
        <f>SUM(U303-T303)</f>
        <v>0</v>
      </c>
      <c r="K303" s="73">
        <f>SUM(I303*$P303)</f>
        <v>6.157</v>
      </c>
      <c r="L303" s="73">
        <f>SUM(J303*$Q303)</f>
        <v>0</v>
      </c>
      <c r="M303" s="74">
        <f>K303+L303</f>
        <v>6.157</v>
      </c>
      <c r="N303" s="76" t="s">
        <v>211</v>
      </c>
      <c r="O303" s="76" t="s">
        <v>212</v>
      </c>
      <c r="P303" s="51">
        <f>IF(G303="MFP",Tables!$B$2,Tables!$B$5)</f>
        <v>2.6200000000000001E-2</v>
      </c>
      <c r="Q303" s="86">
        <f>IF(G303="MFP",Tables!$B$3,Tables!$B$6)</f>
        <v>0.11799999999999999</v>
      </c>
      <c r="R303" s="59">
        <f>VLOOKUP($N303,'Meter Comparison'!$C$2:$G$314,2,FALSE)</f>
        <v>2373</v>
      </c>
      <c r="S303" s="59">
        <f>VLOOKUP($N303,'Meter Comparison'!$C$2:$G$314,3,FALSE)</f>
        <v>2608</v>
      </c>
      <c r="T303" s="59">
        <f>VLOOKUP($N303,'Meter Comparison'!$C$2:$G$314,4,FALSE)</f>
        <v>0</v>
      </c>
      <c r="U303" s="59">
        <f>VLOOKUP($N303,'Meter Comparison'!$C$2:$G$314,5,FALSE)</f>
        <v>0</v>
      </c>
    </row>
    <row r="304" spans="1:21" ht="30" customHeight="1" outlineLevel="1" x14ac:dyDescent="0.3">
      <c r="A304" s="77"/>
      <c r="B304" s="160" t="s">
        <v>1105</v>
      </c>
      <c r="C304" s="55"/>
      <c r="D304" s="76"/>
      <c r="E304" s="75"/>
      <c r="F304" s="76"/>
      <c r="G304" s="50"/>
      <c r="H304" s="69"/>
      <c r="I304" s="71"/>
      <c r="J304" s="71"/>
      <c r="K304" s="73"/>
      <c r="L304" s="73"/>
      <c r="M304" s="74">
        <f>SUBTOTAL(9,M299:M303)</f>
        <v>224.28470000000002</v>
      </c>
      <c r="N304" s="76"/>
      <c r="O304" s="76"/>
      <c r="P304" s="51"/>
      <c r="Q304" s="86"/>
      <c r="R304" s="59"/>
      <c r="S304" s="59"/>
      <c r="T304" s="59"/>
      <c r="U304" s="59"/>
    </row>
    <row r="305" spans="1:22" ht="30" customHeight="1" outlineLevel="2" x14ac:dyDescent="0.3">
      <c r="A305" s="77" t="s">
        <v>497</v>
      </c>
      <c r="B305" s="77" t="s">
        <v>498</v>
      </c>
      <c r="C305" s="55" t="str">
        <f>VLOOKUP(B305,Tables!$G$2:$H$90,2,FALSE)</f>
        <v>Physical Plant Administration</v>
      </c>
      <c r="D305" s="76" t="s">
        <v>497</v>
      </c>
      <c r="E305" s="75">
        <v>110</v>
      </c>
      <c r="F305" s="76" t="s">
        <v>157</v>
      </c>
      <c r="G305" s="50" t="str">
        <f>VLOOKUP(F305,Tables!$D$2:$E$20,2,FALSE)</f>
        <v>MFP</v>
      </c>
      <c r="H305" s="69">
        <v>17099402</v>
      </c>
      <c r="I305" s="71">
        <f>SUM(S305-R305)</f>
        <v>1385</v>
      </c>
      <c r="J305" s="71">
        <f>SUM(U305-T305)</f>
        <v>0</v>
      </c>
      <c r="K305" s="73">
        <f>SUM(I305*$P305)</f>
        <v>28.669499999999999</v>
      </c>
      <c r="L305" s="73">
        <f>SUM(J305*$Q305)</f>
        <v>0</v>
      </c>
      <c r="M305" s="74">
        <f>K305+L305</f>
        <v>28.669499999999999</v>
      </c>
      <c r="N305" s="76" t="s">
        <v>502</v>
      </c>
      <c r="O305" s="76" t="s">
        <v>503</v>
      </c>
      <c r="P305" s="51">
        <f>IF(G305="MFP",Tables!$B$2,Tables!$B$5)</f>
        <v>2.07E-2</v>
      </c>
      <c r="Q305" s="86">
        <f>IF(G305="MFP",Tables!$B$3,Tables!$B$6)</f>
        <v>8.6999999999999994E-2</v>
      </c>
      <c r="R305" s="59">
        <f>VLOOKUP($N305,'Meter Comparison'!$C$2:$G$314,2,FALSE)</f>
        <v>8062</v>
      </c>
      <c r="S305" s="59">
        <f>VLOOKUP($N305,'Meter Comparison'!$C$2:$G$314,3,FALSE)</f>
        <v>9447</v>
      </c>
      <c r="T305" s="59">
        <f>VLOOKUP($N305,'Meter Comparison'!$C$2:$G$314,4,FALSE)</f>
        <v>0</v>
      </c>
      <c r="U305" s="59">
        <f>VLOOKUP($N305,'Meter Comparison'!$C$2:$G$314,5,FALSE)</f>
        <v>0</v>
      </c>
    </row>
    <row r="306" spans="1:22" ht="30" customHeight="1" outlineLevel="2" x14ac:dyDescent="0.3">
      <c r="A306" s="55" t="s">
        <v>497</v>
      </c>
      <c r="B306" s="55" t="s">
        <v>498</v>
      </c>
      <c r="C306" s="55" t="str">
        <f>VLOOKUP(B306,Tables!$G$2:$H$90,2,FALSE)</f>
        <v>Physical Plant Administration</v>
      </c>
      <c r="D306" s="56" t="s">
        <v>497</v>
      </c>
      <c r="E306" s="114">
        <v>118</v>
      </c>
      <c r="F306" s="56" t="s">
        <v>54</v>
      </c>
      <c r="G306" s="50" t="str">
        <f>VLOOKUP(F306,Tables!$D$2:$E$20,2,FALSE)</f>
        <v>MFP</v>
      </c>
      <c r="H306" s="105">
        <v>17099787</v>
      </c>
      <c r="I306" s="106">
        <f>SUM(S306-R306)</f>
        <v>3798</v>
      </c>
      <c r="J306" s="106">
        <f>SUM(U306-T306)</f>
        <v>1254</v>
      </c>
      <c r="K306" s="107">
        <f>SUM(I306*$P306)</f>
        <v>78.618600000000001</v>
      </c>
      <c r="L306" s="107">
        <f>SUM(J306*$Q306)</f>
        <v>109.098</v>
      </c>
      <c r="M306" s="108">
        <f>K306+L306</f>
        <v>187.7166</v>
      </c>
      <c r="N306" s="56" t="s">
        <v>500</v>
      </c>
      <c r="O306" s="56" t="s">
        <v>501</v>
      </c>
      <c r="P306" s="51">
        <f>IF(G306="MFP",Tables!$B$2,Tables!$B$5)</f>
        <v>2.07E-2</v>
      </c>
      <c r="Q306" s="86">
        <f>IF(G306="MFP",Tables!$B$3,Tables!$B$6)</f>
        <v>8.6999999999999994E-2</v>
      </c>
      <c r="R306" s="59">
        <f>VLOOKUP($N306,'Meter Comparison'!$C$2:$G$314,2,FALSE)</f>
        <v>23676</v>
      </c>
      <c r="S306" s="59">
        <f>VLOOKUP($N306,'Meter Comparison'!$C$2:$G$314,3,FALSE)</f>
        <v>27474</v>
      </c>
      <c r="T306" s="59">
        <f>VLOOKUP($N306,'Meter Comparison'!$C$2:$G$314,4,FALSE)</f>
        <v>7390</v>
      </c>
      <c r="U306" s="59">
        <f>VLOOKUP($N306,'Meter Comparison'!$C$2:$G$314,5,FALSE)</f>
        <v>8644</v>
      </c>
    </row>
    <row r="307" spans="1:22" ht="30" customHeight="1" outlineLevel="2" x14ac:dyDescent="0.3">
      <c r="A307" s="77" t="s">
        <v>497</v>
      </c>
      <c r="B307" s="77" t="s">
        <v>498</v>
      </c>
      <c r="C307" s="55" t="str">
        <f>VLOOKUP(B307,Tables!$G$2:$H$90,2,FALSE)</f>
        <v>Physical Plant Administration</v>
      </c>
      <c r="D307" s="76" t="s">
        <v>497</v>
      </c>
      <c r="E307" s="75">
        <v>126</v>
      </c>
      <c r="F307" s="76" t="s">
        <v>15</v>
      </c>
      <c r="G307" s="50" t="str">
        <f>VLOOKUP(F307,Tables!$D$2:$E$20,2,FALSE)</f>
        <v>PTR</v>
      </c>
      <c r="H307" s="69">
        <v>17099599</v>
      </c>
      <c r="I307" s="71">
        <f>SUM(S307-R307)</f>
        <v>826</v>
      </c>
      <c r="J307" s="71">
        <f>SUM(U307-T307)</f>
        <v>0</v>
      </c>
      <c r="K307" s="73">
        <f>SUM(I307*$P307)</f>
        <v>21.641200000000001</v>
      </c>
      <c r="L307" s="73">
        <f>SUM(J307*$Q307)</f>
        <v>0</v>
      </c>
      <c r="M307" s="74">
        <f>K307+L307</f>
        <v>21.641200000000001</v>
      </c>
      <c r="N307" s="76" t="s">
        <v>504</v>
      </c>
      <c r="O307" s="76" t="s">
        <v>505</v>
      </c>
      <c r="P307" s="51">
        <f>IF(G307="MFP",Tables!$B$2,Tables!$B$5)</f>
        <v>2.6200000000000001E-2</v>
      </c>
      <c r="Q307" s="86">
        <f>IF(G307="MFP",Tables!$B$3,Tables!$B$6)</f>
        <v>0.11799999999999999</v>
      </c>
      <c r="R307" s="59">
        <f>VLOOKUP($N307,'Meter Comparison'!$C$2:$G$314,2,FALSE)</f>
        <v>2448</v>
      </c>
      <c r="S307" s="59">
        <f>VLOOKUP($N307,'Meter Comparison'!$C$2:$G$314,3,FALSE)</f>
        <v>3274</v>
      </c>
      <c r="T307" s="59">
        <f>VLOOKUP($N307,'Meter Comparison'!$C$2:$G$314,4,FALSE)</f>
        <v>0</v>
      </c>
      <c r="U307" s="59">
        <f>VLOOKUP($N307,'Meter Comparison'!$C$2:$G$314,5,FALSE)</f>
        <v>0</v>
      </c>
    </row>
    <row r="308" spans="1:22" ht="30" customHeight="1" outlineLevel="2" x14ac:dyDescent="0.3">
      <c r="A308" s="77" t="s">
        <v>497</v>
      </c>
      <c r="B308" s="77" t="s">
        <v>498</v>
      </c>
      <c r="C308" s="55" t="str">
        <f>VLOOKUP(B308,Tables!$G$2:$H$90,2,FALSE)</f>
        <v>Physical Plant Administration</v>
      </c>
      <c r="D308" s="76" t="s">
        <v>497</v>
      </c>
      <c r="E308" s="75">
        <v>132</v>
      </c>
      <c r="F308" s="76" t="s">
        <v>15</v>
      </c>
      <c r="G308" s="50" t="str">
        <f>VLOOKUP(F308,Tables!$D$2:$E$20,2,FALSE)</f>
        <v>PTR</v>
      </c>
      <c r="H308" s="69">
        <v>17099600</v>
      </c>
      <c r="I308" s="71">
        <f>SUM(S308-R308)</f>
        <v>749</v>
      </c>
      <c r="J308" s="71">
        <f>SUM(U308-T308)</f>
        <v>0</v>
      </c>
      <c r="K308" s="73">
        <f>SUM(I308*$P308)</f>
        <v>19.623799999999999</v>
      </c>
      <c r="L308" s="73">
        <f>SUM(J308*$Q308)</f>
        <v>0</v>
      </c>
      <c r="M308" s="74">
        <f>K308+L308</f>
        <v>19.623799999999999</v>
      </c>
      <c r="N308" s="76" t="s">
        <v>506</v>
      </c>
      <c r="O308" s="76" t="s">
        <v>507</v>
      </c>
      <c r="P308" s="51">
        <f>IF(G308="MFP",Tables!$B$2,Tables!$B$5)</f>
        <v>2.6200000000000001E-2</v>
      </c>
      <c r="Q308" s="86">
        <f>IF(G308="MFP",Tables!$B$3,Tables!$B$6)</f>
        <v>0.11799999999999999</v>
      </c>
      <c r="R308" s="59">
        <f>VLOOKUP($N308,'Meter Comparison'!$C$2:$G$314,2,FALSE)</f>
        <v>1946</v>
      </c>
      <c r="S308" s="59">
        <f>VLOOKUP($N308,'Meter Comparison'!$C$2:$G$314,3,FALSE)</f>
        <v>2695</v>
      </c>
      <c r="T308" s="59">
        <f>VLOOKUP($N308,'Meter Comparison'!$C$2:$G$314,4,FALSE)</f>
        <v>0</v>
      </c>
      <c r="U308" s="59">
        <f>VLOOKUP($N308,'Meter Comparison'!$C$2:$G$314,5,FALSE)</f>
        <v>0</v>
      </c>
      <c r="V308" s="126"/>
    </row>
    <row r="309" spans="1:22" ht="30" customHeight="1" outlineLevel="2" x14ac:dyDescent="0.3">
      <c r="A309" s="77" t="s">
        <v>497</v>
      </c>
      <c r="B309" s="77" t="s">
        <v>498</v>
      </c>
      <c r="C309" s="55" t="str">
        <f>VLOOKUP(B309,Tables!$G$2:$H$90,2,FALSE)</f>
        <v>Physical Plant Administration</v>
      </c>
      <c r="D309" s="76" t="s">
        <v>497</v>
      </c>
      <c r="E309" s="75">
        <v>135</v>
      </c>
      <c r="F309" s="76" t="s">
        <v>15</v>
      </c>
      <c r="G309" s="50" t="str">
        <f>VLOOKUP(F309,Tables!$D$2:$E$20,2,FALSE)</f>
        <v>PTR</v>
      </c>
      <c r="H309" s="69">
        <v>17099601</v>
      </c>
      <c r="I309" s="71">
        <f>SUM(S309-R309)</f>
        <v>130</v>
      </c>
      <c r="J309" s="71">
        <f>SUM(U309-T309)</f>
        <v>0</v>
      </c>
      <c r="K309" s="73">
        <f>SUM(I309*$P309)</f>
        <v>3.4060000000000001</v>
      </c>
      <c r="L309" s="73">
        <f>SUM(J309*$Q309)</f>
        <v>0</v>
      </c>
      <c r="M309" s="74">
        <f>K309+L309</f>
        <v>3.4060000000000001</v>
      </c>
      <c r="N309" s="76" t="s">
        <v>508</v>
      </c>
      <c r="O309" s="76" t="s">
        <v>509</v>
      </c>
      <c r="P309" s="51">
        <f>IF(G309="MFP",Tables!$B$2,Tables!$B$5)</f>
        <v>2.6200000000000001E-2</v>
      </c>
      <c r="Q309" s="86">
        <f>IF(G309="MFP",Tables!$B$3,Tables!$B$6)</f>
        <v>0.11799999999999999</v>
      </c>
      <c r="R309" s="59">
        <f>VLOOKUP($N309,'Meter Comparison'!$C$2:$G$314,2,FALSE)</f>
        <v>393</v>
      </c>
      <c r="S309" s="59">
        <f>VLOOKUP($N309,'Meter Comparison'!$C$2:$G$314,3,FALSE)</f>
        <v>523</v>
      </c>
      <c r="T309" s="59">
        <f>VLOOKUP($N309,'Meter Comparison'!$C$2:$G$314,4,FALSE)</f>
        <v>0</v>
      </c>
      <c r="U309" s="59">
        <f>VLOOKUP($N309,'Meter Comparison'!$C$2:$G$314,5,FALSE)</f>
        <v>0</v>
      </c>
    </row>
    <row r="310" spans="1:22" ht="30" customHeight="1" outlineLevel="1" x14ac:dyDescent="0.3">
      <c r="A310" s="77"/>
      <c r="B310" s="160" t="s">
        <v>1106</v>
      </c>
      <c r="C310" s="55"/>
      <c r="D310" s="76"/>
      <c r="E310" s="75"/>
      <c r="F310" s="76"/>
      <c r="G310" s="50"/>
      <c r="H310" s="69"/>
      <c r="I310" s="71"/>
      <c r="J310" s="71"/>
      <c r="K310" s="73"/>
      <c r="L310" s="73"/>
      <c r="M310" s="74">
        <f>SUBTOTAL(9,M305:M309)</f>
        <v>261.05709999999999</v>
      </c>
      <c r="N310" s="76"/>
      <c r="O310" s="76"/>
      <c r="P310" s="51"/>
      <c r="Q310" s="86"/>
      <c r="R310" s="59"/>
      <c r="S310" s="59"/>
      <c r="T310" s="59"/>
      <c r="U310" s="59"/>
    </row>
    <row r="311" spans="1:22" ht="30" customHeight="1" outlineLevel="2" x14ac:dyDescent="0.3">
      <c r="A311" s="77" t="s">
        <v>214</v>
      </c>
      <c r="B311" s="77" t="s">
        <v>422</v>
      </c>
      <c r="C311" s="55" t="str">
        <f>VLOOKUP(B311,Tables!$G$2:$H$90,2,FALSE)</f>
        <v>Printer Services</v>
      </c>
      <c r="D311" s="76" t="s">
        <v>166</v>
      </c>
      <c r="E311" s="75">
        <v>214</v>
      </c>
      <c r="F311" s="76" t="s">
        <v>15</v>
      </c>
      <c r="G311" s="50" t="str">
        <f>VLOOKUP(F311,Tables!$D$2:$E$20,2,FALSE)</f>
        <v>PTR</v>
      </c>
      <c r="H311" s="69">
        <v>17099580</v>
      </c>
      <c r="I311" s="71">
        <f>SUM(S311-R311)</f>
        <v>22</v>
      </c>
      <c r="J311" s="71">
        <f>SUM(U311-T311)</f>
        <v>0</v>
      </c>
      <c r="K311" s="73">
        <f>SUM(I311*$P311)</f>
        <v>0.57640000000000002</v>
      </c>
      <c r="L311" s="73">
        <f>SUM(J311*$Q311)</f>
        <v>0</v>
      </c>
      <c r="M311" s="74">
        <f>K311+L311</f>
        <v>0.57640000000000002</v>
      </c>
      <c r="N311" s="76" t="s">
        <v>436</v>
      </c>
      <c r="O311" s="76" t="s">
        <v>997</v>
      </c>
      <c r="P311" s="51">
        <f>IF(G311="MFP",Tables!$B$2,Tables!$B$5)</f>
        <v>2.6200000000000001E-2</v>
      </c>
      <c r="Q311" s="86">
        <f>IF(G311="MFP",Tables!$B$3,Tables!$B$6)</f>
        <v>0.11799999999999999</v>
      </c>
      <c r="R311" s="59">
        <f>VLOOKUP($N311,'Meter Comparison'!$C$2:$G$314,2,FALSE)</f>
        <v>3083</v>
      </c>
      <c r="S311" s="59">
        <f>VLOOKUP($N311,'Meter Comparison'!$C$2:$G$314,3,FALSE)</f>
        <v>3105</v>
      </c>
      <c r="T311" s="59">
        <f>VLOOKUP($N311,'Meter Comparison'!$C$2:$G$314,4,FALSE)</f>
        <v>0</v>
      </c>
      <c r="U311" s="59">
        <f>VLOOKUP($N311,'Meter Comparison'!$C$2:$G$314,5,FALSE)</f>
        <v>0</v>
      </c>
    </row>
    <row r="312" spans="1:22" ht="30" customHeight="1" outlineLevel="1" x14ac:dyDescent="0.3">
      <c r="A312" s="77"/>
      <c r="B312" s="160" t="s">
        <v>1053</v>
      </c>
      <c r="C312" s="55"/>
      <c r="D312" s="76"/>
      <c r="E312" s="75"/>
      <c r="F312" s="76"/>
      <c r="G312" s="50"/>
      <c r="H312" s="69"/>
      <c r="I312" s="71"/>
      <c r="J312" s="71"/>
      <c r="K312" s="73"/>
      <c r="L312" s="73"/>
      <c r="M312" s="74">
        <f>SUBTOTAL(9,M311:M311)</f>
        <v>0.57640000000000002</v>
      </c>
      <c r="N312" s="76"/>
      <c r="O312" s="76"/>
      <c r="P312" s="51"/>
      <c r="Q312" s="86"/>
      <c r="R312" s="59"/>
      <c r="S312" s="59"/>
      <c r="T312" s="59"/>
      <c r="U312" s="59"/>
    </row>
    <row r="313" spans="1:22" ht="30" customHeight="1" outlineLevel="2" x14ac:dyDescent="0.3">
      <c r="A313" s="77" t="s">
        <v>214</v>
      </c>
      <c r="B313" s="77" t="s">
        <v>725</v>
      </c>
      <c r="C313" s="55" t="str">
        <f>VLOOKUP(B313,Tables!$G$2:$H$90,2,FALSE)</f>
        <v>Cameron Physics &amp; Astronomy</v>
      </c>
      <c r="D313" s="76" t="s">
        <v>166</v>
      </c>
      <c r="E313" s="75">
        <v>124</v>
      </c>
      <c r="F313" s="76" t="s">
        <v>15</v>
      </c>
      <c r="G313" s="50" t="str">
        <f>VLOOKUP(F313,Tables!$D$2:$E$20,2,FALSE)</f>
        <v>PTR</v>
      </c>
      <c r="H313" s="69">
        <v>17099689</v>
      </c>
      <c r="I313" s="71">
        <f>SUM(S313-R313)</f>
        <v>84</v>
      </c>
      <c r="J313" s="71">
        <f>SUM(U313-T313)</f>
        <v>0</v>
      </c>
      <c r="K313" s="73">
        <f>SUM(I313*$P313)</f>
        <v>2.2008000000000001</v>
      </c>
      <c r="L313" s="73">
        <f>SUM(J313*$Q313)</f>
        <v>0</v>
      </c>
      <c r="M313" s="74">
        <f>K313+L313</f>
        <v>2.2008000000000001</v>
      </c>
      <c r="N313" s="57" t="s">
        <v>797</v>
      </c>
      <c r="O313" s="57" t="s">
        <v>805</v>
      </c>
      <c r="P313" s="51">
        <f>IF(G313="MFP",Tables!$B$2,Tables!$B$5)</f>
        <v>2.6200000000000001E-2</v>
      </c>
      <c r="Q313" s="86">
        <f>IF(G313="MFP",Tables!$B$3,Tables!$B$6)</f>
        <v>0.11799999999999999</v>
      </c>
      <c r="R313" s="59">
        <f>VLOOKUP($N313,'Meter Comparison'!$C$2:$G$314,2,FALSE)</f>
        <v>468</v>
      </c>
      <c r="S313" s="59">
        <f>VLOOKUP($N313,'Meter Comparison'!$C$2:$G$314,3,FALSE)</f>
        <v>552</v>
      </c>
      <c r="T313" s="59">
        <f>VLOOKUP($N313,'Meter Comparison'!$C$2:$G$314,4,FALSE)</f>
        <v>0</v>
      </c>
      <c r="U313" s="59">
        <f>VLOOKUP($N313,'Meter Comparison'!$C$2:$G$314,5,FALSE)</f>
        <v>0</v>
      </c>
    </row>
    <row r="314" spans="1:22" ht="30" customHeight="1" outlineLevel="2" x14ac:dyDescent="0.3">
      <c r="A314" s="77" t="s">
        <v>214</v>
      </c>
      <c r="B314" s="77" t="s">
        <v>725</v>
      </c>
      <c r="C314" s="55" t="str">
        <f>VLOOKUP(B314,Tables!$G$2:$H$90,2,FALSE)</f>
        <v>Cameron Physics &amp; Astronomy</v>
      </c>
      <c r="D314" s="76" t="s">
        <v>166</v>
      </c>
      <c r="E314" s="75">
        <v>324</v>
      </c>
      <c r="F314" s="76" t="s">
        <v>24</v>
      </c>
      <c r="G314" s="50" t="str">
        <f>VLOOKUP(F314,Tables!$D$2:$E$20,2,FALSE)</f>
        <v>MFP</v>
      </c>
      <c r="H314" s="69">
        <v>17099463</v>
      </c>
      <c r="I314" s="71">
        <f>SUM(S314-R314)</f>
        <v>9454</v>
      </c>
      <c r="J314" s="71">
        <f>SUM(U314-T314)</f>
        <v>2454</v>
      </c>
      <c r="K314" s="73">
        <f>SUM(I314*$P314)</f>
        <v>195.6978</v>
      </c>
      <c r="L314" s="73">
        <f>SUM(J314*$Q314)</f>
        <v>213.49799999999999</v>
      </c>
      <c r="M314" s="74">
        <f>K314+L314</f>
        <v>409.19579999999996</v>
      </c>
      <c r="N314" s="76" t="s">
        <v>215</v>
      </c>
      <c r="O314" s="76" t="s">
        <v>216</v>
      </c>
      <c r="P314" s="51">
        <f>IF(G314="MFP",Tables!$B$2,Tables!$B$5)</f>
        <v>2.07E-2</v>
      </c>
      <c r="Q314" s="86">
        <f>IF(G314="MFP",Tables!$B$3,Tables!$B$6)</f>
        <v>8.6999999999999994E-2</v>
      </c>
      <c r="R314" s="59">
        <f>VLOOKUP($N314,'Meter Comparison'!$C$2:$G$314,2,FALSE)</f>
        <v>43464</v>
      </c>
      <c r="S314" s="59">
        <f>VLOOKUP($N314,'Meter Comparison'!$C$2:$G$314,3,FALSE)</f>
        <v>52918</v>
      </c>
      <c r="T314" s="59">
        <f>VLOOKUP($N314,'Meter Comparison'!$C$2:$G$314,4,FALSE)</f>
        <v>6439</v>
      </c>
      <c r="U314" s="59">
        <f>VLOOKUP($N314,'Meter Comparison'!$C$2:$G$314,5,FALSE)</f>
        <v>8893</v>
      </c>
    </row>
    <row r="315" spans="1:22" ht="30" customHeight="1" outlineLevel="2" x14ac:dyDescent="0.3">
      <c r="A315" s="77" t="s">
        <v>214</v>
      </c>
      <c r="B315" s="77" t="s">
        <v>725</v>
      </c>
      <c r="C315" s="55" t="str">
        <f>VLOOKUP(B315,Tables!$G$2:$H$90,2,FALSE)</f>
        <v>Cameron Physics &amp; Astronomy</v>
      </c>
      <c r="D315" s="76" t="s">
        <v>166</v>
      </c>
      <c r="E315" s="75">
        <v>328</v>
      </c>
      <c r="F315" s="76" t="s">
        <v>15</v>
      </c>
      <c r="G315" s="50" t="str">
        <f>VLOOKUP(F315,Tables!$D$2:$E$20,2,FALSE)</f>
        <v>PTR</v>
      </c>
      <c r="H315" s="69">
        <v>17099588</v>
      </c>
      <c r="I315" s="71">
        <f>SUM(S315-R315)</f>
        <v>236</v>
      </c>
      <c r="J315" s="71">
        <f>SUM(U315-T315)</f>
        <v>0</v>
      </c>
      <c r="K315" s="73">
        <f>SUM(I315*$P315)</f>
        <v>6.1832000000000003</v>
      </c>
      <c r="L315" s="73">
        <f>SUM(J315*$Q315)</f>
        <v>0</v>
      </c>
      <c r="M315" s="74">
        <f>K315+L315</f>
        <v>6.1832000000000003</v>
      </c>
      <c r="N315" s="76" t="s">
        <v>217</v>
      </c>
      <c r="O315" s="76" t="s">
        <v>218</v>
      </c>
      <c r="P315" s="51">
        <f>IF(G315="MFP",Tables!$B$2,Tables!$B$5)</f>
        <v>2.6200000000000001E-2</v>
      </c>
      <c r="Q315" s="86">
        <f>IF(G315="MFP",Tables!$B$3,Tables!$B$6)</f>
        <v>0.11799999999999999</v>
      </c>
      <c r="R315" s="59">
        <f>VLOOKUP($N315,'Meter Comparison'!$C$2:$G$314,2,FALSE)</f>
        <v>918</v>
      </c>
      <c r="S315" s="59">
        <f>VLOOKUP($N315,'Meter Comparison'!$C$2:$G$314,3,FALSE)</f>
        <v>1154</v>
      </c>
      <c r="T315" s="59">
        <f>VLOOKUP($N315,'Meter Comparison'!$C$2:$G$314,4,FALSE)</f>
        <v>0</v>
      </c>
      <c r="U315" s="59">
        <f>VLOOKUP($N315,'Meter Comparison'!$C$2:$G$314,5,FALSE)</f>
        <v>0</v>
      </c>
    </row>
    <row r="316" spans="1:22" ht="30" customHeight="1" outlineLevel="1" x14ac:dyDescent="0.3">
      <c r="A316" s="77"/>
      <c r="B316" s="160" t="s">
        <v>1107</v>
      </c>
      <c r="C316" s="55"/>
      <c r="D316" s="76"/>
      <c r="E316" s="75"/>
      <c r="F316" s="76"/>
      <c r="G316" s="50"/>
      <c r="H316" s="69"/>
      <c r="I316" s="71"/>
      <c r="J316" s="71"/>
      <c r="K316" s="73"/>
      <c r="L316" s="73"/>
      <c r="M316" s="74">
        <f>SUBTOTAL(9,M313:M315)</f>
        <v>417.57979999999998</v>
      </c>
      <c r="N316" s="76"/>
      <c r="O316" s="76"/>
      <c r="P316" s="51"/>
      <c r="Q316" s="86"/>
      <c r="R316" s="59"/>
      <c r="S316" s="59"/>
      <c r="T316" s="59"/>
      <c r="U316" s="59"/>
    </row>
    <row r="317" spans="1:22" ht="30" customHeight="1" outlineLevel="2" x14ac:dyDescent="0.3">
      <c r="A317" s="55" t="s">
        <v>730</v>
      </c>
      <c r="B317" s="55" t="s">
        <v>845</v>
      </c>
      <c r="C317" s="55" t="str">
        <f>VLOOKUP(B317,Tables!$G$2:$H$90,2,FALSE)</f>
        <v>Post Security</v>
      </c>
      <c r="D317" s="56" t="s">
        <v>731</v>
      </c>
      <c r="E317" s="114">
        <v>200</v>
      </c>
      <c r="F317" s="56" t="s">
        <v>90</v>
      </c>
      <c r="G317" s="50" t="str">
        <f>VLOOKUP(F317,Tables!$D$2:$E$20,2,FALSE)</f>
        <v>PTR</v>
      </c>
      <c r="H317" s="105">
        <v>17099451</v>
      </c>
      <c r="I317" s="106">
        <f>SUM(S317-R317)</f>
        <v>403</v>
      </c>
      <c r="J317" s="106">
        <f>SUM(U317-T317)</f>
        <v>586</v>
      </c>
      <c r="K317" s="107">
        <f>SUM(I317*$P317)</f>
        <v>10.5586</v>
      </c>
      <c r="L317" s="107">
        <f>SUM(J317*$Q317)</f>
        <v>69.147999999999996</v>
      </c>
      <c r="M317" s="108">
        <f>K317+L317</f>
        <v>79.706599999999995</v>
      </c>
      <c r="N317" s="56" t="s">
        <v>283</v>
      </c>
      <c r="O317" s="56" t="s">
        <v>977</v>
      </c>
      <c r="P317" s="51">
        <f>IF(G317="MFP",Tables!$B$2,Tables!$B$5)</f>
        <v>2.6200000000000001E-2</v>
      </c>
      <c r="Q317" s="86">
        <f>IF(G317="MFP",Tables!$B$3,Tables!$B$6)</f>
        <v>0.11799999999999999</v>
      </c>
      <c r="R317" s="59">
        <f>VLOOKUP($N317,'Meter Comparison'!$C$2:$G$314,2,FALSE)</f>
        <v>2110</v>
      </c>
      <c r="S317" s="59">
        <f>VLOOKUP($N317,'Meter Comparison'!$C$2:$G$314,3,FALSE)</f>
        <v>2513</v>
      </c>
      <c r="T317" s="59">
        <f>VLOOKUP($N317,'Meter Comparison'!$C$2:$G$314,4,FALSE)</f>
        <v>1076</v>
      </c>
      <c r="U317" s="59">
        <f>VLOOKUP($N317,'Meter Comparison'!$C$2:$G$314,5,FALSE)</f>
        <v>1662</v>
      </c>
    </row>
    <row r="318" spans="1:22" ht="30" customHeight="1" outlineLevel="2" x14ac:dyDescent="0.3">
      <c r="A318" s="55" t="s">
        <v>730</v>
      </c>
      <c r="B318" s="55" t="s">
        <v>845</v>
      </c>
      <c r="C318" s="55" t="str">
        <f>VLOOKUP(B318,Tables!$G$2:$H$90,2,FALSE)</f>
        <v>Post Security</v>
      </c>
      <c r="D318" s="56" t="s">
        <v>731</v>
      </c>
      <c r="E318" s="114">
        <v>201</v>
      </c>
      <c r="F318" s="56" t="s">
        <v>157</v>
      </c>
      <c r="G318" s="50" t="str">
        <f>VLOOKUP(F318,Tables!$D$2:$E$20,2,FALSE)</f>
        <v>MFP</v>
      </c>
      <c r="H318" s="105">
        <v>17099406</v>
      </c>
      <c r="I318" s="106">
        <f>SUM(S318-R318)</f>
        <v>735</v>
      </c>
      <c r="J318" s="106">
        <f>SUM(U318-T318)</f>
        <v>0</v>
      </c>
      <c r="K318" s="107">
        <f>SUM(I318*$P318)</f>
        <v>15.214499999999999</v>
      </c>
      <c r="L318" s="107">
        <f>SUM(J318*$Q318)</f>
        <v>0</v>
      </c>
      <c r="M318" s="108">
        <f>K318+L318</f>
        <v>15.214499999999999</v>
      </c>
      <c r="N318" s="56" t="s">
        <v>744</v>
      </c>
      <c r="O318" s="56" t="s">
        <v>745</v>
      </c>
      <c r="P318" s="51">
        <f>IF(G318="MFP",Tables!$B$2,Tables!$B$5)</f>
        <v>2.07E-2</v>
      </c>
      <c r="Q318" s="86">
        <f>IF(G318="MFP",Tables!$B$3,Tables!$B$6)</f>
        <v>8.6999999999999994E-2</v>
      </c>
      <c r="R318" s="59">
        <f>VLOOKUP($N318,'Meter Comparison'!$C$2:$G$314,2,FALSE)</f>
        <v>3159</v>
      </c>
      <c r="S318" s="59">
        <f>VLOOKUP($N318,'Meter Comparison'!$C$2:$G$314,3,FALSE)</f>
        <v>3894</v>
      </c>
      <c r="T318" s="59">
        <f>VLOOKUP($N318,'Meter Comparison'!$C$2:$G$314,4,FALSE)</f>
        <v>0</v>
      </c>
      <c r="U318" s="59">
        <f>VLOOKUP($N318,'Meter Comparison'!$C$2:$G$314,5,FALSE)</f>
        <v>0</v>
      </c>
    </row>
    <row r="319" spans="1:22" ht="30" customHeight="1" outlineLevel="2" x14ac:dyDescent="0.3">
      <c r="A319" s="55" t="s">
        <v>730</v>
      </c>
      <c r="B319" s="55" t="s">
        <v>845</v>
      </c>
      <c r="C319" s="55" t="str">
        <f>VLOOKUP(B319,Tables!$G$2:$H$90,2,FALSE)</f>
        <v>Post Security</v>
      </c>
      <c r="D319" s="56" t="s">
        <v>731</v>
      </c>
      <c r="E319" s="114">
        <v>203</v>
      </c>
      <c r="F319" s="56" t="s">
        <v>54</v>
      </c>
      <c r="G319" s="50" t="str">
        <f>VLOOKUP(F319,Tables!$D$2:$E$20,2,FALSE)</f>
        <v>MFP</v>
      </c>
      <c r="H319" s="105">
        <v>17099455</v>
      </c>
      <c r="I319" s="106">
        <f>SUM(S319-R319)</f>
        <v>1811</v>
      </c>
      <c r="J319" s="106">
        <f>SUM(U319-T319)</f>
        <v>378</v>
      </c>
      <c r="K319" s="107">
        <f>SUM(I319*$P319)</f>
        <v>37.487699999999997</v>
      </c>
      <c r="L319" s="107">
        <f>SUM(J319*$Q319)</f>
        <v>32.885999999999996</v>
      </c>
      <c r="M319" s="108">
        <f>K319+L319</f>
        <v>70.373699999999985</v>
      </c>
      <c r="N319" s="58" t="s">
        <v>188</v>
      </c>
      <c r="O319" s="58" t="s">
        <v>774</v>
      </c>
      <c r="P319" s="51">
        <f>IF(G319="MFP",Tables!$B$2,Tables!$B$5)</f>
        <v>2.07E-2</v>
      </c>
      <c r="Q319" s="86">
        <f>IF(G319="MFP",Tables!$B$3,Tables!$B$6)</f>
        <v>8.6999999999999994E-2</v>
      </c>
      <c r="R319" s="59">
        <f>VLOOKUP($N319,'Meter Comparison'!$C$2:$G$314,2,FALSE)</f>
        <v>14826</v>
      </c>
      <c r="S319" s="59">
        <f>VLOOKUP($N319,'Meter Comparison'!$C$2:$G$314,3,FALSE)</f>
        <v>16637</v>
      </c>
      <c r="T319" s="59">
        <f>VLOOKUP($N319,'Meter Comparison'!$C$2:$G$314,4,FALSE)</f>
        <v>998</v>
      </c>
      <c r="U319" s="59">
        <f>VLOOKUP($N319,'Meter Comparison'!$C$2:$G$314,5,FALSE)</f>
        <v>1376</v>
      </c>
    </row>
    <row r="320" spans="1:22" ht="30" customHeight="1" outlineLevel="2" x14ac:dyDescent="0.3">
      <c r="A320" s="55" t="s">
        <v>730</v>
      </c>
      <c r="B320" s="55" t="s">
        <v>845</v>
      </c>
      <c r="C320" s="55" t="str">
        <f>VLOOKUP(B320,Tables!$G$2:$H$90,2,FALSE)</f>
        <v>Post Security</v>
      </c>
      <c r="D320" s="56" t="s">
        <v>731</v>
      </c>
      <c r="E320" s="114">
        <v>300</v>
      </c>
      <c r="F320" s="56" t="s">
        <v>90</v>
      </c>
      <c r="G320" s="50" t="str">
        <f>VLOOKUP(F320,Tables!$D$2:$E$20,2,FALSE)</f>
        <v>PTR</v>
      </c>
      <c r="H320" s="105">
        <v>17099725</v>
      </c>
      <c r="I320" s="106">
        <f>SUM(S320-R320)</f>
        <v>76</v>
      </c>
      <c r="J320" s="106">
        <f>SUM(U320-T320)</f>
        <v>217</v>
      </c>
      <c r="K320" s="107">
        <f>SUM(I320*$P320)</f>
        <v>1.9912000000000001</v>
      </c>
      <c r="L320" s="107">
        <f>SUM(J320*$Q320)</f>
        <v>25.605999999999998</v>
      </c>
      <c r="M320" s="108">
        <f>K320+L320</f>
        <v>27.597199999999997</v>
      </c>
      <c r="N320" s="58" t="s">
        <v>772</v>
      </c>
      <c r="O320" s="58" t="s">
        <v>773</v>
      </c>
      <c r="P320" s="51">
        <f>IF(G320="MFP",Tables!$B$2,Tables!$B$5)</f>
        <v>2.6200000000000001E-2</v>
      </c>
      <c r="Q320" s="86">
        <f>IF(G320="MFP",Tables!$B$3,Tables!$B$6)</f>
        <v>0.11799999999999999</v>
      </c>
      <c r="R320" s="59">
        <f>VLOOKUP($N320,'Meter Comparison'!$C$2:$G$314,2,FALSE)</f>
        <v>233</v>
      </c>
      <c r="S320" s="59">
        <f>VLOOKUP($N320,'Meter Comparison'!$C$2:$G$314,3,FALSE)</f>
        <v>309</v>
      </c>
      <c r="T320" s="59">
        <f>VLOOKUP($N320,'Meter Comparison'!$C$2:$G$314,4,FALSE)</f>
        <v>485</v>
      </c>
      <c r="U320" s="59">
        <f>VLOOKUP($N320,'Meter Comparison'!$C$2:$G$314,5,FALSE)</f>
        <v>702</v>
      </c>
    </row>
    <row r="321" spans="1:21" ht="30" customHeight="1" outlineLevel="2" x14ac:dyDescent="0.3">
      <c r="A321" s="55" t="s">
        <v>730</v>
      </c>
      <c r="B321" s="55" t="s">
        <v>845</v>
      </c>
      <c r="C321" s="55" t="str">
        <f>VLOOKUP(B321,Tables!$G$2:$H$90,2,FALSE)</f>
        <v>Post Security</v>
      </c>
      <c r="D321" s="56" t="s">
        <v>731</v>
      </c>
      <c r="E321" s="114">
        <v>301</v>
      </c>
      <c r="F321" s="56" t="s">
        <v>15</v>
      </c>
      <c r="G321" s="50" t="str">
        <f>VLOOKUP(F321,Tables!$D$2:$E$20,2,FALSE)</f>
        <v>PTR</v>
      </c>
      <c r="H321" s="105">
        <v>17099736</v>
      </c>
      <c r="I321" s="106">
        <f>SUM(S321-R321)</f>
        <v>118</v>
      </c>
      <c r="J321" s="106">
        <f>SUM(U321-T321)</f>
        <v>0</v>
      </c>
      <c r="K321" s="107">
        <f>SUM(I321*$P321)</f>
        <v>3.0916000000000001</v>
      </c>
      <c r="L321" s="107">
        <f>SUM(J321*$Q321)</f>
        <v>0</v>
      </c>
      <c r="M321" s="108">
        <f>K321+L321</f>
        <v>3.0916000000000001</v>
      </c>
      <c r="N321" s="56" t="s">
        <v>798</v>
      </c>
      <c r="O321" s="56" t="s">
        <v>775</v>
      </c>
      <c r="P321" s="51">
        <f>IF(G321="MFP",Tables!$B$2,Tables!$B$5)</f>
        <v>2.6200000000000001E-2</v>
      </c>
      <c r="Q321" s="86">
        <f>IF(G321="MFP",Tables!$B$3,Tables!$B$6)</f>
        <v>0.11799999999999999</v>
      </c>
      <c r="R321" s="59">
        <f>VLOOKUP($N321,'Meter Comparison'!$C$2:$G$314,2,FALSE)</f>
        <v>122</v>
      </c>
      <c r="S321" s="59">
        <f>VLOOKUP($N321,'Meter Comparison'!$C$2:$G$314,3,FALSE)</f>
        <v>240</v>
      </c>
      <c r="T321" s="59">
        <f>VLOOKUP($N321,'Meter Comparison'!$C$2:$G$314,4,FALSE)</f>
        <v>0</v>
      </c>
      <c r="U321" s="59">
        <f>VLOOKUP($N321,'Meter Comparison'!$C$2:$G$314,5,FALSE)</f>
        <v>0</v>
      </c>
    </row>
    <row r="322" spans="1:21" ht="30" customHeight="1" outlineLevel="1" x14ac:dyDescent="0.3">
      <c r="A322" s="55"/>
      <c r="B322" s="161" t="s">
        <v>1108</v>
      </c>
      <c r="C322" s="55"/>
      <c r="D322" s="56"/>
      <c r="E322" s="114"/>
      <c r="F322" s="56"/>
      <c r="G322" s="50"/>
      <c r="H322" s="105"/>
      <c r="I322" s="106"/>
      <c r="J322" s="106"/>
      <c r="K322" s="107"/>
      <c r="L322" s="107"/>
      <c r="M322" s="108">
        <f>SUBTOTAL(9,M317:M321)</f>
        <v>195.98359999999997</v>
      </c>
      <c r="N322" s="56"/>
      <c r="O322" s="56"/>
      <c r="P322" s="51"/>
      <c r="Q322" s="86"/>
      <c r="R322" s="59"/>
      <c r="S322" s="59"/>
      <c r="T322" s="59"/>
      <c r="U322" s="59"/>
    </row>
    <row r="323" spans="1:21" ht="30" customHeight="1" outlineLevel="2" x14ac:dyDescent="0.3">
      <c r="A323" s="77" t="s">
        <v>175</v>
      </c>
      <c r="B323" s="77" t="s">
        <v>240</v>
      </c>
      <c r="C323" s="55" t="str">
        <f>VLOOKUP(B323,Tables!$G$2:$H$90,2,FALSE)</f>
        <v>Libraries</v>
      </c>
      <c r="D323" s="76" t="s">
        <v>175</v>
      </c>
      <c r="E323" s="75">
        <v>302</v>
      </c>
      <c r="F323" s="76" t="s">
        <v>15</v>
      </c>
      <c r="G323" s="50" t="str">
        <f>VLOOKUP(F323,Tables!$D$2:$E$20,2,FALSE)</f>
        <v>PTR</v>
      </c>
      <c r="H323" s="69">
        <v>17099502</v>
      </c>
      <c r="I323" s="71">
        <f t="shared" ref="I323:I336" si="60">SUM(S323-R323)</f>
        <v>1412</v>
      </c>
      <c r="J323" s="71">
        <f t="shared" ref="J323:J336" si="61">SUM(U323-T323)</f>
        <v>0</v>
      </c>
      <c r="K323" s="73">
        <f t="shared" ref="K323:K336" si="62">SUM(I323*$P323)</f>
        <v>36.994399999999999</v>
      </c>
      <c r="L323" s="73">
        <f t="shared" ref="L323:L336" si="63">SUM(J323*$Q323)</f>
        <v>0</v>
      </c>
      <c r="M323" s="74">
        <f t="shared" ref="M323:M336" si="64">K323+L323</f>
        <v>36.994399999999999</v>
      </c>
      <c r="N323" s="76" t="s">
        <v>265</v>
      </c>
      <c r="O323" s="76" t="s">
        <v>266</v>
      </c>
      <c r="P323" s="51">
        <f>IF(G323="MFP",Tables!$B$2,Tables!$B$5)</f>
        <v>2.6200000000000001E-2</v>
      </c>
      <c r="Q323" s="86">
        <f>IF(G323="MFP",Tables!$B$3,Tables!$B$6)</f>
        <v>0.11799999999999999</v>
      </c>
      <c r="R323" s="59">
        <f>VLOOKUP($N323,'Meter Comparison'!$C$2:$G$314,2,FALSE)</f>
        <v>7328</v>
      </c>
      <c r="S323" s="59">
        <f>VLOOKUP($N323,'Meter Comparison'!$C$2:$G$314,3,FALSE)</f>
        <v>8740</v>
      </c>
      <c r="T323" s="59">
        <f>VLOOKUP($N323,'Meter Comparison'!$C$2:$G$314,4,FALSE)</f>
        <v>0</v>
      </c>
      <c r="U323" s="59">
        <f>VLOOKUP($N323,'Meter Comparison'!$C$2:$G$314,5,FALSE)</f>
        <v>0</v>
      </c>
    </row>
    <row r="324" spans="1:21" ht="30" customHeight="1" outlineLevel="2" x14ac:dyDescent="0.3">
      <c r="A324" s="77" t="s">
        <v>175</v>
      </c>
      <c r="B324" s="77" t="s">
        <v>240</v>
      </c>
      <c r="C324" s="55" t="str">
        <f>VLOOKUP(B324,Tables!$G$2:$H$90,2,FALSE)</f>
        <v>Libraries</v>
      </c>
      <c r="D324" s="76" t="s">
        <v>175</v>
      </c>
      <c r="E324" s="75">
        <v>303</v>
      </c>
      <c r="F324" s="76" t="s">
        <v>15</v>
      </c>
      <c r="G324" s="50" t="str">
        <f>VLOOKUP(F324,Tables!$D$2:$E$20,2,FALSE)</f>
        <v>PTR</v>
      </c>
      <c r="H324" s="69">
        <v>17099504</v>
      </c>
      <c r="I324" s="71">
        <f t="shared" si="60"/>
        <v>2024</v>
      </c>
      <c r="J324" s="71">
        <f t="shared" si="61"/>
        <v>0</v>
      </c>
      <c r="K324" s="73">
        <f t="shared" si="62"/>
        <v>53.028800000000004</v>
      </c>
      <c r="L324" s="73">
        <f t="shared" si="63"/>
        <v>0</v>
      </c>
      <c r="M324" s="74">
        <f t="shared" si="64"/>
        <v>53.028800000000004</v>
      </c>
      <c r="N324" s="76" t="s">
        <v>261</v>
      </c>
      <c r="O324" s="76" t="s">
        <v>262</v>
      </c>
      <c r="P324" s="51">
        <f>IF(G324="MFP",Tables!$B$2,Tables!$B$5)</f>
        <v>2.6200000000000001E-2</v>
      </c>
      <c r="Q324" s="86">
        <f>IF(G324="MFP",Tables!$B$3,Tables!$B$6)</f>
        <v>0.11799999999999999</v>
      </c>
      <c r="R324" s="59">
        <f>VLOOKUP($N324,'Meter Comparison'!$C$2:$G$314,2,FALSE)</f>
        <v>6698</v>
      </c>
      <c r="S324" s="59">
        <f>VLOOKUP($N324,'Meter Comparison'!$C$2:$G$314,3,FALSE)</f>
        <v>8722</v>
      </c>
      <c r="T324" s="59">
        <f>VLOOKUP($N324,'Meter Comparison'!$C$2:$G$314,4,FALSE)</f>
        <v>0</v>
      </c>
      <c r="U324" s="59">
        <f>VLOOKUP($N324,'Meter Comparison'!$C$2:$G$314,5,FALSE)</f>
        <v>0</v>
      </c>
    </row>
    <row r="325" spans="1:21" ht="30" customHeight="1" outlineLevel="2" x14ac:dyDescent="0.3">
      <c r="A325" s="77" t="s">
        <v>175</v>
      </c>
      <c r="B325" s="77" t="s">
        <v>240</v>
      </c>
      <c r="C325" s="55" t="str">
        <f>VLOOKUP(B325,Tables!$G$2:$H$90,2,FALSE)</f>
        <v>Libraries</v>
      </c>
      <c r="D325" s="76" t="s">
        <v>175</v>
      </c>
      <c r="E325" s="75">
        <v>401</v>
      </c>
      <c r="F325" s="76" t="s">
        <v>15</v>
      </c>
      <c r="G325" s="50" t="str">
        <f>VLOOKUP(F325,Tables!$D$2:$E$20,2,FALSE)</f>
        <v>PTR</v>
      </c>
      <c r="H325" s="69">
        <v>17099526</v>
      </c>
      <c r="I325" s="71">
        <f t="shared" si="60"/>
        <v>579</v>
      </c>
      <c r="J325" s="71">
        <f t="shared" si="61"/>
        <v>0</v>
      </c>
      <c r="K325" s="73">
        <f t="shared" si="62"/>
        <v>15.1698</v>
      </c>
      <c r="L325" s="73">
        <f t="shared" si="63"/>
        <v>0</v>
      </c>
      <c r="M325" s="74">
        <f t="shared" si="64"/>
        <v>15.1698</v>
      </c>
      <c r="N325" s="76" t="s">
        <v>252</v>
      </c>
      <c r="O325" s="76" t="s">
        <v>253</v>
      </c>
      <c r="P325" s="51">
        <f>IF(G325="MFP",Tables!$B$2,Tables!$B$5)</f>
        <v>2.6200000000000001E-2</v>
      </c>
      <c r="Q325" s="86">
        <f>IF(G325="MFP",Tables!$B$3,Tables!$B$6)</f>
        <v>0.11799999999999999</v>
      </c>
      <c r="R325" s="59">
        <f>VLOOKUP($N325,'Meter Comparison'!$C$2:$G$314,2,FALSE)</f>
        <v>6057</v>
      </c>
      <c r="S325" s="59">
        <f>VLOOKUP($N325,'Meter Comparison'!$C$2:$G$314,3,FALSE)</f>
        <v>6636</v>
      </c>
      <c r="T325" s="59">
        <f>VLOOKUP($N325,'Meter Comparison'!$C$2:$G$314,4,FALSE)</f>
        <v>0</v>
      </c>
      <c r="U325" s="59">
        <f>VLOOKUP($N325,'Meter Comparison'!$C$2:$G$314,5,FALSE)</f>
        <v>0</v>
      </c>
    </row>
    <row r="326" spans="1:21" ht="30" customHeight="1" outlineLevel="2" x14ac:dyDescent="0.3">
      <c r="A326" s="77" t="s">
        <v>175</v>
      </c>
      <c r="B326" s="77" t="s">
        <v>240</v>
      </c>
      <c r="C326" s="55" t="str">
        <f>VLOOKUP(B326,Tables!$G$2:$H$90,2,FALSE)</f>
        <v>Libraries</v>
      </c>
      <c r="D326" s="76" t="s">
        <v>175</v>
      </c>
      <c r="E326" s="75">
        <v>401</v>
      </c>
      <c r="F326" s="76" t="s">
        <v>15</v>
      </c>
      <c r="G326" s="50" t="str">
        <f>VLOOKUP(F326,Tables!$D$2:$E$20,2,FALSE)</f>
        <v>PTR</v>
      </c>
      <c r="H326" s="69">
        <v>17099641</v>
      </c>
      <c r="I326" s="71">
        <f t="shared" si="60"/>
        <v>262</v>
      </c>
      <c r="J326" s="71">
        <f t="shared" si="61"/>
        <v>0</v>
      </c>
      <c r="K326" s="73">
        <f t="shared" si="62"/>
        <v>6.8643999999999998</v>
      </c>
      <c r="L326" s="73">
        <f t="shared" si="63"/>
        <v>0</v>
      </c>
      <c r="M326" s="74">
        <f t="shared" si="64"/>
        <v>6.8643999999999998</v>
      </c>
      <c r="N326" s="76" t="s">
        <v>263</v>
      </c>
      <c r="O326" s="76" t="s">
        <v>264</v>
      </c>
      <c r="P326" s="51">
        <f>IF(G326="MFP",Tables!$B$2,Tables!$B$5)</f>
        <v>2.6200000000000001E-2</v>
      </c>
      <c r="Q326" s="86">
        <f>IF(G326="MFP",Tables!$B$3,Tables!$B$6)</f>
        <v>0.11799999999999999</v>
      </c>
      <c r="R326" s="59">
        <f>VLOOKUP($N326,'Meter Comparison'!$C$2:$G$314,2,FALSE)</f>
        <v>694</v>
      </c>
      <c r="S326" s="59">
        <f>VLOOKUP($N326,'Meter Comparison'!$C$2:$G$314,3,FALSE)</f>
        <v>956</v>
      </c>
      <c r="T326" s="59">
        <f>VLOOKUP($N326,'Meter Comparison'!$C$2:$G$314,4,FALSE)</f>
        <v>0</v>
      </c>
      <c r="U326" s="59">
        <f>VLOOKUP($N326,'Meter Comparison'!$C$2:$G$314,5,FALSE)</f>
        <v>0</v>
      </c>
    </row>
    <row r="327" spans="1:21" ht="30" customHeight="1" outlineLevel="2" x14ac:dyDescent="0.3">
      <c r="A327" s="77" t="s">
        <v>175</v>
      </c>
      <c r="B327" s="125" t="s">
        <v>240</v>
      </c>
      <c r="C327" s="55" t="str">
        <f>VLOOKUP(B327,Tables!$G$2:$H$90,2,FALSE)</f>
        <v>Libraries</v>
      </c>
      <c r="D327" s="116" t="s">
        <v>175</v>
      </c>
      <c r="E327" s="117">
        <v>500</v>
      </c>
      <c r="F327" s="103" t="s">
        <v>15</v>
      </c>
      <c r="G327" s="50" t="str">
        <f>VLOOKUP(F327,Tables!$D$2:$E$20,2,FALSE)</f>
        <v>PTR</v>
      </c>
      <c r="H327" s="69">
        <v>17099525</v>
      </c>
      <c r="I327" s="106">
        <f t="shared" si="60"/>
        <v>1521</v>
      </c>
      <c r="J327" s="106">
        <f t="shared" si="61"/>
        <v>0</v>
      </c>
      <c r="K327" s="107">
        <f t="shared" si="62"/>
        <v>39.850200000000001</v>
      </c>
      <c r="L327" s="107">
        <f t="shared" si="63"/>
        <v>0</v>
      </c>
      <c r="M327" s="108">
        <f t="shared" si="64"/>
        <v>39.850200000000001</v>
      </c>
      <c r="N327" s="113" t="s">
        <v>874</v>
      </c>
      <c r="O327" s="54" t="s">
        <v>247</v>
      </c>
      <c r="P327" s="51">
        <f>IF(G327="MFP",Tables!$B$2,Tables!$B$5)</f>
        <v>2.6200000000000001E-2</v>
      </c>
      <c r="Q327" s="86">
        <f>IF(G327="MFP",Tables!$B$3,Tables!$B$6)</f>
        <v>0.11799999999999999</v>
      </c>
      <c r="R327" s="59">
        <f>VLOOKUP($N327,'Meter Comparison'!$C$2:$G$314,2,FALSE)</f>
        <v>6021</v>
      </c>
      <c r="S327" s="59">
        <f>VLOOKUP($N327,'Meter Comparison'!$C$2:$G$314,3,FALSE)</f>
        <v>7542</v>
      </c>
      <c r="T327" s="59">
        <f>VLOOKUP($N327,'Meter Comparison'!$C$2:$G$314,4,FALSE)</f>
        <v>0</v>
      </c>
      <c r="U327" s="59">
        <f>VLOOKUP($N327,'Meter Comparison'!$C$2:$G$314,5,FALSE)</f>
        <v>0</v>
      </c>
    </row>
    <row r="328" spans="1:21" ht="30" customHeight="1" outlineLevel="2" x14ac:dyDescent="0.3">
      <c r="A328" s="77" t="s">
        <v>175</v>
      </c>
      <c r="B328" s="77" t="s">
        <v>240</v>
      </c>
      <c r="C328" s="55" t="str">
        <f>VLOOKUP(B328,Tables!$G$2:$H$90,2,FALSE)</f>
        <v>Libraries</v>
      </c>
      <c r="D328" s="76" t="s">
        <v>175</v>
      </c>
      <c r="E328" s="75">
        <v>501</v>
      </c>
      <c r="F328" s="76" t="s">
        <v>15</v>
      </c>
      <c r="G328" s="50" t="str">
        <f>VLOOKUP(F328,Tables!$D$2:$E$20,2,FALSE)</f>
        <v>PTR</v>
      </c>
      <c r="H328" s="69">
        <v>17099523</v>
      </c>
      <c r="I328" s="71">
        <f t="shared" si="60"/>
        <v>8746</v>
      </c>
      <c r="J328" s="71">
        <f t="shared" si="61"/>
        <v>0</v>
      </c>
      <c r="K328" s="73">
        <f t="shared" si="62"/>
        <v>229.14520000000002</v>
      </c>
      <c r="L328" s="73">
        <f t="shared" si="63"/>
        <v>0</v>
      </c>
      <c r="M328" s="74">
        <f t="shared" si="64"/>
        <v>229.14520000000002</v>
      </c>
      <c r="N328" s="76" t="s">
        <v>254</v>
      </c>
      <c r="O328" s="76" t="s">
        <v>255</v>
      </c>
      <c r="P328" s="51">
        <f>IF(G328="MFP",Tables!$B$2,Tables!$B$5)</f>
        <v>2.6200000000000001E-2</v>
      </c>
      <c r="Q328" s="86">
        <f>IF(G328="MFP",Tables!$B$3,Tables!$B$6)</f>
        <v>0.11799999999999999</v>
      </c>
      <c r="R328" s="59">
        <f>VLOOKUP($N328,'Meter Comparison'!$C$2:$G$314,2,FALSE)</f>
        <v>55883</v>
      </c>
      <c r="S328" s="59">
        <f>VLOOKUP($N328,'Meter Comparison'!$C$2:$G$314,3,FALSE)</f>
        <v>64629</v>
      </c>
      <c r="T328" s="59">
        <f>VLOOKUP($N328,'Meter Comparison'!$C$2:$G$314,4,FALSE)</f>
        <v>0</v>
      </c>
      <c r="U328" s="59">
        <f>VLOOKUP($N328,'Meter Comparison'!$C$2:$G$314,5,FALSE)</f>
        <v>0</v>
      </c>
    </row>
    <row r="329" spans="1:21" ht="30" customHeight="1" outlineLevel="2" x14ac:dyDescent="0.3">
      <c r="A329" s="77" t="s">
        <v>175</v>
      </c>
      <c r="B329" s="77" t="s">
        <v>240</v>
      </c>
      <c r="C329" s="55" t="str">
        <f>VLOOKUP(B329,Tables!$G$2:$H$90,2,FALSE)</f>
        <v>Libraries</v>
      </c>
      <c r="D329" s="76" t="s">
        <v>175</v>
      </c>
      <c r="E329" s="75">
        <v>501</v>
      </c>
      <c r="F329" s="76" t="s">
        <v>15</v>
      </c>
      <c r="G329" s="50" t="str">
        <f>VLOOKUP(F329,Tables!$D$2:$E$20,2,FALSE)</f>
        <v>PTR</v>
      </c>
      <c r="H329" s="105">
        <v>17099830</v>
      </c>
      <c r="I329" s="106">
        <f t="shared" si="60"/>
        <v>1843</v>
      </c>
      <c r="J329" s="106">
        <f t="shared" si="61"/>
        <v>0</v>
      </c>
      <c r="K329" s="107">
        <f t="shared" si="62"/>
        <v>48.2866</v>
      </c>
      <c r="L329" s="107">
        <f t="shared" si="63"/>
        <v>0</v>
      </c>
      <c r="M329" s="108">
        <f t="shared" si="64"/>
        <v>48.2866</v>
      </c>
      <c r="N329" s="58" t="s">
        <v>881</v>
      </c>
      <c r="O329" s="103" t="s">
        <v>956</v>
      </c>
      <c r="P329" s="51">
        <f>IF(G329="MFP",Tables!$B$2,Tables!$B$5)</f>
        <v>2.6200000000000001E-2</v>
      </c>
      <c r="Q329" s="86">
        <f>IF(G329="MFP",Tables!$B$3,Tables!$B$6)</f>
        <v>0.11799999999999999</v>
      </c>
      <c r="R329" s="59">
        <f>VLOOKUP($N329,'Meter Comparison'!$C$2:$G$314,2,FALSE)</f>
        <v>112</v>
      </c>
      <c r="S329" s="59">
        <f>VLOOKUP($N329,'Meter Comparison'!$C$2:$G$314,3,FALSE)</f>
        <v>1955</v>
      </c>
      <c r="T329" s="59">
        <f>VLOOKUP($N329,'Meter Comparison'!$C$2:$G$314,4,FALSE)</f>
        <v>0</v>
      </c>
      <c r="U329" s="59">
        <f>VLOOKUP($N329,'Meter Comparison'!$C$2:$G$314,5,FALSE)</f>
        <v>0</v>
      </c>
    </row>
    <row r="330" spans="1:21" ht="30" customHeight="1" outlineLevel="2" x14ac:dyDescent="0.3">
      <c r="A330" s="50" t="s">
        <v>175</v>
      </c>
      <c r="B330" s="50" t="s">
        <v>240</v>
      </c>
      <c r="C330" s="55" t="str">
        <f>VLOOKUP(B330,Tables!$G$2:$H$90,2,FALSE)</f>
        <v>Libraries</v>
      </c>
      <c r="D330" s="76" t="s">
        <v>175</v>
      </c>
      <c r="E330" s="53">
        <v>501</v>
      </c>
      <c r="F330" s="50" t="s">
        <v>15</v>
      </c>
      <c r="G330" s="50" t="str">
        <f>VLOOKUP(F330,Tables!$D$2:$E$20,2,FALSE)</f>
        <v>PTR</v>
      </c>
      <c r="H330" s="70">
        <v>17099634</v>
      </c>
      <c r="I330" s="71">
        <f t="shared" si="60"/>
        <v>588</v>
      </c>
      <c r="J330" s="71">
        <f t="shared" si="61"/>
        <v>0</v>
      </c>
      <c r="K330" s="73">
        <f t="shared" si="62"/>
        <v>15.4056</v>
      </c>
      <c r="L330" s="73">
        <f t="shared" si="63"/>
        <v>0</v>
      </c>
      <c r="M330" s="74">
        <f t="shared" si="64"/>
        <v>15.4056</v>
      </c>
      <c r="N330" s="50" t="s">
        <v>248</v>
      </c>
      <c r="O330" s="50" t="s">
        <v>249</v>
      </c>
      <c r="P330" s="51">
        <f>IF(G330="MFP",Tables!$B$2,Tables!$B$5)</f>
        <v>2.6200000000000001E-2</v>
      </c>
      <c r="Q330" s="86">
        <f>IF(G330="MFP",Tables!$B$3,Tables!$B$6)</f>
        <v>0.11799999999999999</v>
      </c>
      <c r="R330" s="59">
        <f>VLOOKUP($N330,'Meter Comparison'!$C$2:$G$314,2,FALSE)</f>
        <v>2469</v>
      </c>
      <c r="S330" s="59">
        <f>VLOOKUP($N330,'Meter Comparison'!$C$2:$G$314,3,FALSE)</f>
        <v>3057</v>
      </c>
      <c r="T330" s="59">
        <f>VLOOKUP($N330,'Meter Comparison'!$C$2:$G$314,4,FALSE)</f>
        <v>0</v>
      </c>
      <c r="U330" s="59">
        <f>VLOOKUP($N330,'Meter Comparison'!$C$2:$G$314,5,FALSE)</f>
        <v>0</v>
      </c>
    </row>
    <row r="331" spans="1:21" ht="30" customHeight="1" outlineLevel="2" x14ac:dyDescent="0.3">
      <c r="A331" s="77" t="s">
        <v>175</v>
      </c>
      <c r="B331" s="77" t="s">
        <v>240</v>
      </c>
      <c r="C331" s="55" t="str">
        <f>VLOOKUP(B331,Tables!$G$2:$H$90,2,FALSE)</f>
        <v>Libraries</v>
      </c>
      <c r="D331" s="76" t="s">
        <v>175</v>
      </c>
      <c r="E331" s="75">
        <v>502</v>
      </c>
      <c r="F331" s="76" t="s">
        <v>15</v>
      </c>
      <c r="G331" s="50" t="str">
        <f>VLOOKUP(F331,Tables!$D$2:$E$20,2,FALSE)</f>
        <v>PTR</v>
      </c>
      <c r="H331" s="69">
        <v>17099524</v>
      </c>
      <c r="I331" s="71">
        <f t="shared" si="60"/>
        <v>1029</v>
      </c>
      <c r="J331" s="71">
        <f t="shared" si="61"/>
        <v>0</v>
      </c>
      <c r="K331" s="73">
        <f t="shared" si="62"/>
        <v>26.959800000000001</v>
      </c>
      <c r="L331" s="73">
        <f t="shared" si="63"/>
        <v>0</v>
      </c>
      <c r="M331" s="74">
        <f t="shared" si="64"/>
        <v>26.959800000000001</v>
      </c>
      <c r="N331" s="76" t="s">
        <v>250</v>
      </c>
      <c r="O331" s="76" t="s">
        <v>251</v>
      </c>
      <c r="P331" s="51">
        <f>IF(G331="MFP",Tables!$B$2,Tables!$B$5)</f>
        <v>2.6200000000000001E-2</v>
      </c>
      <c r="Q331" s="86">
        <f>IF(G331="MFP",Tables!$B$3,Tables!$B$6)</f>
        <v>0.11799999999999999</v>
      </c>
      <c r="R331" s="59">
        <f>VLOOKUP($N331,'Meter Comparison'!$C$2:$G$314,2,FALSE)</f>
        <v>9466</v>
      </c>
      <c r="S331" s="59">
        <f>VLOOKUP($N331,'Meter Comparison'!$C$2:$G$314,3,FALSE)</f>
        <v>10495</v>
      </c>
      <c r="T331" s="59">
        <f>VLOOKUP($N331,'Meter Comparison'!$C$2:$G$314,4,FALSE)</f>
        <v>0</v>
      </c>
      <c r="U331" s="59">
        <f>VLOOKUP($N331,'Meter Comparison'!$C$2:$G$314,5,FALSE)</f>
        <v>0</v>
      </c>
    </row>
    <row r="332" spans="1:21" ht="30" customHeight="1" outlineLevel="2" x14ac:dyDescent="0.3">
      <c r="A332" s="77" t="s">
        <v>175</v>
      </c>
      <c r="B332" s="77" t="s">
        <v>240</v>
      </c>
      <c r="C332" s="55" t="str">
        <f>VLOOKUP(B332,Tables!$G$2:$H$90,2,FALSE)</f>
        <v>Libraries</v>
      </c>
      <c r="D332" s="76" t="s">
        <v>175</v>
      </c>
      <c r="E332" s="75">
        <v>650</v>
      </c>
      <c r="F332" s="76" t="s">
        <v>15</v>
      </c>
      <c r="G332" s="50" t="str">
        <f>VLOOKUP(F332,Tables!$D$2:$E$20,2,FALSE)</f>
        <v>PTR</v>
      </c>
      <c r="H332" s="69">
        <v>17099445</v>
      </c>
      <c r="I332" s="71">
        <f t="shared" si="60"/>
        <v>1345</v>
      </c>
      <c r="J332" s="71">
        <f t="shared" si="61"/>
        <v>0</v>
      </c>
      <c r="K332" s="73">
        <f t="shared" si="62"/>
        <v>35.239000000000004</v>
      </c>
      <c r="L332" s="73">
        <f t="shared" si="63"/>
        <v>0</v>
      </c>
      <c r="M332" s="74">
        <f t="shared" si="64"/>
        <v>35.239000000000004</v>
      </c>
      <c r="N332" s="76" t="s">
        <v>259</v>
      </c>
      <c r="O332" s="76" t="s">
        <v>260</v>
      </c>
      <c r="P332" s="51">
        <f>IF(G332="MFP",Tables!$B$2,Tables!$B$5)</f>
        <v>2.6200000000000001E-2</v>
      </c>
      <c r="Q332" s="86">
        <f>IF(G332="MFP",Tables!$B$3,Tables!$B$6)</f>
        <v>0.11799999999999999</v>
      </c>
      <c r="R332" s="59">
        <f>VLOOKUP($N332,'Meter Comparison'!$C$2:$G$314,2,FALSE)</f>
        <v>7563</v>
      </c>
      <c r="S332" s="59">
        <f>VLOOKUP($N332,'Meter Comparison'!$C$2:$G$314,3,FALSE)</f>
        <v>8908</v>
      </c>
      <c r="T332" s="59">
        <f>VLOOKUP($N332,'Meter Comparison'!$C$2:$G$314,4,FALSE)</f>
        <v>0</v>
      </c>
      <c r="U332" s="59">
        <f>VLOOKUP($N332,'Meter Comparison'!$C$2:$G$314,5,FALSE)</f>
        <v>0</v>
      </c>
    </row>
    <row r="333" spans="1:21" ht="30" customHeight="1" outlineLevel="2" x14ac:dyDescent="0.3">
      <c r="A333" s="77" t="s">
        <v>175</v>
      </c>
      <c r="B333" s="77" t="s">
        <v>240</v>
      </c>
      <c r="C333" s="55" t="str">
        <f>VLOOKUP(B333,Tables!$G$2:$H$90,2,FALSE)</f>
        <v>Libraries</v>
      </c>
      <c r="D333" s="76" t="s">
        <v>175</v>
      </c>
      <c r="E333" s="75" t="s">
        <v>256</v>
      </c>
      <c r="F333" s="76" t="s">
        <v>15</v>
      </c>
      <c r="G333" s="50" t="str">
        <f>VLOOKUP(F333,Tables!$D$2:$E$20,2,FALSE)</f>
        <v>PTR</v>
      </c>
      <c r="H333" s="69">
        <v>17099503</v>
      </c>
      <c r="I333" s="71">
        <f t="shared" si="60"/>
        <v>2648</v>
      </c>
      <c r="J333" s="71">
        <f t="shared" si="61"/>
        <v>0</v>
      </c>
      <c r="K333" s="73">
        <f t="shared" si="62"/>
        <v>69.377600000000001</v>
      </c>
      <c r="L333" s="73">
        <f t="shared" si="63"/>
        <v>0</v>
      </c>
      <c r="M333" s="74">
        <f t="shared" si="64"/>
        <v>69.377600000000001</v>
      </c>
      <c r="N333" s="76" t="s">
        <v>257</v>
      </c>
      <c r="O333" s="76" t="s">
        <v>258</v>
      </c>
      <c r="P333" s="51">
        <f>IF(G333="MFP",Tables!$B$2,Tables!$B$5)</f>
        <v>2.6200000000000001E-2</v>
      </c>
      <c r="Q333" s="86">
        <f>IF(G333="MFP",Tables!$B$3,Tables!$B$6)</f>
        <v>0.11799999999999999</v>
      </c>
      <c r="R333" s="59">
        <f>VLOOKUP($N333,'Meter Comparison'!$C$2:$G$314,2,FALSE)</f>
        <v>14950</v>
      </c>
      <c r="S333" s="59">
        <f>VLOOKUP($N333,'Meter Comparison'!$C$2:$G$314,3,FALSE)</f>
        <v>17598</v>
      </c>
      <c r="T333" s="59">
        <f>VLOOKUP($N333,'Meter Comparison'!$C$2:$G$314,4,FALSE)</f>
        <v>0</v>
      </c>
      <c r="U333" s="59">
        <f>VLOOKUP($N333,'Meter Comparison'!$C$2:$G$314,5,FALSE)</f>
        <v>0</v>
      </c>
    </row>
    <row r="334" spans="1:21" ht="30" customHeight="1" outlineLevel="2" x14ac:dyDescent="0.3">
      <c r="A334" s="77" t="s">
        <v>175</v>
      </c>
      <c r="B334" s="122" t="s">
        <v>240</v>
      </c>
      <c r="C334" s="55" t="str">
        <f>VLOOKUP(B334,Tables!$G$2:$H$90,2,FALSE)</f>
        <v>Libraries</v>
      </c>
      <c r="D334" s="112" t="s">
        <v>175</v>
      </c>
      <c r="E334" s="102" t="s">
        <v>241</v>
      </c>
      <c r="F334" s="103" t="s">
        <v>90</v>
      </c>
      <c r="G334" s="50" t="str">
        <f>VLOOKUP(F334,Tables!$D$2:$E$20,2,FALSE)</f>
        <v>PTR</v>
      </c>
      <c r="H334" s="69">
        <v>17099630</v>
      </c>
      <c r="I334" s="106">
        <f t="shared" si="60"/>
        <v>25</v>
      </c>
      <c r="J334" s="106">
        <f t="shared" si="61"/>
        <v>84</v>
      </c>
      <c r="K334" s="107">
        <f t="shared" si="62"/>
        <v>0.65500000000000003</v>
      </c>
      <c r="L334" s="107">
        <f t="shared" si="63"/>
        <v>9.911999999999999</v>
      </c>
      <c r="M334" s="108">
        <f t="shared" si="64"/>
        <v>10.566999999999998</v>
      </c>
      <c r="N334" s="113" t="s">
        <v>898</v>
      </c>
      <c r="O334" s="54" t="s">
        <v>976</v>
      </c>
      <c r="P334" s="51">
        <f>IF(G334="MFP",Tables!$B$2,Tables!$B$5)</f>
        <v>2.6200000000000001E-2</v>
      </c>
      <c r="Q334" s="86">
        <f>IF(G334="MFP",Tables!$B$3,Tables!$B$6)</f>
        <v>0.11799999999999999</v>
      </c>
      <c r="R334" s="59">
        <f>VLOOKUP($N334,'Meter Comparison'!$C$2:$G$314,2,FALSE)</f>
        <v>587</v>
      </c>
      <c r="S334" s="59">
        <f>VLOOKUP($N334,'Meter Comparison'!$C$2:$G$314,3,FALSE)</f>
        <v>612</v>
      </c>
      <c r="T334" s="59">
        <f>VLOOKUP($N334,'Meter Comparison'!$C$2:$G$314,4,FALSE)</f>
        <v>1524</v>
      </c>
      <c r="U334" s="59">
        <f>VLOOKUP($N334,'Meter Comparison'!$C$2:$G$314,5,FALSE)</f>
        <v>1608</v>
      </c>
    </row>
    <row r="335" spans="1:21" ht="30" customHeight="1" outlineLevel="2" x14ac:dyDescent="0.3">
      <c r="A335" s="77" t="s">
        <v>175</v>
      </c>
      <c r="B335" s="77" t="s">
        <v>240</v>
      </c>
      <c r="C335" s="55" t="str">
        <f>VLOOKUP(B335,Tables!$G$2:$H$90,2,FALSE)</f>
        <v>Libraries</v>
      </c>
      <c r="D335" s="76" t="s">
        <v>175</v>
      </c>
      <c r="E335" s="75" t="s">
        <v>241</v>
      </c>
      <c r="F335" s="76" t="s">
        <v>54</v>
      </c>
      <c r="G335" s="50" t="str">
        <f>VLOOKUP(F335,Tables!$D$2:$E$20,2,FALSE)</f>
        <v>MFP</v>
      </c>
      <c r="H335" s="69">
        <v>17099487</v>
      </c>
      <c r="I335" s="71">
        <f t="shared" si="60"/>
        <v>578</v>
      </c>
      <c r="J335" s="71">
        <f t="shared" si="61"/>
        <v>16</v>
      </c>
      <c r="K335" s="73">
        <f t="shared" si="62"/>
        <v>11.964599999999999</v>
      </c>
      <c r="L335" s="73">
        <f t="shared" si="63"/>
        <v>1.3919999999999999</v>
      </c>
      <c r="M335" s="74">
        <f t="shared" si="64"/>
        <v>13.356599999999998</v>
      </c>
      <c r="N335" s="76" t="s">
        <v>242</v>
      </c>
      <c r="O335" s="76" t="s">
        <v>243</v>
      </c>
      <c r="P335" s="51">
        <f>IF(G335="MFP",Tables!$B$2,Tables!$B$5)</f>
        <v>2.07E-2</v>
      </c>
      <c r="Q335" s="86">
        <f>IF(G335="MFP",Tables!$B$3,Tables!$B$6)</f>
        <v>8.6999999999999994E-2</v>
      </c>
      <c r="R335" s="59">
        <f>VLOOKUP($N335,'Meter Comparison'!$C$2:$G$314,2,FALSE)</f>
        <v>1948</v>
      </c>
      <c r="S335" s="59">
        <f>VLOOKUP($N335,'Meter Comparison'!$C$2:$G$314,3,FALSE)</f>
        <v>2526</v>
      </c>
      <c r="T335" s="59">
        <f>VLOOKUP($N335,'Meter Comparison'!$C$2:$G$314,4,FALSE)</f>
        <v>47</v>
      </c>
      <c r="U335" s="59">
        <f>VLOOKUP($N335,'Meter Comparison'!$C$2:$G$314,5,FALSE)</f>
        <v>63</v>
      </c>
    </row>
    <row r="336" spans="1:21" ht="30" customHeight="1" outlineLevel="2" x14ac:dyDescent="0.3">
      <c r="A336" s="77" t="s">
        <v>175</v>
      </c>
      <c r="B336" s="77" t="s">
        <v>240</v>
      </c>
      <c r="C336" s="55" t="str">
        <f>VLOOKUP(B336,Tables!$G$2:$H$90,2,FALSE)</f>
        <v>Libraries</v>
      </c>
      <c r="D336" s="76" t="s">
        <v>175</v>
      </c>
      <c r="E336" s="75" t="s">
        <v>244</v>
      </c>
      <c r="F336" s="76" t="s">
        <v>54</v>
      </c>
      <c r="G336" s="50" t="str">
        <f>VLOOKUP(F336,Tables!$D$2:$E$20,2,FALSE)</f>
        <v>MFP</v>
      </c>
      <c r="H336" s="69">
        <v>17099432</v>
      </c>
      <c r="I336" s="71">
        <f t="shared" si="60"/>
        <v>3761</v>
      </c>
      <c r="J336" s="71">
        <f t="shared" si="61"/>
        <v>690</v>
      </c>
      <c r="K336" s="73">
        <f t="shared" si="62"/>
        <v>77.852699999999999</v>
      </c>
      <c r="L336" s="73">
        <f t="shared" si="63"/>
        <v>60.029999999999994</v>
      </c>
      <c r="M336" s="74">
        <f t="shared" si="64"/>
        <v>137.8827</v>
      </c>
      <c r="N336" s="76" t="s">
        <v>245</v>
      </c>
      <c r="O336" s="76" t="s">
        <v>246</v>
      </c>
      <c r="P336" s="51">
        <f>IF(G336="MFP",Tables!$B$2,Tables!$B$5)</f>
        <v>2.07E-2</v>
      </c>
      <c r="Q336" s="86">
        <f>IF(G336="MFP",Tables!$B$3,Tables!$B$6)</f>
        <v>8.6999999999999994E-2</v>
      </c>
      <c r="R336" s="59">
        <f>VLOOKUP($N336,'Meter Comparison'!$C$2:$G$314,2,FALSE)</f>
        <v>23834</v>
      </c>
      <c r="S336" s="59">
        <f>VLOOKUP($N336,'Meter Comparison'!$C$2:$G$314,3,FALSE)</f>
        <v>27595</v>
      </c>
      <c r="T336" s="59">
        <f>VLOOKUP($N336,'Meter Comparison'!$C$2:$G$314,4,FALSE)</f>
        <v>5816</v>
      </c>
      <c r="U336" s="59">
        <f>VLOOKUP($N336,'Meter Comparison'!$C$2:$G$314,5,FALSE)</f>
        <v>6506</v>
      </c>
    </row>
    <row r="337" spans="1:21" ht="30" customHeight="1" outlineLevel="1" x14ac:dyDescent="0.3">
      <c r="A337" s="77"/>
      <c r="B337" s="160" t="s">
        <v>1109</v>
      </c>
      <c r="C337" s="55"/>
      <c r="D337" s="76"/>
      <c r="E337" s="75"/>
      <c r="F337" s="76"/>
      <c r="G337" s="50"/>
      <c r="H337" s="69"/>
      <c r="I337" s="71"/>
      <c r="J337" s="71"/>
      <c r="K337" s="73"/>
      <c r="L337" s="73"/>
      <c r="M337" s="74">
        <f>SUBTOTAL(9,M323:M336)</f>
        <v>738.12770000000012</v>
      </c>
      <c r="N337" s="76"/>
      <c r="O337" s="76"/>
      <c r="P337" s="51"/>
      <c r="Q337" s="86"/>
      <c r="R337" s="59"/>
      <c r="S337" s="59"/>
      <c r="T337" s="59"/>
      <c r="U337" s="59"/>
    </row>
    <row r="338" spans="1:21" ht="30" customHeight="1" outlineLevel="2" x14ac:dyDescent="0.3">
      <c r="A338" s="77" t="s">
        <v>175</v>
      </c>
      <c r="B338" s="77" t="s">
        <v>422</v>
      </c>
      <c r="C338" s="55" t="str">
        <f>VLOOKUP(B338,Tables!$G$2:$H$90,2,FALSE)</f>
        <v>Printer Services</v>
      </c>
      <c r="D338" s="76" t="s">
        <v>175</v>
      </c>
      <c r="E338" s="75">
        <v>503</v>
      </c>
      <c r="F338" s="76" t="s">
        <v>15</v>
      </c>
      <c r="G338" s="50" t="str">
        <f>VLOOKUP(F338,Tables!$D$2:$E$20,2,FALSE)</f>
        <v>PTR</v>
      </c>
      <c r="H338" s="69">
        <v>17099631</v>
      </c>
      <c r="I338" s="71">
        <f>SUM(S338-R338)</f>
        <v>9149</v>
      </c>
      <c r="J338" s="71">
        <f>SUM(U338-T338)</f>
        <v>0</v>
      </c>
      <c r="K338" s="73">
        <f>SUM(I338*$P338)</f>
        <v>239.7038</v>
      </c>
      <c r="L338" s="73">
        <f>SUM(J338*$Q338)</f>
        <v>0</v>
      </c>
      <c r="M338" s="74">
        <f>K338+L338</f>
        <v>239.7038</v>
      </c>
      <c r="N338" s="76" t="s">
        <v>471</v>
      </c>
      <c r="O338" s="76" t="s">
        <v>472</v>
      </c>
      <c r="P338" s="51">
        <f>IF(G338="MFP",Tables!$B$2,Tables!$B$5)</f>
        <v>2.6200000000000001E-2</v>
      </c>
      <c r="Q338" s="86">
        <f>IF(G338="MFP",Tables!$B$3,Tables!$B$6)</f>
        <v>0.11799999999999999</v>
      </c>
      <c r="R338" s="59">
        <f>VLOOKUP($N338,'Meter Comparison'!$C$2:$G$314,2,FALSE)</f>
        <v>61674</v>
      </c>
      <c r="S338" s="59">
        <f>VLOOKUP($N338,'Meter Comparison'!$C$2:$G$314,3,FALSE)</f>
        <v>70823</v>
      </c>
      <c r="T338" s="59">
        <f>VLOOKUP($N338,'Meter Comparison'!$C$2:$G$314,4,FALSE)</f>
        <v>0</v>
      </c>
      <c r="U338" s="59">
        <f>VLOOKUP($N338,'Meter Comparison'!$C$2:$G$314,5,FALSE)</f>
        <v>0</v>
      </c>
    </row>
    <row r="339" spans="1:21" ht="30" customHeight="1" outlineLevel="2" x14ac:dyDescent="0.3">
      <c r="A339" s="77" t="s">
        <v>175</v>
      </c>
      <c r="B339" s="77" t="s">
        <v>422</v>
      </c>
      <c r="C339" s="55" t="str">
        <f>VLOOKUP(B339,Tables!$G$2:$H$90,2,FALSE)</f>
        <v>Printer Services</v>
      </c>
      <c r="D339" s="76" t="s">
        <v>175</v>
      </c>
      <c r="E339" s="75">
        <v>601</v>
      </c>
      <c r="F339" s="76" t="s">
        <v>15</v>
      </c>
      <c r="G339" s="50" t="str">
        <f>VLOOKUP(F339,Tables!$D$2:$E$20,2,FALSE)</f>
        <v>PTR</v>
      </c>
      <c r="H339" s="69">
        <v>17099706</v>
      </c>
      <c r="I339" s="71">
        <f>SUM(S339-R339)</f>
        <v>6626</v>
      </c>
      <c r="J339" s="71">
        <f>SUM(U339-T339)</f>
        <v>0</v>
      </c>
      <c r="K339" s="73">
        <f>SUM(I339*$P339)</f>
        <v>173.60120000000001</v>
      </c>
      <c r="L339" s="73">
        <f>SUM(J339*$Q339)</f>
        <v>0</v>
      </c>
      <c r="M339" s="74">
        <f>K339+L339</f>
        <v>173.60120000000001</v>
      </c>
      <c r="N339" s="76" t="s">
        <v>469</v>
      </c>
      <c r="O339" s="76" t="s">
        <v>470</v>
      </c>
      <c r="P339" s="51">
        <f>IF(G339="MFP",Tables!$B$2,Tables!$B$5)</f>
        <v>2.6200000000000001E-2</v>
      </c>
      <c r="Q339" s="86">
        <f>IF(G339="MFP",Tables!$B$3,Tables!$B$6)</f>
        <v>0.11799999999999999</v>
      </c>
      <c r="R339" s="59">
        <f>VLOOKUP($N339,'Meter Comparison'!$C$2:$G$314,2,FALSE)</f>
        <v>18328</v>
      </c>
      <c r="S339" s="59">
        <f>VLOOKUP($N339,'Meter Comparison'!$C$2:$G$314,3,FALSE)</f>
        <v>24954</v>
      </c>
      <c r="T339" s="59">
        <f>VLOOKUP($N339,'Meter Comparison'!$C$2:$G$314,4,FALSE)</f>
        <v>0</v>
      </c>
      <c r="U339" s="59">
        <f>VLOOKUP($N339,'Meter Comparison'!$C$2:$G$314,5,FALSE)</f>
        <v>0</v>
      </c>
    </row>
    <row r="340" spans="1:21" ht="30" customHeight="1" outlineLevel="1" x14ac:dyDescent="0.3">
      <c r="A340" s="77"/>
      <c r="B340" s="160" t="s">
        <v>1053</v>
      </c>
      <c r="C340" s="55"/>
      <c r="D340" s="76"/>
      <c r="E340" s="75"/>
      <c r="F340" s="76"/>
      <c r="G340" s="50"/>
      <c r="H340" s="69"/>
      <c r="I340" s="71"/>
      <c r="J340" s="71"/>
      <c r="K340" s="73"/>
      <c r="L340" s="73"/>
      <c r="M340" s="74">
        <f>SUBTOTAL(9,M338:M339)</f>
        <v>413.30500000000001</v>
      </c>
      <c r="N340" s="76"/>
      <c r="O340" s="76"/>
      <c r="P340" s="51"/>
      <c r="Q340" s="86"/>
      <c r="R340" s="59"/>
      <c r="S340" s="59"/>
      <c r="T340" s="59"/>
      <c r="U340" s="59"/>
    </row>
    <row r="341" spans="1:21" ht="30" customHeight="1" outlineLevel="2" x14ac:dyDescent="0.3">
      <c r="A341" s="55" t="s">
        <v>479</v>
      </c>
      <c r="B341" s="55" t="s">
        <v>480</v>
      </c>
      <c r="C341" s="55" t="str">
        <f>VLOOKUP(B341,Tables!$G$2:$H$90,2,FALSE)</f>
        <v>Protocol Office</v>
      </c>
      <c r="D341" s="56" t="s">
        <v>666</v>
      </c>
      <c r="E341" s="114">
        <v>300</v>
      </c>
      <c r="F341" s="56" t="s">
        <v>732</v>
      </c>
      <c r="G341" s="50" t="str">
        <f>VLOOKUP(F341,Tables!$D$2:$E$20,2,FALSE)</f>
        <v>PTR</v>
      </c>
      <c r="H341" s="105">
        <v>17099718</v>
      </c>
      <c r="I341" s="106">
        <f>SUM(S341-R341)</f>
        <v>2</v>
      </c>
      <c r="J341" s="106">
        <f>SUM(U341-T341)</f>
        <v>0</v>
      </c>
      <c r="K341" s="107">
        <f>SUM(I341*$P341)</f>
        <v>5.2400000000000002E-2</v>
      </c>
      <c r="L341" s="107">
        <f>SUM(J341*$Q341)</f>
        <v>0</v>
      </c>
      <c r="M341" s="108">
        <f>K341+L341</f>
        <v>5.2400000000000002E-2</v>
      </c>
      <c r="N341" s="56" t="s">
        <v>736</v>
      </c>
      <c r="O341" s="56" t="s">
        <v>737</v>
      </c>
      <c r="P341" s="51">
        <f>IF(G341="MFP",Tables!$B$2,Tables!$B$5)</f>
        <v>2.6200000000000001E-2</v>
      </c>
      <c r="Q341" s="86">
        <f>IF(G341="MFP",Tables!$B$3,Tables!$B$6)</f>
        <v>0.11799999999999999</v>
      </c>
      <c r="R341" s="59">
        <f>VLOOKUP($N341,'Meter Comparison'!$C$2:$G$314,2,FALSE)</f>
        <v>871</v>
      </c>
      <c r="S341" s="59">
        <f>VLOOKUP($N341,'Meter Comparison'!$C$2:$G$314,3,FALSE)</f>
        <v>873</v>
      </c>
      <c r="T341" s="59">
        <f>VLOOKUP($N341,'Meter Comparison'!$C$2:$G$314,4,FALSE)</f>
        <v>87</v>
      </c>
      <c r="U341" s="59">
        <f>VLOOKUP($N341,'Meter Comparison'!$C$2:$G$314,5,FALSE)</f>
        <v>87</v>
      </c>
    </row>
    <row r="342" spans="1:21" ht="30" customHeight="1" outlineLevel="2" x14ac:dyDescent="0.3">
      <c r="A342" s="55" t="s">
        <v>479</v>
      </c>
      <c r="B342" s="55" t="s">
        <v>480</v>
      </c>
      <c r="C342" s="55" t="str">
        <f>VLOOKUP(B342,Tables!$G$2:$H$90,2,FALSE)</f>
        <v>Protocol Office</v>
      </c>
      <c r="D342" s="56" t="s">
        <v>666</v>
      </c>
      <c r="E342" s="114">
        <v>300</v>
      </c>
      <c r="F342" s="56" t="s">
        <v>54</v>
      </c>
      <c r="G342" s="50" t="str">
        <f>VLOOKUP(F342,Tables!$D$2:$E$20,2,FALSE)</f>
        <v>MFP</v>
      </c>
      <c r="H342" s="105">
        <v>17099528</v>
      </c>
      <c r="I342" s="106">
        <f>SUM(S342-R342)</f>
        <v>104</v>
      </c>
      <c r="J342" s="106">
        <f>SUM(U342-T342)</f>
        <v>3</v>
      </c>
      <c r="K342" s="107">
        <f>SUM(I342*$P342)</f>
        <v>2.1528</v>
      </c>
      <c r="L342" s="107">
        <f>SUM(J342*$Q342)</f>
        <v>0.26100000000000001</v>
      </c>
      <c r="M342" s="108">
        <f>K342+L342</f>
        <v>2.4138000000000002</v>
      </c>
      <c r="N342" s="56" t="s">
        <v>388</v>
      </c>
      <c r="O342" s="56" t="s">
        <v>735</v>
      </c>
      <c r="P342" s="51">
        <f>IF(G342="MFP",Tables!$B$2,Tables!$B$5)</f>
        <v>2.07E-2</v>
      </c>
      <c r="Q342" s="86">
        <f>IF(G342="MFP",Tables!$B$3,Tables!$B$6)</f>
        <v>8.6999999999999994E-2</v>
      </c>
      <c r="R342" s="59">
        <f>VLOOKUP($N342,'Meter Comparison'!$C$2:$G$314,2,FALSE)</f>
        <v>29759</v>
      </c>
      <c r="S342" s="59">
        <f>VLOOKUP($N342,'Meter Comparison'!$C$2:$G$314,3,FALSE)</f>
        <v>29863</v>
      </c>
      <c r="T342" s="59">
        <f>VLOOKUP($N342,'Meter Comparison'!$C$2:$G$314,4,FALSE)</f>
        <v>220</v>
      </c>
      <c r="U342" s="59">
        <f>VLOOKUP($N342,'Meter Comparison'!$C$2:$G$314,5,FALSE)</f>
        <v>223</v>
      </c>
    </row>
    <row r="343" spans="1:21" ht="30" customHeight="1" outlineLevel="2" x14ac:dyDescent="0.3">
      <c r="A343" s="55" t="s">
        <v>479</v>
      </c>
      <c r="B343" s="55" t="s">
        <v>480</v>
      </c>
      <c r="C343" s="55" t="str">
        <f>VLOOKUP(B343,Tables!$G$2:$H$90,2,FALSE)</f>
        <v>Protocol Office</v>
      </c>
      <c r="D343" s="56" t="s">
        <v>666</v>
      </c>
      <c r="E343" s="114">
        <v>301</v>
      </c>
      <c r="F343" s="56" t="s">
        <v>15</v>
      </c>
      <c r="G343" s="50" t="str">
        <f>VLOOKUP(F343,Tables!$D$2:$E$20,2,FALSE)</f>
        <v>PTR</v>
      </c>
      <c r="H343" s="105">
        <v>17099571</v>
      </c>
      <c r="I343" s="106">
        <f>SUM(S343-R343)</f>
        <v>403</v>
      </c>
      <c r="J343" s="106">
        <f>SUM(U343-T343)</f>
        <v>0</v>
      </c>
      <c r="K343" s="107">
        <f>SUM(I343*$P343)</f>
        <v>10.5586</v>
      </c>
      <c r="L343" s="107">
        <f>SUM(J343*$Q343)</f>
        <v>0</v>
      </c>
      <c r="M343" s="108">
        <f>K343+L343</f>
        <v>10.5586</v>
      </c>
      <c r="N343" s="56" t="s">
        <v>224</v>
      </c>
      <c r="O343" s="56" t="s">
        <v>311</v>
      </c>
      <c r="P343" s="51">
        <f>IF(G343="MFP",Tables!$B$2,Tables!$B$5)</f>
        <v>2.6200000000000001E-2</v>
      </c>
      <c r="Q343" s="86">
        <f>IF(G343="MFP",Tables!$B$3,Tables!$B$6)</f>
        <v>0.11799999999999999</v>
      </c>
      <c r="R343" s="59">
        <f>VLOOKUP($N343,'Meter Comparison'!$C$2:$G$314,2,FALSE)</f>
        <v>681</v>
      </c>
      <c r="S343" s="59">
        <f>VLOOKUP($N343,'Meter Comparison'!$C$2:$G$314,3,FALSE)</f>
        <v>1084</v>
      </c>
      <c r="T343" s="59">
        <f>VLOOKUP($N343,'Meter Comparison'!$C$2:$G$314,4,FALSE)</f>
        <v>0</v>
      </c>
      <c r="U343" s="59">
        <f>VLOOKUP($N343,'Meter Comparison'!$C$2:$G$314,5,FALSE)</f>
        <v>0</v>
      </c>
    </row>
    <row r="344" spans="1:21" ht="30" customHeight="1" outlineLevel="1" x14ac:dyDescent="0.3">
      <c r="A344" s="55"/>
      <c r="B344" s="161" t="s">
        <v>1110</v>
      </c>
      <c r="C344" s="55"/>
      <c r="D344" s="56"/>
      <c r="E344" s="114"/>
      <c r="F344" s="56"/>
      <c r="G344" s="50"/>
      <c r="H344" s="105"/>
      <c r="I344" s="106"/>
      <c r="J344" s="106"/>
      <c r="K344" s="107"/>
      <c r="L344" s="107"/>
      <c r="M344" s="108">
        <f>SUBTOTAL(9,M341:M343)</f>
        <v>13.024800000000001</v>
      </c>
      <c r="N344" s="56"/>
      <c r="O344" s="56"/>
      <c r="P344" s="51"/>
      <c r="Q344" s="86"/>
      <c r="R344" s="59"/>
      <c r="S344" s="59"/>
      <c r="T344" s="59"/>
      <c r="U344" s="59"/>
    </row>
    <row r="345" spans="1:21" ht="30" customHeight="1" outlineLevel="2" x14ac:dyDescent="0.3">
      <c r="A345" s="77" t="s">
        <v>220</v>
      </c>
      <c r="B345" s="77" t="s">
        <v>219</v>
      </c>
      <c r="C345" s="55" t="str">
        <f>VLOOKUP(B345,Tables!$G$2:$H$90,2,FALSE)</f>
        <v>Philosophy &amp; Psychology</v>
      </c>
      <c r="D345" s="76" t="s">
        <v>221</v>
      </c>
      <c r="E345" s="75">
        <v>403</v>
      </c>
      <c r="F345" s="76" t="s">
        <v>83</v>
      </c>
      <c r="G345" s="50" t="str">
        <f>VLOOKUP(F345,Tables!$D$2:$E$20,2,FALSE)</f>
        <v>MFP</v>
      </c>
      <c r="H345" s="69">
        <v>17099452</v>
      </c>
      <c r="I345" s="71">
        <f t="shared" ref="I345:I350" si="65">SUM(S345-R345)</f>
        <v>11294</v>
      </c>
      <c r="J345" s="71">
        <f t="shared" ref="J345:J350" si="66">SUM(U345-T345)</f>
        <v>636</v>
      </c>
      <c r="K345" s="73">
        <f t="shared" ref="K345:K350" si="67">SUM(I345*$P345)</f>
        <v>233.78579999999999</v>
      </c>
      <c r="L345" s="73">
        <f t="shared" ref="L345:L350" si="68">SUM(J345*$Q345)</f>
        <v>55.331999999999994</v>
      </c>
      <c r="M345" s="74">
        <f t="shared" ref="M345:M350" si="69">K345+L345</f>
        <v>289.11779999999999</v>
      </c>
      <c r="N345" s="76" t="s">
        <v>222</v>
      </c>
      <c r="O345" s="76" t="s">
        <v>223</v>
      </c>
      <c r="P345" s="51">
        <f>IF(G345="MFP",Tables!$B$2,Tables!$B$5)</f>
        <v>2.07E-2</v>
      </c>
      <c r="Q345" s="86">
        <f>IF(G345="MFP",Tables!$B$3,Tables!$B$6)</f>
        <v>8.6999999999999994E-2</v>
      </c>
      <c r="R345" s="59">
        <f>VLOOKUP($N345,'Meter Comparison'!$C$2:$G$314,2,FALSE)</f>
        <v>83586</v>
      </c>
      <c r="S345" s="59">
        <f>VLOOKUP($N345,'Meter Comparison'!$C$2:$G$314,3,FALSE)</f>
        <v>94880</v>
      </c>
      <c r="T345" s="59">
        <f>VLOOKUP($N345,'Meter Comparison'!$C$2:$G$314,4,FALSE)</f>
        <v>2745</v>
      </c>
      <c r="U345" s="59">
        <f>VLOOKUP($N345,'Meter Comparison'!$C$2:$G$314,5,FALSE)</f>
        <v>3381</v>
      </c>
    </row>
    <row r="346" spans="1:21" ht="30" customHeight="1" outlineLevel="2" x14ac:dyDescent="0.3">
      <c r="A346" s="77" t="s">
        <v>220</v>
      </c>
      <c r="B346" s="77" t="s">
        <v>219</v>
      </c>
      <c r="C346" s="55" t="str">
        <f>VLOOKUP(B346,Tables!$G$2:$H$90,2,FALSE)</f>
        <v>Philosophy &amp; Psychology</v>
      </c>
      <c r="D346" s="76" t="s">
        <v>221</v>
      </c>
      <c r="E346" s="75">
        <v>406</v>
      </c>
      <c r="F346" s="76" t="s">
        <v>90</v>
      </c>
      <c r="G346" s="50" t="str">
        <f>VLOOKUP(F346,Tables!$D$2:$E$20,2,FALSE)</f>
        <v>PTR</v>
      </c>
      <c r="H346" s="69">
        <v>17099758</v>
      </c>
      <c r="I346" s="71">
        <f t="shared" si="65"/>
        <v>41</v>
      </c>
      <c r="J346" s="71">
        <f t="shared" si="66"/>
        <v>36</v>
      </c>
      <c r="K346" s="73">
        <f t="shared" si="67"/>
        <v>1.0742</v>
      </c>
      <c r="L346" s="73">
        <f t="shared" si="68"/>
        <v>4.2479999999999993</v>
      </c>
      <c r="M346" s="74">
        <f t="shared" si="69"/>
        <v>5.3221999999999996</v>
      </c>
      <c r="N346" s="57" t="s">
        <v>776</v>
      </c>
      <c r="O346" s="57" t="s">
        <v>225</v>
      </c>
      <c r="P346" s="51">
        <f>IF(G346="MFP",Tables!$B$2,Tables!$B$5)</f>
        <v>2.6200000000000001E-2</v>
      </c>
      <c r="Q346" s="86">
        <f>IF(G346="MFP",Tables!$B$3,Tables!$B$6)</f>
        <v>0.11799999999999999</v>
      </c>
      <c r="R346" s="59">
        <f>VLOOKUP($N346,'Meter Comparison'!$C$2:$G$314,2,FALSE)</f>
        <v>753</v>
      </c>
      <c r="S346" s="59">
        <f>VLOOKUP($N346,'Meter Comparison'!$C$2:$G$314,3,FALSE)</f>
        <v>794</v>
      </c>
      <c r="T346" s="59">
        <f>VLOOKUP($N346,'Meter Comparison'!$C$2:$G$314,4,FALSE)</f>
        <v>381</v>
      </c>
      <c r="U346" s="59">
        <f>VLOOKUP($N346,'Meter Comparison'!$C$2:$G$314,5,FALSE)</f>
        <v>417</v>
      </c>
    </row>
    <row r="347" spans="1:21" ht="30" customHeight="1" outlineLevel="2" x14ac:dyDescent="0.3">
      <c r="A347" s="77" t="s">
        <v>220</v>
      </c>
      <c r="B347" s="77" t="s">
        <v>219</v>
      </c>
      <c r="C347" s="55" t="str">
        <f>VLOOKUP(B347,Tables!$G$2:$H$90,2,FALSE)</f>
        <v>Philosophy &amp; Psychology</v>
      </c>
      <c r="D347" s="76" t="s">
        <v>221</v>
      </c>
      <c r="E347" s="75">
        <v>411</v>
      </c>
      <c r="F347" s="76" t="s">
        <v>15</v>
      </c>
      <c r="G347" s="50" t="str">
        <f>VLOOKUP(F347,Tables!$D$2:$E$20,2,FALSE)</f>
        <v>PTR</v>
      </c>
      <c r="H347" s="69">
        <v>17099757</v>
      </c>
      <c r="I347" s="71">
        <f t="shared" si="65"/>
        <v>382</v>
      </c>
      <c r="J347" s="71">
        <f t="shared" si="66"/>
        <v>0</v>
      </c>
      <c r="K347" s="73">
        <f t="shared" si="67"/>
        <v>10.0084</v>
      </c>
      <c r="L347" s="73">
        <f t="shared" si="68"/>
        <v>0</v>
      </c>
      <c r="M347" s="74">
        <f t="shared" si="69"/>
        <v>10.0084</v>
      </c>
      <c r="N347" s="76" t="s">
        <v>226</v>
      </c>
      <c r="O347" s="76" t="s">
        <v>227</v>
      </c>
      <c r="P347" s="51">
        <f>IF(G347="MFP",Tables!$B$2,Tables!$B$5)</f>
        <v>2.6200000000000001E-2</v>
      </c>
      <c r="Q347" s="86">
        <f>IF(G347="MFP",Tables!$B$3,Tables!$B$6)</f>
        <v>0.11799999999999999</v>
      </c>
      <c r="R347" s="59">
        <f>VLOOKUP($N347,'Meter Comparison'!$C$2:$G$314,2,FALSE)</f>
        <v>2574</v>
      </c>
      <c r="S347" s="59">
        <f>VLOOKUP($N347,'Meter Comparison'!$C$2:$G$314,3,FALSE)</f>
        <v>2956</v>
      </c>
      <c r="T347" s="59">
        <f>VLOOKUP($N347,'Meter Comparison'!$C$2:$G$314,4,FALSE)</f>
        <v>0</v>
      </c>
      <c r="U347" s="59">
        <f>VLOOKUP($N347,'Meter Comparison'!$C$2:$G$314,5,FALSE)</f>
        <v>0</v>
      </c>
    </row>
    <row r="348" spans="1:21" ht="30" customHeight="1" outlineLevel="2" x14ac:dyDescent="0.3">
      <c r="A348" s="55" t="s">
        <v>220</v>
      </c>
      <c r="B348" s="55" t="s">
        <v>219</v>
      </c>
      <c r="C348" s="55" t="str">
        <f>VLOOKUP(B348,Tables!$G$2:$H$90,2,FALSE)</f>
        <v>Philosophy &amp; Psychology</v>
      </c>
      <c r="D348" s="56" t="s">
        <v>221</v>
      </c>
      <c r="E348" s="114">
        <v>414</v>
      </c>
      <c r="F348" s="56" t="s">
        <v>15</v>
      </c>
      <c r="G348" s="50" t="str">
        <f>VLOOKUP(F348,Tables!$D$2:$E$20,2,FALSE)</f>
        <v>PTR</v>
      </c>
      <c r="H348" s="105">
        <v>17099585</v>
      </c>
      <c r="I348" s="106">
        <f t="shared" si="65"/>
        <v>1140</v>
      </c>
      <c r="J348" s="106">
        <f t="shared" si="66"/>
        <v>0</v>
      </c>
      <c r="K348" s="107">
        <f t="shared" si="67"/>
        <v>29.868000000000002</v>
      </c>
      <c r="L348" s="107">
        <f t="shared" si="68"/>
        <v>0</v>
      </c>
      <c r="M348" s="108">
        <f t="shared" si="69"/>
        <v>29.868000000000002</v>
      </c>
      <c r="N348" s="56" t="s">
        <v>228</v>
      </c>
      <c r="O348" s="56" t="s">
        <v>229</v>
      </c>
      <c r="P348" s="51">
        <f>IF(G348="MFP",Tables!$B$2,Tables!$B$5)</f>
        <v>2.6200000000000001E-2</v>
      </c>
      <c r="Q348" s="86">
        <f>IF(G348="MFP",Tables!$B$3,Tables!$B$6)</f>
        <v>0.11799999999999999</v>
      </c>
      <c r="R348" s="59">
        <f>VLOOKUP($N348,'Meter Comparison'!$C$2:$G$314,2,FALSE)</f>
        <v>4603</v>
      </c>
      <c r="S348" s="59">
        <f>VLOOKUP($N348,'Meter Comparison'!$C$2:$G$314,3,FALSE)</f>
        <v>5743</v>
      </c>
      <c r="T348" s="59">
        <f>VLOOKUP($N348,'Meter Comparison'!$C$2:$G$314,4,FALSE)</f>
        <v>0</v>
      </c>
      <c r="U348" s="59">
        <f>VLOOKUP($N348,'Meter Comparison'!$C$2:$G$314,5,FALSE)</f>
        <v>0</v>
      </c>
    </row>
    <row r="349" spans="1:21" ht="30" customHeight="1" outlineLevel="2" x14ac:dyDescent="0.3">
      <c r="A349" s="77" t="s">
        <v>220</v>
      </c>
      <c r="B349" s="77" t="s">
        <v>219</v>
      </c>
      <c r="C349" s="55" t="str">
        <f>VLOOKUP(B349,Tables!$G$2:$H$90,2,FALSE)</f>
        <v>Philosophy &amp; Psychology</v>
      </c>
      <c r="D349" s="76" t="s">
        <v>221</v>
      </c>
      <c r="E349" s="75" t="s">
        <v>858</v>
      </c>
      <c r="F349" s="76" t="s">
        <v>15</v>
      </c>
      <c r="G349" s="50" t="str">
        <f>VLOOKUP(F349,Tables!$D$2:$E$20,2,FALSE)</f>
        <v>PTR</v>
      </c>
      <c r="H349" s="69">
        <v>17099578</v>
      </c>
      <c r="I349" s="71">
        <f t="shared" si="65"/>
        <v>2293</v>
      </c>
      <c r="J349" s="71">
        <f t="shared" si="66"/>
        <v>0</v>
      </c>
      <c r="K349" s="73">
        <f t="shared" si="67"/>
        <v>60.076599999999999</v>
      </c>
      <c r="L349" s="73">
        <f t="shared" si="68"/>
        <v>0</v>
      </c>
      <c r="M349" s="74">
        <f t="shared" si="69"/>
        <v>60.076599999999999</v>
      </c>
      <c r="N349" s="76" t="s">
        <v>348</v>
      </c>
      <c r="O349" s="76" t="s">
        <v>349</v>
      </c>
      <c r="P349" s="51">
        <f>IF(G349="MFP",Tables!$B$2,Tables!$B$5)</f>
        <v>2.6200000000000001E-2</v>
      </c>
      <c r="Q349" s="86">
        <f>IF(G349="MFP",Tables!$B$3,Tables!$B$6)</f>
        <v>0.11799999999999999</v>
      </c>
      <c r="R349" s="59">
        <f>VLOOKUP($N349,'Meter Comparison'!$C$2:$G$314,2,FALSE)</f>
        <v>7208</v>
      </c>
      <c r="S349" s="59">
        <f>VLOOKUP($N349,'Meter Comparison'!$C$2:$G$314,3,FALSE)</f>
        <v>9501</v>
      </c>
      <c r="T349" s="59">
        <f>VLOOKUP($N349,'Meter Comparison'!$C$2:$G$314,4,FALSE)</f>
        <v>0</v>
      </c>
      <c r="U349" s="59">
        <f>VLOOKUP($N349,'Meter Comparison'!$C$2:$G$314,5,FALSE)</f>
        <v>0</v>
      </c>
    </row>
    <row r="350" spans="1:21" ht="30" customHeight="1" outlineLevel="2" x14ac:dyDescent="0.3">
      <c r="A350" s="77" t="s">
        <v>220</v>
      </c>
      <c r="B350" s="122" t="s">
        <v>219</v>
      </c>
      <c r="C350" s="55" t="str">
        <f>VLOOKUP(B350,Tables!$G$2:$H$90,2,FALSE)</f>
        <v>Philosophy &amp; Psychology</v>
      </c>
      <c r="D350" s="112" t="s">
        <v>205</v>
      </c>
      <c r="E350" s="102">
        <v>506</v>
      </c>
      <c r="F350" s="103" t="s">
        <v>15</v>
      </c>
      <c r="G350" s="50" t="str">
        <f>VLOOKUP(F350,Tables!$D$2:$E$20,2,FALSE)</f>
        <v>PTR</v>
      </c>
      <c r="H350" s="69">
        <v>17099826</v>
      </c>
      <c r="I350" s="106">
        <f t="shared" si="65"/>
        <v>24</v>
      </c>
      <c r="J350" s="106">
        <f t="shared" si="66"/>
        <v>0</v>
      </c>
      <c r="K350" s="107">
        <f t="shared" si="67"/>
        <v>0.62880000000000003</v>
      </c>
      <c r="L350" s="107">
        <f t="shared" si="68"/>
        <v>0</v>
      </c>
      <c r="M350" s="108">
        <f t="shared" si="69"/>
        <v>0.62880000000000003</v>
      </c>
      <c r="N350" s="58" t="s">
        <v>889</v>
      </c>
      <c r="O350" s="54" t="s">
        <v>969</v>
      </c>
      <c r="P350" s="51">
        <f>IF(G350="MFP",Tables!$B$2,Tables!$B$5)</f>
        <v>2.6200000000000001E-2</v>
      </c>
      <c r="Q350" s="86">
        <f>IF(G350="MFP",Tables!$B$3,Tables!$B$6)</f>
        <v>0.11799999999999999</v>
      </c>
      <c r="R350" s="59">
        <f>VLOOKUP($N350,'Meter Comparison'!$C$2:$G$314,2,FALSE)</f>
        <v>36</v>
      </c>
      <c r="S350" s="59">
        <f>VLOOKUP($N350,'Meter Comparison'!$C$2:$G$314,3,FALSE)</f>
        <v>60</v>
      </c>
      <c r="T350" s="59">
        <f>VLOOKUP($N350,'Meter Comparison'!$C$2:$G$314,4,FALSE)</f>
        <v>0</v>
      </c>
      <c r="U350" s="59">
        <f>VLOOKUP($N350,'Meter Comparison'!$C$2:$G$314,5,FALSE)</f>
        <v>0</v>
      </c>
    </row>
    <row r="351" spans="1:21" ht="30" customHeight="1" outlineLevel="1" x14ac:dyDescent="0.3">
      <c r="A351" s="77"/>
      <c r="B351" s="162" t="s">
        <v>1111</v>
      </c>
      <c r="C351" s="55"/>
      <c r="D351" s="112"/>
      <c r="E351" s="102"/>
      <c r="F351" s="103"/>
      <c r="G351" s="50"/>
      <c r="H351" s="69"/>
      <c r="I351" s="106"/>
      <c r="J351" s="106"/>
      <c r="K351" s="107"/>
      <c r="L351" s="107"/>
      <c r="M351" s="108">
        <f>SUBTOTAL(9,M345:M350)</f>
        <v>395.02179999999998</v>
      </c>
      <c r="N351" s="58"/>
      <c r="O351" s="54"/>
      <c r="P351" s="51"/>
      <c r="Q351" s="86"/>
      <c r="R351" s="59"/>
      <c r="S351" s="59"/>
      <c r="T351" s="59"/>
      <c r="U351" s="59"/>
    </row>
    <row r="352" spans="1:21" ht="30" customHeight="1" outlineLevel="2" x14ac:dyDescent="0.3">
      <c r="A352" s="55" t="s">
        <v>404</v>
      </c>
      <c r="B352" s="55" t="s">
        <v>405</v>
      </c>
      <c r="C352" s="55" t="str">
        <f>VLOOKUP(B352,Tables!$G$2:$H$90,2,FALSE)</f>
        <v>Purchasing Office</v>
      </c>
      <c r="D352" s="56" t="s">
        <v>276</v>
      </c>
      <c r="E352" s="114">
        <v>314</v>
      </c>
      <c r="F352" s="56" t="s">
        <v>407</v>
      </c>
      <c r="G352" s="50" t="str">
        <f>VLOOKUP(F352,Tables!$D$2:$E$20,2,FALSE)</f>
        <v>MFP</v>
      </c>
      <c r="H352" s="105">
        <v>17099500</v>
      </c>
      <c r="I352" s="106">
        <f>SUM(S352-R352)</f>
        <v>3442</v>
      </c>
      <c r="J352" s="106">
        <f>SUM(U352-T352)</f>
        <v>0</v>
      </c>
      <c r="K352" s="107">
        <f>SUM(I352*$P352)</f>
        <v>71.249399999999994</v>
      </c>
      <c r="L352" s="107">
        <f>SUM(J352*$Q352)</f>
        <v>0</v>
      </c>
      <c r="M352" s="108">
        <f>K352+L352</f>
        <v>71.249399999999994</v>
      </c>
      <c r="N352" s="56" t="s">
        <v>408</v>
      </c>
      <c r="O352" s="56" t="s">
        <v>409</v>
      </c>
      <c r="P352" s="51">
        <f>IF(G352="MFP",Tables!$B$2,Tables!$B$5)</f>
        <v>2.07E-2</v>
      </c>
      <c r="Q352" s="86">
        <f>IF(G352="MFP",Tables!$B$3,Tables!$B$6)</f>
        <v>8.6999999999999994E-2</v>
      </c>
      <c r="R352" s="59">
        <f>VLOOKUP($N352,'Meter Comparison'!$C$2:$G$314,2,FALSE)</f>
        <v>12158</v>
      </c>
      <c r="S352" s="59">
        <f>VLOOKUP($N352,'Meter Comparison'!$C$2:$G$314,3,FALSE)</f>
        <v>15600</v>
      </c>
      <c r="T352" s="59">
        <f>VLOOKUP($N352,'Meter Comparison'!$C$2:$G$314,4,FALSE)</f>
        <v>0</v>
      </c>
      <c r="U352" s="59">
        <f>VLOOKUP($N352,'Meter Comparison'!$C$2:$G$314,5,FALSE)</f>
        <v>0</v>
      </c>
    </row>
    <row r="353" spans="1:21" ht="30" customHeight="1" outlineLevel="1" x14ac:dyDescent="0.3">
      <c r="A353" s="55"/>
      <c r="B353" s="161" t="s">
        <v>1112</v>
      </c>
      <c r="C353" s="55"/>
      <c r="D353" s="56"/>
      <c r="E353" s="114"/>
      <c r="F353" s="56"/>
      <c r="G353" s="50"/>
      <c r="H353" s="105"/>
      <c r="I353" s="106"/>
      <c r="J353" s="106"/>
      <c r="K353" s="107"/>
      <c r="L353" s="107"/>
      <c r="M353" s="108">
        <f>SUBTOTAL(9,M352:M352)</f>
        <v>71.249399999999994</v>
      </c>
      <c r="N353" s="56"/>
      <c r="O353" s="56"/>
      <c r="P353" s="51"/>
      <c r="Q353" s="86"/>
      <c r="R353" s="59"/>
      <c r="S353" s="59"/>
      <c r="T353" s="59"/>
      <c r="U353" s="59"/>
    </row>
    <row r="354" spans="1:21" ht="30" customHeight="1" outlineLevel="2" x14ac:dyDescent="0.3">
      <c r="A354" s="77" t="s">
        <v>332</v>
      </c>
      <c r="B354" s="77" t="s">
        <v>333</v>
      </c>
      <c r="C354" s="55" t="str">
        <f>VLOOKUP(B354,Tables!$G$2:$H$90,2,FALSE)</f>
        <v>Registration &amp; Records</v>
      </c>
      <c r="D354" s="76" t="s">
        <v>335</v>
      </c>
      <c r="E354" s="75">
        <v>302</v>
      </c>
      <c r="F354" s="76" t="s">
        <v>15</v>
      </c>
      <c r="G354" s="50" t="str">
        <f>VLOOKUP(F354,Tables!$D$2:$E$20,2,FALSE)</f>
        <v>PTR</v>
      </c>
      <c r="H354" s="69">
        <v>17099753</v>
      </c>
      <c r="I354" s="71">
        <f>SUM(S354-R354)</f>
        <v>28</v>
      </c>
      <c r="J354" s="71">
        <f>SUM(U354-T354)</f>
        <v>0</v>
      </c>
      <c r="K354" s="73">
        <f>SUM(I354*$P354)</f>
        <v>0.73360000000000003</v>
      </c>
      <c r="L354" s="73">
        <f>SUM(J354*$Q354)</f>
        <v>0</v>
      </c>
      <c r="M354" s="74">
        <f>K354+L354</f>
        <v>0.73360000000000003</v>
      </c>
      <c r="N354" s="57" t="s">
        <v>777</v>
      </c>
      <c r="O354" s="57" t="s">
        <v>778</v>
      </c>
      <c r="P354" s="51">
        <f>IF(G354="MFP",Tables!$B$2,Tables!$B$5)</f>
        <v>2.6200000000000001E-2</v>
      </c>
      <c r="Q354" s="86">
        <f>IF(G354="MFP",Tables!$B$3,Tables!$B$6)</f>
        <v>0.11799999999999999</v>
      </c>
      <c r="R354" s="59">
        <f>VLOOKUP($N354,'Meter Comparison'!$C$2:$G$314,2,FALSE)</f>
        <v>148</v>
      </c>
      <c r="S354" s="59">
        <f>VLOOKUP($N354,'Meter Comparison'!$C$2:$G$314,3,FALSE)</f>
        <v>176</v>
      </c>
      <c r="T354" s="59">
        <f>VLOOKUP($N354,'Meter Comparison'!$C$2:$G$314,4,FALSE)</f>
        <v>0</v>
      </c>
      <c r="U354" s="59">
        <f>VLOOKUP($N354,'Meter Comparison'!$C$2:$G$314,5,FALSE)</f>
        <v>0</v>
      </c>
    </row>
    <row r="355" spans="1:21" ht="30" customHeight="1" outlineLevel="2" x14ac:dyDescent="0.3">
      <c r="A355" s="77" t="s">
        <v>332</v>
      </c>
      <c r="B355" s="77" t="s">
        <v>333</v>
      </c>
      <c r="C355" s="55" t="str">
        <f>VLOOKUP(B355,Tables!$G$2:$H$90,2,FALSE)</f>
        <v>Registration &amp; Records</v>
      </c>
      <c r="D355" s="76" t="s">
        <v>335</v>
      </c>
      <c r="E355" s="75">
        <v>303</v>
      </c>
      <c r="F355" s="76" t="s">
        <v>15</v>
      </c>
      <c r="G355" s="50" t="str">
        <f>VLOOKUP(F355,Tables!$D$2:$E$20,2,FALSE)</f>
        <v>PTR</v>
      </c>
      <c r="H355" s="69">
        <v>17099685</v>
      </c>
      <c r="I355" s="71">
        <f>SUM(S355-R355)</f>
        <v>3285</v>
      </c>
      <c r="J355" s="71">
        <f>SUM(U355-T355)</f>
        <v>0</v>
      </c>
      <c r="K355" s="73">
        <f>SUM(I355*$P355)</f>
        <v>86.067000000000007</v>
      </c>
      <c r="L355" s="73">
        <f>SUM(J355*$Q355)</f>
        <v>0</v>
      </c>
      <c r="M355" s="74">
        <f>K355+L355</f>
        <v>86.067000000000007</v>
      </c>
      <c r="N355" s="76" t="s">
        <v>338</v>
      </c>
      <c r="O355" s="76" t="s">
        <v>339</v>
      </c>
      <c r="P355" s="51">
        <f>IF(G355="MFP",Tables!$B$2,Tables!$B$5)</f>
        <v>2.6200000000000001E-2</v>
      </c>
      <c r="Q355" s="86">
        <f>IF(G355="MFP",Tables!$B$3,Tables!$B$6)</f>
        <v>0.11799999999999999</v>
      </c>
      <c r="R355" s="59">
        <f>VLOOKUP($N355,'Meter Comparison'!$C$2:$G$314,2,FALSE)</f>
        <v>6593</v>
      </c>
      <c r="S355" s="59">
        <f>VLOOKUP($N355,'Meter Comparison'!$C$2:$G$314,3,FALSE)</f>
        <v>9878</v>
      </c>
      <c r="T355" s="59">
        <f>VLOOKUP($N355,'Meter Comparison'!$C$2:$G$314,4,FALSE)</f>
        <v>0</v>
      </c>
      <c r="U355" s="59">
        <f>VLOOKUP($N355,'Meter Comparison'!$C$2:$G$314,5,FALSE)</f>
        <v>0</v>
      </c>
    </row>
    <row r="356" spans="1:21" ht="30" customHeight="1" outlineLevel="2" x14ac:dyDescent="0.3">
      <c r="A356" s="77" t="s">
        <v>332</v>
      </c>
      <c r="B356" s="77" t="s">
        <v>333</v>
      </c>
      <c r="C356" s="55" t="str">
        <f>VLOOKUP(B356,Tables!$G$2:$H$90,2,FALSE)</f>
        <v>Registration &amp; Records</v>
      </c>
      <c r="D356" s="76" t="s">
        <v>335</v>
      </c>
      <c r="E356" s="75">
        <v>303</v>
      </c>
      <c r="F356" s="76" t="s">
        <v>15</v>
      </c>
      <c r="G356" s="50" t="str">
        <f>VLOOKUP(F356,Tables!$D$2:$E$20,2,FALSE)</f>
        <v>PTR</v>
      </c>
      <c r="H356" s="69">
        <v>17099700</v>
      </c>
      <c r="I356" s="71">
        <f>SUM(S356-R356)</f>
        <v>1550</v>
      </c>
      <c r="J356" s="71">
        <f>SUM(U356-T356)</f>
        <v>0</v>
      </c>
      <c r="K356" s="73">
        <f>SUM(I356*$P356)</f>
        <v>40.61</v>
      </c>
      <c r="L356" s="73">
        <f>SUM(J356*$Q356)</f>
        <v>0</v>
      </c>
      <c r="M356" s="74">
        <f>K356+L356</f>
        <v>40.61</v>
      </c>
      <c r="N356" s="76" t="s">
        <v>340</v>
      </c>
      <c r="O356" s="76" t="s">
        <v>341</v>
      </c>
      <c r="P356" s="51">
        <f>IF(G356="MFP",Tables!$B$2,Tables!$B$5)</f>
        <v>2.6200000000000001E-2</v>
      </c>
      <c r="Q356" s="86">
        <f>IF(G356="MFP",Tables!$B$3,Tables!$B$6)</f>
        <v>0.11799999999999999</v>
      </c>
      <c r="R356" s="59">
        <f>VLOOKUP($N356,'Meter Comparison'!$C$2:$G$314,2,FALSE)</f>
        <v>11836</v>
      </c>
      <c r="S356" s="59">
        <f>VLOOKUP($N356,'Meter Comparison'!$C$2:$G$314,3,FALSE)</f>
        <v>13386</v>
      </c>
      <c r="T356" s="59">
        <f>VLOOKUP($N356,'Meter Comparison'!$C$2:$G$314,4,FALSE)</f>
        <v>0</v>
      </c>
      <c r="U356" s="59">
        <f>VLOOKUP($N356,'Meter Comparison'!$C$2:$G$314,5,FALSE)</f>
        <v>0</v>
      </c>
    </row>
    <row r="357" spans="1:21" ht="30" customHeight="1" outlineLevel="2" x14ac:dyDescent="0.3">
      <c r="A357" s="77" t="s">
        <v>332</v>
      </c>
      <c r="B357" s="77" t="s">
        <v>333</v>
      </c>
      <c r="C357" s="55" t="str">
        <f>VLOOKUP(B357,Tables!$G$2:$H$90,2,FALSE)</f>
        <v>Registration &amp; Records</v>
      </c>
      <c r="D357" s="76" t="s">
        <v>335</v>
      </c>
      <c r="E357" s="75">
        <v>311</v>
      </c>
      <c r="F357" s="76" t="s">
        <v>15</v>
      </c>
      <c r="G357" s="50" t="str">
        <f>VLOOKUP(F357,Tables!$D$2:$E$20,2,FALSE)</f>
        <v>PTR</v>
      </c>
      <c r="H357" s="69">
        <v>17099656</v>
      </c>
      <c r="I357" s="71">
        <f>SUM(S357-R357)</f>
        <v>493</v>
      </c>
      <c r="J357" s="71">
        <f>SUM(U357-T357)</f>
        <v>0</v>
      </c>
      <c r="K357" s="73">
        <f>SUM(I357*$P357)</f>
        <v>12.916600000000001</v>
      </c>
      <c r="L357" s="73">
        <f>SUM(J357*$Q357)</f>
        <v>0</v>
      </c>
      <c r="M357" s="74">
        <f>K357+L357</f>
        <v>12.916600000000001</v>
      </c>
      <c r="N357" s="76" t="s">
        <v>336</v>
      </c>
      <c r="O357" s="76" t="s">
        <v>337</v>
      </c>
      <c r="P357" s="51">
        <f>IF(G357="MFP",Tables!$B$2,Tables!$B$5)</f>
        <v>2.6200000000000001E-2</v>
      </c>
      <c r="Q357" s="86">
        <f>IF(G357="MFP",Tables!$B$3,Tables!$B$6)</f>
        <v>0.11799999999999999</v>
      </c>
      <c r="R357" s="59">
        <f>VLOOKUP($N357,'Meter Comparison'!$C$2:$G$314,2,FALSE)</f>
        <v>5750</v>
      </c>
      <c r="S357" s="59">
        <f>VLOOKUP($N357,'Meter Comparison'!$C$2:$G$314,3,FALSE)</f>
        <v>6243</v>
      </c>
      <c r="T357" s="59">
        <f>VLOOKUP($N357,'Meter Comparison'!$C$2:$G$314,4,FALSE)</f>
        <v>0</v>
      </c>
      <c r="U357" s="59">
        <f>VLOOKUP($N357,'Meter Comparison'!$C$2:$G$314,5,FALSE)</f>
        <v>0</v>
      </c>
    </row>
    <row r="358" spans="1:21" ht="30" customHeight="1" outlineLevel="2" x14ac:dyDescent="0.3">
      <c r="A358" s="77" t="s">
        <v>332</v>
      </c>
      <c r="B358" s="77" t="s">
        <v>333</v>
      </c>
      <c r="C358" s="55" t="str">
        <f>VLOOKUP(B358,Tables!$G$2:$H$90,2,FALSE)</f>
        <v>Registration &amp; Records</v>
      </c>
      <c r="D358" s="76" t="s">
        <v>335</v>
      </c>
      <c r="E358" s="75">
        <v>312</v>
      </c>
      <c r="F358" s="76" t="s">
        <v>90</v>
      </c>
      <c r="G358" s="50" t="str">
        <f>VLOOKUP(F358,Tables!$D$2:$E$20,2,FALSE)</f>
        <v>PTR</v>
      </c>
      <c r="H358" s="69">
        <v>17099646</v>
      </c>
      <c r="I358" s="71">
        <f>SUM(S358-R358)</f>
        <v>634</v>
      </c>
      <c r="J358" s="71">
        <f>SUM(U358-T358)</f>
        <v>16</v>
      </c>
      <c r="K358" s="73">
        <f>SUM(I358*$P358)</f>
        <v>16.610800000000001</v>
      </c>
      <c r="L358" s="73">
        <f>SUM(J358*$Q358)</f>
        <v>1.8879999999999999</v>
      </c>
      <c r="M358" s="74">
        <f>K358+L358</f>
        <v>18.498800000000003</v>
      </c>
      <c r="N358" s="76" t="s">
        <v>345</v>
      </c>
      <c r="O358" s="76" t="s">
        <v>346</v>
      </c>
      <c r="P358" s="51">
        <f>IF(G358="MFP",Tables!$B$2,Tables!$B$5)</f>
        <v>2.6200000000000001E-2</v>
      </c>
      <c r="Q358" s="86">
        <f>IF(G358="MFP",Tables!$B$3,Tables!$B$6)</f>
        <v>0.11799999999999999</v>
      </c>
      <c r="R358" s="59">
        <f>VLOOKUP($N358,'Meter Comparison'!$C$2:$G$314,2,FALSE)</f>
        <v>4568</v>
      </c>
      <c r="S358" s="59">
        <f>VLOOKUP($N358,'Meter Comparison'!$C$2:$G$314,3,FALSE)</f>
        <v>5202</v>
      </c>
      <c r="T358" s="59">
        <f>VLOOKUP($N358,'Meter Comparison'!$C$2:$G$314,4,FALSE)</f>
        <v>472</v>
      </c>
      <c r="U358" s="59">
        <f>VLOOKUP($N358,'Meter Comparison'!$C$2:$G$314,5,FALSE)</f>
        <v>488</v>
      </c>
    </row>
    <row r="359" spans="1:21" ht="30" customHeight="1" outlineLevel="1" x14ac:dyDescent="0.3">
      <c r="A359" s="77"/>
      <c r="B359" s="160" t="s">
        <v>1113</v>
      </c>
      <c r="C359" s="55"/>
      <c r="D359" s="76"/>
      <c r="E359" s="75"/>
      <c r="F359" s="76"/>
      <c r="G359" s="50"/>
      <c r="H359" s="69"/>
      <c r="I359" s="71"/>
      <c r="J359" s="71"/>
      <c r="K359" s="73"/>
      <c r="L359" s="73"/>
      <c r="M359" s="74">
        <f>SUBTOTAL(9,M354:M358)</f>
        <v>158.82600000000002</v>
      </c>
      <c r="N359" s="76"/>
      <c r="O359" s="76"/>
      <c r="P359" s="51"/>
      <c r="Q359" s="86"/>
      <c r="R359" s="59"/>
      <c r="S359" s="59"/>
      <c r="T359" s="59"/>
      <c r="U359" s="59"/>
    </row>
    <row r="360" spans="1:21" ht="30" customHeight="1" outlineLevel="2" x14ac:dyDescent="0.3">
      <c r="A360" s="77" t="s">
        <v>658</v>
      </c>
      <c r="B360" s="77" t="s">
        <v>410</v>
      </c>
      <c r="C360" s="55" t="str">
        <f>VLOOKUP(B360,Tables!$G$2:$H$90,2,FALSE)</f>
        <v>Duplicating</v>
      </c>
      <c r="D360" s="76" t="s">
        <v>96</v>
      </c>
      <c r="E360" s="75">
        <v>512</v>
      </c>
      <c r="F360" s="76" t="s">
        <v>411</v>
      </c>
      <c r="G360" s="50" t="str">
        <f>VLOOKUP(F360,Tables!$D$2:$E$20,2,FALSE)</f>
        <v>MFP</v>
      </c>
      <c r="H360" s="69">
        <v>17099480</v>
      </c>
      <c r="I360" s="71">
        <f>SUM(S360-R360)</f>
        <v>13270</v>
      </c>
      <c r="J360" s="71">
        <f>SUM(U360-T360)</f>
        <v>0</v>
      </c>
      <c r="K360" s="73">
        <f>SUM(I360*$P360)</f>
        <v>274.68900000000002</v>
      </c>
      <c r="L360" s="73">
        <f>SUM(J360*$Q360)</f>
        <v>0</v>
      </c>
      <c r="M360" s="74">
        <f>K360+L360</f>
        <v>274.68900000000002</v>
      </c>
      <c r="N360" s="76" t="s">
        <v>412</v>
      </c>
      <c r="O360" s="76" t="s">
        <v>413</v>
      </c>
      <c r="P360" s="51">
        <f>IF(G360="MFP",Tables!$B$2,Tables!$B$5)</f>
        <v>2.07E-2</v>
      </c>
      <c r="Q360" s="86">
        <f>IF(G360="MFP",Tables!$B$3,Tables!$B$6)</f>
        <v>8.6999999999999994E-2</v>
      </c>
      <c r="R360" s="59">
        <f>VLOOKUP($N360,'Meter Comparison'!$C$2:$G$314,2,FALSE)</f>
        <v>37106</v>
      </c>
      <c r="S360" s="59">
        <f>VLOOKUP($N360,'Meter Comparison'!$C$2:$G$314,3,FALSE)</f>
        <v>50376</v>
      </c>
      <c r="T360" s="59">
        <f>VLOOKUP($N360,'Meter Comparison'!$C$2:$G$314,4,FALSE)</f>
        <v>0</v>
      </c>
      <c r="U360" s="59">
        <f>VLOOKUP($N360,'Meter Comparison'!$C$2:$G$314,5,FALSE)</f>
        <v>0</v>
      </c>
    </row>
    <row r="361" spans="1:21" ht="30" customHeight="1" outlineLevel="2" x14ac:dyDescent="0.3">
      <c r="A361" s="77" t="s">
        <v>276</v>
      </c>
      <c r="B361" s="122" t="s">
        <v>410</v>
      </c>
      <c r="C361" s="55" t="str">
        <f>VLOOKUP(B361,Tables!$G$2:$H$90,2,FALSE)</f>
        <v>Duplicating</v>
      </c>
      <c r="D361" s="112" t="s">
        <v>276</v>
      </c>
      <c r="E361" s="102">
        <v>208</v>
      </c>
      <c r="F361" s="103" t="s">
        <v>411</v>
      </c>
      <c r="G361" s="50" t="str">
        <f>VLOOKUP(F361,Tables!$D$2:$E$20,2,FALSE)</f>
        <v>MFP</v>
      </c>
      <c r="H361" s="69">
        <v>17099419</v>
      </c>
      <c r="I361" s="106">
        <f>SUM(S361-R361)</f>
        <v>19599</v>
      </c>
      <c r="J361" s="106">
        <f>SUM(U361-T361)</f>
        <v>0</v>
      </c>
      <c r="K361" s="107">
        <f>SUM(I361*$P361)</f>
        <v>405.69929999999999</v>
      </c>
      <c r="L361" s="107">
        <f>SUM(J361*$Q361)</f>
        <v>0</v>
      </c>
      <c r="M361" s="108">
        <f>K361+L361</f>
        <v>405.69929999999999</v>
      </c>
      <c r="N361" s="113" t="s">
        <v>904</v>
      </c>
      <c r="O361" s="54" t="s">
        <v>983</v>
      </c>
      <c r="P361" s="51">
        <f>IF(G361="MFP",Tables!$B$2,Tables!$B$5)</f>
        <v>2.07E-2</v>
      </c>
      <c r="Q361" s="86">
        <f>IF(G361="MFP",Tables!$B$3,Tables!$B$6)</f>
        <v>8.6999999999999994E-2</v>
      </c>
      <c r="R361" s="59">
        <f>VLOOKUP($N361,'Meter Comparison'!$C$2:$G$314,2,FALSE)</f>
        <v>38714</v>
      </c>
      <c r="S361" s="59">
        <f>VLOOKUP($N361,'Meter Comparison'!$C$2:$G$314,3,FALSE)</f>
        <v>58313</v>
      </c>
      <c r="T361" s="59">
        <f>VLOOKUP($N361,'Meter Comparison'!$C$2:$G$314,4,FALSE)</f>
        <v>0</v>
      </c>
      <c r="U361" s="59">
        <f>VLOOKUP($N361,'Meter Comparison'!$C$2:$G$314,5,FALSE)</f>
        <v>0</v>
      </c>
    </row>
    <row r="362" spans="1:21" ht="30" customHeight="1" outlineLevel="2" x14ac:dyDescent="0.3">
      <c r="A362" s="77" t="s">
        <v>276</v>
      </c>
      <c r="B362" s="77" t="s">
        <v>410</v>
      </c>
      <c r="C362" s="55" t="str">
        <f>VLOOKUP(B362,Tables!$G$2:$H$90,2,FALSE)</f>
        <v>Duplicating</v>
      </c>
      <c r="D362" s="76" t="s">
        <v>276</v>
      </c>
      <c r="E362" s="75">
        <v>208</v>
      </c>
      <c r="F362" s="76" t="s">
        <v>415</v>
      </c>
      <c r="G362" s="50" t="str">
        <f>VLOOKUP(F362,Tables!$D$2:$E$20,2,FALSE)</f>
        <v>MFP</v>
      </c>
      <c r="H362" s="69">
        <v>17099421</v>
      </c>
      <c r="I362" s="71">
        <f>SUM(S362-R362)</f>
        <v>12112</v>
      </c>
      <c r="J362" s="71">
        <f>SUM(U362-T362)</f>
        <v>18364</v>
      </c>
      <c r="K362" s="73">
        <f>SUM(I362*$P362)</f>
        <v>250.7184</v>
      </c>
      <c r="L362" s="73">
        <f>SUM(J362*$Q362)</f>
        <v>1597.6679999999999</v>
      </c>
      <c r="M362" s="74">
        <f>K362+L362</f>
        <v>1848.3863999999999</v>
      </c>
      <c r="N362" s="76" t="s">
        <v>416</v>
      </c>
      <c r="O362" s="76" t="s">
        <v>417</v>
      </c>
      <c r="P362" s="51">
        <f>IF(G362="MFP",Tables!$B$2,Tables!$B$5)</f>
        <v>2.07E-2</v>
      </c>
      <c r="Q362" s="86">
        <f>IF(G362="MFP",Tables!$B$3,Tables!$B$6)</f>
        <v>8.6999999999999994E-2</v>
      </c>
      <c r="R362" s="59">
        <f>VLOOKUP($N362,'Meter Comparison'!$C$2:$G$314,2,FALSE)</f>
        <v>49848</v>
      </c>
      <c r="S362" s="59">
        <f>VLOOKUP($N362,'Meter Comparison'!$C$2:$G$314,3,FALSE)</f>
        <v>61960</v>
      </c>
      <c r="T362" s="59">
        <f>VLOOKUP($N362,'Meter Comparison'!$C$2:$G$314,4,FALSE)</f>
        <v>77523</v>
      </c>
      <c r="U362" s="59">
        <f>VLOOKUP($N362,'Meter Comparison'!$C$2:$G$314,5,FALSE)</f>
        <v>95887</v>
      </c>
    </row>
    <row r="363" spans="1:21" ht="30" customHeight="1" outlineLevel="1" x14ac:dyDescent="0.3">
      <c r="A363" s="77"/>
      <c r="B363" s="160" t="s">
        <v>1071</v>
      </c>
      <c r="C363" s="55"/>
      <c r="D363" s="76"/>
      <c r="E363" s="75"/>
      <c r="F363" s="76"/>
      <c r="G363" s="50"/>
      <c r="H363" s="69"/>
      <c r="I363" s="71"/>
      <c r="J363" s="71"/>
      <c r="K363" s="73"/>
      <c r="L363" s="73"/>
      <c r="M363" s="74">
        <f>SUBTOTAL(9,M360:M362)</f>
        <v>2528.7746999999999</v>
      </c>
      <c r="N363" s="76"/>
      <c r="O363" s="76"/>
      <c r="P363" s="51"/>
      <c r="Q363" s="86"/>
      <c r="R363" s="59"/>
      <c r="S363" s="59"/>
      <c r="T363" s="59"/>
      <c r="U363" s="59"/>
    </row>
    <row r="364" spans="1:21" ht="30" customHeight="1" outlineLevel="2" x14ac:dyDescent="0.3">
      <c r="A364" s="77" t="s">
        <v>586</v>
      </c>
      <c r="B364" s="77" t="s">
        <v>617</v>
      </c>
      <c r="C364" s="55" t="str">
        <f>VLOOKUP(B364,Tables!$G$2:$H$90,2,FALSE)</f>
        <v>Administrative</v>
      </c>
      <c r="D364" s="76" t="s">
        <v>583</v>
      </c>
      <c r="E364" s="75">
        <v>215</v>
      </c>
      <c r="F364" s="76" t="s">
        <v>15</v>
      </c>
      <c r="G364" s="50" t="str">
        <f>VLOOKUP(F364,Tables!$D$2:$E$20,2,FALSE)</f>
        <v>PTR</v>
      </c>
      <c r="H364" s="69">
        <v>17099566</v>
      </c>
      <c r="I364" s="71">
        <f>SUM(S364-R364)</f>
        <v>400</v>
      </c>
      <c r="J364" s="71">
        <f>SUM(U364-T364)</f>
        <v>0</v>
      </c>
      <c r="K364" s="73">
        <f>SUM(I364*$P364)</f>
        <v>10.48</v>
      </c>
      <c r="L364" s="73">
        <f>SUM(J364*$Q364)</f>
        <v>0</v>
      </c>
      <c r="M364" s="74">
        <f>K364+L364</f>
        <v>10.48</v>
      </c>
      <c r="N364" s="76" t="s">
        <v>587</v>
      </c>
      <c r="O364" s="76" t="s">
        <v>588</v>
      </c>
      <c r="P364" s="51">
        <f>IF(G364="MFP",Tables!$B$2,Tables!$B$5)</f>
        <v>2.6200000000000001E-2</v>
      </c>
      <c r="Q364" s="86">
        <f>IF(G364="MFP",Tables!$B$3,Tables!$B$6)</f>
        <v>0.11799999999999999</v>
      </c>
      <c r="R364" s="59">
        <f>VLOOKUP($N364,'Meter Comparison'!$C$2:$G$314,2,FALSE)</f>
        <v>1227</v>
      </c>
      <c r="S364" s="59">
        <f>VLOOKUP($N364,'Meter Comparison'!$C$2:$G$314,3,FALSE)</f>
        <v>1627</v>
      </c>
      <c r="T364" s="59">
        <f>VLOOKUP($N364,'Meter Comparison'!$C$2:$G$314,4,FALSE)</f>
        <v>0</v>
      </c>
      <c r="U364" s="59">
        <f>VLOOKUP($N364,'Meter Comparison'!$C$2:$G$314,5,FALSE)</f>
        <v>0</v>
      </c>
    </row>
    <row r="365" spans="1:21" ht="30" customHeight="1" outlineLevel="1" x14ac:dyDescent="0.3">
      <c r="A365" s="77"/>
      <c r="B365" s="160" t="s">
        <v>1061</v>
      </c>
      <c r="C365" s="55"/>
      <c r="D365" s="76"/>
      <c r="E365" s="75"/>
      <c r="F365" s="76"/>
      <c r="G365" s="50"/>
      <c r="H365" s="69"/>
      <c r="I365" s="71"/>
      <c r="J365" s="71"/>
      <c r="K365" s="73"/>
      <c r="L365" s="73"/>
      <c r="M365" s="74">
        <f>SUBTOTAL(9,M364:M364)</f>
        <v>10.48</v>
      </c>
      <c r="N365" s="76"/>
      <c r="O365" s="76"/>
      <c r="P365" s="51"/>
      <c r="Q365" s="86"/>
      <c r="R365" s="59"/>
      <c r="S365" s="59"/>
      <c r="T365" s="59"/>
      <c r="U365" s="59"/>
    </row>
    <row r="366" spans="1:21" ht="30" customHeight="1" outlineLevel="2" x14ac:dyDescent="0.3">
      <c r="A366" s="77" t="s">
        <v>980</v>
      </c>
      <c r="B366" s="77" t="s">
        <v>984</v>
      </c>
      <c r="C366" s="55" t="str">
        <f>VLOOKUP(B366,Tables!$G$2:$H$90,2,FALSE)</f>
        <v>Stone Wall Jackson House</v>
      </c>
      <c r="D366" s="112" t="s">
        <v>980</v>
      </c>
      <c r="E366" s="102" t="s">
        <v>988</v>
      </c>
      <c r="F366" s="103" t="s">
        <v>54</v>
      </c>
      <c r="G366" s="50" t="str">
        <f>VLOOKUP(F366,Tables!$D$2:$E$20,2,FALSE)</f>
        <v>MFP</v>
      </c>
      <c r="H366" s="105">
        <v>17099841</v>
      </c>
      <c r="I366" s="106">
        <f>SUM(S366-R366)</f>
        <v>94</v>
      </c>
      <c r="J366" s="106">
        <f>SUM(U366-T366)</f>
        <v>10</v>
      </c>
      <c r="K366" s="107">
        <f>SUM(I366*$P366)</f>
        <v>1.9458</v>
      </c>
      <c r="L366" s="107">
        <f>SUM(J366*$Q366)</f>
        <v>0.86999999999999988</v>
      </c>
      <c r="M366" s="108">
        <f>K366+L366</f>
        <v>2.8157999999999999</v>
      </c>
      <c r="N366" s="113" t="s">
        <v>991</v>
      </c>
      <c r="O366" s="54" t="s">
        <v>992</v>
      </c>
      <c r="P366" s="51">
        <f>IF(G366="MFP",Tables!$B$2,Tables!$B$5)</f>
        <v>2.07E-2</v>
      </c>
      <c r="Q366" s="86">
        <f>IF(G366="MFP",Tables!$B$3,Tables!$B$6)</f>
        <v>8.6999999999999994E-2</v>
      </c>
      <c r="R366" s="59">
        <f>VLOOKUP($N366,'Meter Comparison'!$C$2:$G$314,2,FALSE)</f>
        <v>5</v>
      </c>
      <c r="S366" s="59">
        <f>VLOOKUP($N366,'Meter Comparison'!$C$2:$G$314,3,FALSE)</f>
        <v>99</v>
      </c>
      <c r="T366" s="59">
        <f>VLOOKUP($N366,'Meter Comparison'!$C$2:$G$314,4,FALSE)</f>
        <v>0</v>
      </c>
      <c r="U366" s="59">
        <f>VLOOKUP($N366,'Meter Comparison'!$C$2:$G$314,5,FALSE)</f>
        <v>10</v>
      </c>
    </row>
    <row r="367" spans="1:21" ht="30" customHeight="1" outlineLevel="2" x14ac:dyDescent="0.3">
      <c r="A367" s="77" t="s">
        <v>980</v>
      </c>
      <c r="B367" s="77" t="s">
        <v>984</v>
      </c>
      <c r="C367" s="55" t="str">
        <f>VLOOKUP(B367,Tables!$G$2:$H$90,2,FALSE)</f>
        <v>Stone Wall Jackson House</v>
      </c>
      <c r="D367" s="112" t="s">
        <v>980</v>
      </c>
      <c r="E367" s="102" t="s">
        <v>989</v>
      </c>
      <c r="F367" s="103" t="s">
        <v>15</v>
      </c>
      <c r="G367" s="50" t="str">
        <f>VLOOKUP(F367,Tables!$D$2:$E$20,2,FALSE)</f>
        <v>PTR</v>
      </c>
      <c r="H367" s="105">
        <v>17099842</v>
      </c>
      <c r="I367" s="106">
        <f>SUM(S367-R367)</f>
        <v>218</v>
      </c>
      <c r="J367" s="106">
        <f>SUM(U367-T367)</f>
        <v>0</v>
      </c>
      <c r="K367" s="107">
        <f>SUM(I367*$P367)</f>
        <v>5.7116000000000007</v>
      </c>
      <c r="L367" s="107">
        <f>SUM(J367*$Q367)</f>
        <v>0</v>
      </c>
      <c r="M367" s="108">
        <f>K367+L367</f>
        <v>5.7116000000000007</v>
      </c>
      <c r="N367" s="113" t="s">
        <v>990</v>
      </c>
      <c r="O367" s="54" t="s">
        <v>993</v>
      </c>
      <c r="P367" s="51">
        <f>IF(G367="MFP",Tables!$B$2,Tables!$B$5)</f>
        <v>2.6200000000000001E-2</v>
      </c>
      <c r="Q367" s="86">
        <f>IF(G367="MFP",Tables!$B$3,Tables!$B$6)</f>
        <v>0.11799999999999999</v>
      </c>
      <c r="R367" s="59">
        <f>VLOOKUP($N367,'Meter Comparison'!$C$2:$G$314,2,FALSE)</f>
        <v>17</v>
      </c>
      <c r="S367" s="59">
        <f>VLOOKUP($N367,'Meter Comparison'!$C$2:$G$314,3,FALSE)</f>
        <v>235</v>
      </c>
      <c r="T367" s="59">
        <f>VLOOKUP($N367,'Meter Comparison'!$C$2:$G$314,4,FALSE)</f>
        <v>0</v>
      </c>
      <c r="U367" s="59">
        <f>VLOOKUP($N367,'Meter Comparison'!$C$2:$G$314,5,FALSE)</f>
        <v>0</v>
      </c>
    </row>
    <row r="368" spans="1:21" ht="30" customHeight="1" outlineLevel="2" x14ac:dyDescent="0.3">
      <c r="A368" s="77" t="s">
        <v>980</v>
      </c>
      <c r="B368" s="77" t="s">
        <v>984</v>
      </c>
      <c r="C368" s="55" t="str">
        <f>VLOOKUP(B368,Tables!$G$2:$H$90,2,FALSE)</f>
        <v>Stone Wall Jackson House</v>
      </c>
      <c r="D368" s="112" t="s">
        <v>980</v>
      </c>
      <c r="E368" s="102" t="s">
        <v>981</v>
      </c>
      <c r="F368" s="103" t="s">
        <v>90</v>
      </c>
      <c r="G368" s="50" t="str">
        <f>VLOOKUP(F368,Tables!$D$2:$E$20,2,FALSE)</f>
        <v>PTR</v>
      </c>
      <c r="H368" s="105">
        <v>17099827</v>
      </c>
      <c r="I368" s="106">
        <f>SUM(S368-R368)</f>
        <v>411</v>
      </c>
      <c r="J368" s="106">
        <f>SUM(U368-T368)</f>
        <v>60</v>
      </c>
      <c r="K368" s="107">
        <f>SUM(I368*$P368)</f>
        <v>10.7682</v>
      </c>
      <c r="L368" s="107">
        <f>SUM(J368*$Q368)</f>
        <v>7.08</v>
      </c>
      <c r="M368" s="108">
        <f>K368+L368</f>
        <v>17.848199999999999</v>
      </c>
      <c r="N368" s="113" t="s">
        <v>902</v>
      </c>
      <c r="O368" s="54" t="s">
        <v>982</v>
      </c>
      <c r="P368" s="51">
        <f>IF(G368="MFP",Tables!$B$2,Tables!$B$5)</f>
        <v>2.6200000000000001E-2</v>
      </c>
      <c r="Q368" s="86">
        <f>IF(G368="MFP",Tables!$B$3,Tables!$B$6)</f>
        <v>0.11799999999999999</v>
      </c>
      <c r="R368" s="59">
        <f>VLOOKUP($N368,'Meter Comparison'!$C$2:$G$314,2,FALSE)</f>
        <v>687</v>
      </c>
      <c r="S368" s="59">
        <f>VLOOKUP($N368,'Meter Comparison'!$C$2:$G$314,3,FALSE)</f>
        <v>1098</v>
      </c>
      <c r="T368" s="59">
        <f>VLOOKUP($N368,'Meter Comparison'!$C$2:$G$314,4,FALSE)</f>
        <v>66</v>
      </c>
      <c r="U368" s="59">
        <f>VLOOKUP($N368,'Meter Comparison'!$C$2:$G$314,5,FALSE)</f>
        <v>126</v>
      </c>
    </row>
    <row r="369" spans="1:22" ht="30" customHeight="1" outlineLevel="1" x14ac:dyDescent="0.3">
      <c r="A369" s="77"/>
      <c r="B369" s="160" t="s">
        <v>1114</v>
      </c>
      <c r="C369" s="55"/>
      <c r="D369" s="112"/>
      <c r="E369" s="102"/>
      <c r="F369" s="103"/>
      <c r="G369" s="50"/>
      <c r="H369" s="105"/>
      <c r="I369" s="106"/>
      <c r="J369" s="106"/>
      <c r="K369" s="107"/>
      <c r="L369" s="107"/>
      <c r="M369" s="108">
        <f>SUBTOTAL(9,M366:M368)</f>
        <v>26.375599999999999</v>
      </c>
      <c r="N369" s="113"/>
      <c r="O369" s="54"/>
      <c r="P369" s="51"/>
      <c r="Q369" s="86"/>
      <c r="R369" s="59"/>
      <c r="S369" s="59"/>
      <c r="T369" s="59"/>
      <c r="U369" s="59"/>
    </row>
    <row r="370" spans="1:22" ht="30" customHeight="1" outlineLevel="2" x14ac:dyDescent="0.3">
      <c r="A370" s="77" t="s">
        <v>361</v>
      </c>
      <c r="B370" s="77" t="s">
        <v>362</v>
      </c>
      <c r="C370" s="55" t="str">
        <f>VLOOKUP(B370,Tables!$G$2:$H$90,2,FALSE)</f>
        <v>Superintendents Office</v>
      </c>
      <c r="D370" s="76" t="s">
        <v>276</v>
      </c>
      <c r="E370" s="75">
        <v>201</v>
      </c>
      <c r="F370" s="76" t="s">
        <v>24</v>
      </c>
      <c r="G370" s="50" t="str">
        <f>VLOOKUP(F370,Tables!$D$2:$E$20,2,FALSE)</f>
        <v>MFP</v>
      </c>
      <c r="H370" s="69">
        <v>17099498</v>
      </c>
      <c r="I370" s="71">
        <f>SUM(S370-R370)</f>
        <v>3576</v>
      </c>
      <c r="J370" s="71">
        <f>SUM(U370-T370)</f>
        <v>3705</v>
      </c>
      <c r="K370" s="73">
        <f>SUM(I370*$P370)</f>
        <v>74.023200000000003</v>
      </c>
      <c r="L370" s="73">
        <f>SUM(J370*$Q370)</f>
        <v>322.33499999999998</v>
      </c>
      <c r="M370" s="74">
        <f>K370+L370</f>
        <v>396.35820000000001</v>
      </c>
      <c r="N370" s="76" t="s">
        <v>363</v>
      </c>
      <c r="O370" s="76" t="s">
        <v>364</v>
      </c>
      <c r="P370" s="51">
        <f>IF(G370="MFP",Tables!$B$2,Tables!$B$5)</f>
        <v>2.07E-2</v>
      </c>
      <c r="Q370" s="86">
        <f>IF(G370="MFP",Tables!$B$3,Tables!$B$6)</f>
        <v>8.6999999999999994E-2</v>
      </c>
      <c r="R370" s="59">
        <f>VLOOKUP($N370,'Meter Comparison'!$C$2:$G$314,2,FALSE)</f>
        <v>13104</v>
      </c>
      <c r="S370" s="59">
        <f>VLOOKUP($N370,'Meter Comparison'!$C$2:$G$314,3,FALSE)</f>
        <v>16680</v>
      </c>
      <c r="T370" s="59">
        <f>VLOOKUP($N370,'Meter Comparison'!$C$2:$G$314,4,FALSE)</f>
        <v>11009</v>
      </c>
      <c r="U370" s="59">
        <f>VLOOKUP($N370,'Meter Comparison'!$C$2:$G$314,5,FALSE)</f>
        <v>14714</v>
      </c>
    </row>
    <row r="371" spans="1:22" ht="30" customHeight="1" outlineLevel="2" x14ac:dyDescent="0.3">
      <c r="A371" s="77" t="s">
        <v>365</v>
      </c>
      <c r="B371" s="77" t="s">
        <v>362</v>
      </c>
      <c r="C371" s="55" t="str">
        <f>VLOOKUP(B371,Tables!$G$2:$H$90,2,FALSE)</f>
        <v>Superintendents Office</v>
      </c>
      <c r="D371" s="76" t="s">
        <v>276</v>
      </c>
      <c r="E371" s="75">
        <v>201</v>
      </c>
      <c r="F371" s="76" t="s">
        <v>15</v>
      </c>
      <c r="G371" s="50" t="str">
        <f>VLOOKUP(F371,Tables!$D$2:$E$20,2,FALSE)</f>
        <v>PTR</v>
      </c>
      <c r="H371" s="69">
        <v>17099784</v>
      </c>
      <c r="I371" s="71">
        <f>SUM(S371-R371)</f>
        <v>391</v>
      </c>
      <c r="J371" s="71">
        <f>SUM(U371-T371)</f>
        <v>0</v>
      </c>
      <c r="K371" s="73">
        <f>SUM(I371*$P371)</f>
        <v>10.244200000000001</v>
      </c>
      <c r="L371" s="73">
        <f>SUM(J371*$Q371)</f>
        <v>0</v>
      </c>
      <c r="M371" s="74">
        <f>K371+L371</f>
        <v>10.244200000000001</v>
      </c>
      <c r="N371" s="76" t="s">
        <v>366</v>
      </c>
      <c r="O371" s="76" t="s">
        <v>367</v>
      </c>
      <c r="P371" s="51">
        <f>IF(G371="MFP",Tables!$B$2,Tables!$B$5)</f>
        <v>2.6200000000000001E-2</v>
      </c>
      <c r="Q371" s="86">
        <f>IF(G371="MFP",Tables!$B$3,Tables!$B$6)</f>
        <v>0.11799999999999999</v>
      </c>
      <c r="R371" s="59">
        <f>VLOOKUP($N371,'Meter Comparison'!$C$2:$G$314,2,FALSE)</f>
        <v>1527</v>
      </c>
      <c r="S371" s="59">
        <f>VLOOKUP($N371,'Meter Comparison'!$C$2:$G$314,3,FALSE)</f>
        <v>1918</v>
      </c>
      <c r="T371" s="59">
        <f>VLOOKUP($N371,'Meter Comparison'!$C$2:$G$314,4,FALSE)</f>
        <v>0</v>
      </c>
      <c r="U371" s="59">
        <f>VLOOKUP($N371,'Meter Comparison'!$C$2:$G$314,5,FALSE)</f>
        <v>0</v>
      </c>
    </row>
    <row r="372" spans="1:22" ht="30" customHeight="1" outlineLevel="2" x14ac:dyDescent="0.3">
      <c r="A372" s="77" t="s">
        <v>365</v>
      </c>
      <c r="B372" s="77" t="s">
        <v>362</v>
      </c>
      <c r="C372" s="55" t="str">
        <f>VLOOKUP(B372,Tables!$G$2:$H$90,2,FALSE)</f>
        <v>Superintendents Office</v>
      </c>
      <c r="D372" s="76" t="s">
        <v>276</v>
      </c>
      <c r="E372" s="75">
        <v>201</v>
      </c>
      <c r="F372" s="76" t="s">
        <v>15</v>
      </c>
      <c r="G372" s="50" t="str">
        <f>VLOOKUP(F372,Tables!$D$2:$E$20,2,FALSE)</f>
        <v>PTR</v>
      </c>
      <c r="H372" s="69">
        <v>17099688</v>
      </c>
      <c r="I372" s="71">
        <f>SUM(S372-R372)</f>
        <v>698</v>
      </c>
      <c r="J372" s="71">
        <f>SUM(U372-T372)</f>
        <v>0</v>
      </c>
      <c r="K372" s="73">
        <f>SUM(I372*$P372)</f>
        <v>18.287600000000001</v>
      </c>
      <c r="L372" s="73">
        <f>SUM(J372*$Q372)</f>
        <v>0</v>
      </c>
      <c r="M372" s="74">
        <f>K372+L372</f>
        <v>18.287600000000001</v>
      </c>
      <c r="N372" s="76" t="s">
        <v>368</v>
      </c>
      <c r="O372" s="76" t="s">
        <v>369</v>
      </c>
      <c r="P372" s="51">
        <f>IF(G372="MFP",Tables!$B$2,Tables!$B$5)</f>
        <v>2.6200000000000001E-2</v>
      </c>
      <c r="Q372" s="86">
        <f>IF(G372="MFP",Tables!$B$3,Tables!$B$6)</f>
        <v>0.11799999999999999</v>
      </c>
      <c r="R372" s="59">
        <f>VLOOKUP($N372,'Meter Comparison'!$C$2:$G$314,2,FALSE)</f>
        <v>3135</v>
      </c>
      <c r="S372" s="59">
        <f>VLOOKUP($N372,'Meter Comparison'!$C$2:$G$314,3,FALSE)</f>
        <v>3833</v>
      </c>
      <c r="T372" s="59">
        <f>VLOOKUP($N372,'Meter Comparison'!$C$2:$G$314,4,FALSE)</f>
        <v>0</v>
      </c>
      <c r="U372" s="59">
        <f>VLOOKUP($N372,'Meter Comparison'!$C$2:$G$314,5,FALSE)</f>
        <v>0</v>
      </c>
    </row>
    <row r="373" spans="1:22" ht="30" customHeight="1" outlineLevel="2" x14ac:dyDescent="0.3">
      <c r="A373" s="77" t="s">
        <v>365</v>
      </c>
      <c r="B373" s="77" t="s">
        <v>362</v>
      </c>
      <c r="C373" s="55" t="str">
        <f>VLOOKUP(B373,Tables!$G$2:$H$90,2,FALSE)</f>
        <v>Superintendents Office</v>
      </c>
      <c r="D373" s="76" t="s">
        <v>276</v>
      </c>
      <c r="E373" s="75">
        <v>201</v>
      </c>
      <c r="F373" s="76" t="s">
        <v>15</v>
      </c>
      <c r="G373" s="50" t="str">
        <f>VLOOKUP(F373,Tables!$D$2:$E$20,2,FALSE)</f>
        <v>PTR</v>
      </c>
      <c r="H373" s="69">
        <v>17099712</v>
      </c>
      <c r="I373" s="71">
        <f>SUM(S373-R373)</f>
        <v>1508</v>
      </c>
      <c r="J373" s="71">
        <f>SUM(U373-T373)</f>
        <v>0</v>
      </c>
      <c r="K373" s="73">
        <f>SUM(I373*$P373)</f>
        <v>39.509599999999999</v>
      </c>
      <c r="L373" s="73">
        <f>SUM(J373*$Q373)</f>
        <v>0</v>
      </c>
      <c r="M373" s="74">
        <f>K373+L373</f>
        <v>39.509599999999999</v>
      </c>
      <c r="N373" s="76" t="s">
        <v>370</v>
      </c>
      <c r="O373" s="76" t="s">
        <v>371</v>
      </c>
      <c r="P373" s="51">
        <f>IF(G373="MFP",Tables!$B$2,Tables!$B$5)</f>
        <v>2.6200000000000001E-2</v>
      </c>
      <c r="Q373" s="86">
        <f>IF(G373="MFP",Tables!$B$3,Tables!$B$6)</f>
        <v>0.11799999999999999</v>
      </c>
      <c r="R373" s="59">
        <f>VLOOKUP($N373,'Meter Comparison'!$C$2:$G$314,2,FALSE)</f>
        <v>7413</v>
      </c>
      <c r="S373" s="59">
        <f>VLOOKUP($N373,'Meter Comparison'!$C$2:$G$314,3,FALSE)</f>
        <v>8921</v>
      </c>
      <c r="T373" s="59">
        <f>VLOOKUP($N373,'Meter Comparison'!$C$2:$G$314,4,FALSE)</f>
        <v>0</v>
      </c>
      <c r="U373" s="59">
        <f>VLOOKUP($N373,'Meter Comparison'!$C$2:$G$314,5,FALSE)</f>
        <v>0</v>
      </c>
    </row>
    <row r="374" spans="1:22" ht="30" customHeight="1" outlineLevel="2" x14ac:dyDescent="0.3">
      <c r="A374" s="77" t="s">
        <v>365</v>
      </c>
      <c r="B374" s="77" t="s">
        <v>362</v>
      </c>
      <c r="C374" s="55" t="str">
        <f>VLOOKUP(B374,Tables!$G$2:$H$90,2,FALSE)</f>
        <v>Superintendents Office</v>
      </c>
      <c r="D374" s="76" t="s">
        <v>276</v>
      </c>
      <c r="E374" s="75">
        <v>201</v>
      </c>
      <c r="F374" s="76" t="s">
        <v>15</v>
      </c>
      <c r="G374" s="50" t="str">
        <f>VLOOKUP(F374,Tables!$D$2:$E$20,2,FALSE)</f>
        <v>PTR</v>
      </c>
      <c r="H374" s="69">
        <v>17099698</v>
      </c>
      <c r="I374" s="71">
        <f>SUM(S374-R374)</f>
        <v>372</v>
      </c>
      <c r="J374" s="71">
        <f>SUM(U374-T374)</f>
        <v>0</v>
      </c>
      <c r="K374" s="73">
        <f>SUM(I374*$P374)</f>
        <v>9.7464000000000013</v>
      </c>
      <c r="L374" s="73">
        <f>SUM(J374*$Q374)</f>
        <v>0</v>
      </c>
      <c r="M374" s="74">
        <f>K374+L374</f>
        <v>9.7464000000000013</v>
      </c>
      <c r="N374" s="76" t="s">
        <v>372</v>
      </c>
      <c r="O374" s="76" t="s">
        <v>373</v>
      </c>
      <c r="P374" s="51">
        <f>IF(G374="MFP",Tables!$B$2,Tables!$B$5)</f>
        <v>2.6200000000000001E-2</v>
      </c>
      <c r="Q374" s="86">
        <f>IF(G374="MFP",Tables!$B$3,Tables!$B$6)</f>
        <v>0.11799999999999999</v>
      </c>
      <c r="R374" s="59">
        <f>VLOOKUP($N374,'Meter Comparison'!$C$2:$G$314,2,FALSE)</f>
        <v>1318</v>
      </c>
      <c r="S374" s="59">
        <f>VLOOKUP($N374,'Meter Comparison'!$C$2:$G$314,3,FALSE)</f>
        <v>1690</v>
      </c>
      <c r="T374" s="59">
        <f>VLOOKUP($N374,'Meter Comparison'!$C$2:$G$314,4,FALSE)</f>
        <v>0</v>
      </c>
      <c r="U374" s="59">
        <f>VLOOKUP($N374,'Meter Comparison'!$C$2:$G$314,5,FALSE)</f>
        <v>0</v>
      </c>
    </row>
    <row r="375" spans="1:22" ht="30" customHeight="1" outlineLevel="1" x14ac:dyDescent="0.3">
      <c r="A375" s="77"/>
      <c r="B375" s="160" t="s">
        <v>1115</v>
      </c>
      <c r="C375" s="55"/>
      <c r="D375" s="76"/>
      <c r="E375" s="75"/>
      <c r="F375" s="76"/>
      <c r="G375" s="50"/>
      <c r="H375" s="69"/>
      <c r="I375" s="71"/>
      <c r="J375" s="71"/>
      <c r="K375" s="73"/>
      <c r="L375" s="73"/>
      <c r="M375" s="74">
        <f>SUBTOTAL(9,M370:M374)</f>
        <v>474.14599999999996</v>
      </c>
      <c r="N375" s="76"/>
      <c r="O375" s="76"/>
      <c r="P375" s="51"/>
      <c r="Q375" s="86"/>
      <c r="R375" s="59"/>
      <c r="S375" s="59"/>
      <c r="T375" s="59"/>
      <c r="U375" s="59"/>
    </row>
    <row r="376" spans="1:22" ht="30" customHeight="1" outlineLevel="2" x14ac:dyDescent="0.3">
      <c r="A376" s="77" t="s">
        <v>780</v>
      </c>
      <c r="B376" s="122" t="s">
        <v>779</v>
      </c>
      <c r="C376" s="55" t="str">
        <f>VLOOKUP(B376,Tables!$G$2:$H$90,2,FALSE)</f>
        <v>AUX-Tailor Shop</v>
      </c>
      <c r="D376" s="112" t="s">
        <v>14</v>
      </c>
      <c r="E376" s="102" t="s">
        <v>780</v>
      </c>
      <c r="F376" s="103" t="s">
        <v>15</v>
      </c>
      <c r="G376" s="50" t="str">
        <f>VLOOKUP(F376,Tables!$D$2:$E$20,2,FALSE)</f>
        <v>PTR</v>
      </c>
      <c r="H376" s="105">
        <v>17099415</v>
      </c>
      <c r="I376" s="106">
        <f>SUM(S376-R376)</f>
        <v>0</v>
      </c>
      <c r="J376" s="106">
        <f>SUM(U376-T376)</f>
        <v>0</v>
      </c>
      <c r="K376" s="107">
        <f>SUM(I376*$P376)</f>
        <v>0</v>
      </c>
      <c r="L376" s="107">
        <f>SUM(J376*$Q376)</f>
        <v>0</v>
      </c>
      <c r="M376" s="108">
        <f>K376+L376</f>
        <v>0</v>
      </c>
      <c r="N376" s="58" t="s">
        <v>880</v>
      </c>
      <c r="O376" s="54" t="s">
        <v>955</v>
      </c>
      <c r="P376" s="51">
        <f>IF(G376="MFP",Tables!$B$2,Tables!$B$5)</f>
        <v>2.6200000000000001E-2</v>
      </c>
      <c r="Q376" s="86">
        <f>IF(G376="MFP",Tables!$B$3,Tables!$B$6)</f>
        <v>0.11799999999999999</v>
      </c>
      <c r="R376" s="59">
        <f>VLOOKUP($N376,'Meter Comparison'!$C$2:$G$314,2,FALSE)</f>
        <v>9</v>
      </c>
      <c r="S376" s="59">
        <f>VLOOKUP($N376,'Meter Comparison'!$C$2:$G$314,3,FALSE)</f>
        <v>9</v>
      </c>
      <c r="T376" s="59">
        <f>VLOOKUP($N376,'Meter Comparison'!$C$2:$G$314,4,FALSE)</f>
        <v>0</v>
      </c>
      <c r="U376" s="59">
        <f>VLOOKUP($N376,'Meter Comparison'!$C$2:$G$314,5,FALSE)</f>
        <v>0</v>
      </c>
    </row>
    <row r="377" spans="1:22" ht="30" customHeight="1" outlineLevel="2" x14ac:dyDescent="0.3">
      <c r="A377" s="103" t="s">
        <v>780</v>
      </c>
      <c r="B377" s="124" t="s">
        <v>779</v>
      </c>
      <c r="C377" s="55" t="str">
        <f>VLOOKUP(B377,Tables!$G$2:$H$90,2,FALSE)</f>
        <v>AUX-Tailor Shop</v>
      </c>
      <c r="D377" s="103" t="s">
        <v>550</v>
      </c>
      <c r="E377" s="103" t="s">
        <v>780</v>
      </c>
      <c r="F377" s="58" t="s">
        <v>15</v>
      </c>
      <c r="G377" s="50" t="str">
        <f>VLOOKUP(F377,Tables!$D$2:$E$20,2,FALSE)</f>
        <v>PTR</v>
      </c>
      <c r="H377" s="105">
        <v>17099610</v>
      </c>
      <c r="I377" s="106">
        <f>SUM(S377-R377)</f>
        <v>691</v>
      </c>
      <c r="J377" s="106">
        <f>SUM(U377-T377)</f>
        <v>0</v>
      </c>
      <c r="K377" s="107">
        <f>SUM(I377*$P377)</f>
        <v>18.104200000000002</v>
      </c>
      <c r="L377" s="107">
        <f>SUM(J377*$Q377)</f>
        <v>0</v>
      </c>
      <c r="M377" s="108">
        <f>K377+L377</f>
        <v>18.104200000000002</v>
      </c>
      <c r="N377" s="58" t="s">
        <v>555</v>
      </c>
      <c r="O377" s="58" t="s">
        <v>781</v>
      </c>
      <c r="P377" s="51">
        <f>IF(G377="MFP",Tables!$B$2,Tables!$B$5)</f>
        <v>2.6200000000000001E-2</v>
      </c>
      <c r="Q377" s="86">
        <f>IF(G377="MFP",Tables!$B$3,Tables!$B$6)</f>
        <v>0.11799999999999999</v>
      </c>
      <c r="R377" s="59">
        <f>VLOOKUP($N377,'Meter Comparison'!$C$2:$G$314,2,FALSE)</f>
        <v>3603</v>
      </c>
      <c r="S377" s="59">
        <f>VLOOKUP($N377,'Meter Comparison'!$C$2:$G$314,3,FALSE)</f>
        <v>4294</v>
      </c>
      <c r="T377" s="59">
        <f>VLOOKUP($N377,'Meter Comparison'!$C$2:$G$314,4,FALSE)</f>
        <v>0</v>
      </c>
      <c r="U377" s="59">
        <f>VLOOKUP($N377,'Meter Comparison'!$C$2:$G$314,5,FALSE)</f>
        <v>0</v>
      </c>
    </row>
    <row r="378" spans="1:22" ht="30" customHeight="1" outlineLevel="1" x14ac:dyDescent="0.3">
      <c r="A378" s="103"/>
      <c r="B378" s="165" t="s">
        <v>1116</v>
      </c>
      <c r="C378" s="55"/>
      <c r="D378" s="103"/>
      <c r="E378" s="103"/>
      <c r="F378" s="58"/>
      <c r="G378" s="50"/>
      <c r="H378" s="105"/>
      <c r="I378" s="106"/>
      <c r="J378" s="106"/>
      <c r="K378" s="107"/>
      <c r="L378" s="107"/>
      <c r="M378" s="108">
        <f>SUBTOTAL(9,M376:M377)</f>
        <v>18.104200000000002</v>
      </c>
      <c r="N378" s="58"/>
      <c r="O378" s="58"/>
      <c r="P378" s="51"/>
      <c r="Q378" s="86"/>
      <c r="R378" s="59"/>
      <c r="S378" s="59"/>
      <c r="T378" s="59"/>
      <c r="U378" s="59"/>
    </row>
    <row r="379" spans="1:22" ht="30" customHeight="1" outlineLevel="2" x14ac:dyDescent="0.3">
      <c r="A379" s="77" t="s">
        <v>659</v>
      </c>
      <c r="B379" s="77" t="s">
        <v>236</v>
      </c>
      <c r="C379" s="55" t="str">
        <f>VLOOKUP(B379,Tables!$G$2:$H$90,2,FALSE)</f>
        <v>Undergraduate Research</v>
      </c>
      <c r="D379" s="76" t="s">
        <v>175</v>
      </c>
      <c r="E379" s="75" t="s">
        <v>663</v>
      </c>
      <c r="F379" s="76" t="s">
        <v>24</v>
      </c>
      <c r="G379" s="50" t="str">
        <f>VLOOKUP(F379,Tables!$D$2:$E$20,2,FALSE)</f>
        <v>MFP</v>
      </c>
      <c r="H379" s="69">
        <v>17099489</v>
      </c>
      <c r="I379" s="71">
        <f>SUM(S379-R379)</f>
        <v>646</v>
      </c>
      <c r="J379" s="71">
        <f>SUM(U379-T379)</f>
        <v>124</v>
      </c>
      <c r="K379" s="73">
        <f>SUM(I379*$P379)</f>
        <v>13.372199999999999</v>
      </c>
      <c r="L379" s="73">
        <f>SUM(J379*$Q379)</f>
        <v>10.787999999999998</v>
      </c>
      <c r="M379" s="74">
        <f>K379+L379</f>
        <v>24.160199999999996</v>
      </c>
      <c r="N379" s="76" t="s">
        <v>238</v>
      </c>
      <c r="O379" s="76" t="s">
        <v>239</v>
      </c>
      <c r="P379" s="51">
        <f>IF(G379="MFP",Tables!$B$2,Tables!$B$5)</f>
        <v>2.07E-2</v>
      </c>
      <c r="Q379" s="86">
        <f>IF(G379="MFP",Tables!$B$3,Tables!$B$6)</f>
        <v>8.6999999999999994E-2</v>
      </c>
      <c r="R379" s="59">
        <f>VLOOKUP($N379,'Meter Comparison'!$C$2:$G$314,2,FALSE)</f>
        <v>5658</v>
      </c>
      <c r="S379" s="59">
        <f>VLOOKUP($N379,'Meter Comparison'!$C$2:$G$314,3,FALSE)</f>
        <v>6304</v>
      </c>
      <c r="T379" s="59">
        <f>VLOOKUP($N379,'Meter Comparison'!$C$2:$G$314,4,FALSE)</f>
        <v>135</v>
      </c>
      <c r="U379" s="59">
        <f>VLOOKUP($N379,'Meter Comparison'!$C$2:$G$314,5,FALSE)</f>
        <v>259</v>
      </c>
    </row>
    <row r="380" spans="1:22" ht="30" customHeight="1" outlineLevel="2" x14ac:dyDescent="0.3">
      <c r="A380" s="77" t="s">
        <v>659</v>
      </c>
      <c r="B380" s="122" t="s">
        <v>236</v>
      </c>
      <c r="C380" s="55" t="str">
        <f>VLOOKUP(B380,Tables!$G$2:$H$90,2,FALSE)</f>
        <v>Undergraduate Research</v>
      </c>
      <c r="D380" s="112" t="s">
        <v>175</v>
      </c>
      <c r="E380" s="102" t="s">
        <v>966</v>
      </c>
      <c r="F380" s="103" t="s">
        <v>15</v>
      </c>
      <c r="G380" s="50" t="str">
        <f>VLOOKUP(F380,Tables!$D$2:$E$20,2,FALSE)</f>
        <v>PTR</v>
      </c>
      <c r="H380" s="69">
        <v>17099642</v>
      </c>
      <c r="I380" s="106">
        <f>SUM(S380-R380)</f>
        <v>227</v>
      </c>
      <c r="J380" s="106">
        <f>SUM(U380-T380)</f>
        <v>0</v>
      </c>
      <c r="K380" s="107">
        <f>SUM(I380*$P380)</f>
        <v>5.9474</v>
      </c>
      <c r="L380" s="107">
        <f>SUM(J380*$Q380)</f>
        <v>0</v>
      </c>
      <c r="M380" s="108">
        <f>K380+L380</f>
        <v>5.9474</v>
      </c>
      <c r="N380" s="113" t="s">
        <v>887</v>
      </c>
      <c r="O380" s="54" t="s">
        <v>967</v>
      </c>
      <c r="P380" s="51">
        <f>IF(G380="MFP",Tables!$B$2,Tables!$B$5)</f>
        <v>2.6200000000000001E-2</v>
      </c>
      <c r="Q380" s="86">
        <f>IF(G380="MFP",Tables!$B$3,Tables!$B$6)</f>
        <v>0.11799999999999999</v>
      </c>
      <c r="R380" s="59">
        <f>VLOOKUP($N380,'Meter Comparison'!$C$2:$G$314,2,FALSE)</f>
        <v>1821</v>
      </c>
      <c r="S380" s="59">
        <f>VLOOKUP($N380,'Meter Comparison'!$C$2:$G$314,3,FALSE)</f>
        <v>2048</v>
      </c>
      <c r="T380" s="59">
        <f>VLOOKUP($N380,'Meter Comparison'!$C$2:$G$314,4,FALSE)</f>
        <v>0</v>
      </c>
      <c r="U380" s="59">
        <f>VLOOKUP($N380,'Meter Comparison'!$C$2:$G$314,5,FALSE)</f>
        <v>0</v>
      </c>
    </row>
    <row r="381" spans="1:22" ht="30" customHeight="1" outlineLevel="1" x14ac:dyDescent="0.3">
      <c r="A381" s="77"/>
      <c r="B381" s="162" t="s">
        <v>1117</v>
      </c>
      <c r="C381" s="55"/>
      <c r="D381" s="112"/>
      <c r="E381" s="102"/>
      <c r="F381" s="103"/>
      <c r="G381" s="50"/>
      <c r="H381" s="69"/>
      <c r="I381" s="106"/>
      <c r="J381" s="106"/>
      <c r="K381" s="107"/>
      <c r="L381" s="107"/>
      <c r="M381" s="108">
        <f>SUBTOTAL(9,M379:M380)</f>
        <v>30.107599999999998</v>
      </c>
      <c r="N381" s="113"/>
      <c r="O381" s="54"/>
      <c r="P381" s="51"/>
      <c r="Q381" s="86"/>
      <c r="R381" s="59"/>
      <c r="S381" s="59"/>
      <c r="T381" s="59"/>
      <c r="U381" s="59"/>
    </row>
    <row r="382" spans="1:22" ht="30" customHeight="1" outlineLevel="2" x14ac:dyDescent="0.3">
      <c r="A382" s="77" t="s">
        <v>285</v>
      </c>
      <c r="B382" s="77" t="s">
        <v>286</v>
      </c>
      <c r="C382" s="55" t="str">
        <f>VLOOKUP(B382,Tables!$G$2:$H$90,2,FALSE)</f>
        <v>Institute Writing Program</v>
      </c>
      <c r="D382" s="76" t="s">
        <v>221</v>
      </c>
      <c r="E382" s="75">
        <v>215</v>
      </c>
      <c r="F382" s="76" t="s">
        <v>15</v>
      </c>
      <c r="G382" s="50" t="str">
        <f>VLOOKUP(F382,Tables!$D$2:$E$20,2,FALSE)</f>
        <v>PTR</v>
      </c>
      <c r="H382" s="69">
        <v>17099563</v>
      </c>
      <c r="I382" s="71">
        <f>SUM(S382-R382)</f>
        <v>2389</v>
      </c>
      <c r="J382" s="71">
        <f>SUM(U382-T382)</f>
        <v>0</v>
      </c>
      <c r="K382" s="73">
        <f>SUM(I382*$P382)</f>
        <v>62.591799999999999</v>
      </c>
      <c r="L382" s="73">
        <f>SUM(J382*$Q382)</f>
        <v>0</v>
      </c>
      <c r="M382" s="74">
        <f>K382+L382</f>
        <v>62.591799999999999</v>
      </c>
      <c r="N382" s="76" t="s">
        <v>291</v>
      </c>
      <c r="O382" s="76" t="s">
        <v>292</v>
      </c>
      <c r="P382" s="51">
        <f>IF(G382="MFP",Tables!$B$2,Tables!$B$5)</f>
        <v>2.6200000000000001E-2</v>
      </c>
      <c r="Q382" s="86">
        <f>IF(G382="MFP",Tables!$B$3,Tables!$B$6)</f>
        <v>0.11799999999999999</v>
      </c>
      <c r="R382" s="59">
        <f>VLOOKUP($N382,'Meter Comparison'!$C$2:$G$314,2,FALSE)</f>
        <v>7938</v>
      </c>
      <c r="S382" s="59">
        <f>VLOOKUP($N382,'Meter Comparison'!$C$2:$G$314,3,FALSE)</f>
        <v>10327</v>
      </c>
      <c r="T382" s="59">
        <f>VLOOKUP($N382,'Meter Comparison'!$C$2:$G$314,4,FALSE)</f>
        <v>0</v>
      </c>
      <c r="U382" s="59">
        <f>VLOOKUP($N382,'Meter Comparison'!$C$2:$G$314,5,FALSE)</f>
        <v>0</v>
      </c>
      <c r="V382" s="126"/>
    </row>
    <row r="383" spans="1:22" ht="30" customHeight="1" outlineLevel="2" x14ac:dyDescent="0.3">
      <c r="A383" s="77" t="s">
        <v>285</v>
      </c>
      <c r="B383" s="77" t="s">
        <v>286</v>
      </c>
      <c r="C383" s="55" t="str">
        <f>VLOOKUP(B383,Tables!$G$2:$H$90,2,FALSE)</f>
        <v>Institute Writing Program</v>
      </c>
      <c r="D383" s="76" t="s">
        <v>221</v>
      </c>
      <c r="E383" s="75">
        <v>217</v>
      </c>
      <c r="F383" s="76" t="s">
        <v>54</v>
      </c>
      <c r="G383" s="50" t="str">
        <f>VLOOKUP(F383,Tables!$D$2:$E$20,2,FALSE)</f>
        <v>MFP</v>
      </c>
      <c r="H383" s="69">
        <v>17099458</v>
      </c>
      <c r="I383" s="71">
        <f>SUM(S383-R383)</f>
        <v>158</v>
      </c>
      <c r="J383" s="71">
        <f>SUM(U383-T383)</f>
        <v>0</v>
      </c>
      <c r="K383" s="73">
        <f>SUM(I383*$P383)</f>
        <v>3.2706</v>
      </c>
      <c r="L383" s="73">
        <f>SUM(J383*$Q383)</f>
        <v>0</v>
      </c>
      <c r="M383" s="74">
        <f>K383+L383</f>
        <v>3.2706</v>
      </c>
      <c r="N383" s="76" t="s">
        <v>120</v>
      </c>
      <c r="O383" s="76" t="s">
        <v>121</v>
      </c>
      <c r="P383" s="51">
        <f>IF(G383="MFP",Tables!$B$2,Tables!$B$5)</f>
        <v>2.07E-2</v>
      </c>
      <c r="Q383" s="86">
        <f>IF(G383="MFP",Tables!$B$3,Tables!$B$6)</f>
        <v>8.6999999999999994E-2</v>
      </c>
      <c r="R383" s="59">
        <f>VLOOKUP($N383,'Meter Comparison'!$C$2:$G$314,2,FALSE)</f>
        <v>88937</v>
      </c>
      <c r="S383" s="59">
        <f>VLOOKUP($N383,'Meter Comparison'!$C$2:$G$314,3,FALSE)</f>
        <v>89095</v>
      </c>
      <c r="T383" s="59">
        <f>VLOOKUP($N383,'Meter Comparison'!$C$2:$G$314,4,FALSE)</f>
        <v>5149</v>
      </c>
      <c r="U383" s="59">
        <f>VLOOKUP($N383,'Meter Comparison'!$C$2:$G$314,5,FALSE)</f>
        <v>5149</v>
      </c>
    </row>
    <row r="384" spans="1:22" ht="30" customHeight="1" outlineLevel="2" x14ac:dyDescent="0.3">
      <c r="A384" s="55" t="s">
        <v>285</v>
      </c>
      <c r="B384" s="55" t="s">
        <v>286</v>
      </c>
      <c r="C384" s="55" t="str">
        <f>VLOOKUP(B384,Tables!$G$2:$H$90,2,FALSE)</f>
        <v>Institute Writing Program</v>
      </c>
      <c r="D384" s="56" t="s">
        <v>221</v>
      </c>
      <c r="E384" s="114">
        <v>219</v>
      </c>
      <c r="F384" s="56" t="s">
        <v>15</v>
      </c>
      <c r="G384" s="50" t="str">
        <f>VLOOKUP(F384,Tables!$D$2:$E$20,2,FALSE)</f>
        <v>PTR</v>
      </c>
      <c r="H384" s="105">
        <v>17099576</v>
      </c>
      <c r="I384" s="106">
        <f>SUM(S384-R384)</f>
        <v>0</v>
      </c>
      <c r="J384" s="106">
        <f>SUM(U384-T384)</f>
        <v>0</v>
      </c>
      <c r="K384" s="107">
        <f>SUM(I384*$P384)</f>
        <v>0</v>
      </c>
      <c r="L384" s="107">
        <f>SUM(J384*$Q384)</f>
        <v>0</v>
      </c>
      <c r="M384" s="108">
        <f>K384+L384</f>
        <v>0</v>
      </c>
      <c r="N384" s="56" t="s">
        <v>289</v>
      </c>
      <c r="O384" s="56" t="s">
        <v>290</v>
      </c>
      <c r="P384" s="51">
        <f>IF(G384="MFP",Tables!$B$2,Tables!$B$5)</f>
        <v>2.6200000000000001E-2</v>
      </c>
      <c r="Q384" s="86">
        <f>IF(G384="MFP",Tables!$B$3,Tables!$B$6)</f>
        <v>0.11799999999999999</v>
      </c>
      <c r="R384" s="59">
        <f>VLOOKUP($N384,'Meter Comparison'!$C$2:$G$314,2,FALSE)</f>
        <v>23</v>
      </c>
      <c r="S384" s="59">
        <f>VLOOKUP($N384,'Meter Comparison'!$C$2:$G$314,3,FALSE)</f>
        <v>23</v>
      </c>
      <c r="T384" s="59">
        <f>VLOOKUP($N384,'Meter Comparison'!$C$2:$G$314,4,FALSE)</f>
        <v>0</v>
      </c>
      <c r="U384" s="59">
        <f>VLOOKUP($N384,'Meter Comparison'!$C$2:$G$314,5,FALSE)</f>
        <v>0</v>
      </c>
    </row>
    <row r="385" spans="1:21" ht="30" customHeight="1" outlineLevel="1" x14ac:dyDescent="0.3">
      <c r="A385" s="55"/>
      <c r="B385" s="161" t="s">
        <v>1118</v>
      </c>
      <c r="C385" s="55"/>
      <c r="D385" s="56"/>
      <c r="E385" s="114"/>
      <c r="F385" s="56"/>
      <c r="G385" s="50"/>
      <c r="H385" s="105"/>
      <c r="I385" s="106"/>
      <c r="J385" s="106"/>
      <c r="K385" s="107"/>
      <c r="L385" s="107"/>
      <c r="M385" s="108">
        <f>SUBTOTAL(9,M382:M384)</f>
        <v>65.862399999999994</v>
      </c>
      <c r="N385" s="56"/>
      <c r="O385" s="56"/>
      <c r="P385" s="51"/>
      <c r="Q385" s="86"/>
      <c r="R385" s="59"/>
      <c r="S385" s="59"/>
      <c r="T385" s="59"/>
      <c r="U385" s="59"/>
    </row>
    <row r="386" spans="1:21" outlineLevel="1" x14ac:dyDescent="0.3">
      <c r="A386" s="103"/>
      <c r="B386" s="124"/>
      <c r="C386" s="103"/>
      <c r="D386" s="103"/>
      <c r="E386" s="103"/>
      <c r="F386" s="103"/>
      <c r="G386" s="104"/>
      <c r="H386" s="118"/>
      <c r="I386" s="106">
        <f>SUM(I2:I384)</f>
        <v>666580</v>
      </c>
      <c r="J386" s="106">
        <f>SUM(J2:J384)</f>
        <v>80261</v>
      </c>
      <c r="K386" s="107"/>
      <c r="L386" s="107"/>
      <c r="M386" s="108"/>
      <c r="N386" s="58"/>
      <c r="O386" s="103"/>
      <c r="P386" s="110"/>
      <c r="Q386" s="111"/>
      <c r="R386" s="59"/>
      <c r="S386" s="59"/>
      <c r="T386" s="59"/>
      <c r="U386" s="59"/>
    </row>
    <row r="387" spans="1:21" outlineLevel="1" x14ac:dyDescent="0.3"/>
    <row r="388" spans="1:21" outlineLevel="1" x14ac:dyDescent="0.3">
      <c r="Q388" s="66"/>
      <c r="R388" s="64"/>
    </row>
    <row r="389" spans="1:21" outlineLevel="1" x14ac:dyDescent="0.3">
      <c r="Q389" s="66"/>
      <c r="R389" s="64"/>
    </row>
    <row r="390" spans="1:21" outlineLevel="1" x14ac:dyDescent="0.3">
      <c r="Q390" s="66"/>
      <c r="R390" s="64"/>
    </row>
    <row r="391" spans="1:21" outlineLevel="1" x14ac:dyDescent="0.3">
      <c r="Q391" s="66"/>
      <c r="R391" s="64"/>
    </row>
    <row r="392" spans="1:21" outlineLevel="1" x14ac:dyDescent="0.3">
      <c r="Q392" s="66"/>
      <c r="R392" s="64"/>
    </row>
    <row r="393" spans="1:21" outlineLevel="1" x14ac:dyDescent="0.3">
      <c r="Q393" s="66"/>
      <c r="R393" s="64"/>
    </row>
    <row r="394" spans="1:21" outlineLevel="1" x14ac:dyDescent="0.3">
      <c r="Q394" s="66"/>
      <c r="R394" s="64"/>
    </row>
    <row r="395" spans="1:21" outlineLevel="1" x14ac:dyDescent="0.3">
      <c r="Q395" s="66"/>
      <c r="R395" s="64"/>
    </row>
    <row r="396" spans="1:21" outlineLevel="1" x14ac:dyDescent="0.3">
      <c r="Q396" s="66"/>
      <c r="R396" s="64"/>
    </row>
    <row r="397" spans="1:21" outlineLevel="1" x14ac:dyDescent="0.3">
      <c r="Q397" s="66"/>
      <c r="R397" s="64"/>
    </row>
    <row r="398" spans="1:21" outlineLevel="1" x14ac:dyDescent="0.3">
      <c r="Q398" s="66"/>
      <c r="R398" s="64"/>
    </row>
    <row r="399" spans="1:21" outlineLevel="1" x14ac:dyDescent="0.3">
      <c r="Q399" s="66"/>
      <c r="R399" s="64"/>
    </row>
    <row r="400" spans="1:21" outlineLevel="1" x14ac:dyDescent="0.3">
      <c r="Q400" s="66"/>
      <c r="R400" s="64"/>
    </row>
    <row r="401" spans="17:18" outlineLevel="1" x14ac:dyDescent="0.3">
      <c r="Q401" s="66"/>
      <c r="R401" s="64"/>
    </row>
    <row r="402" spans="17:18" outlineLevel="1" x14ac:dyDescent="0.3">
      <c r="Q402" s="66"/>
      <c r="R402" s="64"/>
    </row>
    <row r="403" spans="17:18" outlineLevel="1" x14ac:dyDescent="0.3">
      <c r="Q403" s="66"/>
      <c r="R403" s="64"/>
    </row>
    <row r="404" spans="17:18" outlineLevel="1" x14ac:dyDescent="0.3">
      <c r="Q404" s="66"/>
      <c r="R404" s="64"/>
    </row>
    <row r="405" spans="17:18" outlineLevel="1" x14ac:dyDescent="0.3">
      <c r="Q405" s="66"/>
      <c r="R405" s="64"/>
    </row>
    <row r="406" spans="17:18" outlineLevel="1" x14ac:dyDescent="0.3">
      <c r="Q406" s="66"/>
      <c r="R406" s="64"/>
    </row>
    <row r="407" spans="17:18" outlineLevel="1" x14ac:dyDescent="0.3">
      <c r="Q407" s="66"/>
      <c r="R407" s="64"/>
    </row>
    <row r="408" spans="17:18" outlineLevel="1" x14ac:dyDescent="0.3">
      <c r="Q408" s="66"/>
      <c r="R408" s="64"/>
    </row>
    <row r="409" spans="17:18" outlineLevel="1" x14ac:dyDescent="0.3">
      <c r="Q409" s="66"/>
      <c r="R409" s="64"/>
    </row>
    <row r="410" spans="17:18" outlineLevel="1" x14ac:dyDescent="0.3">
      <c r="Q410" s="66"/>
      <c r="R410" s="64"/>
    </row>
    <row r="411" spans="17:18" outlineLevel="1" x14ac:dyDescent="0.3">
      <c r="Q411" s="66"/>
      <c r="R411" s="64"/>
    </row>
    <row r="412" spans="17:18" outlineLevel="1" x14ac:dyDescent="0.3">
      <c r="Q412" s="66"/>
      <c r="R412" s="64"/>
    </row>
    <row r="413" spans="17:18" outlineLevel="1" x14ac:dyDescent="0.3">
      <c r="Q413" s="66"/>
      <c r="R413" s="64"/>
    </row>
    <row r="414" spans="17:18" outlineLevel="1" x14ac:dyDescent="0.3">
      <c r="Q414" s="66"/>
      <c r="R414" s="64"/>
    </row>
    <row r="415" spans="17:18" outlineLevel="1" x14ac:dyDescent="0.3">
      <c r="Q415" s="66"/>
      <c r="R415" s="64"/>
    </row>
    <row r="416" spans="17:18" outlineLevel="1" x14ac:dyDescent="0.3">
      <c r="Q416" s="66"/>
      <c r="R416" s="64"/>
    </row>
    <row r="417" spans="17:18" outlineLevel="1" x14ac:dyDescent="0.3">
      <c r="Q417" s="66"/>
      <c r="R417" s="64"/>
    </row>
    <row r="418" spans="17:18" outlineLevel="1" x14ac:dyDescent="0.3">
      <c r="Q418" s="66"/>
      <c r="R418" s="64"/>
    </row>
    <row r="419" spans="17:18" outlineLevel="1" x14ac:dyDescent="0.3">
      <c r="Q419" s="66"/>
      <c r="R419" s="64"/>
    </row>
    <row r="420" spans="17:18" outlineLevel="1" x14ac:dyDescent="0.3">
      <c r="Q420" s="66"/>
      <c r="R420" s="64"/>
    </row>
    <row r="421" spans="17:18" outlineLevel="1" x14ac:dyDescent="0.3">
      <c r="Q421" s="66"/>
      <c r="R421" s="64"/>
    </row>
    <row r="422" spans="17:18" outlineLevel="1" x14ac:dyDescent="0.3">
      <c r="Q422" s="66"/>
      <c r="R422" s="64"/>
    </row>
    <row r="423" spans="17:18" outlineLevel="1" x14ac:dyDescent="0.3">
      <c r="Q423" s="66"/>
      <c r="R423" s="64"/>
    </row>
    <row r="424" spans="17:18" outlineLevel="1" x14ac:dyDescent="0.3">
      <c r="Q424" s="66"/>
      <c r="R424" s="64"/>
    </row>
    <row r="425" spans="17:18" outlineLevel="1" x14ac:dyDescent="0.3">
      <c r="Q425" s="66"/>
      <c r="R425" s="64"/>
    </row>
    <row r="426" spans="17:18" outlineLevel="1" x14ac:dyDescent="0.3">
      <c r="Q426" s="66"/>
      <c r="R426" s="64"/>
    </row>
    <row r="427" spans="17:18" outlineLevel="1" x14ac:dyDescent="0.3">
      <c r="Q427" s="66"/>
      <c r="R427" s="64"/>
    </row>
    <row r="428" spans="17:18" outlineLevel="1" x14ac:dyDescent="0.3">
      <c r="Q428" s="66"/>
      <c r="R428" s="64"/>
    </row>
    <row r="429" spans="17:18" outlineLevel="1" x14ac:dyDescent="0.3">
      <c r="Q429" s="66"/>
      <c r="R429" s="64"/>
    </row>
    <row r="430" spans="17:18" outlineLevel="1" x14ac:dyDescent="0.3">
      <c r="Q430" s="66"/>
      <c r="R430" s="64"/>
    </row>
    <row r="431" spans="17:18" outlineLevel="1" x14ac:dyDescent="0.3">
      <c r="Q431" s="66"/>
      <c r="R431" s="64"/>
    </row>
    <row r="432" spans="17:18" outlineLevel="1" x14ac:dyDescent="0.3">
      <c r="Q432" s="66"/>
      <c r="R432" s="64"/>
    </row>
    <row r="433" spans="17:18" outlineLevel="1" x14ac:dyDescent="0.3">
      <c r="Q433" s="66"/>
      <c r="R433" s="64"/>
    </row>
    <row r="434" spans="17:18" outlineLevel="1" x14ac:dyDescent="0.3">
      <c r="Q434" s="66"/>
      <c r="R434" s="64"/>
    </row>
    <row r="435" spans="17:18" outlineLevel="1" x14ac:dyDescent="0.3">
      <c r="Q435" s="66"/>
      <c r="R435" s="64"/>
    </row>
    <row r="436" spans="17:18" outlineLevel="1" x14ac:dyDescent="0.3">
      <c r="Q436" s="66"/>
      <c r="R436" s="64"/>
    </row>
    <row r="437" spans="17:18" outlineLevel="1" x14ac:dyDescent="0.3">
      <c r="Q437" s="66"/>
      <c r="R437" s="64"/>
    </row>
    <row r="438" spans="17:18" outlineLevel="1" x14ac:dyDescent="0.3">
      <c r="Q438" s="66"/>
      <c r="R438" s="64"/>
    </row>
    <row r="439" spans="17:18" outlineLevel="1" x14ac:dyDescent="0.3">
      <c r="Q439" s="66"/>
      <c r="R439" s="64"/>
    </row>
    <row r="440" spans="17:18" outlineLevel="1" x14ac:dyDescent="0.3">
      <c r="Q440" s="66"/>
      <c r="R440" s="64"/>
    </row>
    <row r="441" spans="17:18" outlineLevel="1" x14ac:dyDescent="0.3">
      <c r="Q441" s="66"/>
      <c r="R441" s="64"/>
    </row>
    <row r="442" spans="17:18" outlineLevel="1" x14ac:dyDescent="0.3">
      <c r="Q442" s="66"/>
      <c r="R442" s="64"/>
    </row>
    <row r="443" spans="17:18" outlineLevel="1" x14ac:dyDescent="0.3">
      <c r="Q443" s="66"/>
      <c r="R443" s="64"/>
    </row>
    <row r="444" spans="17:18" outlineLevel="1" x14ac:dyDescent="0.3">
      <c r="Q444" s="66"/>
      <c r="R444" s="64"/>
    </row>
    <row r="445" spans="17:18" outlineLevel="1" x14ac:dyDescent="0.3">
      <c r="Q445" s="66"/>
      <c r="R445" s="64"/>
    </row>
    <row r="446" spans="17:18" outlineLevel="1" x14ac:dyDescent="0.3">
      <c r="Q446" s="66"/>
      <c r="R446" s="64"/>
    </row>
    <row r="447" spans="17:18" outlineLevel="1" x14ac:dyDescent="0.3">
      <c r="Q447" s="66"/>
      <c r="R447" s="64"/>
    </row>
    <row r="448" spans="17:18" outlineLevel="1" x14ac:dyDescent="0.3">
      <c r="Q448" s="66"/>
      <c r="R448" s="64"/>
    </row>
    <row r="449" spans="17:18" outlineLevel="1" x14ac:dyDescent="0.3">
      <c r="Q449" s="66"/>
      <c r="R449" s="64"/>
    </row>
    <row r="450" spans="17:18" outlineLevel="1" x14ac:dyDescent="0.3">
      <c r="Q450" s="66"/>
      <c r="R450" s="64"/>
    </row>
    <row r="451" spans="17:18" outlineLevel="1" x14ac:dyDescent="0.3">
      <c r="Q451" s="66"/>
      <c r="R451" s="64"/>
    </row>
    <row r="452" spans="17:18" outlineLevel="1" x14ac:dyDescent="0.3">
      <c r="Q452" s="66"/>
      <c r="R452" s="64"/>
    </row>
    <row r="453" spans="17:18" outlineLevel="1" x14ac:dyDescent="0.3">
      <c r="Q453" s="66"/>
      <c r="R453" s="64"/>
    </row>
    <row r="454" spans="17:18" outlineLevel="1" x14ac:dyDescent="0.3">
      <c r="Q454" s="66"/>
      <c r="R454" s="64"/>
    </row>
    <row r="455" spans="17:18" outlineLevel="1" x14ac:dyDescent="0.3">
      <c r="Q455" s="66"/>
      <c r="R455" s="64"/>
    </row>
    <row r="456" spans="17:18" outlineLevel="1" x14ac:dyDescent="0.3">
      <c r="Q456" s="66"/>
      <c r="R456" s="64"/>
    </row>
    <row r="457" spans="17:18" outlineLevel="1" x14ac:dyDescent="0.3">
      <c r="Q457" s="66"/>
      <c r="R457" s="64"/>
    </row>
    <row r="458" spans="17:18" outlineLevel="1" x14ac:dyDescent="0.3">
      <c r="Q458" s="66"/>
      <c r="R458" s="64"/>
    </row>
    <row r="459" spans="17:18" outlineLevel="1" x14ac:dyDescent="0.3">
      <c r="Q459" s="66"/>
      <c r="R459" s="64"/>
    </row>
    <row r="460" spans="17:18" outlineLevel="1" x14ac:dyDescent="0.3">
      <c r="Q460" s="66"/>
      <c r="R460" s="64"/>
    </row>
    <row r="461" spans="17:18" outlineLevel="1" x14ac:dyDescent="0.3">
      <c r="Q461" s="66"/>
      <c r="R461" s="64"/>
    </row>
    <row r="462" spans="17:18" outlineLevel="1" x14ac:dyDescent="0.3">
      <c r="Q462" s="66"/>
      <c r="R462" s="64"/>
    </row>
    <row r="463" spans="17:18" outlineLevel="1" x14ac:dyDescent="0.3">
      <c r="Q463" s="66"/>
      <c r="R463" s="64"/>
    </row>
    <row r="464" spans="17:18" outlineLevel="1" x14ac:dyDescent="0.3">
      <c r="Q464" s="66"/>
      <c r="R464" s="64"/>
    </row>
    <row r="465" spans="17:18" outlineLevel="1" x14ac:dyDescent="0.3">
      <c r="Q465" s="66"/>
      <c r="R465" s="64"/>
    </row>
    <row r="466" spans="17:18" outlineLevel="1" x14ac:dyDescent="0.3">
      <c r="Q466" s="66"/>
      <c r="R466" s="64"/>
    </row>
    <row r="467" spans="17:18" outlineLevel="1" x14ac:dyDescent="0.3">
      <c r="Q467" s="66"/>
      <c r="R467" s="64"/>
    </row>
    <row r="468" spans="17:18" outlineLevel="1" x14ac:dyDescent="0.3">
      <c r="Q468" s="66"/>
      <c r="R468" s="64"/>
    </row>
    <row r="469" spans="17:18" outlineLevel="1" x14ac:dyDescent="0.3">
      <c r="Q469" s="66"/>
      <c r="R469" s="64"/>
    </row>
    <row r="470" spans="17:18" outlineLevel="1" x14ac:dyDescent="0.3">
      <c r="Q470" s="66"/>
      <c r="R470" s="64"/>
    </row>
    <row r="471" spans="17:18" outlineLevel="1" x14ac:dyDescent="0.3">
      <c r="Q471" s="66"/>
      <c r="R471" s="64"/>
    </row>
    <row r="472" spans="17:18" outlineLevel="1" x14ac:dyDescent="0.3">
      <c r="Q472" s="66"/>
      <c r="R472" s="64"/>
    </row>
    <row r="473" spans="17:18" outlineLevel="1" x14ac:dyDescent="0.3">
      <c r="Q473" s="66"/>
      <c r="R473" s="64"/>
    </row>
    <row r="474" spans="17:18" outlineLevel="1" x14ac:dyDescent="0.3">
      <c r="Q474" s="66"/>
      <c r="R474" s="64"/>
    </row>
    <row r="475" spans="17:18" outlineLevel="1" x14ac:dyDescent="0.3">
      <c r="Q475" s="66"/>
      <c r="R475" s="64"/>
    </row>
    <row r="476" spans="17:18" outlineLevel="1" x14ac:dyDescent="0.3">
      <c r="Q476" s="66"/>
      <c r="R476" s="64"/>
    </row>
    <row r="477" spans="17:18" outlineLevel="1" x14ac:dyDescent="0.3">
      <c r="Q477" s="66"/>
      <c r="R477" s="64"/>
    </row>
    <row r="478" spans="17:18" outlineLevel="1" x14ac:dyDescent="0.3">
      <c r="Q478" s="66"/>
      <c r="R478" s="64"/>
    </row>
    <row r="479" spans="17:18" outlineLevel="1" x14ac:dyDescent="0.3">
      <c r="Q479" s="66"/>
      <c r="R479" s="64"/>
    </row>
    <row r="480" spans="17:18" outlineLevel="1" x14ac:dyDescent="0.3">
      <c r="Q480" s="66"/>
      <c r="R480" s="64"/>
    </row>
    <row r="481" spans="17:18" outlineLevel="1" x14ac:dyDescent="0.3">
      <c r="Q481" s="66"/>
      <c r="R481" s="64"/>
    </row>
    <row r="482" spans="17:18" outlineLevel="1" x14ac:dyDescent="0.3">
      <c r="Q482" s="66"/>
      <c r="R482" s="64"/>
    </row>
    <row r="483" spans="17:18" outlineLevel="1" x14ac:dyDescent="0.3">
      <c r="Q483" s="66"/>
      <c r="R483" s="64"/>
    </row>
    <row r="484" spans="17:18" outlineLevel="1" x14ac:dyDescent="0.3">
      <c r="Q484" s="66"/>
      <c r="R484" s="64"/>
    </row>
    <row r="485" spans="17:18" outlineLevel="1" x14ac:dyDescent="0.3">
      <c r="Q485" s="66"/>
      <c r="R485" s="64"/>
    </row>
    <row r="486" spans="17:18" outlineLevel="1" x14ac:dyDescent="0.3">
      <c r="Q486" s="66"/>
      <c r="R486" s="64"/>
    </row>
    <row r="487" spans="17:18" outlineLevel="1" x14ac:dyDescent="0.3">
      <c r="Q487" s="66"/>
      <c r="R487" s="64"/>
    </row>
    <row r="488" spans="17:18" outlineLevel="1" x14ac:dyDescent="0.3">
      <c r="Q488" s="66"/>
      <c r="R488" s="64"/>
    </row>
    <row r="489" spans="17:18" outlineLevel="1" x14ac:dyDescent="0.3">
      <c r="Q489" s="66"/>
      <c r="R489" s="64"/>
    </row>
    <row r="490" spans="17:18" outlineLevel="1" x14ac:dyDescent="0.3">
      <c r="Q490" s="66"/>
      <c r="R490" s="64"/>
    </row>
    <row r="491" spans="17:18" outlineLevel="1" x14ac:dyDescent="0.3">
      <c r="Q491" s="66"/>
      <c r="R491" s="64"/>
    </row>
    <row r="492" spans="17:18" outlineLevel="1" x14ac:dyDescent="0.3">
      <c r="Q492" s="66"/>
      <c r="R492" s="64"/>
    </row>
    <row r="493" spans="17:18" outlineLevel="1" x14ac:dyDescent="0.3">
      <c r="Q493" s="66"/>
      <c r="R493" s="64"/>
    </row>
    <row r="494" spans="17:18" outlineLevel="1" x14ac:dyDescent="0.3">
      <c r="Q494" s="66"/>
      <c r="R494" s="64"/>
    </row>
    <row r="495" spans="17:18" outlineLevel="1" x14ac:dyDescent="0.3">
      <c r="Q495" s="66"/>
      <c r="R495" s="64"/>
    </row>
    <row r="496" spans="17:18" outlineLevel="1" x14ac:dyDescent="0.3">
      <c r="Q496" s="66"/>
      <c r="R496" s="64"/>
    </row>
    <row r="497" spans="17:18" outlineLevel="1" x14ac:dyDescent="0.3">
      <c r="Q497" s="66"/>
      <c r="R497" s="64"/>
    </row>
    <row r="498" spans="17:18" outlineLevel="1" x14ac:dyDescent="0.3">
      <c r="Q498" s="66"/>
      <c r="R498" s="64"/>
    </row>
    <row r="499" spans="17:18" outlineLevel="1" x14ac:dyDescent="0.3">
      <c r="Q499" s="66"/>
      <c r="R499" s="64"/>
    </row>
    <row r="500" spans="17:18" outlineLevel="1" x14ac:dyDescent="0.3">
      <c r="Q500" s="66"/>
      <c r="R500" s="64"/>
    </row>
    <row r="501" spans="17:18" outlineLevel="1" x14ac:dyDescent="0.3">
      <c r="Q501" s="66"/>
      <c r="R501" s="64"/>
    </row>
    <row r="502" spans="17:18" outlineLevel="1" x14ac:dyDescent="0.3">
      <c r="Q502" s="66"/>
      <c r="R502" s="64"/>
    </row>
    <row r="503" spans="17:18" outlineLevel="1" x14ac:dyDescent="0.3">
      <c r="Q503" s="66"/>
      <c r="R503" s="64"/>
    </row>
    <row r="504" spans="17:18" outlineLevel="1" x14ac:dyDescent="0.3">
      <c r="Q504" s="66"/>
      <c r="R504" s="64"/>
    </row>
    <row r="505" spans="17:18" outlineLevel="1" x14ac:dyDescent="0.3">
      <c r="Q505" s="66"/>
      <c r="R505" s="64"/>
    </row>
    <row r="506" spans="17:18" outlineLevel="1" x14ac:dyDescent="0.3">
      <c r="Q506" s="66"/>
      <c r="R506" s="64"/>
    </row>
    <row r="507" spans="17:18" outlineLevel="1" x14ac:dyDescent="0.3">
      <c r="Q507" s="66"/>
      <c r="R507" s="64"/>
    </row>
    <row r="508" spans="17:18" outlineLevel="1" x14ac:dyDescent="0.3">
      <c r="Q508" s="66"/>
      <c r="R508" s="64"/>
    </row>
    <row r="509" spans="17:18" outlineLevel="1" x14ac:dyDescent="0.3">
      <c r="Q509" s="66"/>
      <c r="R509" s="64"/>
    </row>
    <row r="510" spans="17:18" outlineLevel="1" x14ac:dyDescent="0.3">
      <c r="Q510" s="66"/>
      <c r="R510" s="64"/>
    </row>
    <row r="511" spans="17:18" outlineLevel="1" x14ac:dyDescent="0.3">
      <c r="Q511" s="66"/>
      <c r="R511" s="64"/>
    </row>
    <row r="512" spans="17:18" outlineLevel="1" x14ac:dyDescent="0.3">
      <c r="Q512" s="66"/>
      <c r="R512" s="64"/>
    </row>
    <row r="513" spans="17:18" outlineLevel="1" x14ac:dyDescent="0.3">
      <c r="Q513" s="66"/>
      <c r="R513" s="64"/>
    </row>
    <row r="514" spans="17:18" outlineLevel="1" x14ac:dyDescent="0.3">
      <c r="Q514" s="66"/>
      <c r="R514" s="64"/>
    </row>
    <row r="515" spans="17:18" outlineLevel="1" x14ac:dyDescent="0.3">
      <c r="Q515" s="66"/>
      <c r="R515" s="64"/>
    </row>
    <row r="516" spans="17:18" outlineLevel="1" x14ac:dyDescent="0.3">
      <c r="Q516" s="66"/>
      <c r="R516" s="64"/>
    </row>
    <row r="517" spans="17:18" outlineLevel="1" x14ac:dyDescent="0.3">
      <c r="Q517" s="66"/>
      <c r="R517" s="64"/>
    </row>
    <row r="518" spans="17:18" outlineLevel="1" x14ac:dyDescent="0.3">
      <c r="Q518" s="66"/>
      <c r="R518" s="64"/>
    </row>
    <row r="519" spans="17:18" outlineLevel="1" x14ac:dyDescent="0.3">
      <c r="Q519" s="66"/>
      <c r="R519" s="64"/>
    </row>
    <row r="520" spans="17:18" outlineLevel="1" x14ac:dyDescent="0.3">
      <c r="Q520" s="66"/>
      <c r="R520" s="64"/>
    </row>
    <row r="521" spans="17:18" outlineLevel="1" x14ac:dyDescent="0.3">
      <c r="Q521" s="66"/>
      <c r="R521" s="64"/>
    </row>
    <row r="522" spans="17:18" outlineLevel="1" x14ac:dyDescent="0.3">
      <c r="Q522" s="66"/>
      <c r="R522" s="64"/>
    </row>
    <row r="523" spans="17:18" outlineLevel="1" x14ac:dyDescent="0.3">
      <c r="Q523" s="66"/>
      <c r="R523" s="64"/>
    </row>
    <row r="524" spans="17:18" outlineLevel="1" x14ac:dyDescent="0.3">
      <c r="Q524" s="66"/>
      <c r="R524" s="64"/>
    </row>
    <row r="525" spans="17:18" outlineLevel="1" x14ac:dyDescent="0.3">
      <c r="Q525" s="66"/>
      <c r="R525" s="64"/>
    </row>
    <row r="526" spans="17:18" outlineLevel="1" x14ac:dyDescent="0.3">
      <c r="Q526" s="66"/>
      <c r="R526" s="64"/>
    </row>
    <row r="527" spans="17:18" outlineLevel="1" x14ac:dyDescent="0.3">
      <c r="Q527" s="66"/>
      <c r="R527" s="64"/>
    </row>
    <row r="528" spans="17:18" outlineLevel="1" x14ac:dyDescent="0.3">
      <c r="Q528" s="66"/>
      <c r="R528" s="64"/>
    </row>
    <row r="529" spans="17:18" outlineLevel="1" x14ac:dyDescent="0.3">
      <c r="Q529" s="66"/>
      <c r="R529" s="64"/>
    </row>
    <row r="530" spans="17:18" outlineLevel="1" x14ac:dyDescent="0.3">
      <c r="Q530" s="66"/>
      <c r="R530" s="64"/>
    </row>
    <row r="531" spans="17:18" outlineLevel="1" x14ac:dyDescent="0.3">
      <c r="Q531" s="66"/>
      <c r="R531" s="64"/>
    </row>
    <row r="532" spans="17:18" outlineLevel="1" x14ac:dyDescent="0.3">
      <c r="Q532" s="66"/>
      <c r="R532" s="64"/>
    </row>
    <row r="533" spans="17:18" outlineLevel="1" x14ac:dyDescent="0.3">
      <c r="Q533" s="66"/>
      <c r="R533" s="64"/>
    </row>
    <row r="534" spans="17:18" outlineLevel="1" x14ac:dyDescent="0.3">
      <c r="Q534" s="66"/>
      <c r="R534" s="64"/>
    </row>
    <row r="535" spans="17:18" outlineLevel="1" x14ac:dyDescent="0.3">
      <c r="Q535" s="66"/>
      <c r="R535" s="64"/>
    </row>
    <row r="536" spans="17:18" outlineLevel="1" x14ac:dyDescent="0.3">
      <c r="Q536" s="66"/>
      <c r="R536" s="64"/>
    </row>
    <row r="537" spans="17:18" outlineLevel="1" x14ac:dyDescent="0.3">
      <c r="Q537" s="66"/>
      <c r="R537" s="64"/>
    </row>
    <row r="538" spans="17:18" outlineLevel="1" x14ac:dyDescent="0.3">
      <c r="Q538" s="66"/>
      <c r="R538" s="64"/>
    </row>
    <row r="539" spans="17:18" outlineLevel="1" x14ac:dyDescent="0.3">
      <c r="Q539" s="66"/>
      <c r="R539" s="64"/>
    </row>
    <row r="540" spans="17:18" outlineLevel="1" x14ac:dyDescent="0.3">
      <c r="Q540" s="66"/>
      <c r="R540" s="64"/>
    </row>
    <row r="541" spans="17:18" outlineLevel="1" x14ac:dyDescent="0.3">
      <c r="Q541" s="66"/>
      <c r="R541" s="64"/>
    </row>
    <row r="542" spans="17:18" outlineLevel="1" x14ac:dyDescent="0.3">
      <c r="Q542" s="66"/>
      <c r="R542" s="64"/>
    </row>
    <row r="543" spans="17:18" outlineLevel="1" x14ac:dyDescent="0.3">
      <c r="Q543" s="66"/>
      <c r="R543" s="64"/>
    </row>
    <row r="544" spans="17:18" outlineLevel="1" x14ac:dyDescent="0.3">
      <c r="Q544" s="66"/>
      <c r="R544" s="64"/>
    </row>
    <row r="545" spans="17:18" outlineLevel="1" x14ac:dyDescent="0.3">
      <c r="Q545" s="66"/>
      <c r="R545" s="64"/>
    </row>
    <row r="546" spans="17:18" outlineLevel="1" x14ac:dyDescent="0.3">
      <c r="Q546" s="66"/>
      <c r="R546" s="64"/>
    </row>
    <row r="547" spans="17:18" outlineLevel="1" x14ac:dyDescent="0.3">
      <c r="Q547" s="66"/>
      <c r="R547" s="64"/>
    </row>
    <row r="548" spans="17:18" outlineLevel="1" x14ac:dyDescent="0.3">
      <c r="Q548" s="66"/>
      <c r="R548" s="64"/>
    </row>
    <row r="549" spans="17:18" outlineLevel="1" x14ac:dyDescent="0.3">
      <c r="Q549" s="66"/>
      <c r="R549" s="64"/>
    </row>
    <row r="550" spans="17:18" outlineLevel="1" x14ac:dyDescent="0.3">
      <c r="Q550" s="66"/>
      <c r="R550" s="64"/>
    </row>
    <row r="551" spans="17:18" outlineLevel="1" x14ac:dyDescent="0.3">
      <c r="Q551" s="66"/>
      <c r="R551" s="64"/>
    </row>
    <row r="552" spans="17:18" outlineLevel="1" x14ac:dyDescent="0.3">
      <c r="Q552" s="66"/>
      <c r="R552" s="64"/>
    </row>
    <row r="553" spans="17:18" outlineLevel="1" x14ac:dyDescent="0.3">
      <c r="Q553" s="66"/>
      <c r="R553" s="64"/>
    </row>
    <row r="554" spans="17:18" outlineLevel="1" x14ac:dyDescent="0.3">
      <c r="Q554" s="66"/>
      <c r="R554" s="64"/>
    </row>
    <row r="555" spans="17:18" outlineLevel="1" x14ac:dyDescent="0.3">
      <c r="Q555" s="66"/>
      <c r="R555" s="64"/>
    </row>
    <row r="556" spans="17:18" outlineLevel="1" x14ac:dyDescent="0.3">
      <c r="Q556" s="66"/>
      <c r="R556" s="64"/>
    </row>
    <row r="557" spans="17:18" outlineLevel="1" x14ac:dyDescent="0.3">
      <c r="Q557" s="66"/>
      <c r="R557" s="64"/>
    </row>
    <row r="558" spans="17:18" outlineLevel="1" x14ac:dyDescent="0.3">
      <c r="Q558" s="66"/>
      <c r="R558" s="64"/>
    </row>
    <row r="559" spans="17:18" outlineLevel="1" x14ac:dyDescent="0.3">
      <c r="Q559" s="66"/>
      <c r="R559" s="64"/>
    </row>
    <row r="560" spans="17:18" outlineLevel="1" x14ac:dyDescent="0.3">
      <c r="Q560" s="66"/>
      <c r="R560" s="64"/>
    </row>
    <row r="561" spans="17:18" outlineLevel="1" x14ac:dyDescent="0.3">
      <c r="Q561" s="66"/>
      <c r="R561" s="64"/>
    </row>
    <row r="562" spans="17:18" outlineLevel="1" x14ac:dyDescent="0.3">
      <c r="Q562" s="66"/>
      <c r="R562" s="64"/>
    </row>
    <row r="563" spans="17:18" outlineLevel="1" x14ac:dyDescent="0.3">
      <c r="Q563" s="66"/>
      <c r="R563" s="64"/>
    </row>
    <row r="564" spans="17:18" outlineLevel="1" x14ac:dyDescent="0.3">
      <c r="Q564" s="66"/>
      <c r="R564" s="64"/>
    </row>
    <row r="565" spans="17:18" outlineLevel="1" x14ac:dyDescent="0.3">
      <c r="Q565" s="66"/>
      <c r="R565" s="64"/>
    </row>
    <row r="566" spans="17:18" outlineLevel="1" x14ac:dyDescent="0.3">
      <c r="Q566" s="66"/>
      <c r="R566" s="64"/>
    </row>
    <row r="567" spans="17:18" outlineLevel="1" x14ac:dyDescent="0.3">
      <c r="Q567" s="66"/>
      <c r="R567" s="64"/>
    </row>
    <row r="568" spans="17:18" outlineLevel="1" x14ac:dyDescent="0.3">
      <c r="Q568" s="66"/>
      <c r="R568" s="64"/>
    </row>
    <row r="569" spans="17:18" outlineLevel="1" x14ac:dyDescent="0.3">
      <c r="Q569" s="66"/>
      <c r="R569" s="64"/>
    </row>
    <row r="570" spans="17:18" outlineLevel="1" x14ac:dyDescent="0.3">
      <c r="Q570" s="66"/>
      <c r="R570" s="64"/>
    </row>
    <row r="571" spans="17:18" outlineLevel="1" x14ac:dyDescent="0.3">
      <c r="Q571" s="66"/>
      <c r="R571" s="64"/>
    </row>
    <row r="572" spans="17:18" outlineLevel="1" x14ac:dyDescent="0.3">
      <c r="Q572" s="66"/>
      <c r="R572" s="64"/>
    </row>
    <row r="573" spans="17:18" outlineLevel="1" x14ac:dyDescent="0.3">
      <c r="Q573" s="66"/>
      <c r="R573" s="64"/>
    </row>
    <row r="574" spans="17:18" outlineLevel="1" x14ac:dyDescent="0.3">
      <c r="Q574" s="66"/>
      <c r="R574" s="64"/>
    </row>
    <row r="575" spans="17:18" outlineLevel="1" x14ac:dyDescent="0.3">
      <c r="Q575" s="66"/>
      <c r="R575" s="64"/>
    </row>
    <row r="576" spans="17:18" outlineLevel="1" x14ac:dyDescent="0.3">
      <c r="Q576" s="66"/>
      <c r="R576" s="64"/>
    </row>
    <row r="577" spans="17:18" outlineLevel="1" x14ac:dyDescent="0.3">
      <c r="Q577" s="66"/>
      <c r="R577" s="64"/>
    </row>
    <row r="578" spans="17:18" outlineLevel="1" x14ac:dyDescent="0.3">
      <c r="Q578" s="66"/>
      <c r="R578" s="64"/>
    </row>
    <row r="579" spans="17:18" outlineLevel="1" x14ac:dyDescent="0.3">
      <c r="Q579" s="66"/>
      <c r="R579" s="64"/>
    </row>
    <row r="580" spans="17:18" outlineLevel="1" x14ac:dyDescent="0.3">
      <c r="Q580" s="66"/>
      <c r="R580" s="64"/>
    </row>
    <row r="581" spans="17:18" outlineLevel="1" x14ac:dyDescent="0.3">
      <c r="Q581" s="66"/>
      <c r="R581" s="64"/>
    </row>
    <row r="582" spans="17:18" outlineLevel="1" x14ac:dyDescent="0.3">
      <c r="Q582" s="66"/>
      <c r="R582" s="64"/>
    </row>
    <row r="583" spans="17:18" outlineLevel="1" x14ac:dyDescent="0.3">
      <c r="Q583" s="66"/>
      <c r="R583" s="64"/>
    </row>
    <row r="584" spans="17:18" outlineLevel="1" x14ac:dyDescent="0.3">
      <c r="Q584" s="66"/>
      <c r="R584" s="64"/>
    </row>
    <row r="585" spans="17:18" outlineLevel="1" x14ac:dyDescent="0.3">
      <c r="Q585" s="66"/>
      <c r="R585" s="64"/>
    </row>
    <row r="586" spans="17:18" outlineLevel="1" x14ac:dyDescent="0.3">
      <c r="Q586" s="66"/>
      <c r="R586" s="64"/>
    </row>
    <row r="587" spans="17:18" outlineLevel="1" x14ac:dyDescent="0.3">
      <c r="Q587" s="66"/>
      <c r="R587" s="64"/>
    </row>
    <row r="588" spans="17:18" outlineLevel="1" x14ac:dyDescent="0.3">
      <c r="Q588" s="66"/>
      <c r="R588" s="64"/>
    </row>
    <row r="589" spans="17:18" outlineLevel="1" x14ac:dyDescent="0.3">
      <c r="Q589" s="66"/>
      <c r="R589" s="64"/>
    </row>
    <row r="590" spans="17:18" outlineLevel="1" x14ac:dyDescent="0.3">
      <c r="Q590" s="66"/>
      <c r="R590" s="64"/>
    </row>
    <row r="591" spans="17:18" outlineLevel="1" x14ac:dyDescent="0.3">
      <c r="Q591" s="66"/>
      <c r="R591" s="64"/>
    </row>
    <row r="592" spans="17:18" outlineLevel="1" x14ac:dyDescent="0.3">
      <c r="Q592" s="66"/>
      <c r="R592" s="64"/>
    </row>
    <row r="593" spans="17:18" outlineLevel="1" x14ac:dyDescent="0.3">
      <c r="Q593" s="66"/>
      <c r="R593" s="64"/>
    </row>
    <row r="594" spans="17:18" outlineLevel="1" x14ac:dyDescent="0.3">
      <c r="Q594" s="66"/>
      <c r="R594" s="64"/>
    </row>
    <row r="595" spans="17:18" outlineLevel="1" x14ac:dyDescent="0.3">
      <c r="Q595" s="66"/>
      <c r="R595" s="64"/>
    </row>
    <row r="596" spans="17:18" outlineLevel="1" x14ac:dyDescent="0.3">
      <c r="Q596" s="66"/>
      <c r="R596" s="64"/>
    </row>
    <row r="597" spans="17:18" outlineLevel="1" x14ac:dyDescent="0.3">
      <c r="Q597" s="66"/>
      <c r="R597" s="64"/>
    </row>
    <row r="598" spans="17:18" outlineLevel="1" x14ac:dyDescent="0.3">
      <c r="Q598" s="66"/>
      <c r="R598" s="64"/>
    </row>
    <row r="599" spans="17:18" outlineLevel="1" x14ac:dyDescent="0.3">
      <c r="Q599" s="66"/>
      <c r="R599" s="64"/>
    </row>
    <row r="600" spans="17:18" outlineLevel="1" x14ac:dyDescent="0.3">
      <c r="Q600" s="66"/>
      <c r="R600" s="64"/>
    </row>
    <row r="601" spans="17:18" outlineLevel="1" x14ac:dyDescent="0.3">
      <c r="Q601" s="66"/>
      <c r="R601" s="64"/>
    </row>
    <row r="602" spans="17:18" outlineLevel="1" x14ac:dyDescent="0.3">
      <c r="Q602" s="66"/>
      <c r="R602" s="64"/>
    </row>
    <row r="603" spans="17:18" outlineLevel="1" x14ac:dyDescent="0.3">
      <c r="Q603" s="66"/>
      <c r="R603" s="64"/>
    </row>
    <row r="604" spans="17:18" outlineLevel="1" x14ac:dyDescent="0.3">
      <c r="Q604" s="66"/>
      <c r="R604" s="64"/>
    </row>
    <row r="605" spans="17:18" outlineLevel="1" x14ac:dyDescent="0.3">
      <c r="Q605" s="66"/>
      <c r="R605" s="64"/>
    </row>
    <row r="606" spans="17:18" outlineLevel="1" x14ac:dyDescent="0.3">
      <c r="Q606" s="66"/>
      <c r="R606" s="64"/>
    </row>
    <row r="607" spans="17:18" outlineLevel="1" x14ac:dyDescent="0.3">
      <c r="Q607" s="66"/>
      <c r="R607" s="64"/>
    </row>
    <row r="608" spans="17:18" outlineLevel="1" x14ac:dyDescent="0.3">
      <c r="Q608" s="66"/>
      <c r="R608" s="64"/>
    </row>
    <row r="609" spans="17:18" outlineLevel="1" x14ac:dyDescent="0.3">
      <c r="Q609" s="66"/>
      <c r="R609" s="64"/>
    </row>
    <row r="610" spans="17:18" outlineLevel="1" x14ac:dyDescent="0.3">
      <c r="Q610" s="66"/>
      <c r="R610" s="64"/>
    </row>
    <row r="611" spans="17:18" outlineLevel="1" x14ac:dyDescent="0.3">
      <c r="Q611" s="66"/>
      <c r="R611" s="64"/>
    </row>
    <row r="612" spans="17:18" outlineLevel="1" x14ac:dyDescent="0.3">
      <c r="Q612" s="66"/>
      <c r="R612" s="64"/>
    </row>
    <row r="613" spans="17:18" outlineLevel="1" x14ac:dyDescent="0.3">
      <c r="Q613" s="66"/>
      <c r="R613" s="64"/>
    </row>
    <row r="614" spans="17:18" outlineLevel="1" x14ac:dyDescent="0.3">
      <c r="Q614" s="66"/>
      <c r="R614" s="64"/>
    </row>
    <row r="615" spans="17:18" outlineLevel="1" x14ac:dyDescent="0.3">
      <c r="Q615" s="66"/>
      <c r="R615" s="64"/>
    </row>
    <row r="616" spans="17:18" outlineLevel="1" x14ac:dyDescent="0.3">
      <c r="Q616" s="66"/>
      <c r="R616" s="64"/>
    </row>
    <row r="617" spans="17:18" outlineLevel="1" x14ac:dyDescent="0.3">
      <c r="Q617" s="66"/>
      <c r="R617" s="64"/>
    </row>
    <row r="618" spans="17:18" outlineLevel="1" x14ac:dyDescent="0.3">
      <c r="Q618" s="66"/>
      <c r="R618" s="64"/>
    </row>
    <row r="619" spans="17:18" outlineLevel="1" x14ac:dyDescent="0.3">
      <c r="Q619" s="66"/>
      <c r="R619" s="64"/>
    </row>
    <row r="620" spans="17:18" outlineLevel="1" x14ac:dyDescent="0.3">
      <c r="Q620" s="66"/>
      <c r="R620" s="64"/>
    </row>
    <row r="621" spans="17:18" outlineLevel="1" x14ac:dyDescent="0.3">
      <c r="Q621" s="66"/>
      <c r="R621" s="64"/>
    </row>
    <row r="622" spans="17:18" outlineLevel="1" x14ac:dyDescent="0.3">
      <c r="Q622" s="66"/>
      <c r="R622" s="64"/>
    </row>
    <row r="623" spans="17:18" outlineLevel="1" x14ac:dyDescent="0.3">
      <c r="Q623" s="66"/>
      <c r="R623" s="64"/>
    </row>
    <row r="624" spans="17:18" outlineLevel="1" x14ac:dyDescent="0.3">
      <c r="Q624" s="66"/>
      <c r="R624" s="64"/>
    </row>
    <row r="625" spans="17:18" outlineLevel="1" x14ac:dyDescent="0.3">
      <c r="Q625" s="66"/>
      <c r="R625" s="64"/>
    </row>
    <row r="626" spans="17:18" outlineLevel="1" x14ac:dyDescent="0.3">
      <c r="Q626" s="66"/>
      <c r="R626" s="64"/>
    </row>
    <row r="627" spans="17:18" outlineLevel="1" x14ac:dyDescent="0.3">
      <c r="Q627" s="66"/>
      <c r="R627" s="64"/>
    </row>
    <row r="628" spans="17:18" outlineLevel="1" x14ac:dyDescent="0.3">
      <c r="Q628" s="66"/>
      <c r="R628" s="64"/>
    </row>
    <row r="629" spans="17:18" outlineLevel="1" x14ac:dyDescent="0.3">
      <c r="Q629" s="66"/>
      <c r="R629" s="64"/>
    </row>
    <row r="630" spans="17:18" outlineLevel="1" x14ac:dyDescent="0.3">
      <c r="Q630" s="66"/>
      <c r="R630" s="64"/>
    </row>
    <row r="631" spans="17:18" outlineLevel="1" x14ac:dyDescent="0.3">
      <c r="Q631" s="66"/>
      <c r="R631" s="64"/>
    </row>
    <row r="632" spans="17:18" outlineLevel="1" x14ac:dyDescent="0.3">
      <c r="Q632" s="66"/>
      <c r="R632" s="64"/>
    </row>
    <row r="633" spans="17:18" outlineLevel="1" x14ac:dyDescent="0.3">
      <c r="Q633" s="66"/>
      <c r="R633" s="64"/>
    </row>
    <row r="634" spans="17:18" outlineLevel="1" x14ac:dyDescent="0.3">
      <c r="Q634" s="66"/>
      <c r="R634" s="64"/>
    </row>
    <row r="635" spans="17:18" outlineLevel="1" x14ac:dyDescent="0.3">
      <c r="Q635" s="66"/>
      <c r="R635" s="64"/>
    </row>
    <row r="636" spans="17:18" outlineLevel="1" x14ac:dyDescent="0.3">
      <c r="Q636" s="66"/>
      <c r="R636" s="64"/>
    </row>
    <row r="637" spans="17:18" outlineLevel="1" x14ac:dyDescent="0.3">
      <c r="Q637" s="66"/>
      <c r="R637" s="64"/>
    </row>
    <row r="638" spans="17:18" outlineLevel="1" x14ac:dyDescent="0.3">
      <c r="Q638" s="66"/>
      <c r="R638" s="64"/>
    </row>
    <row r="639" spans="17:18" outlineLevel="1" x14ac:dyDescent="0.3">
      <c r="Q639" s="66"/>
      <c r="R639" s="64"/>
    </row>
    <row r="640" spans="17:18" outlineLevel="1" x14ac:dyDescent="0.3">
      <c r="Q640" s="66"/>
      <c r="R640" s="64"/>
    </row>
    <row r="641" spans="17:18" outlineLevel="1" x14ac:dyDescent="0.3">
      <c r="Q641" s="66"/>
      <c r="R641" s="64"/>
    </row>
    <row r="642" spans="17:18" outlineLevel="1" x14ac:dyDescent="0.3">
      <c r="Q642" s="66"/>
      <c r="R642" s="64"/>
    </row>
    <row r="643" spans="17:18" outlineLevel="1" x14ac:dyDescent="0.3">
      <c r="Q643" s="66"/>
      <c r="R643" s="64"/>
    </row>
    <row r="644" spans="17:18" outlineLevel="1" x14ac:dyDescent="0.3">
      <c r="Q644" s="66"/>
      <c r="R644" s="64"/>
    </row>
    <row r="645" spans="17:18" outlineLevel="1" x14ac:dyDescent="0.3">
      <c r="Q645" s="66"/>
      <c r="R645" s="64"/>
    </row>
    <row r="646" spans="17:18" outlineLevel="1" x14ac:dyDescent="0.3">
      <c r="Q646" s="66"/>
      <c r="R646" s="64"/>
    </row>
    <row r="647" spans="17:18" outlineLevel="1" x14ac:dyDescent="0.3">
      <c r="Q647" s="66"/>
      <c r="R647" s="64"/>
    </row>
    <row r="648" spans="17:18" outlineLevel="1" x14ac:dyDescent="0.3">
      <c r="Q648" s="66"/>
      <c r="R648" s="64"/>
    </row>
    <row r="649" spans="17:18" outlineLevel="1" x14ac:dyDescent="0.3">
      <c r="Q649" s="66"/>
      <c r="R649" s="64"/>
    </row>
    <row r="650" spans="17:18" outlineLevel="1" x14ac:dyDescent="0.3">
      <c r="Q650" s="66"/>
      <c r="R650" s="64"/>
    </row>
    <row r="651" spans="17:18" outlineLevel="1" x14ac:dyDescent="0.3">
      <c r="Q651" s="66"/>
      <c r="R651" s="64"/>
    </row>
    <row r="652" spans="17:18" outlineLevel="1" x14ac:dyDescent="0.3">
      <c r="Q652" s="66"/>
      <c r="R652" s="64"/>
    </row>
    <row r="653" spans="17:18" outlineLevel="1" x14ac:dyDescent="0.3">
      <c r="Q653" s="66"/>
      <c r="R653" s="64"/>
    </row>
    <row r="654" spans="17:18" outlineLevel="1" x14ac:dyDescent="0.3">
      <c r="Q654" s="66"/>
      <c r="R654" s="64"/>
    </row>
    <row r="655" spans="17:18" outlineLevel="1" x14ac:dyDescent="0.3">
      <c r="Q655" s="66"/>
      <c r="R655" s="64"/>
    </row>
    <row r="656" spans="17:18" outlineLevel="1" x14ac:dyDescent="0.3">
      <c r="Q656" s="66"/>
      <c r="R656" s="64"/>
    </row>
    <row r="657" spans="17:18" outlineLevel="1" x14ac:dyDescent="0.3">
      <c r="Q657" s="66"/>
      <c r="R657" s="64"/>
    </row>
    <row r="658" spans="17:18" outlineLevel="1" x14ac:dyDescent="0.3">
      <c r="Q658" s="66"/>
      <c r="R658" s="64"/>
    </row>
    <row r="659" spans="17:18" outlineLevel="1" x14ac:dyDescent="0.3">
      <c r="Q659" s="66"/>
      <c r="R659" s="64"/>
    </row>
    <row r="660" spans="17:18" outlineLevel="1" x14ac:dyDescent="0.3">
      <c r="Q660" s="66"/>
      <c r="R660" s="64"/>
    </row>
    <row r="661" spans="17:18" outlineLevel="1" x14ac:dyDescent="0.3">
      <c r="Q661" s="66"/>
      <c r="R661" s="64"/>
    </row>
    <row r="662" spans="17:18" outlineLevel="1" x14ac:dyDescent="0.3">
      <c r="Q662" s="66"/>
      <c r="R662" s="64"/>
    </row>
    <row r="663" spans="17:18" outlineLevel="1" x14ac:dyDescent="0.3">
      <c r="Q663" s="66"/>
      <c r="R663" s="64"/>
    </row>
    <row r="664" spans="17:18" outlineLevel="1" x14ac:dyDescent="0.3">
      <c r="Q664" s="66"/>
      <c r="R664" s="64"/>
    </row>
    <row r="665" spans="17:18" outlineLevel="1" x14ac:dyDescent="0.3">
      <c r="Q665" s="66"/>
      <c r="R665" s="64"/>
    </row>
    <row r="666" spans="17:18" outlineLevel="1" x14ac:dyDescent="0.3">
      <c r="Q666" s="66"/>
      <c r="R666" s="64"/>
    </row>
    <row r="667" spans="17:18" outlineLevel="1" x14ac:dyDescent="0.3">
      <c r="Q667" s="66"/>
      <c r="R667" s="64"/>
    </row>
    <row r="668" spans="17:18" outlineLevel="1" x14ac:dyDescent="0.3">
      <c r="Q668" s="66"/>
      <c r="R668" s="64"/>
    </row>
    <row r="669" spans="17:18" outlineLevel="1" x14ac:dyDescent="0.3">
      <c r="Q669" s="66"/>
      <c r="R669" s="64"/>
    </row>
    <row r="670" spans="17:18" outlineLevel="1" x14ac:dyDescent="0.3">
      <c r="Q670" s="66"/>
      <c r="R670" s="64"/>
    </row>
    <row r="671" spans="17:18" outlineLevel="1" x14ac:dyDescent="0.3">
      <c r="Q671" s="66"/>
      <c r="R671" s="64"/>
    </row>
    <row r="672" spans="17:18" outlineLevel="1" x14ac:dyDescent="0.3">
      <c r="Q672" s="66"/>
      <c r="R672" s="64"/>
    </row>
    <row r="673" spans="17:18" outlineLevel="1" x14ac:dyDescent="0.3">
      <c r="Q673" s="66"/>
      <c r="R673" s="64"/>
    </row>
    <row r="674" spans="17:18" outlineLevel="1" x14ac:dyDescent="0.3">
      <c r="Q674" s="66"/>
      <c r="R674" s="64"/>
    </row>
    <row r="675" spans="17:18" outlineLevel="1" x14ac:dyDescent="0.3">
      <c r="Q675" s="66"/>
      <c r="R675" s="64"/>
    </row>
    <row r="676" spans="17:18" outlineLevel="1" x14ac:dyDescent="0.3">
      <c r="Q676" s="66"/>
      <c r="R676" s="64"/>
    </row>
    <row r="677" spans="17:18" outlineLevel="1" x14ac:dyDescent="0.3">
      <c r="Q677" s="66"/>
      <c r="R677" s="64"/>
    </row>
    <row r="678" spans="17:18" outlineLevel="1" x14ac:dyDescent="0.3">
      <c r="Q678" s="66"/>
      <c r="R678" s="64"/>
    </row>
    <row r="679" spans="17:18" outlineLevel="1" x14ac:dyDescent="0.3">
      <c r="Q679" s="66"/>
      <c r="R679" s="64"/>
    </row>
    <row r="680" spans="17:18" outlineLevel="1" x14ac:dyDescent="0.3">
      <c r="Q680" s="66"/>
      <c r="R680" s="64"/>
    </row>
    <row r="681" spans="17:18" outlineLevel="1" x14ac:dyDescent="0.3">
      <c r="Q681" s="66"/>
      <c r="R681" s="64"/>
    </row>
    <row r="682" spans="17:18" outlineLevel="1" x14ac:dyDescent="0.3">
      <c r="Q682" s="66"/>
      <c r="R682" s="64"/>
    </row>
    <row r="683" spans="17:18" outlineLevel="1" x14ac:dyDescent="0.3">
      <c r="Q683" s="66"/>
      <c r="R683" s="64"/>
    </row>
    <row r="684" spans="17:18" outlineLevel="1" x14ac:dyDescent="0.3">
      <c r="Q684" s="66"/>
      <c r="R684" s="64"/>
    </row>
    <row r="685" spans="17:18" outlineLevel="1" x14ac:dyDescent="0.3">
      <c r="Q685" s="66"/>
      <c r="R685" s="64"/>
    </row>
    <row r="686" spans="17:18" outlineLevel="1" x14ac:dyDescent="0.3">
      <c r="Q686" s="66"/>
      <c r="R686" s="64"/>
    </row>
    <row r="687" spans="17:18" outlineLevel="1" x14ac:dyDescent="0.3">
      <c r="Q687" s="66"/>
      <c r="R687" s="64"/>
    </row>
    <row r="688" spans="17:18" outlineLevel="1" x14ac:dyDescent="0.3"/>
    <row r="689" outlineLevel="1" x14ac:dyDescent="0.3"/>
    <row r="690" outlineLevel="1" x14ac:dyDescent="0.3"/>
    <row r="691" outlineLevel="1" x14ac:dyDescent="0.3"/>
    <row r="692" outlineLevel="1" x14ac:dyDescent="0.3"/>
    <row r="693" outlineLevel="1" x14ac:dyDescent="0.3"/>
    <row r="694" outlineLevel="1" x14ac:dyDescent="0.3"/>
    <row r="695" outlineLevel="1" x14ac:dyDescent="0.3"/>
    <row r="696" outlineLevel="1" x14ac:dyDescent="0.3"/>
    <row r="697" outlineLevel="1" x14ac:dyDescent="0.3"/>
    <row r="698" outlineLevel="1" x14ac:dyDescent="0.3"/>
    <row r="699" outlineLevel="1" x14ac:dyDescent="0.3"/>
    <row r="700" outlineLevel="1" x14ac:dyDescent="0.3"/>
    <row r="701" outlineLevel="1" x14ac:dyDescent="0.3"/>
    <row r="702" outlineLevel="1" x14ac:dyDescent="0.3"/>
    <row r="703" outlineLevel="1" x14ac:dyDescent="0.3"/>
    <row r="704" outlineLevel="1" x14ac:dyDescent="0.3"/>
    <row r="705" outlineLevel="1" x14ac:dyDescent="0.3"/>
    <row r="706" outlineLevel="1" x14ac:dyDescent="0.3"/>
    <row r="707" outlineLevel="1" x14ac:dyDescent="0.3"/>
    <row r="708" outlineLevel="1" x14ac:dyDescent="0.3"/>
    <row r="709" outlineLevel="1" x14ac:dyDescent="0.3"/>
    <row r="710" outlineLevel="1" x14ac:dyDescent="0.3"/>
    <row r="711" outlineLevel="1" x14ac:dyDescent="0.3"/>
    <row r="712" outlineLevel="1" x14ac:dyDescent="0.3"/>
    <row r="713" outlineLevel="1" x14ac:dyDescent="0.3"/>
    <row r="714" outlineLevel="1" x14ac:dyDescent="0.3"/>
    <row r="715" outlineLevel="1" x14ac:dyDescent="0.3"/>
    <row r="716" outlineLevel="1" x14ac:dyDescent="0.3"/>
    <row r="717" outlineLevel="1" x14ac:dyDescent="0.3"/>
    <row r="718" outlineLevel="1" x14ac:dyDescent="0.3"/>
    <row r="719" outlineLevel="1" x14ac:dyDescent="0.3"/>
    <row r="720" outlineLevel="1" x14ac:dyDescent="0.3"/>
    <row r="721" outlineLevel="1" x14ac:dyDescent="0.3"/>
    <row r="722" outlineLevel="1" x14ac:dyDescent="0.3"/>
    <row r="723" outlineLevel="1" x14ac:dyDescent="0.3"/>
    <row r="724" outlineLevel="1" x14ac:dyDescent="0.3"/>
    <row r="725" outlineLevel="1" x14ac:dyDescent="0.3"/>
    <row r="726" outlineLevel="1" x14ac:dyDescent="0.3"/>
    <row r="727" outlineLevel="1" x14ac:dyDescent="0.3"/>
    <row r="728" outlineLevel="1" x14ac:dyDescent="0.3"/>
    <row r="729" outlineLevel="1" x14ac:dyDescent="0.3"/>
    <row r="730" outlineLevel="1" x14ac:dyDescent="0.3"/>
    <row r="731" outlineLevel="1" x14ac:dyDescent="0.3"/>
    <row r="732" outlineLevel="1" x14ac:dyDescent="0.3"/>
    <row r="733" outlineLevel="1" x14ac:dyDescent="0.3"/>
    <row r="734" outlineLevel="1" x14ac:dyDescent="0.3"/>
    <row r="735" outlineLevel="1" x14ac:dyDescent="0.3"/>
    <row r="736" outlineLevel="1" x14ac:dyDescent="0.3"/>
    <row r="737" outlineLevel="1" x14ac:dyDescent="0.3"/>
    <row r="738" outlineLevel="1" x14ac:dyDescent="0.3"/>
    <row r="739" outlineLevel="1" x14ac:dyDescent="0.3"/>
    <row r="740" outlineLevel="1" x14ac:dyDescent="0.3"/>
    <row r="741" outlineLevel="1" x14ac:dyDescent="0.3"/>
    <row r="742" outlineLevel="1" x14ac:dyDescent="0.3"/>
    <row r="743" outlineLevel="1" x14ac:dyDescent="0.3"/>
    <row r="744" outlineLevel="1" x14ac:dyDescent="0.3"/>
    <row r="745" outlineLevel="1" x14ac:dyDescent="0.3"/>
    <row r="746" outlineLevel="1" x14ac:dyDescent="0.3"/>
    <row r="747" outlineLevel="1" x14ac:dyDescent="0.3"/>
    <row r="748" outlineLevel="1" x14ac:dyDescent="0.3"/>
    <row r="749" outlineLevel="1" x14ac:dyDescent="0.3"/>
    <row r="750" outlineLevel="1" x14ac:dyDescent="0.3"/>
    <row r="751" outlineLevel="1" x14ac:dyDescent="0.3"/>
    <row r="752" outlineLevel="1" x14ac:dyDescent="0.3"/>
    <row r="753" outlineLevel="1" x14ac:dyDescent="0.3"/>
    <row r="754" outlineLevel="1" x14ac:dyDescent="0.3"/>
    <row r="755" outlineLevel="1" x14ac:dyDescent="0.3"/>
    <row r="756" outlineLevel="1" x14ac:dyDescent="0.3"/>
    <row r="757" outlineLevel="1" x14ac:dyDescent="0.3"/>
    <row r="758" outlineLevel="1" x14ac:dyDescent="0.3"/>
    <row r="759" outlineLevel="1" x14ac:dyDescent="0.3"/>
    <row r="760" outlineLevel="1" x14ac:dyDescent="0.3"/>
    <row r="761" outlineLevel="1" x14ac:dyDescent="0.3"/>
    <row r="762" outlineLevel="1" x14ac:dyDescent="0.3"/>
    <row r="763" outlineLevel="1" x14ac:dyDescent="0.3"/>
    <row r="764" outlineLevel="1" x14ac:dyDescent="0.3"/>
    <row r="765" outlineLevel="1" x14ac:dyDescent="0.3"/>
    <row r="766" outlineLevel="1" x14ac:dyDescent="0.3"/>
    <row r="767" outlineLevel="1" x14ac:dyDescent="0.3"/>
    <row r="768" outlineLevel="1" x14ac:dyDescent="0.3"/>
    <row r="769" outlineLevel="1" x14ac:dyDescent="0.3"/>
    <row r="770" outlineLevel="1" x14ac:dyDescent="0.3"/>
    <row r="771" outlineLevel="1" x14ac:dyDescent="0.3"/>
    <row r="772" outlineLevel="1" x14ac:dyDescent="0.3"/>
    <row r="773" outlineLevel="1" x14ac:dyDescent="0.3"/>
    <row r="774" outlineLevel="1" x14ac:dyDescent="0.3"/>
    <row r="775" outlineLevel="1" x14ac:dyDescent="0.3"/>
    <row r="776" outlineLevel="1" x14ac:dyDescent="0.3"/>
    <row r="777" outlineLevel="1" x14ac:dyDescent="0.3"/>
    <row r="778" outlineLevel="1" x14ac:dyDescent="0.3"/>
    <row r="779" outlineLevel="1" x14ac:dyDescent="0.3"/>
    <row r="780" outlineLevel="1" x14ac:dyDescent="0.3"/>
    <row r="781" outlineLevel="1" x14ac:dyDescent="0.3"/>
    <row r="782" outlineLevel="1" x14ac:dyDescent="0.3"/>
    <row r="783" outlineLevel="1" x14ac:dyDescent="0.3"/>
    <row r="784" outlineLevel="1" x14ac:dyDescent="0.3"/>
    <row r="785" outlineLevel="1" x14ac:dyDescent="0.3"/>
    <row r="786" outlineLevel="1" x14ac:dyDescent="0.3"/>
    <row r="787" outlineLevel="1" x14ac:dyDescent="0.3"/>
    <row r="788" outlineLevel="1" x14ac:dyDescent="0.3"/>
    <row r="789" outlineLevel="1" x14ac:dyDescent="0.3"/>
    <row r="790" outlineLevel="1" x14ac:dyDescent="0.3"/>
    <row r="791" outlineLevel="1" x14ac:dyDescent="0.3"/>
    <row r="792" outlineLevel="1" x14ac:dyDescent="0.3"/>
    <row r="793" outlineLevel="1" x14ac:dyDescent="0.3"/>
    <row r="794" outlineLevel="1" x14ac:dyDescent="0.3"/>
    <row r="795" outlineLevel="1" x14ac:dyDescent="0.3"/>
    <row r="796" outlineLevel="1" x14ac:dyDescent="0.3"/>
    <row r="797" outlineLevel="1" x14ac:dyDescent="0.3"/>
    <row r="798" outlineLevel="1" x14ac:dyDescent="0.3"/>
    <row r="799" outlineLevel="1" x14ac:dyDescent="0.3"/>
    <row r="800" outlineLevel="1" x14ac:dyDescent="0.3"/>
    <row r="801" outlineLevel="1" x14ac:dyDescent="0.3"/>
    <row r="802" outlineLevel="1" x14ac:dyDescent="0.3"/>
    <row r="803" outlineLevel="1" x14ac:dyDescent="0.3"/>
    <row r="804" outlineLevel="1" x14ac:dyDescent="0.3"/>
    <row r="805" outlineLevel="1" x14ac:dyDescent="0.3"/>
    <row r="806" outlineLevel="1" x14ac:dyDescent="0.3"/>
    <row r="807" outlineLevel="1" x14ac:dyDescent="0.3"/>
    <row r="808" outlineLevel="1" x14ac:dyDescent="0.3"/>
    <row r="809" outlineLevel="1" x14ac:dyDescent="0.3"/>
    <row r="810" outlineLevel="1" x14ac:dyDescent="0.3"/>
    <row r="811" outlineLevel="1" x14ac:dyDescent="0.3"/>
    <row r="812" outlineLevel="1" x14ac:dyDescent="0.3"/>
    <row r="813" outlineLevel="1" x14ac:dyDescent="0.3"/>
    <row r="814" outlineLevel="1" x14ac:dyDescent="0.3"/>
    <row r="815" outlineLevel="1" x14ac:dyDescent="0.3"/>
    <row r="816" outlineLevel="1" x14ac:dyDescent="0.3"/>
    <row r="817" outlineLevel="1" x14ac:dyDescent="0.3"/>
    <row r="818" outlineLevel="1" x14ac:dyDescent="0.3"/>
    <row r="819" outlineLevel="1" x14ac:dyDescent="0.3"/>
    <row r="820" outlineLevel="1" x14ac:dyDescent="0.3"/>
    <row r="821" outlineLevel="1" x14ac:dyDescent="0.3"/>
    <row r="822" outlineLevel="1" x14ac:dyDescent="0.3"/>
    <row r="823" outlineLevel="1" x14ac:dyDescent="0.3"/>
    <row r="824" outlineLevel="1" x14ac:dyDescent="0.3"/>
    <row r="825" outlineLevel="1" x14ac:dyDescent="0.3"/>
    <row r="826" outlineLevel="1" x14ac:dyDescent="0.3"/>
    <row r="827" outlineLevel="1" x14ac:dyDescent="0.3"/>
    <row r="828" outlineLevel="1" x14ac:dyDescent="0.3"/>
    <row r="829" outlineLevel="1" x14ac:dyDescent="0.3"/>
    <row r="830" outlineLevel="1" x14ac:dyDescent="0.3"/>
    <row r="831" outlineLevel="1" x14ac:dyDescent="0.3"/>
    <row r="832" outlineLevel="1" x14ac:dyDescent="0.3"/>
    <row r="833" spans="2:13" outlineLevel="1" x14ac:dyDescent="0.3"/>
    <row r="834" spans="2:13" outlineLevel="1" x14ac:dyDescent="0.3"/>
    <row r="835" spans="2:13" outlineLevel="1" x14ac:dyDescent="0.3"/>
    <row r="836" spans="2:13" outlineLevel="1" x14ac:dyDescent="0.3"/>
    <row r="837" spans="2:13" outlineLevel="1" x14ac:dyDescent="0.3"/>
    <row r="838" spans="2:13" outlineLevel="1" x14ac:dyDescent="0.3"/>
    <row r="839" spans="2:13" outlineLevel="1" x14ac:dyDescent="0.3"/>
    <row r="840" spans="2:13" outlineLevel="1" x14ac:dyDescent="0.3"/>
    <row r="841" spans="2:13" outlineLevel="1" x14ac:dyDescent="0.3"/>
    <row r="842" spans="2:13" outlineLevel="1" x14ac:dyDescent="0.3"/>
    <row r="843" spans="2:13" outlineLevel="1" x14ac:dyDescent="0.3"/>
    <row r="844" spans="2:13" outlineLevel="1" x14ac:dyDescent="0.3"/>
    <row r="845" spans="2:13" outlineLevel="1" x14ac:dyDescent="0.3"/>
    <row r="846" spans="2:13" outlineLevel="1" x14ac:dyDescent="0.3"/>
    <row r="847" spans="2:13" outlineLevel="1" x14ac:dyDescent="0.3">
      <c r="B847" s="166" t="s">
        <v>802</v>
      </c>
      <c r="M847" s="72">
        <f>SUBTOTAL(9,M2:M846)</f>
        <v>22154.25789999999</v>
      </c>
    </row>
  </sheetData>
  <sortState ref="A2:U300">
    <sortCondition ref="A2:A300"/>
    <sortCondition ref="B2:B300"/>
    <sortCondition ref="C2:C300"/>
    <sortCondition ref="D2:D300"/>
    <sortCondition ref="E2:E300"/>
  </sortState>
  <conditionalFormatting sqref="N688:N1048576 N1:N387">
    <cfRule type="duplicateValues" dxfId="15" priority="1"/>
  </conditionalFormatting>
  <hyperlinks>
    <hyperlink ref="O83" r:id="rId1" display="http://144.75.179.112/"/>
  </hyperlinks>
  <pageMargins left="0.25" right="0.25" top="0.75" bottom="0.75" header="0.3" footer="0.3"/>
  <pageSetup scale="60" fitToWidth="2" orientation="landscape" r:id="rId2"/>
  <colBreaks count="1" manualBreakCount="1">
    <brk id="13" max="300" man="1"/>
  </colBreak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6"/>
  <sheetViews>
    <sheetView topLeftCell="A274" workbookViewId="0">
      <selection sqref="A1:U296"/>
    </sheetView>
  </sheetViews>
  <sheetFormatPr defaultRowHeight="14.4" x14ac:dyDescent="0.3"/>
  <cols>
    <col min="1" max="1" width="34" customWidth="1"/>
    <col min="2" max="2" width="16.6640625" customWidth="1"/>
    <col min="3" max="3" width="16" customWidth="1"/>
    <col min="4" max="4" width="10.44140625" customWidth="1"/>
    <col min="7" max="7" width="13.88671875" customWidth="1"/>
    <col min="8" max="8" width="11.44140625" customWidth="1"/>
    <col min="9" max="9" width="21.44140625" customWidth="1"/>
    <col min="10" max="10" width="23" customWidth="1"/>
    <col min="11" max="11" width="17.44140625" customWidth="1"/>
    <col min="12" max="12" width="19" customWidth="1"/>
    <col min="13" max="13" width="25.109375" customWidth="1"/>
    <col min="14" max="14" width="15.88671875" customWidth="1"/>
    <col min="15" max="15" width="12.44140625" customWidth="1"/>
    <col min="16" max="16" width="10.109375" customWidth="1"/>
    <col min="17" max="17" width="11.6640625" customWidth="1"/>
    <col min="18" max="18" width="21" customWidth="1"/>
    <col min="19" max="19" width="23.6640625" customWidth="1"/>
    <col min="20" max="20" width="22.5546875" customWidth="1"/>
    <col min="21" max="21" width="25.33203125" customWidth="1"/>
  </cols>
  <sheetData>
    <row r="1" spans="1:21" x14ac:dyDescent="0.25">
      <c r="A1" t="s">
        <v>857</v>
      </c>
      <c r="B1" t="s">
        <v>668</v>
      </c>
      <c r="C1" t="s">
        <v>0</v>
      </c>
      <c r="D1" t="s">
        <v>1</v>
      </c>
      <c r="E1" t="s">
        <v>2</v>
      </c>
      <c r="F1" t="s">
        <v>3</v>
      </c>
      <c r="G1" t="s">
        <v>6</v>
      </c>
      <c r="H1" t="s">
        <v>669</v>
      </c>
      <c r="I1" t="s">
        <v>670</v>
      </c>
      <c r="J1" t="s">
        <v>671</v>
      </c>
      <c r="K1" t="s">
        <v>672</v>
      </c>
      <c r="L1" t="s">
        <v>9</v>
      </c>
      <c r="M1" t="s">
        <v>10</v>
      </c>
      <c r="N1" t="s">
        <v>4</v>
      </c>
      <c r="O1" t="s">
        <v>5</v>
      </c>
      <c r="P1" t="s">
        <v>673</v>
      </c>
      <c r="Q1" t="s">
        <v>674</v>
      </c>
      <c r="R1" t="s">
        <v>675</v>
      </c>
      <c r="S1" t="s">
        <v>676</v>
      </c>
      <c r="T1" t="s">
        <v>7</v>
      </c>
      <c r="U1" t="s">
        <v>8</v>
      </c>
    </row>
    <row r="2" spans="1:21" x14ac:dyDescent="0.25">
      <c r="A2" t="s">
        <v>544</v>
      </c>
      <c r="B2" t="s">
        <v>342</v>
      </c>
      <c r="C2" t="s">
        <v>544</v>
      </c>
      <c r="D2" t="s">
        <v>335</v>
      </c>
      <c r="E2">
        <v>301</v>
      </c>
      <c r="F2" t="s">
        <v>90</v>
      </c>
      <c r="G2" t="s">
        <v>656</v>
      </c>
      <c r="H2">
        <v>17099684</v>
      </c>
      <c r="I2">
        <v>341</v>
      </c>
      <c r="J2">
        <v>165</v>
      </c>
      <c r="K2">
        <v>8.9342000000000006</v>
      </c>
      <c r="L2">
        <v>19.47</v>
      </c>
      <c r="M2">
        <v>28.404199999999999</v>
      </c>
      <c r="N2" t="s">
        <v>343</v>
      </c>
      <c r="O2" t="s">
        <v>344</v>
      </c>
      <c r="P2">
        <v>2.6200000000000001E-2</v>
      </c>
      <c r="Q2">
        <v>0.11799999999999999</v>
      </c>
      <c r="R2">
        <v>2188</v>
      </c>
      <c r="S2">
        <v>2529</v>
      </c>
      <c r="T2">
        <v>669</v>
      </c>
      <c r="U2">
        <v>834</v>
      </c>
    </row>
    <row r="3" spans="1:21" x14ac:dyDescent="0.25">
      <c r="A3" t="s">
        <v>582</v>
      </c>
      <c r="B3" t="s">
        <v>617</v>
      </c>
      <c r="C3" t="s">
        <v>618</v>
      </c>
      <c r="D3" t="s">
        <v>583</v>
      </c>
      <c r="E3">
        <v>204</v>
      </c>
      <c r="F3" t="s">
        <v>157</v>
      </c>
      <c r="G3" t="s">
        <v>27</v>
      </c>
      <c r="H3">
        <v>17099507</v>
      </c>
      <c r="I3">
        <v>1486</v>
      </c>
      <c r="J3">
        <v>0</v>
      </c>
      <c r="K3">
        <v>30.760200000000001</v>
      </c>
      <c r="L3">
        <v>0</v>
      </c>
      <c r="M3">
        <v>30.760200000000001</v>
      </c>
      <c r="N3" t="s">
        <v>623</v>
      </c>
      <c r="O3" t="s">
        <v>624</v>
      </c>
      <c r="P3">
        <v>2.07E-2</v>
      </c>
      <c r="Q3">
        <v>8.6999999999999994E-2</v>
      </c>
      <c r="R3">
        <v>12247</v>
      </c>
      <c r="S3">
        <v>13733</v>
      </c>
      <c r="T3">
        <v>0</v>
      </c>
      <c r="U3">
        <v>0</v>
      </c>
    </row>
    <row r="4" spans="1:21" x14ac:dyDescent="0.25">
      <c r="A4" t="s">
        <v>582</v>
      </c>
      <c r="B4" t="s">
        <v>617</v>
      </c>
      <c r="C4" t="s">
        <v>618</v>
      </c>
      <c r="D4" t="s">
        <v>583</v>
      </c>
      <c r="E4">
        <v>235</v>
      </c>
      <c r="F4" t="s">
        <v>415</v>
      </c>
      <c r="G4" t="s">
        <v>27</v>
      </c>
      <c r="H4">
        <v>17099490</v>
      </c>
      <c r="I4">
        <v>9308</v>
      </c>
      <c r="J4">
        <v>3008</v>
      </c>
      <c r="K4">
        <v>192.6756</v>
      </c>
      <c r="L4">
        <v>261.69599999999997</v>
      </c>
      <c r="M4">
        <v>454.37159999999994</v>
      </c>
      <c r="N4" t="s">
        <v>621</v>
      </c>
      <c r="O4" t="s">
        <v>622</v>
      </c>
      <c r="P4">
        <v>2.07E-2</v>
      </c>
      <c r="Q4">
        <v>8.6999999999999994E-2</v>
      </c>
      <c r="R4">
        <v>35267</v>
      </c>
      <c r="S4">
        <v>44575</v>
      </c>
      <c r="T4">
        <v>13165</v>
      </c>
      <c r="U4">
        <v>16173</v>
      </c>
    </row>
    <row r="5" spans="1:21" x14ac:dyDescent="0.25">
      <c r="A5" t="s">
        <v>582</v>
      </c>
      <c r="B5" t="s">
        <v>617</v>
      </c>
      <c r="C5" t="s">
        <v>618</v>
      </c>
      <c r="D5" t="s">
        <v>583</v>
      </c>
      <c r="E5">
        <v>241</v>
      </c>
      <c r="F5" t="s">
        <v>15</v>
      </c>
      <c r="G5" t="s">
        <v>656</v>
      </c>
      <c r="H5">
        <v>17099552</v>
      </c>
      <c r="I5">
        <v>644</v>
      </c>
      <c r="J5">
        <v>0</v>
      </c>
      <c r="K5">
        <v>16.872800000000002</v>
      </c>
      <c r="L5">
        <v>0</v>
      </c>
      <c r="M5">
        <v>16.872800000000002</v>
      </c>
      <c r="N5" t="s">
        <v>625</v>
      </c>
      <c r="O5" t="s">
        <v>626</v>
      </c>
      <c r="P5">
        <v>2.6200000000000001E-2</v>
      </c>
      <c r="Q5">
        <v>0.11799999999999999</v>
      </c>
      <c r="R5">
        <v>3916</v>
      </c>
      <c r="S5">
        <v>4560</v>
      </c>
      <c r="T5">
        <v>0</v>
      </c>
      <c r="U5">
        <v>0</v>
      </c>
    </row>
    <row r="6" spans="1:21" x14ac:dyDescent="0.25">
      <c r="A6" t="s">
        <v>582</v>
      </c>
      <c r="B6" t="s">
        <v>617</v>
      </c>
      <c r="C6" t="s">
        <v>618</v>
      </c>
      <c r="D6" t="s">
        <v>583</v>
      </c>
      <c r="E6">
        <v>242</v>
      </c>
      <c r="F6" t="s">
        <v>15</v>
      </c>
      <c r="G6" t="s">
        <v>656</v>
      </c>
      <c r="H6">
        <v>17099553</v>
      </c>
      <c r="I6">
        <v>222</v>
      </c>
      <c r="J6">
        <v>0</v>
      </c>
      <c r="K6">
        <v>5.8163999999999998</v>
      </c>
      <c r="L6">
        <v>0</v>
      </c>
      <c r="M6">
        <v>5.8163999999999998</v>
      </c>
      <c r="N6" t="s">
        <v>627</v>
      </c>
      <c r="O6" t="s">
        <v>628</v>
      </c>
      <c r="P6">
        <v>2.6200000000000001E-2</v>
      </c>
      <c r="Q6">
        <v>0.11799999999999999</v>
      </c>
      <c r="R6">
        <v>1110</v>
      </c>
      <c r="S6">
        <v>1332</v>
      </c>
      <c r="T6">
        <v>0</v>
      </c>
      <c r="U6">
        <v>0</v>
      </c>
    </row>
    <row r="7" spans="1:21" x14ac:dyDescent="0.25">
      <c r="A7" t="s">
        <v>582</v>
      </c>
      <c r="B7" t="s">
        <v>617</v>
      </c>
      <c r="C7" t="s">
        <v>618</v>
      </c>
      <c r="D7" t="s">
        <v>583</v>
      </c>
      <c r="E7">
        <v>302</v>
      </c>
      <c r="F7" t="s">
        <v>54</v>
      </c>
      <c r="G7" t="s">
        <v>27</v>
      </c>
      <c r="H7">
        <v>17099722</v>
      </c>
      <c r="I7">
        <v>810</v>
      </c>
      <c r="J7">
        <v>1418</v>
      </c>
      <c r="K7">
        <v>16.766999999999999</v>
      </c>
      <c r="L7">
        <v>123.36599999999999</v>
      </c>
      <c r="M7">
        <v>140.13299999999998</v>
      </c>
      <c r="N7" t="s">
        <v>619</v>
      </c>
      <c r="O7" t="s">
        <v>620</v>
      </c>
      <c r="P7">
        <v>2.07E-2</v>
      </c>
      <c r="Q7">
        <v>8.6999999999999994E-2</v>
      </c>
      <c r="R7">
        <v>6179</v>
      </c>
      <c r="S7">
        <v>6989</v>
      </c>
      <c r="T7">
        <v>13950</v>
      </c>
      <c r="U7">
        <v>15368</v>
      </c>
    </row>
    <row r="8" spans="1:21" x14ac:dyDescent="0.25">
      <c r="A8" t="s">
        <v>582</v>
      </c>
      <c r="B8" t="s">
        <v>617</v>
      </c>
      <c r="C8" t="s">
        <v>618</v>
      </c>
      <c r="D8" t="s">
        <v>583</v>
      </c>
      <c r="E8">
        <v>312</v>
      </c>
      <c r="F8" t="s">
        <v>15</v>
      </c>
      <c r="G8" t="s">
        <v>656</v>
      </c>
      <c r="H8">
        <v>17099555</v>
      </c>
      <c r="I8">
        <v>287</v>
      </c>
      <c r="J8">
        <v>0</v>
      </c>
      <c r="K8">
        <v>7.5194000000000001</v>
      </c>
      <c r="L8">
        <v>0</v>
      </c>
      <c r="M8">
        <v>7.5194000000000001</v>
      </c>
      <c r="N8" t="s">
        <v>629</v>
      </c>
      <c r="O8" t="s">
        <v>630</v>
      </c>
      <c r="P8">
        <v>2.6200000000000001E-2</v>
      </c>
      <c r="Q8">
        <v>0.11799999999999999</v>
      </c>
      <c r="R8">
        <v>1574</v>
      </c>
      <c r="S8">
        <v>1861</v>
      </c>
      <c r="T8">
        <v>0</v>
      </c>
      <c r="U8">
        <v>0</v>
      </c>
    </row>
    <row r="9" spans="1:21" x14ac:dyDescent="0.25">
      <c r="A9" t="s">
        <v>582</v>
      </c>
      <c r="B9" t="s">
        <v>617</v>
      </c>
      <c r="C9" t="s">
        <v>618</v>
      </c>
      <c r="D9" t="s">
        <v>583</v>
      </c>
      <c r="E9">
        <v>314</v>
      </c>
      <c r="F9" t="s">
        <v>15</v>
      </c>
      <c r="G9" t="s">
        <v>656</v>
      </c>
      <c r="H9">
        <v>17099558</v>
      </c>
      <c r="I9">
        <v>175</v>
      </c>
      <c r="J9">
        <v>0</v>
      </c>
      <c r="K9">
        <v>4.585</v>
      </c>
      <c r="L9">
        <v>0</v>
      </c>
      <c r="M9">
        <v>4.585</v>
      </c>
      <c r="N9" t="s">
        <v>631</v>
      </c>
      <c r="O9" t="s">
        <v>632</v>
      </c>
      <c r="P9">
        <v>2.6200000000000001E-2</v>
      </c>
      <c r="Q9">
        <v>0.11799999999999999</v>
      </c>
      <c r="R9">
        <v>1925</v>
      </c>
      <c r="S9">
        <v>2100</v>
      </c>
      <c r="T9">
        <v>0</v>
      </c>
      <c r="U9">
        <v>0</v>
      </c>
    </row>
    <row r="10" spans="1:21" x14ac:dyDescent="0.25">
      <c r="A10" t="s">
        <v>582</v>
      </c>
      <c r="B10" t="s">
        <v>617</v>
      </c>
      <c r="C10" t="s">
        <v>618</v>
      </c>
      <c r="D10" t="s">
        <v>583</v>
      </c>
      <c r="E10">
        <v>317</v>
      </c>
      <c r="F10" t="s">
        <v>15</v>
      </c>
      <c r="G10" t="s">
        <v>656</v>
      </c>
      <c r="H10">
        <v>17099554</v>
      </c>
      <c r="I10">
        <v>62</v>
      </c>
      <c r="J10">
        <v>0</v>
      </c>
      <c r="K10">
        <v>1.6244000000000001</v>
      </c>
      <c r="L10">
        <v>0</v>
      </c>
      <c r="M10">
        <v>1.6244000000000001</v>
      </c>
      <c r="N10" t="s">
        <v>584</v>
      </c>
      <c r="O10" t="s">
        <v>585</v>
      </c>
      <c r="P10">
        <v>2.6200000000000001E-2</v>
      </c>
      <c r="Q10">
        <v>0.11799999999999999</v>
      </c>
      <c r="R10">
        <v>632</v>
      </c>
      <c r="S10">
        <v>694</v>
      </c>
      <c r="T10">
        <v>0</v>
      </c>
      <c r="U10">
        <v>0</v>
      </c>
    </row>
    <row r="11" spans="1:21" x14ac:dyDescent="0.25">
      <c r="A11" t="s">
        <v>523</v>
      </c>
      <c r="B11" t="s">
        <v>617</v>
      </c>
      <c r="C11" t="s">
        <v>618</v>
      </c>
      <c r="D11" t="s">
        <v>14</v>
      </c>
      <c r="E11" t="s">
        <v>948</v>
      </c>
      <c r="F11" t="s">
        <v>15</v>
      </c>
      <c r="G11" t="s">
        <v>656</v>
      </c>
      <c r="H11">
        <v>17099797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877</v>
      </c>
      <c r="O11" t="s">
        <v>949</v>
      </c>
      <c r="P11">
        <v>2.6200000000000001E-2</v>
      </c>
      <c r="Q11">
        <v>0.11799999999999999</v>
      </c>
      <c r="R11">
        <v>204</v>
      </c>
      <c r="S11">
        <v>204</v>
      </c>
      <c r="T11">
        <v>0</v>
      </c>
      <c r="U11">
        <v>0</v>
      </c>
    </row>
    <row r="12" spans="1:21" x14ac:dyDescent="0.25">
      <c r="A12" t="s">
        <v>523</v>
      </c>
      <c r="B12" t="s">
        <v>617</v>
      </c>
      <c r="C12" t="s">
        <v>618</v>
      </c>
      <c r="D12" t="s">
        <v>418</v>
      </c>
      <c r="E12" t="s">
        <v>950</v>
      </c>
      <c r="F12" t="s">
        <v>15</v>
      </c>
      <c r="G12" t="s">
        <v>656</v>
      </c>
      <c r="H12">
        <v>17099762</v>
      </c>
      <c r="I12">
        <v>189</v>
      </c>
      <c r="J12">
        <v>0</v>
      </c>
      <c r="K12">
        <v>4.9518000000000004</v>
      </c>
      <c r="L12">
        <v>0</v>
      </c>
      <c r="M12">
        <v>4.9518000000000004</v>
      </c>
      <c r="N12" t="s">
        <v>878</v>
      </c>
      <c r="O12" t="s">
        <v>951</v>
      </c>
      <c r="P12">
        <v>2.6200000000000001E-2</v>
      </c>
      <c r="Q12">
        <v>0.11799999999999999</v>
      </c>
      <c r="R12">
        <v>545</v>
      </c>
      <c r="S12">
        <v>734</v>
      </c>
      <c r="T12">
        <v>0</v>
      </c>
      <c r="U12">
        <v>0</v>
      </c>
    </row>
    <row r="13" spans="1:21" x14ac:dyDescent="0.25">
      <c r="A13" t="s">
        <v>586</v>
      </c>
      <c r="B13" t="s">
        <v>617</v>
      </c>
      <c r="C13" t="s">
        <v>618</v>
      </c>
      <c r="D13" t="s">
        <v>583</v>
      </c>
      <c r="E13">
        <v>215</v>
      </c>
      <c r="F13" t="s">
        <v>15</v>
      </c>
      <c r="G13" t="s">
        <v>656</v>
      </c>
      <c r="H13">
        <v>17099566</v>
      </c>
      <c r="I13">
        <v>180</v>
      </c>
      <c r="J13">
        <v>0</v>
      </c>
      <c r="K13">
        <v>4.7160000000000002</v>
      </c>
      <c r="L13">
        <v>0</v>
      </c>
      <c r="M13">
        <v>4.7160000000000002</v>
      </c>
      <c r="N13" t="s">
        <v>587</v>
      </c>
      <c r="O13" t="s">
        <v>588</v>
      </c>
      <c r="P13">
        <v>2.6200000000000001E-2</v>
      </c>
      <c r="Q13">
        <v>0.11799999999999999</v>
      </c>
      <c r="R13">
        <v>1047</v>
      </c>
      <c r="S13">
        <v>1227</v>
      </c>
      <c r="T13">
        <v>0</v>
      </c>
      <c r="U13">
        <v>0</v>
      </c>
    </row>
    <row r="14" spans="1:21" x14ac:dyDescent="0.25">
      <c r="A14" t="s">
        <v>952</v>
      </c>
      <c r="B14" t="s">
        <v>305</v>
      </c>
      <c r="C14" t="s">
        <v>855</v>
      </c>
      <c r="D14" t="s">
        <v>953</v>
      </c>
      <c r="E14">
        <v>104</v>
      </c>
      <c r="F14" t="s">
        <v>15</v>
      </c>
      <c r="G14" t="s">
        <v>656</v>
      </c>
      <c r="H14">
        <v>17099824</v>
      </c>
      <c r="I14">
        <v>101</v>
      </c>
      <c r="J14">
        <v>0</v>
      </c>
      <c r="K14">
        <v>2.6462000000000003</v>
      </c>
      <c r="L14">
        <v>0</v>
      </c>
      <c r="M14">
        <v>2.6462000000000003</v>
      </c>
      <c r="N14" t="s">
        <v>879</v>
      </c>
      <c r="O14" t="s">
        <v>954</v>
      </c>
      <c r="P14">
        <v>2.6200000000000001E-2</v>
      </c>
      <c r="Q14">
        <v>0.11799999999999999</v>
      </c>
      <c r="R14">
        <v>404</v>
      </c>
      <c r="S14">
        <v>505</v>
      </c>
      <c r="T14">
        <v>0</v>
      </c>
      <c r="U14">
        <v>0</v>
      </c>
    </row>
    <row r="15" spans="1:21" x14ac:dyDescent="0.25">
      <c r="A15" t="s">
        <v>304</v>
      </c>
      <c r="B15" t="s">
        <v>305</v>
      </c>
      <c r="C15" t="s">
        <v>855</v>
      </c>
      <c r="D15" t="s">
        <v>306</v>
      </c>
      <c r="E15">
        <v>204</v>
      </c>
      <c r="F15" t="s">
        <v>24</v>
      </c>
      <c r="G15" t="s">
        <v>27</v>
      </c>
      <c r="H15">
        <v>17099493</v>
      </c>
      <c r="I15">
        <v>6744</v>
      </c>
      <c r="J15">
        <v>5255</v>
      </c>
      <c r="K15">
        <v>139.60079999999999</v>
      </c>
      <c r="L15">
        <v>457.18499999999995</v>
      </c>
      <c r="M15">
        <v>596.78579999999988</v>
      </c>
      <c r="N15" t="s">
        <v>307</v>
      </c>
      <c r="O15" t="s">
        <v>308</v>
      </c>
      <c r="P15">
        <v>2.07E-2</v>
      </c>
      <c r="Q15">
        <v>8.6999999999999994E-2</v>
      </c>
      <c r="R15">
        <v>34748</v>
      </c>
      <c r="S15">
        <v>41492</v>
      </c>
      <c r="T15">
        <v>16784</v>
      </c>
      <c r="U15">
        <v>22039</v>
      </c>
    </row>
    <row r="16" spans="1:21" x14ac:dyDescent="0.25">
      <c r="A16" t="s">
        <v>304</v>
      </c>
      <c r="B16" t="s">
        <v>305</v>
      </c>
      <c r="C16" t="s">
        <v>855</v>
      </c>
      <c r="D16" t="s">
        <v>662</v>
      </c>
      <c r="E16">
        <v>200</v>
      </c>
      <c r="F16" t="s">
        <v>732</v>
      </c>
      <c r="G16" t="s">
        <v>656</v>
      </c>
      <c r="H16">
        <v>17099785</v>
      </c>
      <c r="I16">
        <v>519</v>
      </c>
      <c r="J16">
        <v>1151</v>
      </c>
      <c r="K16">
        <v>13.597800000000001</v>
      </c>
      <c r="L16">
        <v>135.81799999999998</v>
      </c>
      <c r="M16">
        <v>149.41579999999999</v>
      </c>
      <c r="N16" t="s">
        <v>733</v>
      </c>
      <c r="O16" t="s">
        <v>734</v>
      </c>
      <c r="P16">
        <v>2.6200000000000001E-2</v>
      </c>
      <c r="Q16">
        <v>0.11799999999999999</v>
      </c>
      <c r="R16">
        <v>993</v>
      </c>
      <c r="S16">
        <v>1512</v>
      </c>
      <c r="T16">
        <v>2000</v>
      </c>
      <c r="U16">
        <v>3151</v>
      </c>
    </row>
    <row r="17" spans="1:21" x14ac:dyDescent="0.25">
      <c r="A17" t="s">
        <v>304</v>
      </c>
      <c r="B17" t="s">
        <v>305</v>
      </c>
      <c r="C17" t="s">
        <v>855</v>
      </c>
      <c r="D17" t="s">
        <v>662</v>
      </c>
      <c r="E17">
        <v>201</v>
      </c>
      <c r="F17" t="s">
        <v>15</v>
      </c>
      <c r="G17" t="s">
        <v>656</v>
      </c>
      <c r="H17">
        <v>17099780</v>
      </c>
      <c r="I17">
        <v>269</v>
      </c>
      <c r="J17">
        <v>0</v>
      </c>
      <c r="K17">
        <v>7.0478000000000005</v>
      </c>
      <c r="L17">
        <v>0</v>
      </c>
      <c r="M17">
        <v>7.0478000000000005</v>
      </c>
      <c r="N17" t="s">
        <v>318</v>
      </c>
      <c r="O17" t="s">
        <v>319</v>
      </c>
      <c r="P17">
        <v>2.6200000000000001E-2</v>
      </c>
      <c r="Q17">
        <v>0.11799999999999999</v>
      </c>
      <c r="R17">
        <v>679</v>
      </c>
      <c r="S17">
        <v>948</v>
      </c>
      <c r="T17">
        <v>0</v>
      </c>
      <c r="U17">
        <v>0</v>
      </c>
    </row>
    <row r="18" spans="1:21" x14ac:dyDescent="0.25">
      <c r="A18" t="s">
        <v>304</v>
      </c>
      <c r="B18" t="s">
        <v>305</v>
      </c>
      <c r="C18" t="s">
        <v>855</v>
      </c>
      <c r="D18" t="s">
        <v>662</v>
      </c>
      <c r="E18">
        <v>201</v>
      </c>
      <c r="F18" t="s">
        <v>15</v>
      </c>
      <c r="G18" t="s">
        <v>656</v>
      </c>
      <c r="H18">
        <v>17099512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321</v>
      </c>
      <c r="O18" t="s">
        <v>322</v>
      </c>
      <c r="P18">
        <v>2.6200000000000001E-2</v>
      </c>
      <c r="Q18">
        <v>0.11799999999999999</v>
      </c>
      <c r="R18">
        <v>50</v>
      </c>
      <c r="S18">
        <v>50</v>
      </c>
      <c r="T18">
        <v>0</v>
      </c>
      <c r="U18">
        <v>0</v>
      </c>
    </row>
    <row r="19" spans="1:21" x14ac:dyDescent="0.25">
      <c r="A19" t="s">
        <v>304</v>
      </c>
      <c r="B19" t="s">
        <v>305</v>
      </c>
      <c r="C19" t="s">
        <v>855</v>
      </c>
      <c r="D19" t="s">
        <v>662</v>
      </c>
      <c r="E19">
        <v>302</v>
      </c>
      <c r="F19" t="s">
        <v>90</v>
      </c>
      <c r="G19" t="s">
        <v>656</v>
      </c>
      <c r="H19">
        <v>17099423</v>
      </c>
      <c r="I19">
        <v>59</v>
      </c>
      <c r="J19">
        <v>216</v>
      </c>
      <c r="K19">
        <v>1.5458000000000001</v>
      </c>
      <c r="L19">
        <v>25.488</v>
      </c>
      <c r="M19">
        <v>27.033799999999999</v>
      </c>
      <c r="N19" t="s">
        <v>314</v>
      </c>
      <c r="O19" t="s">
        <v>315</v>
      </c>
      <c r="P19">
        <v>2.6200000000000001E-2</v>
      </c>
      <c r="Q19">
        <v>0.11799999999999999</v>
      </c>
      <c r="R19">
        <v>196</v>
      </c>
      <c r="S19">
        <v>255</v>
      </c>
      <c r="T19">
        <v>550</v>
      </c>
      <c r="U19">
        <v>766</v>
      </c>
    </row>
    <row r="20" spans="1:21" x14ac:dyDescent="0.25">
      <c r="A20" t="s">
        <v>304</v>
      </c>
      <c r="B20" t="s">
        <v>305</v>
      </c>
      <c r="C20" t="s">
        <v>855</v>
      </c>
      <c r="D20" t="s">
        <v>662</v>
      </c>
      <c r="E20">
        <v>306</v>
      </c>
      <c r="F20" t="s">
        <v>90</v>
      </c>
      <c r="G20" t="s">
        <v>656</v>
      </c>
      <c r="H20">
        <v>17099731</v>
      </c>
      <c r="I20">
        <v>230</v>
      </c>
      <c r="J20">
        <v>54</v>
      </c>
      <c r="K20">
        <v>6.0259999999999998</v>
      </c>
      <c r="L20">
        <v>6.3719999999999999</v>
      </c>
      <c r="M20">
        <v>12.398</v>
      </c>
      <c r="N20" t="s">
        <v>320</v>
      </c>
      <c r="O20" t="s">
        <v>313</v>
      </c>
      <c r="P20">
        <v>2.6200000000000001E-2</v>
      </c>
      <c r="Q20">
        <v>0.11799999999999999</v>
      </c>
      <c r="R20">
        <v>1500</v>
      </c>
      <c r="S20">
        <v>1730</v>
      </c>
      <c r="T20">
        <v>618</v>
      </c>
      <c r="U20">
        <v>672</v>
      </c>
    </row>
    <row r="21" spans="1:21" x14ac:dyDescent="0.25">
      <c r="A21" t="s">
        <v>304</v>
      </c>
      <c r="B21" t="s">
        <v>305</v>
      </c>
      <c r="C21" t="s">
        <v>855</v>
      </c>
      <c r="D21" t="s">
        <v>662</v>
      </c>
      <c r="E21">
        <v>306</v>
      </c>
      <c r="F21" t="s">
        <v>90</v>
      </c>
      <c r="G21" t="s">
        <v>656</v>
      </c>
      <c r="H21">
        <v>17099511</v>
      </c>
      <c r="I21">
        <v>36</v>
      </c>
      <c r="J21">
        <v>85</v>
      </c>
      <c r="K21">
        <v>0.94320000000000004</v>
      </c>
      <c r="L21">
        <v>10.029999999999999</v>
      </c>
      <c r="M21">
        <v>10.973199999999999</v>
      </c>
      <c r="N21" t="s">
        <v>316</v>
      </c>
      <c r="O21" t="s">
        <v>317</v>
      </c>
      <c r="P21">
        <v>2.6200000000000001E-2</v>
      </c>
      <c r="Q21">
        <v>0.11799999999999999</v>
      </c>
      <c r="R21">
        <v>409</v>
      </c>
      <c r="S21">
        <v>445</v>
      </c>
      <c r="T21">
        <v>472</v>
      </c>
      <c r="U21">
        <v>557</v>
      </c>
    </row>
    <row r="22" spans="1:21" x14ac:dyDescent="0.25">
      <c r="A22" t="s">
        <v>661</v>
      </c>
      <c r="B22" t="s">
        <v>681</v>
      </c>
      <c r="C22" t="s">
        <v>814</v>
      </c>
      <c r="D22" t="s">
        <v>221</v>
      </c>
      <c r="E22">
        <v>210</v>
      </c>
      <c r="F22" t="s">
        <v>54</v>
      </c>
      <c r="G22" t="s">
        <v>27</v>
      </c>
      <c r="H22">
        <v>17099459</v>
      </c>
      <c r="I22">
        <v>8103</v>
      </c>
      <c r="J22">
        <v>326</v>
      </c>
      <c r="K22">
        <v>167.7321</v>
      </c>
      <c r="L22">
        <v>28.361999999999998</v>
      </c>
      <c r="M22">
        <v>196.0941</v>
      </c>
      <c r="N22" t="s">
        <v>545</v>
      </c>
      <c r="O22" t="s">
        <v>546</v>
      </c>
      <c r="P22">
        <v>2.07E-2</v>
      </c>
      <c r="Q22">
        <v>8.6999999999999994E-2</v>
      </c>
      <c r="R22">
        <v>33629</v>
      </c>
      <c r="S22">
        <v>41732</v>
      </c>
      <c r="T22">
        <v>3170</v>
      </c>
      <c r="U22">
        <v>3496</v>
      </c>
    </row>
    <row r="23" spans="1:21" x14ac:dyDescent="0.25">
      <c r="A23" t="s">
        <v>577</v>
      </c>
      <c r="B23" t="s">
        <v>578</v>
      </c>
      <c r="C23" t="s">
        <v>579</v>
      </c>
      <c r="D23" t="s">
        <v>205</v>
      </c>
      <c r="E23">
        <v>502</v>
      </c>
      <c r="F23" t="s">
        <v>54</v>
      </c>
      <c r="G23" t="s">
        <v>27</v>
      </c>
      <c r="H23">
        <v>17099424</v>
      </c>
      <c r="I23">
        <v>968</v>
      </c>
      <c r="J23">
        <v>196</v>
      </c>
      <c r="K23">
        <v>20.037600000000001</v>
      </c>
      <c r="L23">
        <v>17.052</v>
      </c>
      <c r="M23">
        <v>37.089600000000004</v>
      </c>
      <c r="N23" t="s">
        <v>580</v>
      </c>
      <c r="O23" t="s">
        <v>581</v>
      </c>
      <c r="P23">
        <v>2.07E-2</v>
      </c>
      <c r="Q23">
        <v>8.6999999999999994E-2</v>
      </c>
      <c r="R23">
        <v>5760</v>
      </c>
      <c r="S23">
        <v>6728</v>
      </c>
      <c r="T23">
        <v>625</v>
      </c>
      <c r="U23">
        <v>821</v>
      </c>
    </row>
    <row r="24" spans="1:21" x14ac:dyDescent="0.25">
      <c r="A24" t="s">
        <v>556</v>
      </c>
      <c r="B24" t="s">
        <v>557</v>
      </c>
      <c r="C24" t="s">
        <v>558</v>
      </c>
      <c r="D24" t="s">
        <v>550</v>
      </c>
      <c r="E24">
        <v>201</v>
      </c>
      <c r="F24" t="s">
        <v>90</v>
      </c>
      <c r="G24" t="s">
        <v>656</v>
      </c>
      <c r="H24">
        <v>17099622</v>
      </c>
      <c r="I24">
        <v>39</v>
      </c>
      <c r="J24">
        <v>37</v>
      </c>
      <c r="K24">
        <v>1.0218</v>
      </c>
      <c r="L24">
        <v>4.3659999999999997</v>
      </c>
      <c r="M24">
        <v>5.3877999999999995</v>
      </c>
      <c r="N24" t="s">
        <v>561</v>
      </c>
      <c r="O24" t="s">
        <v>562</v>
      </c>
      <c r="P24">
        <v>2.6200000000000001E-2</v>
      </c>
      <c r="Q24">
        <v>0.11799999999999999</v>
      </c>
      <c r="R24">
        <v>51</v>
      </c>
      <c r="S24">
        <v>90</v>
      </c>
      <c r="T24">
        <v>38</v>
      </c>
      <c r="U24">
        <v>75</v>
      </c>
    </row>
    <row r="25" spans="1:21" x14ac:dyDescent="0.25">
      <c r="A25" t="s">
        <v>556</v>
      </c>
      <c r="B25" t="s">
        <v>557</v>
      </c>
      <c r="C25" t="s">
        <v>558</v>
      </c>
      <c r="D25" t="s">
        <v>550</v>
      </c>
      <c r="E25">
        <v>201</v>
      </c>
      <c r="F25" t="s">
        <v>157</v>
      </c>
      <c r="G25" t="s">
        <v>27</v>
      </c>
      <c r="H25">
        <v>17099401</v>
      </c>
      <c r="I25">
        <v>1046</v>
      </c>
      <c r="J25">
        <v>0</v>
      </c>
      <c r="K25">
        <v>21.652200000000001</v>
      </c>
      <c r="L25">
        <v>0</v>
      </c>
      <c r="M25">
        <v>21.652200000000001</v>
      </c>
      <c r="N25" t="s">
        <v>559</v>
      </c>
      <c r="O25" t="s">
        <v>560</v>
      </c>
      <c r="P25">
        <v>2.07E-2</v>
      </c>
      <c r="Q25">
        <v>8.6999999999999994E-2</v>
      </c>
      <c r="R25">
        <v>6131</v>
      </c>
      <c r="S25">
        <v>7177</v>
      </c>
      <c r="T25">
        <v>0</v>
      </c>
      <c r="U25">
        <v>0</v>
      </c>
    </row>
    <row r="26" spans="1:21" x14ac:dyDescent="0.25">
      <c r="A26" t="s">
        <v>547</v>
      </c>
      <c r="B26" t="s">
        <v>548</v>
      </c>
      <c r="C26" t="s">
        <v>549</v>
      </c>
      <c r="D26" t="s">
        <v>14</v>
      </c>
      <c r="E26" t="s">
        <v>931</v>
      </c>
      <c r="F26" t="s">
        <v>54</v>
      </c>
      <c r="G26" t="s">
        <v>27</v>
      </c>
      <c r="H26">
        <v>17099416</v>
      </c>
      <c r="I26">
        <v>1277</v>
      </c>
      <c r="J26">
        <v>6</v>
      </c>
      <c r="K26">
        <v>26.433900000000001</v>
      </c>
      <c r="L26">
        <v>0.52200000000000002</v>
      </c>
      <c r="M26">
        <v>26.9559</v>
      </c>
      <c r="N26" t="s">
        <v>908</v>
      </c>
      <c r="O26" t="s">
        <v>932</v>
      </c>
      <c r="P26">
        <v>2.07E-2</v>
      </c>
      <c r="Q26">
        <v>8.6999999999999994E-2</v>
      </c>
      <c r="R26">
        <v>463</v>
      </c>
      <c r="S26">
        <v>1740</v>
      </c>
      <c r="T26">
        <v>27</v>
      </c>
      <c r="U26">
        <v>33</v>
      </c>
    </row>
    <row r="27" spans="1:21" x14ac:dyDescent="0.25">
      <c r="A27" t="s">
        <v>547</v>
      </c>
      <c r="B27" t="s">
        <v>548</v>
      </c>
      <c r="C27" t="s">
        <v>549</v>
      </c>
      <c r="D27" t="s">
        <v>550</v>
      </c>
      <c r="E27">
        <v>401</v>
      </c>
      <c r="F27" t="s">
        <v>15</v>
      </c>
      <c r="G27" t="s">
        <v>656</v>
      </c>
      <c r="H27">
        <v>17099589</v>
      </c>
      <c r="I27">
        <v>149</v>
      </c>
      <c r="J27">
        <v>0</v>
      </c>
      <c r="K27">
        <v>3.9038000000000004</v>
      </c>
      <c r="L27">
        <v>0</v>
      </c>
      <c r="M27">
        <v>3.9038000000000004</v>
      </c>
      <c r="N27" t="s">
        <v>553</v>
      </c>
      <c r="O27" t="s">
        <v>554</v>
      </c>
      <c r="P27">
        <v>2.6200000000000001E-2</v>
      </c>
      <c r="Q27">
        <v>0.11799999999999999</v>
      </c>
      <c r="R27">
        <v>314</v>
      </c>
      <c r="S27">
        <v>463</v>
      </c>
      <c r="T27">
        <v>0</v>
      </c>
      <c r="U27">
        <v>0</v>
      </c>
    </row>
    <row r="28" spans="1:21" x14ac:dyDescent="0.25">
      <c r="A28" t="s">
        <v>547</v>
      </c>
      <c r="B28" t="s">
        <v>548</v>
      </c>
      <c r="C28" t="s">
        <v>549</v>
      </c>
      <c r="D28" t="s">
        <v>550</v>
      </c>
      <c r="E28">
        <v>401</v>
      </c>
      <c r="F28" t="s">
        <v>90</v>
      </c>
      <c r="G28" t="s">
        <v>656</v>
      </c>
      <c r="H28">
        <v>17099724</v>
      </c>
      <c r="I28">
        <v>284</v>
      </c>
      <c r="J28">
        <v>87</v>
      </c>
      <c r="K28">
        <v>7.4408000000000003</v>
      </c>
      <c r="L28">
        <v>10.266</v>
      </c>
      <c r="M28">
        <v>17.706800000000001</v>
      </c>
      <c r="N28" t="s">
        <v>793</v>
      </c>
      <c r="O28" t="s">
        <v>806</v>
      </c>
      <c r="P28">
        <v>2.6200000000000001E-2</v>
      </c>
      <c r="Q28">
        <v>0.11799999999999999</v>
      </c>
      <c r="R28">
        <v>905</v>
      </c>
      <c r="S28">
        <v>1189</v>
      </c>
      <c r="T28">
        <v>229</v>
      </c>
      <c r="U28">
        <v>316</v>
      </c>
    </row>
    <row r="29" spans="1:21" x14ac:dyDescent="0.25">
      <c r="A29" t="s">
        <v>547</v>
      </c>
      <c r="B29" t="s">
        <v>548</v>
      </c>
      <c r="C29" t="s">
        <v>549</v>
      </c>
      <c r="D29" t="s">
        <v>550</v>
      </c>
      <c r="E29">
        <v>401</v>
      </c>
      <c r="F29" t="s">
        <v>54</v>
      </c>
      <c r="G29" t="s">
        <v>27</v>
      </c>
      <c r="H29">
        <v>17099491</v>
      </c>
      <c r="I29">
        <v>1198</v>
      </c>
      <c r="J29">
        <v>1172</v>
      </c>
      <c r="K29">
        <v>24.7986</v>
      </c>
      <c r="L29">
        <v>101.964</v>
      </c>
      <c r="M29">
        <v>126.76259999999999</v>
      </c>
      <c r="N29" t="s">
        <v>551</v>
      </c>
      <c r="O29" t="s">
        <v>552</v>
      </c>
      <c r="P29">
        <v>2.07E-2</v>
      </c>
      <c r="Q29">
        <v>8.6999999999999994E-2</v>
      </c>
      <c r="R29">
        <v>5718</v>
      </c>
      <c r="S29">
        <v>6916</v>
      </c>
      <c r="T29">
        <v>2571</v>
      </c>
      <c r="U29">
        <v>3743</v>
      </c>
    </row>
    <row r="30" spans="1:21" x14ac:dyDescent="0.25">
      <c r="A30" t="s">
        <v>563</v>
      </c>
      <c r="B30" t="s">
        <v>564</v>
      </c>
      <c r="C30" t="s">
        <v>565</v>
      </c>
      <c r="D30" t="s">
        <v>563</v>
      </c>
      <c r="E30">
        <v>113</v>
      </c>
      <c r="F30" t="s">
        <v>15</v>
      </c>
      <c r="G30" t="s">
        <v>656</v>
      </c>
      <c r="H30">
        <v>17099605</v>
      </c>
      <c r="I30">
        <v>2113</v>
      </c>
      <c r="J30">
        <v>0</v>
      </c>
      <c r="K30">
        <v>55.360600000000005</v>
      </c>
      <c r="L30">
        <v>0</v>
      </c>
      <c r="M30">
        <v>55.360600000000005</v>
      </c>
      <c r="N30" t="s">
        <v>792</v>
      </c>
      <c r="O30" t="s">
        <v>800</v>
      </c>
      <c r="P30">
        <v>2.6200000000000001E-2</v>
      </c>
      <c r="Q30">
        <v>0.11799999999999999</v>
      </c>
      <c r="R30">
        <v>9160</v>
      </c>
      <c r="S30">
        <v>11273</v>
      </c>
      <c r="T30">
        <v>0</v>
      </c>
      <c r="U30">
        <v>0</v>
      </c>
    </row>
    <row r="31" spans="1:21" x14ac:dyDescent="0.25">
      <c r="A31" t="s">
        <v>563</v>
      </c>
      <c r="B31" t="s">
        <v>564</v>
      </c>
      <c r="C31" t="s">
        <v>565</v>
      </c>
      <c r="D31" t="s">
        <v>563</v>
      </c>
      <c r="E31">
        <v>121</v>
      </c>
      <c r="F31" t="s">
        <v>54</v>
      </c>
      <c r="G31" t="s">
        <v>27</v>
      </c>
      <c r="H31">
        <v>17099496</v>
      </c>
      <c r="I31">
        <v>1988</v>
      </c>
      <c r="J31">
        <v>715</v>
      </c>
      <c r="K31">
        <v>41.151600000000002</v>
      </c>
      <c r="L31">
        <v>62.204999999999998</v>
      </c>
      <c r="M31">
        <v>103.3566</v>
      </c>
      <c r="N31" t="s">
        <v>568</v>
      </c>
      <c r="O31" t="s">
        <v>569</v>
      </c>
      <c r="P31">
        <v>2.07E-2</v>
      </c>
      <c r="Q31">
        <v>8.6999999999999994E-2</v>
      </c>
      <c r="R31">
        <v>13826</v>
      </c>
      <c r="S31">
        <v>15814</v>
      </c>
      <c r="T31">
        <v>1144</v>
      </c>
      <c r="U31">
        <v>1859</v>
      </c>
    </row>
    <row r="32" spans="1:21" x14ac:dyDescent="0.25">
      <c r="A32" t="s">
        <v>563</v>
      </c>
      <c r="B32" t="s">
        <v>564</v>
      </c>
      <c r="C32" t="s">
        <v>565</v>
      </c>
      <c r="D32" t="s">
        <v>563</v>
      </c>
      <c r="E32">
        <v>219</v>
      </c>
      <c r="F32" t="s">
        <v>15</v>
      </c>
      <c r="G32" t="s">
        <v>656</v>
      </c>
      <c r="H32">
        <v>17099635</v>
      </c>
      <c r="I32">
        <v>1130</v>
      </c>
      <c r="J32">
        <v>0</v>
      </c>
      <c r="K32">
        <v>29.606000000000002</v>
      </c>
      <c r="L32">
        <v>0</v>
      </c>
      <c r="M32">
        <v>29.606000000000002</v>
      </c>
      <c r="N32" t="s">
        <v>570</v>
      </c>
      <c r="O32" t="s">
        <v>571</v>
      </c>
      <c r="P32">
        <v>2.6200000000000001E-2</v>
      </c>
      <c r="Q32">
        <v>0.11799999999999999</v>
      </c>
      <c r="R32">
        <v>4720</v>
      </c>
      <c r="S32">
        <v>5850</v>
      </c>
      <c r="T32">
        <v>0</v>
      </c>
      <c r="U32">
        <v>0</v>
      </c>
    </row>
    <row r="33" spans="1:21" x14ac:dyDescent="0.25">
      <c r="A33" t="s">
        <v>563</v>
      </c>
      <c r="B33" t="s">
        <v>564</v>
      </c>
      <c r="C33" t="s">
        <v>565</v>
      </c>
      <c r="D33" t="s">
        <v>563</v>
      </c>
      <c r="E33">
        <v>219</v>
      </c>
      <c r="F33" t="s">
        <v>54</v>
      </c>
      <c r="G33" t="s">
        <v>27</v>
      </c>
      <c r="H33">
        <v>17099495</v>
      </c>
      <c r="I33">
        <v>644</v>
      </c>
      <c r="J33">
        <v>138</v>
      </c>
      <c r="K33">
        <v>13.3308</v>
      </c>
      <c r="L33">
        <v>12.005999999999998</v>
      </c>
      <c r="M33">
        <v>25.336799999999997</v>
      </c>
      <c r="N33" t="s">
        <v>566</v>
      </c>
      <c r="O33" t="s">
        <v>567</v>
      </c>
      <c r="P33">
        <v>2.07E-2</v>
      </c>
      <c r="Q33">
        <v>8.6999999999999994E-2</v>
      </c>
      <c r="R33">
        <v>3815</v>
      </c>
      <c r="S33">
        <v>4459</v>
      </c>
      <c r="T33">
        <v>130</v>
      </c>
      <c r="U33">
        <v>268</v>
      </c>
    </row>
    <row r="34" spans="1:21" x14ac:dyDescent="0.25">
      <c r="A34" t="s">
        <v>780</v>
      </c>
      <c r="B34" t="s">
        <v>779</v>
      </c>
      <c r="C34" t="s">
        <v>815</v>
      </c>
      <c r="D34" t="s">
        <v>14</v>
      </c>
      <c r="E34" t="s">
        <v>780</v>
      </c>
      <c r="F34" t="s">
        <v>15</v>
      </c>
      <c r="G34" t="s">
        <v>656</v>
      </c>
      <c r="H34">
        <v>17099415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880</v>
      </c>
      <c r="O34" t="s">
        <v>955</v>
      </c>
      <c r="P34">
        <v>2.6200000000000001E-2</v>
      </c>
      <c r="Q34">
        <v>0.11799999999999999</v>
      </c>
      <c r="R34">
        <v>7</v>
      </c>
      <c r="S34">
        <v>7</v>
      </c>
      <c r="T34">
        <v>0</v>
      </c>
      <c r="U34">
        <v>0</v>
      </c>
    </row>
    <row r="35" spans="1:21" x14ac:dyDescent="0.25">
      <c r="A35" t="s">
        <v>780</v>
      </c>
      <c r="B35" t="s">
        <v>779</v>
      </c>
      <c r="C35" t="s">
        <v>815</v>
      </c>
      <c r="D35" t="s">
        <v>550</v>
      </c>
      <c r="E35" t="s">
        <v>780</v>
      </c>
      <c r="F35" t="s">
        <v>15</v>
      </c>
      <c r="G35" t="s">
        <v>656</v>
      </c>
      <c r="H35">
        <v>17099610</v>
      </c>
      <c r="I35">
        <v>857</v>
      </c>
      <c r="J35">
        <v>0</v>
      </c>
      <c r="K35">
        <v>22.453400000000002</v>
      </c>
      <c r="L35">
        <v>0</v>
      </c>
      <c r="M35">
        <v>22.453400000000002</v>
      </c>
      <c r="N35" t="s">
        <v>555</v>
      </c>
      <c r="O35" t="s">
        <v>781</v>
      </c>
      <c r="P35">
        <v>2.6200000000000001E-2</v>
      </c>
      <c r="Q35">
        <v>0.11799999999999999</v>
      </c>
      <c r="R35">
        <v>2746</v>
      </c>
      <c r="S35">
        <v>3603</v>
      </c>
      <c r="T35">
        <v>0</v>
      </c>
      <c r="U35">
        <v>0</v>
      </c>
    </row>
    <row r="36" spans="1:21" x14ac:dyDescent="0.25">
      <c r="A36" t="s">
        <v>376</v>
      </c>
      <c r="B36" t="s">
        <v>374</v>
      </c>
      <c r="C36" t="s">
        <v>375</v>
      </c>
      <c r="D36" t="s">
        <v>276</v>
      </c>
      <c r="E36">
        <v>301</v>
      </c>
      <c r="F36" t="s">
        <v>15</v>
      </c>
      <c r="G36" t="s">
        <v>656</v>
      </c>
      <c r="H36">
        <v>17099696</v>
      </c>
      <c r="I36">
        <v>581</v>
      </c>
      <c r="J36">
        <v>0</v>
      </c>
      <c r="K36">
        <v>15.222200000000001</v>
      </c>
      <c r="L36">
        <v>0</v>
      </c>
      <c r="M36">
        <v>15.222200000000001</v>
      </c>
      <c r="N36" t="s">
        <v>381</v>
      </c>
      <c r="O36" t="s">
        <v>382</v>
      </c>
      <c r="P36">
        <v>2.6200000000000001E-2</v>
      </c>
      <c r="Q36">
        <v>0.11799999999999999</v>
      </c>
      <c r="R36">
        <v>2108</v>
      </c>
      <c r="S36">
        <v>2689</v>
      </c>
      <c r="T36">
        <v>0</v>
      </c>
      <c r="U36">
        <v>0</v>
      </c>
    </row>
    <row r="37" spans="1:21" x14ac:dyDescent="0.25">
      <c r="A37" t="s">
        <v>376</v>
      </c>
      <c r="B37" t="s">
        <v>374</v>
      </c>
      <c r="C37" t="s">
        <v>375</v>
      </c>
      <c r="D37" t="s">
        <v>276</v>
      </c>
      <c r="E37">
        <v>303</v>
      </c>
      <c r="F37" t="s">
        <v>90</v>
      </c>
      <c r="G37" t="s">
        <v>656</v>
      </c>
      <c r="H37">
        <v>17099739</v>
      </c>
      <c r="I37">
        <v>78</v>
      </c>
      <c r="J37">
        <v>130</v>
      </c>
      <c r="K37">
        <v>2.0436000000000001</v>
      </c>
      <c r="L37">
        <v>15.34</v>
      </c>
      <c r="M37">
        <v>17.383600000000001</v>
      </c>
      <c r="N37" t="s">
        <v>901</v>
      </c>
      <c r="O37" t="s">
        <v>979</v>
      </c>
      <c r="P37">
        <v>2.6200000000000001E-2</v>
      </c>
      <c r="Q37">
        <v>0.11799999999999999</v>
      </c>
      <c r="R37">
        <v>17</v>
      </c>
      <c r="S37">
        <v>95</v>
      </c>
      <c r="T37">
        <v>107</v>
      </c>
      <c r="U37">
        <v>237</v>
      </c>
    </row>
    <row r="38" spans="1:21" x14ac:dyDescent="0.25">
      <c r="A38" t="s">
        <v>214</v>
      </c>
      <c r="B38" t="s">
        <v>725</v>
      </c>
      <c r="C38" t="s">
        <v>841</v>
      </c>
      <c r="D38" t="s">
        <v>166</v>
      </c>
      <c r="E38">
        <v>123</v>
      </c>
      <c r="F38" t="s">
        <v>15</v>
      </c>
      <c r="G38" t="s">
        <v>656</v>
      </c>
      <c r="H38">
        <v>17099689</v>
      </c>
      <c r="I38">
        <v>25</v>
      </c>
      <c r="J38">
        <v>0</v>
      </c>
      <c r="K38">
        <v>0.65500000000000003</v>
      </c>
      <c r="L38">
        <v>0</v>
      </c>
      <c r="M38">
        <v>0.65500000000000003</v>
      </c>
      <c r="N38" t="s">
        <v>797</v>
      </c>
      <c r="O38" t="s">
        <v>805</v>
      </c>
      <c r="P38">
        <v>2.6200000000000001E-2</v>
      </c>
      <c r="Q38">
        <v>0.11799999999999999</v>
      </c>
      <c r="R38">
        <v>443</v>
      </c>
      <c r="S38">
        <v>468</v>
      </c>
      <c r="T38">
        <v>0</v>
      </c>
      <c r="U38">
        <v>0</v>
      </c>
    </row>
    <row r="39" spans="1:21" x14ac:dyDescent="0.25">
      <c r="A39" t="s">
        <v>214</v>
      </c>
      <c r="B39" t="s">
        <v>725</v>
      </c>
      <c r="C39" t="s">
        <v>841</v>
      </c>
      <c r="D39" t="s">
        <v>166</v>
      </c>
      <c r="E39">
        <v>324</v>
      </c>
      <c r="F39" t="s">
        <v>24</v>
      </c>
      <c r="G39" t="s">
        <v>27</v>
      </c>
      <c r="H39">
        <v>17099463</v>
      </c>
      <c r="I39">
        <v>5358</v>
      </c>
      <c r="J39">
        <v>1725</v>
      </c>
      <c r="K39">
        <v>110.9106</v>
      </c>
      <c r="L39">
        <v>150.07499999999999</v>
      </c>
      <c r="M39">
        <v>260.98559999999998</v>
      </c>
      <c r="N39" t="s">
        <v>215</v>
      </c>
      <c r="O39" t="s">
        <v>216</v>
      </c>
      <c r="P39">
        <v>2.07E-2</v>
      </c>
      <c r="Q39">
        <v>8.6999999999999994E-2</v>
      </c>
      <c r="R39">
        <v>38106</v>
      </c>
      <c r="S39">
        <v>43464</v>
      </c>
      <c r="T39">
        <v>4714</v>
      </c>
      <c r="U39">
        <v>6439</v>
      </c>
    </row>
    <row r="40" spans="1:21" x14ac:dyDescent="0.25">
      <c r="A40" t="s">
        <v>214</v>
      </c>
      <c r="B40" t="s">
        <v>725</v>
      </c>
      <c r="C40" t="s">
        <v>841</v>
      </c>
      <c r="D40" t="s">
        <v>166</v>
      </c>
      <c r="E40">
        <v>328</v>
      </c>
      <c r="F40" t="s">
        <v>15</v>
      </c>
      <c r="G40" t="s">
        <v>656</v>
      </c>
      <c r="H40">
        <v>17099588</v>
      </c>
      <c r="I40">
        <v>156</v>
      </c>
      <c r="J40">
        <v>0</v>
      </c>
      <c r="K40">
        <v>4.0872000000000002</v>
      </c>
      <c r="L40">
        <v>0</v>
      </c>
      <c r="M40">
        <v>4.0872000000000002</v>
      </c>
      <c r="N40" t="s">
        <v>217</v>
      </c>
      <c r="O40" t="s">
        <v>218</v>
      </c>
      <c r="P40">
        <v>2.6200000000000001E-2</v>
      </c>
      <c r="Q40">
        <v>0.11799999999999999</v>
      </c>
      <c r="R40">
        <v>762</v>
      </c>
      <c r="S40">
        <v>918</v>
      </c>
      <c r="T40">
        <v>0</v>
      </c>
      <c r="U40">
        <v>0</v>
      </c>
    </row>
    <row r="41" spans="1:21" x14ac:dyDescent="0.25">
      <c r="A41" t="s">
        <v>293</v>
      </c>
      <c r="B41" t="s">
        <v>294</v>
      </c>
      <c r="C41" t="s">
        <v>818</v>
      </c>
      <c r="D41" t="s">
        <v>221</v>
      </c>
      <c r="E41">
        <v>311</v>
      </c>
      <c r="F41" t="s">
        <v>15</v>
      </c>
      <c r="G41" t="s">
        <v>656</v>
      </c>
      <c r="H41">
        <v>17099570</v>
      </c>
      <c r="I41">
        <v>466</v>
      </c>
      <c r="J41">
        <v>0</v>
      </c>
      <c r="K41">
        <v>12.209200000000001</v>
      </c>
      <c r="L41">
        <v>0</v>
      </c>
      <c r="M41">
        <v>12.209200000000001</v>
      </c>
      <c r="N41" t="s">
        <v>298</v>
      </c>
      <c r="O41" t="s">
        <v>299</v>
      </c>
      <c r="P41">
        <v>2.6200000000000001E-2</v>
      </c>
      <c r="Q41">
        <v>0.11799999999999999</v>
      </c>
      <c r="R41">
        <v>1907</v>
      </c>
      <c r="S41">
        <v>2373</v>
      </c>
      <c r="T41">
        <v>0</v>
      </c>
      <c r="U41">
        <v>0</v>
      </c>
    </row>
    <row r="42" spans="1:21" x14ac:dyDescent="0.25">
      <c r="A42" t="s">
        <v>293</v>
      </c>
      <c r="B42" t="s">
        <v>294</v>
      </c>
      <c r="C42" t="s">
        <v>818</v>
      </c>
      <c r="D42" t="s">
        <v>221</v>
      </c>
      <c r="E42">
        <v>312</v>
      </c>
      <c r="F42" t="s">
        <v>15</v>
      </c>
      <c r="G42" t="s">
        <v>656</v>
      </c>
      <c r="H42">
        <v>17099618</v>
      </c>
      <c r="I42">
        <v>1142</v>
      </c>
      <c r="J42">
        <v>0</v>
      </c>
      <c r="K42">
        <v>29.920400000000001</v>
      </c>
      <c r="L42">
        <v>0</v>
      </c>
      <c r="M42">
        <v>29.920400000000001</v>
      </c>
      <c r="N42" t="s">
        <v>300</v>
      </c>
      <c r="O42" t="s">
        <v>301</v>
      </c>
      <c r="P42">
        <v>2.6200000000000001E-2</v>
      </c>
      <c r="Q42">
        <v>0.11799999999999999</v>
      </c>
      <c r="R42">
        <v>6776</v>
      </c>
      <c r="S42">
        <v>7918</v>
      </c>
      <c r="T42">
        <v>0</v>
      </c>
      <c r="U42">
        <v>0</v>
      </c>
    </row>
    <row r="43" spans="1:21" x14ac:dyDescent="0.25">
      <c r="A43" t="s">
        <v>293</v>
      </c>
      <c r="B43" t="s">
        <v>294</v>
      </c>
      <c r="C43" t="s">
        <v>818</v>
      </c>
      <c r="D43" t="s">
        <v>221</v>
      </c>
      <c r="E43">
        <v>313</v>
      </c>
      <c r="F43" t="s">
        <v>15</v>
      </c>
      <c r="G43" t="s">
        <v>656</v>
      </c>
      <c r="H43">
        <v>17099617</v>
      </c>
      <c r="I43">
        <v>103</v>
      </c>
      <c r="J43">
        <v>0</v>
      </c>
      <c r="K43">
        <v>2.6985999999999999</v>
      </c>
      <c r="L43">
        <v>0</v>
      </c>
      <c r="M43">
        <v>2.6985999999999999</v>
      </c>
      <c r="N43" t="s">
        <v>296</v>
      </c>
      <c r="O43" t="s">
        <v>297</v>
      </c>
      <c r="P43">
        <v>2.6200000000000001E-2</v>
      </c>
      <c r="Q43">
        <v>0.11799999999999999</v>
      </c>
      <c r="R43">
        <v>703</v>
      </c>
      <c r="S43">
        <v>806</v>
      </c>
      <c r="T43">
        <v>0</v>
      </c>
      <c r="U43">
        <v>0</v>
      </c>
    </row>
    <row r="44" spans="1:21" x14ac:dyDescent="0.25">
      <c r="A44" t="s">
        <v>52</v>
      </c>
      <c r="B44" t="s">
        <v>726</v>
      </c>
      <c r="C44" t="s">
        <v>816</v>
      </c>
      <c r="D44" t="s">
        <v>166</v>
      </c>
      <c r="E44">
        <v>207</v>
      </c>
      <c r="F44" t="s">
        <v>15</v>
      </c>
      <c r="G44" t="s">
        <v>656</v>
      </c>
      <c r="H44">
        <v>17099734</v>
      </c>
      <c r="I44">
        <v>68</v>
      </c>
      <c r="J44">
        <v>0</v>
      </c>
      <c r="K44">
        <v>1.7816000000000001</v>
      </c>
      <c r="L44">
        <v>0</v>
      </c>
      <c r="M44">
        <v>1.7816000000000001</v>
      </c>
      <c r="N44" t="s">
        <v>893</v>
      </c>
      <c r="O44" t="s">
        <v>972</v>
      </c>
      <c r="P44">
        <v>2.6200000000000001E-2</v>
      </c>
      <c r="Q44">
        <v>0.11799999999999999</v>
      </c>
      <c r="R44">
        <v>252</v>
      </c>
      <c r="S44">
        <v>320</v>
      </c>
      <c r="T44">
        <v>0</v>
      </c>
      <c r="U44">
        <v>0</v>
      </c>
    </row>
    <row r="45" spans="1:21" x14ac:dyDescent="0.25">
      <c r="A45" t="s">
        <v>52</v>
      </c>
      <c r="B45" t="s">
        <v>726</v>
      </c>
      <c r="C45" t="s">
        <v>816</v>
      </c>
      <c r="D45" t="s">
        <v>53</v>
      </c>
      <c r="E45">
        <v>203</v>
      </c>
      <c r="F45" t="s">
        <v>15</v>
      </c>
      <c r="G45" t="s">
        <v>656</v>
      </c>
      <c r="H45">
        <v>17099613</v>
      </c>
      <c r="I45">
        <v>1134</v>
      </c>
      <c r="J45">
        <v>0</v>
      </c>
      <c r="K45">
        <v>29.710800000000003</v>
      </c>
      <c r="L45">
        <v>0</v>
      </c>
      <c r="M45">
        <v>29.710800000000003</v>
      </c>
      <c r="N45" t="s">
        <v>57</v>
      </c>
      <c r="O45" t="s">
        <v>58</v>
      </c>
      <c r="P45">
        <v>2.6200000000000001E-2</v>
      </c>
      <c r="Q45">
        <v>0.11799999999999999</v>
      </c>
      <c r="R45">
        <v>5983</v>
      </c>
      <c r="S45">
        <v>7117</v>
      </c>
      <c r="T45">
        <v>0</v>
      </c>
      <c r="U45">
        <v>0</v>
      </c>
    </row>
    <row r="46" spans="1:21" x14ac:dyDescent="0.25">
      <c r="A46" t="s">
        <v>52</v>
      </c>
      <c r="B46" t="s">
        <v>726</v>
      </c>
      <c r="C46" t="s">
        <v>816</v>
      </c>
      <c r="D46" t="s">
        <v>53</v>
      </c>
      <c r="E46">
        <v>203</v>
      </c>
      <c r="F46" t="s">
        <v>54</v>
      </c>
      <c r="G46" t="s">
        <v>27</v>
      </c>
      <c r="H46">
        <v>17099484</v>
      </c>
      <c r="I46">
        <v>2433</v>
      </c>
      <c r="J46">
        <v>606</v>
      </c>
      <c r="K46">
        <v>50.363099999999996</v>
      </c>
      <c r="L46">
        <v>52.721999999999994</v>
      </c>
      <c r="M46">
        <v>103.08509999999998</v>
      </c>
      <c r="N46" t="s">
        <v>55</v>
      </c>
      <c r="O46" t="s">
        <v>56</v>
      </c>
      <c r="P46">
        <v>2.07E-2</v>
      </c>
      <c r="Q46">
        <v>8.6999999999999994E-2</v>
      </c>
      <c r="R46">
        <v>14072</v>
      </c>
      <c r="S46">
        <v>16505</v>
      </c>
      <c r="T46">
        <v>1790</v>
      </c>
      <c r="U46">
        <v>2396</v>
      </c>
    </row>
    <row r="47" spans="1:21" x14ac:dyDescent="0.25">
      <c r="A47" t="s">
        <v>52</v>
      </c>
      <c r="B47" t="s">
        <v>726</v>
      </c>
      <c r="C47" t="s">
        <v>816</v>
      </c>
      <c r="D47" t="s">
        <v>53</v>
      </c>
      <c r="E47" t="s">
        <v>59</v>
      </c>
      <c r="F47" t="s">
        <v>15</v>
      </c>
      <c r="G47" t="s">
        <v>656</v>
      </c>
      <c r="H47">
        <v>17099611</v>
      </c>
      <c r="I47">
        <v>610</v>
      </c>
      <c r="J47">
        <v>0</v>
      </c>
      <c r="K47">
        <v>15.982000000000001</v>
      </c>
      <c r="L47">
        <v>0</v>
      </c>
      <c r="M47">
        <v>15.982000000000001</v>
      </c>
      <c r="N47" t="s">
        <v>60</v>
      </c>
      <c r="O47" t="s">
        <v>61</v>
      </c>
      <c r="P47">
        <v>2.6200000000000001E-2</v>
      </c>
      <c r="Q47">
        <v>0.11799999999999999</v>
      </c>
      <c r="R47">
        <v>3357</v>
      </c>
      <c r="S47">
        <v>3967</v>
      </c>
      <c r="T47">
        <v>0</v>
      </c>
      <c r="U47">
        <v>0</v>
      </c>
    </row>
    <row r="48" spans="1:21" x14ac:dyDescent="0.25">
      <c r="A48" t="s">
        <v>52</v>
      </c>
      <c r="B48" t="s">
        <v>726</v>
      </c>
      <c r="C48" t="s">
        <v>816</v>
      </c>
      <c r="D48" t="s">
        <v>53</v>
      </c>
      <c r="E48" t="s">
        <v>63</v>
      </c>
      <c r="F48" t="s">
        <v>15</v>
      </c>
      <c r="G48" t="s">
        <v>656</v>
      </c>
      <c r="H48">
        <v>17099569</v>
      </c>
      <c r="I48">
        <v>72</v>
      </c>
      <c r="J48">
        <v>0</v>
      </c>
      <c r="K48">
        <v>1.8864000000000001</v>
      </c>
      <c r="L48">
        <v>0</v>
      </c>
      <c r="M48">
        <v>1.8864000000000001</v>
      </c>
      <c r="N48" t="s">
        <v>64</v>
      </c>
      <c r="O48" t="s">
        <v>65</v>
      </c>
      <c r="P48">
        <v>2.6200000000000001E-2</v>
      </c>
      <c r="Q48">
        <v>0.11799999999999999</v>
      </c>
      <c r="R48">
        <v>476</v>
      </c>
      <c r="S48">
        <v>548</v>
      </c>
      <c r="T48">
        <v>0</v>
      </c>
      <c r="U48">
        <v>0</v>
      </c>
    </row>
    <row r="49" spans="1:21" x14ac:dyDescent="0.25">
      <c r="A49" t="s">
        <v>52</v>
      </c>
      <c r="B49" t="s">
        <v>726</v>
      </c>
      <c r="C49" t="s">
        <v>816</v>
      </c>
      <c r="D49" t="s">
        <v>53</v>
      </c>
      <c r="E49" t="s">
        <v>66</v>
      </c>
      <c r="F49" t="s">
        <v>15</v>
      </c>
      <c r="G49" t="s">
        <v>656</v>
      </c>
      <c r="H49">
        <v>17099612</v>
      </c>
      <c r="I49">
        <v>41</v>
      </c>
      <c r="J49">
        <v>0</v>
      </c>
      <c r="K49">
        <v>1.0742</v>
      </c>
      <c r="L49">
        <v>0</v>
      </c>
      <c r="M49">
        <v>1.0742</v>
      </c>
      <c r="N49" t="s">
        <v>67</v>
      </c>
      <c r="O49" t="s">
        <v>68</v>
      </c>
      <c r="P49">
        <v>2.6200000000000001E-2</v>
      </c>
      <c r="Q49">
        <v>0.11799999999999999</v>
      </c>
      <c r="R49">
        <v>547</v>
      </c>
      <c r="S49">
        <v>588</v>
      </c>
      <c r="T49">
        <v>0</v>
      </c>
      <c r="U49">
        <v>0</v>
      </c>
    </row>
    <row r="50" spans="1:21" x14ac:dyDescent="0.25">
      <c r="A50" t="s">
        <v>52</v>
      </c>
      <c r="B50" t="s">
        <v>726</v>
      </c>
      <c r="C50" t="s">
        <v>816</v>
      </c>
      <c r="D50" t="s">
        <v>53</v>
      </c>
      <c r="E50" t="s">
        <v>660</v>
      </c>
      <c r="F50" t="s">
        <v>15</v>
      </c>
      <c r="G50" t="s">
        <v>656</v>
      </c>
      <c r="H50">
        <v>17099568</v>
      </c>
      <c r="I50">
        <v>364</v>
      </c>
      <c r="J50">
        <v>0</v>
      </c>
      <c r="K50">
        <v>9.5367999999999995</v>
      </c>
      <c r="L50">
        <v>0</v>
      </c>
      <c r="M50">
        <v>9.5367999999999995</v>
      </c>
      <c r="N50" t="s">
        <v>892</v>
      </c>
      <c r="O50" t="s">
        <v>62</v>
      </c>
      <c r="P50">
        <v>2.6200000000000001E-2</v>
      </c>
      <c r="Q50">
        <v>0.11799999999999999</v>
      </c>
      <c r="R50">
        <v>475</v>
      </c>
      <c r="S50">
        <v>839</v>
      </c>
      <c r="T50">
        <v>0</v>
      </c>
      <c r="U50">
        <v>0</v>
      </c>
    </row>
    <row r="51" spans="1:21" x14ac:dyDescent="0.25">
      <c r="A51" t="s">
        <v>592</v>
      </c>
      <c r="B51" t="s">
        <v>593</v>
      </c>
      <c r="C51" t="s">
        <v>592</v>
      </c>
      <c r="D51" t="s">
        <v>592</v>
      </c>
      <c r="E51">
        <v>102</v>
      </c>
      <c r="F51" t="s">
        <v>90</v>
      </c>
      <c r="G51" t="s">
        <v>656</v>
      </c>
      <c r="H51">
        <v>17099779</v>
      </c>
      <c r="I51">
        <v>0</v>
      </c>
      <c r="J51">
        <v>2</v>
      </c>
      <c r="K51">
        <v>0</v>
      </c>
      <c r="L51">
        <v>0.23599999999999999</v>
      </c>
      <c r="M51">
        <v>0.23599999999999999</v>
      </c>
      <c r="N51" t="s">
        <v>897</v>
      </c>
      <c r="O51" t="s">
        <v>975</v>
      </c>
      <c r="P51">
        <v>2.6200000000000001E-2</v>
      </c>
      <c r="Q51">
        <v>0.11799999999999999</v>
      </c>
      <c r="R51">
        <v>30</v>
      </c>
      <c r="S51">
        <v>30</v>
      </c>
      <c r="T51">
        <v>6</v>
      </c>
      <c r="U51">
        <v>8</v>
      </c>
    </row>
    <row r="52" spans="1:21" x14ac:dyDescent="0.25">
      <c r="A52" t="s">
        <v>592</v>
      </c>
      <c r="B52" t="s">
        <v>593</v>
      </c>
      <c r="C52" t="s">
        <v>592</v>
      </c>
      <c r="D52" t="s">
        <v>592</v>
      </c>
      <c r="E52">
        <v>201</v>
      </c>
      <c r="F52" t="s">
        <v>15</v>
      </c>
      <c r="G52" t="s">
        <v>656</v>
      </c>
      <c r="H52">
        <v>17099694</v>
      </c>
      <c r="I52">
        <v>75</v>
      </c>
      <c r="J52">
        <v>0</v>
      </c>
      <c r="K52">
        <v>1.9650000000000001</v>
      </c>
      <c r="L52">
        <v>0</v>
      </c>
      <c r="M52">
        <v>1.9650000000000001</v>
      </c>
      <c r="N52" t="s">
        <v>598</v>
      </c>
      <c r="O52" t="s">
        <v>599</v>
      </c>
      <c r="P52">
        <v>2.6200000000000001E-2</v>
      </c>
      <c r="Q52">
        <v>0.11799999999999999</v>
      </c>
      <c r="R52">
        <v>177</v>
      </c>
      <c r="S52">
        <v>252</v>
      </c>
      <c r="T52">
        <v>0</v>
      </c>
      <c r="U52">
        <v>0</v>
      </c>
    </row>
    <row r="53" spans="1:21" x14ac:dyDescent="0.25">
      <c r="A53" t="s">
        <v>592</v>
      </c>
      <c r="B53" t="s">
        <v>593</v>
      </c>
      <c r="C53" t="s">
        <v>592</v>
      </c>
      <c r="D53" t="s">
        <v>592</v>
      </c>
      <c r="E53">
        <v>201</v>
      </c>
      <c r="F53" t="s">
        <v>15</v>
      </c>
      <c r="G53" t="s">
        <v>656</v>
      </c>
      <c r="H53">
        <v>17099602</v>
      </c>
      <c r="I53">
        <v>670</v>
      </c>
      <c r="J53">
        <v>0</v>
      </c>
      <c r="K53">
        <v>17.554000000000002</v>
      </c>
      <c r="L53">
        <v>0</v>
      </c>
      <c r="M53">
        <v>17.554000000000002</v>
      </c>
      <c r="N53" t="s">
        <v>596</v>
      </c>
      <c r="O53" t="s">
        <v>597</v>
      </c>
      <c r="P53">
        <v>2.6200000000000001E-2</v>
      </c>
      <c r="Q53">
        <v>0.11799999999999999</v>
      </c>
      <c r="R53">
        <v>4472</v>
      </c>
      <c r="S53">
        <v>5142</v>
      </c>
      <c r="T53">
        <v>0</v>
      </c>
      <c r="U53">
        <v>0</v>
      </c>
    </row>
    <row r="54" spans="1:21" x14ac:dyDescent="0.25">
      <c r="A54" t="s">
        <v>592</v>
      </c>
      <c r="B54" t="s">
        <v>593</v>
      </c>
      <c r="C54" t="s">
        <v>592</v>
      </c>
      <c r="D54" t="s">
        <v>592</v>
      </c>
      <c r="E54">
        <v>201</v>
      </c>
      <c r="F54" t="s">
        <v>54</v>
      </c>
      <c r="G54" t="s">
        <v>27</v>
      </c>
      <c r="H54">
        <v>17099534</v>
      </c>
      <c r="I54">
        <v>5193</v>
      </c>
      <c r="J54">
        <v>1224</v>
      </c>
      <c r="K54">
        <v>107.49509999999999</v>
      </c>
      <c r="L54">
        <v>106.488</v>
      </c>
      <c r="M54">
        <v>213.98309999999998</v>
      </c>
      <c r="N54" t="s">
        <v>594</v>
      </c>
      <c r="O54" t="s">
        <v>595</v>
      </c>
      <c r="P54">
        <v>2.07E-2</v>
      </c>
      <c r="Q54">
        <v>8.6999999999999994E-2</v>
      </c>
      <c r="R54">
        <v>11581</v>
      </c>
      <c r="S54">
        <v>16774</v>
      </c>
      <c r="T54">
        <v>8352</v>
      </c>
      <c r="U54">
        <v>9576</v>
      </c>
    </row>
    <row r="55" spans="1:21" x14ac:dyDescent="0.25">
      <c r="A55" t="s">
        <v>69</v>
      </c>
      <c r="B55" t="s">
        <v>70</v>
      </c>
      <c r="C55" t="s">
        <v>69</v>
      </c>
      <c r="D55" t="s">
        <v>53</v>
      </c>
      <c r="E55">
        <v>105</v>
      </c>
      <c r="F55" t="s">
        <v>15</v>
      </c>
      <c r="G55" t="s">
        <v>656</v>
      </c>
      <c r="H55">
        <v>17099816</v>
      </c>
      <c r="I55">
        <v>8</v>
      </c>
      <c r="J55">
        <v>0</v>
      </c>
      <c r="K55">
        <v>0.20960000000000001</v>
      </c>
      <c r="L55">
        <v>0</v>
      </c>
      <c r="M55">
        <v>0.20960000000000001</v>
      </c>
      <c r="N55" t="s">
        <v>921</v>
      </c>
      <c r="O55" t="s">
        <v>944</v>
      </c>
      <c r="P55">
        <v>2.6200000000000001E-2</v>
      </c>
      <c r="Q55">
        <v>0.11799999999999999</v>
      </c>
      <c r="R55">
        <v>0</v>
      </c>
      <c r="S55">
        <v>8</v>
      </c>
      <c r="T55">
        <v>0</v>
      </c>
      <c r="U55">
        <v>0</v>
      </c>
    </row>
    <row r="56" spans="1:21" x14ac:dyDescent="0.25">
      <c r="A56" t="s">
        <v>69</v>
      </c>
      <c r="B56" t="s">
        <v>70</v>
      </c>
      <c r="C56" t="s">
        <v>69</v>
      </c>
      <c r="D56" t="s">
        <v>53</v>
      </c>
      <c r="E56">
        <v>303</v>
      </c>
      <c r="F56" t="s">
        <v>15</v>
      </c>
      <c r="G56" t="s">
        <v>656</v>
      </c>
      <c r="H56">
        <v>17099615</v>
      </c>
      <c r="I56">
        <v>705</v>
      </c>
      <c r="J56">
        <v>0</v>
      </c>
      <c r="K56">
        <v>18.471</v>
      </c>
      <c r="L56">
        <v>0</v>
      </c>
      <c r="M56">
        <v>18.471</v>
      </c>
      <c r="N56" t="s">
        <v>77</v>
      </c>
      <c r="O56" t="s">
        <v>78</v>
      </c>
      <c r="P56">
        <v>2.6200000000000001E-2</v>
      </c>
      <c r="Q56">
        <v>0.11799999999999999</v>
      </c>
      <c r="R56">
        <v>8583</v>
      </c>
      <c r="S56">
        <v>9288</v>
      </c>
      <c r="T56">
        <v>0</v>
      </c>
      <c r="U56">
        <v>0</v>
      </c>
    </row>
    <row r="57" spans="1:21" x14ac:dyDescent="0.25">
      <c r="A57" t="s">
        <v>69</v>
      </c>
      <c r="B57" t="s">
        <v>70</v>
      </c>
      <c r="C57" t="s">
        <v>69</v>
      </c>
      <c r="D57" t="s">
        <v>53</v>
      </c>
      <c r="E57">
        <v>402</v>
      </c>
      <c r="F57" t="s">
        <v>15</v>
      </c>
      <c r="G57" t="s">
        <v>656</v>
      </c>
      <c r="H57">
        <v>17099823</v>
      </c>
      <c r="I57">
        <v>5</v>
      </c>
      <c r="J57">
        <v>0</v>
      </c>
      <c r="K57">
        <v>0.13100000000000001</v>
      </c>
      <c r="L57">
        <v>0</v>
      </c>
      <c r="M57">
        <v>0.13100000000000001</v>
      </c>
      <c r="N57" t="s">
        <v>920</v>
      </c>
      <c r="O57" t="s">
        <v>940</v>
      </c>
      <c r="P57">
        <v>2.6200000000000001E-2</v>
      </c>
      <c r="Q57">
        <v>0.11799999999999999</v>
      </c>
      <c r="R57">
        <v>0</v>
      </c>
      <c r="S57">
        <v>5</v>
      </c>
      <c r="T57">
        <v>0</v>
      </c>
      <c r="U57">
        <v>0</v>
      </c>
    </row>
    <row r="58" spans="1:21" x14ac:dyDescent="0.25">
      <c r="A58" t="s">
        <v>69</v>
      </c>
      <c r="B58" t="s">
        <v>70</v>
      </c>
      <c r="C58" t="s">
        <v>69</v>
      </c>
      <c r="D58" t="s">
        <v>53</v>
      </c>
      <c r="E58">
        <v>411</v>
      </c>
      <c r="F58" t="s">
        <v>15</v>
      </c>
      <c r="G58" t="s">
        <v>656</v>
      </c>
      <c r="H58">
        <v>17099822</v>
      </c>
      <c r="I58">
        <v>131</v>
      </c>
      <c r="J58">
        <v>0</v>
      </c>
      <c r="K58">
        <v>3.4321999999999999</v>
      </c>
      <c r="L58">
        <v>0</v>
      </c>
      <c r="M58">
        <v>3.4321999999999999</v>
      </c>
      <c r="N58" t="s">
        <v>883</v>
      </c>
      <c r="O58" t="s">
        <v>959</v>
      </c>
      <c r="P58">
        <v>2.6200000000000001E-2</v>
      </c>
      <c r="Q58">
        <v>0.11799999999999999</v>
      </c>
      <c r="R58">
        <v>51</v>
      </c>
      <c r="S58">
        <v>182</v>
      </c>
      <c r="T58">
        <v>0</v>
      </c>
      <c r="U58">
        <v>0</v>
      </c>
    </row>
    <row r="59" spans="1:21" x14ac:dyDescent="0.25">
      <c r="A59" t="s">
        <v>69</v>
      </c>
      <c r="B59" t="s">
        <v>70</v>
      </c>
      <c r="C59" t="s">
        <v>69</v>
      </c>
      <c r="D59" t="s">
        <v>53</v>
      </c>
      <c r="E59">
        <v>415</v>
      </c>
      <c r="F59" t="s">
        <v>15</v>
      </c>
      <c r="G59" t="s">
        <v>656</v>
      </c>
      <c r="H59">
        <v>17099812</v>
      </c>
      <c r="I59">
        <v>548</v>
      </c>
      <c r="J59">
        <v>0</v>
      </c>
      <c r="K59">
        <v>14.357600000000001</v>
      </c>
      <c r="L59">
        <v>0</v>
      </c>
      <c r="M59">
        <v>14.357600000000001</v>
      </c>
      <c r="N59" t="s">
        <v>916</v>
      </c>
      <c r="O59" t="s">
        <v>944</v>
      </c>
      <c r="P59">
        <v>2.6200000000000001E-2</v>
      </c>
      <c r="Q59">
        <v>0.11799999999999999</v>
      </c>
      <c r="R59">
        <v>0</v>
      </c>
      <c r="S59">
        <v>548</v>
      </c>
      <c r="T59">
        <v>0</v>
      </c>
      <c r="U59">
        <v>0</v>
      </c>
    </row>
    <row r="60" spans="1:21" x14ac:dyDescent="0.25">
      <c r="A60" t="s">
        <v>69</v>
      </c>
      <c r="B60" t="s">
        <v>70</v>
      </c>
      <c r="C60" t="s">
        <v>69</v>
      </c>
      <c r="D60" t="s">
        <v>53</v>
      </c>
      <c r="E60">
        <v>415</v>
      </c>
      <c r="F60" t="s">
        <v>15</v>
      </c>
      <c r="G60" t="s">
        <v>656</v>
      </c>
      <c r="H60">
        <v>17099794</v>
      </c>
      <c r="I60">
        <v>115</v>
      </c>
      <c r="J60">
        <v>0</v>
      </c>
      <c r="K60">
        <v>3.0129999999999999</v>
      </c>
      <c r="L60">
        <v>0</v>
      </c>
      <c r="M60">
        <v>3.0129999999999999</v>
      </c>
      <c r="N60" t="s">
        <v>915</v>
      </c>
      <c r="O60" t="s">
        <v>944</v>
      </c>
      <c r="P60">
        <v>2.6200000000000001E-2</v>
      </c>
      <c r="Q60">
        <v>0.11799999999999999</v>
      </c>
      <c r="R60">
        <v>0</v>
      </c>
      <c r="S60">
        <v>115</v>
      </c>
      <c r="T60">
        <v>0</v>
      </c>
      <c r="U60">
        <v>0</v>
      </c>
    </row>
    <row r="61" spans="1:21" x14ac:dyDescent="0.25">
      <c r="A61" t="s">
        <v>69</v>
      </c>
      <c r="B61" t="s">
        <v>70</v>
      </c>
      <c r="C61" t="s">
        <v>69</v>
      </c>
      <c r="D61" t="s">
        <v>53</v>
      </c>
      <c r="E61">
        <v>415</v>
      </c>
      <c r="F61" t="s">
        <v>15</v>
      </c>
      <c r="G61" t="s">
        <v>656</v>
      </c>
      <c r="H61">
        <v>17099795</v>
      </c>
      <c r="I61">
        <v>5</v>
      </c>
      <c r="J61">
        <v>0</v>
      </c>
      <c r="K61">
        <v>0.13100000000000001</v>
      </c>
      <c r="L61">
        <v>0</v>
      </c>
      <c r="M61">
        <v>0.13100000000000001</v>
      </c>
      <c r="N61" t="s">
        <v>917</v>
      </c>
      <c r="O61" t="s">
        <v>944</v>
      </c>
      <c r="P61">
        <v>2.6200000000000001E-2</v>
      </c>
      <c r="Q61">
        <v>0.11799999999999999</v>
      </c>
      <c r="R61">
        <v>0</v>
      </c>
      <c r="S61">
        <v>5</v>
      </c>
      <c r="T61">
        <v>0</v>
      </c>
      <c r="U61">
        <v>0</v>
      </c>
    </row>
    <row r="62" spans="1:21" x14ac:dyDescent="0.25">
      <c r="A62" t="s">
        <v>69</v>
      </c>
      <c r="B62" t="s">
        <v>70</v>
      </c>
      <c r="C62" t="s">
        <v>69</v>
      </c>
      <c r="D62" t="s">
        <v>53</v>
      </c>
      <c r="E62">
        <v>415</v>
      </c>
      <c r="F62" t="s">
        <v>15</v>
      </c>
      <c r="G62" t="s">
        <v>656</v>
      </c>
      <c r="H62">
        <v>17099811</v>
      </c>
      <c r="I62">
        <v>209</v>
      </c>
      <c r="J62">
        <v>0</v>
      </c>
      <c r="K62">
        <v>5.4758000000000004</v>
      </c>
      <c r="L62">
        <v>0</v>
      </c>
      <c r="M62">
        <v>5.4758000000000004</v>
      </c>
      <c r="N62" t="s">
        <v>885</v>
      </c>
      <c r="O62" t="s">
        <v>964</v>
      </c>
      <c r="P62">
        <v>2.6200000000000001E-2</v>
      </c>
      <c r="Q62">
        <v>0.11799999999999999</v>
      </c>
      <c r="R62">
        <v>124</v>
      </c>
      <c r="S62">
        <v>333</v>
      </c>
      <c r="T62">
        <v>0</v>
      </c>
      <c r="U62">
        <v>0</v>
      </c>
    </row>
    <row r="63" spans="1:21" x14ac:dyDescent="0.25">
      <c r="A63" t="s">
        <v>69</v>
      </c>
      <c r="B63" t="s">
        <v>70</v>
      </c>
      <c r="C63" t="s">
        <v>69</v>
      </c>
      <c r="D63" t="s">
        <v>53</v>
      </c>
      <c r="E63">
        <v>415</v>
      </c>
      <c r="F63" t="s">
        <v>15</v>
      </c>
      <c r="G63" t="s">
        <v>656</v>
      </c>
      <c r="H63">
        <v>17099796</v>
      </c>
      <c r="I63">
        <v>288</v>
      </c>
      <c r="J63">
        <v>0</v>
      </c>
      <c r="K63">
        <v>7.5456000000000003</v>
      </c>
      <c r="L63">
        <v>0</v>
      </c>
      <c r="M63">
        <v>7.5456000000000003</v>
      </c>
      <c r="N63" t="s">
        <v>919</v>
      </c>
      <c r="O63" t="s">
        <v>944</v>
      </c>
      <c r="P63">
        <v>2.6200000000000001E-2</v>
      </c>
      <c r="Q63">
        <v>0.11799999999999999</v>
      </c>
      <c r="R63">
        <v>0</v>
      </c>
      <c r="S63">
        <v>288</v>
      </c>
      <c r="T63">
        <v>0</v>
      </c>
      <c r="U63">
        <v>0</v>
      </c>
    </row>
    <row r="64" spans="1:21" x14ac:dyDescent="0.25">
      <c r="A64" t="s">
        <v>69</v>
      </c>
      <c r="B64" t="s">
        <v>70</v>
      </c>
      <c r="C64" t="s">
        <v>69</v>
      </c>
      <c r="D64" t="s">
        <v>53</v>
      </c>
      <c r="E64">
        <v>415</v>
      </c>
      <c r="F64" t="s">
        <v>15</v>
      </c>
      <c r="G64" t="s">
        <v>656</v>
      </c>
      <c r="H64">
        <v>17099793</v>
      </c>
      <c r="I64">
        <v>138</v>
      </c>
      <c r="J64">
        <v>0</v>
      </c>
      <c r="K64">
        <v>3.6156000000000001</v>
      </c>
      <c r="L64">
        <v>0</v>
      </c>
      <c r="M64">
        <v>3.6156000000000001</v>
      </c>
      <c r="N64" t="s">
        <v>918</v>
      </c>
      <c r="O64" t="s">
        <v>944</v>
      </c>
      <c r="P64">
        <v>2.6200000000000001E-2</v>
      </c>
      <c r="Q64">
        <v>0.11799999999999999</v>
      </c>
      <c r="R64">
        <v>0</v>
      </c>
      <c r="S64">
        <v>138</v>
      </c>
      <c r="T64">
        <v>0</v>
      </c>
      <c r="U64">
        <v>0</v>
      </c>
    </row>
    <row r="65" spans="1:21" x14ac:dyDescent="0.25">
      <c r="A65" t="s">
        <v>69</v>
      </c>
      <c r="B65" t="s">
        <v>70</v>
      </c>
      <c r="C65" t="s">
        <v>69</v>
      </c>
      <c r="D65" t="s">
        <v>53</v>
      </c>
      <c r="E65" t="s">
        <v>71</v>
      </c>
      <c r="F65" t="s">
        <v>24</v>
      </c>
      <c r="G65" t="s">
        <v>27</v>
      </c>
      <c r="H65">
        <v>17099462</v>
      </c>
      <c r="I65">
        <v>9065</v>
      </c>
      <c r="J65">
        <v>611</v>
      </c>
      <c r="K65">
        <v>187.6455</v>
      </c>
      <c r="L65">
        <v>53.156999999999996</v>
      </c>
      <c r="M65">
        <v>240.80250000000001</v>
      </c>
      <c r="N65" t="s">
        <v>72</v>
      </c>
      <c r="O65" t="s">
        <v>73</v>
      </c>
      <c r="P65">
        <v>2.07E-2</v>
      </c>
      <c r="Q65">
        <v>8.6999999999999994E-2</v>
      </c>
      <c r="R65">
        <v>47349</v>
      </c>
      <c r="S65">
        <v>56414</v>
      </c>
      <c r="T65">
        <v>1468</v>
      </c>
      <c r="U65">
        <v>2079</v>
      </c>
    </row>
    <row r="66" spans="1:21" x14ac:dyDescent="0.25">
      <c r="A66" t="s">
        <v>69</v>
      </c>
      <c r="B66" t="s">
        <v>70</v>
      </c>
      <c r="C66" t="s">
        <v>69</v>
      </c>
      <c r="D66" t="s">
        <v>53</v>
      </c>
      <c r="E66" t="s">
        <v>74</v>
      </c>
      <c r="F66" t="s">
        <v>15</v>
      </c>
      <c r="G66" t="s">
        <v>656</v>
      </c>
      <c r="H66">
        <v>17099616</v>
      </c>
      <c r="I66">
        <v>1514</v>
      </c>
      <c r="J66">
        <v>0</v>
      </c>
      <c r="K66">
        <v>39.666800000000002</v>
      </c>
      <c r="L66">
        <v>0</v>
      </c>
      <c r="M66">
        <v>39.666800000000002</v>
      </c>
      <c r="N66" t="s">
        <v>75</v>
      </c>
      <c r="O66" t="s">
        <v>76</v>
      </c>
      <c r="P66">
        <v>2.6200000000000001E-2</v>
      </c>
      <c r="Q66">
        <v>0.11799999999999999</v>
      </c>
      <c r="R66">
        <v>7343</v>
      </c>
      <c r="S66">
        <v>8857</v>
      </c>
      <c r="T66">
        <v>0</v>
      </c>
      <c r="U66">
        <v>0</v>
      </c>
    </row>
    <row r="67" spans="1:21" x14ac:dyDescent="0.25">
      <c r="A67" t="s">
        <v>79</v>
      </c>
      <c r="B67" t="s">
        <v>80</v>
      </c>
      <c r="C67" t="s">
        <v>81</v>
      </c>
      <c r="D67" t="s">
        <v>82</v>
      </c>
      <c r="E67">
        <v>410</v>
      </c>
      <c r="F67" t="s">
        <v>15</v>
      </c>
      <c r="G67" t="s">
        <v>656</v>
      </c>
      <c r="H67">
        <v>17099752</v>
      </c>
      <c r="I67">
        <v>53</v>
      </c>
      <c r="J67">
        <v>0</v>
      </c>
      <c r="K67">
        <v>1.3886000000000001</v>
      </c>
      <c r="L67">
        <v>0</v>
      </c>
      <c r="M67">
        <v>1.3886000000000001</v>
      </c>
      <c r="N67" t="s">
        <v>88</v>
      </c>
      <c r="O67" t="s">
        <v>89</v>
      </c>
      <c r="P67">
        <v>2.6200000000000001E-2</v>
      </c>
      <c r="Q67">
        <v>0.11799999999999999</v>
      </c>
      <c r="R67">
        <v>675</v>
      </c>
      <c r="S67">
        <v>728</v>
      </c>
      <c r="T67">
        <v>0</v>
      </c>
      <c r="U67">
        <v>0</v>
      </c>
    </row>
    <row r="68" spans="1:21" x14ac:dyDescent="0.25">
      <c r="A68" t="s">
        <v>79</v>
      </c>
      <c r="B68" t="s">
        <v>80</v>
      </c>
      <c r="C68" t="s">
        <v>81</v>
      </c>
      <c r="D68" t="s">
        <v>82</v>
      </c>
      <c r="E68">
        <v>609</v>
      </c>
      <c r="F68" t="s">
        <v>15</v>
      </c>
      <c r="G68" t="s">
        <v>656</v>
      </c>
      <c r="H68">
        <v>17099621</v>
      </c>
      <c r="I68">
        <v>324</v>
      </c>
      <c r="J68">
        <v>0</v>
      </c>
      <c r="K68">
        <v>8.4888000000000012</v>
      </c>
      <c r="L68">
        <v>0</v>
      </c>
      <c r="M68">
        <v>8.4888000000000012</v>
      </c>
      <c r="N68" t="s">
        <v>86</v>
      </c>
      <c r="O68" t="s">
        <v>87</v>
      </c>
      <c r="P68">
        <v>2.6200000000000001E-2</v>
      </c>
      <c r="Q68">
        <v>0.11799999999999999</v>
      </c>
      <c r="R68">
        <v>1319</v>
      </c>
      <c r="S68">
        <v>1643</v>
      </c>
      <c r="T68">
        <v>0</v>
      </c>
      <c r="U68">
        <v>0</v>
      </c>
    </row>
    <row r="69" spans="1:21" x14ac:dyDescent="0.25">
      <c r="A69" t="s">
        <v>79</v>
      </c>
      <c r="B69" t="s">
        <v>80</v>
      </c>
      <c r="C69" t="s">
        <v>81</v>
      </c>
      <c r="D69" t="s">
        <v>82</v>
      </c>
      <c r="E69">
        <v>609</v>
      </c>
      <c r="F69" t="s">
        <v>83</v>
      </c>
      <c r="G69" t="s">
        <v>27</v>
      </c>
      <c r="H69">
        <v>17099782</v>
      </c>
      <c r="I69">
        <v>12466</v>
      </c>
      <c r="J69">
        <v>285</v>
      </c>
      <c r="K69">
        <v>258.0462</v>
      </c>
      <c r="L69">
        <v>24.794999999999998</v>
      </c>
      <c r="M69">
        <v>282.84120000000001</v>
      </c>
      <c r="N69" t="s">
        <v>84</v>
      </c>
      <c r="O69" t="s">
        <v>85</v>
      </c>
      <c r="P69">
        <v>2.07E-2</v>
      </c>
      <c r="Q69">
        <v>8.6999999999999994E-2</v>
      </c>
      <c r="R69">
        <v>108345</v>
      </c>
      <c r="S69">
        <v>120811</v>
      </c>
      <c r="T69">
        <v>24259</v>
      </c>
      <c r="U69">
        <v>24544</v>
      </c>
    </row>
    <row r="70" spans="1:21" x14ac:dyDescent="0.25">
      <c r="A70" t="s">
        <v>487</v>
      </c>
      <c r="B70" t="s">
        <v>488</v>
      </c>
      <c r="C70" t="s">
        <v>484</v>
      </c>
      <c r="D70" t="s">
        <v>276</v>
      </c>
      <c r="E70">
        <v>111</v>
      </c>
      <c r="F70" t="s">
        <v>157</v>
      </c>
      <c r="G70" t="s">
        <v>27</v>
      </c>
      <c r="H70">
        <v>17099530</v>
      </c>
      <c r="I70">
        <v>645</v>
      </c>
      <c r="J70">
        <v>0</v>
      </c>
      <c r="K70">
        <v>13.3515</v>
      </c>
      <c r="L70">
        <v>0</v>
      </c>
      <c r="M70">
        <v>13.3515</v>
      </c>
      <c r="N70" t="s">
        <v>492</v>
      </c>
      <c r="O70" t="s">
        <v>493</v>
      </c>
      <c r="P70">
        <v>2.07E-2</v>
      </c>
      <c r="Q70">
        <v>8.6999999999999994E-2</v>
      </c>
      <c r="R70">
        <v>5305</v>
      </c>
      <c r="S70">
        <v>5950</v>
      </c>
      <c r="T70">
        <v>0</v>
      </c>
      <c r="U70">
        <v>0</v>
      </c>
    </row>
    <row r="71" spans="1:21" x14ac:dyDescent="0.25">
      <c r="A71" t="s">
        <v>487</v>
      </c>
      <c r="B71" t="s">
        <v>488</v>
      </c>
      <c r="C71" t="s">
        <v>484</v>
      </c>
      <c r="D71" t="s">
        <v>276</v>
      </c>
      <c r="E71" t="s">
        <v>489</v>
      </c>
      <c r="F71" t="s">
        <v>15</v>
      </c>
      <c r="G71" t="s">
        <v>656</v>
      </c>
      <c r="H71">
        <v>17099697</v>
      </c>
      <c r="I71">
        <v>177</v>
      </c>
      <c r="J71">
        <v>0</v>
      </c>
      <c r="K71">
        <v>4.6374000000000004</v>
      </c>
      <c r="L71">
        <v>0</v>
      </c>
      <c r="M71">
        <v>4.6374000000000004</v>
      </c>
      <c r="N71" t="s">
        <v>490</v>
      </c>
      <c r="O71" t="s">
        <v>491</v>
      </c>
      <c r="P71">
        <v>2.6200000000000001E-2</v>
      </c>
      <c r="Q71">
        <v>0.11799999999999999</v>
      </c>
      <c r="R71">
        <v>828</v>
      </c>
      <c r="S71">
        <v>1005</v>
      </c>
      <c r="T71">
        <v>0</v>
      </c>
      <c r="U71">
        <v>0</v>
      </c>
    </row>
    <row r="72" spans="1:21" x14ac:dyDescent="0.25">
      <c r="A72" t="s">
        <v>385</v>
      </c>
      <c r="B72" t="s">
        <v>386</v>
      </c>
      <c r="C72" t="s">
        <v>387</v>
      </c>
      <c r="D72" t="s">
        <v>276</v>
      </c>
      <c r="E72">
        <v>320</v>
      </c>
      <c r="F72" t="s">
        <v>15</v>
      </c>
      <c r="G72" t="s">
        <v>656</v>
      </c>
      <c r="H72">
        <v>17099695</v>
      </c>
      <c r="I72">
        <v>2480</v>
      </c>
      <c r="J72">
        <v>0</v>
      </c>
      <c r="K72">
        <v>64.975999999999999</v>
      </c>
      <c r="L72">
        <v>0</v>
      </c>
      <c r="M72">
        <v>64.975999999999999</v>
      </c>
      <c r="N72" t="s">
        <v>389</v>
      </c>
      <c r="O72" t="s">
        <v>390</v>
      </c>
      <c r="P72">
        <v>2.6200000000000001E-2</v>
      </c>
      <c r="Q72">
        <v>0.11799999999999999</v>
      </c>
      <c r="R72">
        <v>8903</v>
      </c>
      <c r="S72">
        <v>11383</v>
      </c>
      <c r="T72">
        <v>0</v>
      </c>
      <c r="U72">
        <v>0</v>
      </c>
    </row>
    <row r="73" spans="1:21" x14ac:dyDescent="0.25">
      <c r="A73" t="s">
        <v>385</v>
      </c>
      <c r="B73" t="s">
        <v>386</v>
      </c>
      <c r="C73" t="s">
        <v>387</v>
      </c>
      <c r="D73" t="s">
        <v>276</v>
      </c>
      <c r="E73">
        <v>320</v>
      </c>
      <c r="F73" t="s">
        <v>407</v>
      </c>
      <c r="G73" t="s">
        <v>27</v>
      </c>
      <c r="H73">
        <v>17099414</v>
      </c>
      <c r="I73">
        <v>6382</v>
      </c>
      <c r="J73">
        <v>0</v>
      </c>
      <c r="K73">
        <v>132.10739999999998</v>
      </c>
      <c r="L73">
        <v>0</v>
      </c>
      <c r="M73">
        <v>132.10739999999998</v>
      </c>
      <c r="N73" t="s">
        <v>912</v>
      </c>
      <c r="O73" t="s">
        <v>933</v>
      </c>
      <c r="P73">
        <v>2.07E-2</v>
      </c>
      <c r="Q73">
        <v>8.6999999999999994E-2</v>
      </c>
      <c r="R73">
        <v>2945</v>
      </c>
      <c r="S73">
        <v>9327</v>
      </c>
      <c r="T73">
        <v>0</v>
      </c>
      <c r="U73">
        <v>0</v>
      </c>
    </row>
    <row r="74" spans="1:21" x14ac:dyDescent="0.25">
      <c r="A74" t="s">
        <v>274</v>
      </c>
      <c r="B74" t="s">
        <v>275</v>
      </c>
      <c r="C74" t="s">
        <v>823</v>
      </c>
      <c r="D74" t="s">
        <v>276</v>
      </c>
      <c r="E74">
        <v>201</v>
      </c>
      <c r="F74" t="s">
        <v>15</v>
      </c>
      <c r="G74" t="s">
        <v>656</v>
      </c>
      <c r="H74">
        <v>17099687</v>
      </c>
      <c r="I74">
        <v>445</v>
      </c>
      <c r="J74">
        <v>0</v>
      </c>
      <c r="K74">
        <v>11.659000000000001</v>
      </c>
      <c r="L74">
        <v>0</v>
      </c>
      <c r="M74">
        <v>11.659000000000001</v>
      </c>
      <c r="N74" t="s">
        <v>756</v>
      </c>
      <c r="O74" t="s">
        <v>755</v>
      </c>
      <c r="P74">
        <v>2.6200000000000001E-2</v>
      </c>
      <c r="Q74">
        <v>0.11799999999999999</v>
      </c>
      <c r="R74">
        <v>2545</v>
      </c>
      <c r="S74">
        <v>2990</v>
      </c>
      <c r="T74">
        <v>0</v>
      </c>
      <c r="U74">
        <v>0</v>
      </c>
    </row>
    <row r="75" spans="1:21" x14ac:dyDescent="0.25">
      <c r="A75" t="s">
        <v>274</v>
      </c>
      <c r="B75" t="s">
        <v>275</v>
      </c>
      <c r="C75" t="s">
        <v>823</v>
      </c>
      <c r="D75" t="s">
        <v>276</v>
      </c>
      <c r="E75">
        <v>212</v>
      </c>
      <c r="F75" t="s">
        <v>15</v>
      </c>
      <c r="G75" t="s">
        <v>656</v>
      </c>
      <c r="H75">
        <v>17099699</v>
      </c>
      <c r="I75">
        <v>213</v>
      </c>
      <c r="J75">
        <v>0</v>
      </c>
      <c r="K75">
        <v>5.5806000000000004</v>
      </c>
      <c r="L75">
        <v>0</v>
      </c>
      <c r="M75">
        <v>5.5806000000000004</v>
      </c>
      <c r="N75" t="s">
        <v>281</v>
      </c>
      <c r="O75" t="s">
        <v>282</v>
      </c>
      <c r="P75">
        <v>2.6200000000000001E-2</v>
      </c>
      <c r="Q75">
        <v>0.11799999999999999</v>
      </c>
      <c r="R75">
        <v>546</v>
      </c>
      <c r="S75">
        <v>759</v>
      </c>
      <c r="T75">
        <v>0</v>
      </c>
      <c r="U75">
        <v>0</v>
      </c>
    </row>
    <row r="76" spans="1:21" x14ac:dyDescent="0.25">
      <c r="A76" t="s">
        <v>274</v>
      </c>
      <c r="B76" t="s">
        <v>275</v>
      </c>
      <c r="C76" t="s">
        <v>823</v>
      </c>
      <c r="D76" t="s">
        <v>276</v>
      </c>
      <c r="E76">
        <v>213</v>
      </c>
      <c r="F76" t="s">
        <v>15</v>
      </c>
      <c r="G76" t="s">
        <v>656</v>
      </c>
      <c r="H76">
        <v>17099686</v>
      </c>
      <c r="I76">
        <v>243</v>
      </c>
      <c r="J76">
        <v>0</v>
      </c>
      <c r="K76">
        <v>6.3666</v>
      </c>
      <c r="L76">
        <v>0</v>
      </c>
      <c r="M76">
        <v>6.3666</v>
      </c>
      <c r="N76" t="s">
        <v>279</v>
      </c>
      <c r="O76" t="s">
        <v>280</v>
      </c>
      <c r="P76">
        <v>2.6200000000000001E-2</v>
      </c>
      <c r="Q76">
        <v>0.11799999999999999</v>
      </c>
      <c r="R76">
        <v>1686</v>
      </c>
      <c r="S76">
        <v>1929</v>
      </c>
      <c r="T76">
        <v>0</v>
      </c>
      <c r="U76">
        <v>0</v>
      </c>
    </row>
    <row r="77" spans="1:21" x14ac:dyDescent="0.25">
      <c r="A77" t="s">
        <v>274</v>
      </c>
      <c r="B77" t="s">
        <v>275</v>
      </c>
      <c r="C77" t="s">
        <v>823</v>
      </c>
      <c r="D77" t="s">
        <v>276</v>
      </c>
      <c r="E77">
        <v>216</v>
      </c>
      <c r="F77" t="s">
        <v>15</v>
      </c>
      <c r="G77" t="s">
        <v>656</v>
      </c>
      <c r="H77">
        <v>17099730</v>
      </c>
      <c r="I77">
        <v>662</v>
      </c>
      <c r="J77">
        <v>0</v>
      </c>
      <c r="K77">
        <v>17.3444</v>
      </c>
      <c r="L77">
        <v>0</v>
      </c>
      <c r="M77">
        <v>17.3444</v>
      </c>
      <c r="N77" t="s">
        <v>754</v>
      </c>
      <c r="O77" t="s">
        <v>284</v>
      </c>
      <c r="P77">
        <v>2.6200000000000001E-2</v>
      </c>
      <c r="Q77">
        <v>0.11799999999999999</v>
      </c>
      <c r="R77">
        <v>2096</v>
      </c>
      <c r="S77">
        <v>2758</v>
      </c>
      <c r="T77">
        <v>0</v>
      </c>
      <c r="U77">
        <v>0</v>
      </c>
    </row>
    <row r="78" spans="1:21" x14ac:dyDescent="0.25">
      <c r="A78" t="s">
        <v>274</v>
      </c>
      <c r="B78" t="s">
        <v>275</v>
      </c>
      <c r="C78" t="s">
        <v>823</v>
      </c>
      <c r="D78" t="s">
        <v>276</v>
      </c>
      <c r="E78">
        <v>216</v>
      </c>
      <c r="F78" t="s">
        <v>54</v>
      </c>
      <c r="G78" t="s">
        <v>27</v>
      </c>
      <c r="H78">
        <v>17099499</v>
      </c>
      <c r="I78">
        <v>1432</v>
      </c>
      <c r="J78">
        <v>79</v>
      </c>
      <c r="K78">
        <v>29.642399999999999</v>
      </c>
      <c r="L78">
        <v>6.8729999999999993</v>
      </c>
      <c r="M78">
        <v>36.5154</v>
      </c>
      <c r="N78" t="s">
        <v>277</v>
      </c>
      <c r="O78" t="s">
        <v>278</v>
      </c>
      <c r="P78">
        <v>2.07E-2</v>
      </c>
      <c r="Q78">
        <v>8.6999999999999994E-2</v>
      </c>
      <c r="R78">
        <v>8187</v>
      </c>
      <c r="S78">
        <v>9619</v>
      </c>
      <c r="T78">
        <v>711</v>
      </c>
      <c r="U78">
        <v>790</v>
      </c>
    </row>
    <row r="79" spans="1:21" x14ac:dyDescent="0.25">
      <c r="A79" t="s">
        <v>293</v>
      </c>
      <c r="B79" t="s">
        <v>410</v>
      </c>
      <c r="C79" t="s">
        <v>414</v>
      </c>
      <c r="D79" t="s">
        <v>221</v>
      </c>
      <c r="E79">
        <v>307</v>
      </c>
      <c r="F79" t="s">
        <v>415</v>
      </c>
      <c r="G79" t="s">
        <v>27</v>
      </c>
      <c r="H79">
        <v>17099420</v>
      </c>
      <c r="I79">
        <v>14168</v>
      </c>
      <c r="J79">
        <v>2796</v>
      </c>
      <c r="K79">
        <v>293.27760000000001</v>
      </c>
      <c r="L79">
        <v>243.25199999999998</v>
      </c>
      <c r="M79">
        <v>536.52959999999996</v>
      </c>
      <c r="N79" t="s">
        <v>430</v>
      </c>
      <c r="O79" t="s">
        <v>431</v>
      </c>
      <c r="P79">
        <v>2.07E-2</v>
      </c>
      <c r="Q79">
        <v>8.6999999999999994E-2</v>
      </c>
      <c r="R79">
        <v>176894</v>
      </c>
      <c r="S79">
        <v>191062</v>
      </c>
      <c r="T79">
        <v>11817</v>
      </c>
      <c r="U79">
        <v>14613</v>
      </c>
    </row>
    <row r="80" spans="1:21" x14ac:dyDescent="0.25">
      <c r="A80" t="s">
        <v>418</v>
      </c>
      <c r="B80" t="s">
        <v>410</v>
      </c>
      <c r="C80" t="s">
        <v>414</v>
      </c>
      <c r="D80" t="s">
        <v>418</v>
      </c>
      <c r="E80" t="s">
        <v>419</v>
      </c>
      <c r="F80" t="s">
        <v>90</v>
      </c>
      <c r="G80" t="s">
        <v>656</v>
      </c>
      <c r="H80">
        <v>17099702</v>
      </c>
      <c r="I80">
        <v>23</v>
      </c>
      <c r="J80">
        <v>47</v>
      </c>
      <c r="K80">
        <v>0.60260000000000002</v>
      </c>
      <c r="L80">
        <v>5.5459999999999994</v>
      </c>
      <c r="M80">
        <v>6.1485999999999992</v>
      </c>
      <c r="N80" t="s">
        <v>420</v>
      </c>
      <c r="O80" t="s">
        <v>421</v>
      </c>
      <c r="P80">
        <v>2.6200000000000001E-2</v>
      </c>
      <c r="Q80">
        <v>0.11799999999999999</v>
      </c>
      <c r="R80">
        <v>225</v>
      </c>
      <c r="S80">
        <v>248</v>
      </c>
      <c r="T80">
        <v>456</v>
      </c>
      <c r="U80">
        <v>503</v>
      </c>
    </row>
    <row r="81" spans="1:21" x14ac:dyDescent="0.25">
      <c r="A81" t="s">
        <v>658</v>
      </c>
      <c r="B81" t="s">
        <v>410</v>
      </c>
      <c r="C81" t="s">
        <v>414</v>
      </c>
      <c r="D81" t="s">
        <v>96</v>
      </c>
      <c r="E81">
        <v>512</v>
      </c>
      <c r="F81" t="s">
        <v>411</v>
      </c>
      <c r="G81" t="s">
        <v>27</v>
      </c>
      <c r="H81">
        <v>17099480</v>
      </c>
      <c r="I81">
        <v>9047</v>
      </c>
      <c r="J81">
        <v>0</v>
      </c>
      <c r="K81">
        <v>187.27289999999999</v>
      </c>
      <c r="L81">
        <v>0</v>
      </c>
      <c r="M81">
        <v>187.27289999999999</v>
      </c>
      <c r="N81" t="s">
        <v>412</v>
      </c>
      <c r="O81" t="s">
        <v>413</v>
      </c>
      <c r="P81">
        <v>2.07E-2</v>
      </c>
      <c r="Q81">
        <v>8.6999999999999994E-2</v>
      </c>
      <c r="R81">
        <v>28059</v>
      </c>
      <c r="S81">
        <v>37106</v>
      </c>
      <c r="T81">
        <v>0</v>
      </c>
      <c r="U81">
        <v>0</v>
      </c>
    </row>
    <row r="82" spans="1:21" x14ac:dyDescent="0.25">
      <c r="A82" t="s">
        <v>276</v>
      </c>
      <c r="B82" t="s">
        <v>410</v>
      </c>
      <c r="C82" t="s">
        <v>414</v>
      </c>
      <c r="D82" t="s">
        <v>276</v>
      </c>
      <c r="E82">
        <v>208</v>
      </c>
      <c r="F82" t="s">
        <v>411</v>
      </c>
      <c r="G82" t="s">
        <v>27</v>
      </c>
      <c r="H82">
        <v>17099419</v>
      </c>
      <c r="I82">
        <v>24587</v>
      </c>
      <c r="J82">
        <v>0</v>
      </c>
      <c r="K82">
        <v>508.95089999999999</v>
      </c>
      <c r="L82">
        <v>0</v>
      </c>
      <c r="M82">
        <v>508.95089999999999</v>
      </c>
      <c r="N82" t="s">
        <v>904</v>
      </c>
      <c r="O82" t="s">
        <v>983</v>
      </c>
      <c r="P82">
        <v>2.07E-2</v>
      </c>
      <c r="Q82">
        <v>8.6999999999999994E-2</v>
      </c>
      <c r="R82">
        <v>14127</v>
      </c>
      <c r="S82">
        <v>38714</v>
      </c>
      <c r="T82">
        <v>0</v>
      </c>
      <c r="U82">
        <v>0</v>
      </c>
    </row>
    <row r="83" spans="1:21" x14ac:dyDescent="0.25">
      <c r="A83" t="s">
        <v>276</v>
      </c>
      <c r="B83" t="s">
        <v>410</v>
      </c>
      <c r="C83" t="s">
        <v>414</v>
      </c>
      <c r="D83" t="s">
        <v>276</v>
      </c>
      <c r="E83">
        <v>208</v>
      </c>
      <c r="F83" t="s">
        <v>415</v>
      </c>
      <c r="G83" t="s">
        <v>27</v>
      </c>
      <c r="H83">
        <v>17099421</v>
      </c>
      <c r="I83">
        <v>3510</v>
      </c>
      <c r="J83">
        <v>8826</v>
      </c>
      <c r="K83">
        <v>72.656999999999996</v>
      </c>
      <c r="L83">
        <v>767.86199999999997</v>
      </c>
      <c r="M83">
        <v>840.51900000000001</v>
      </c>
      <c r="N83" t="s">
        <v>416</v>
      </c>
      <c r="O83" t="s">
        <v>417</v>
      </c>
      <c r="P83">
        <v>2.07E-2</v>
      </c>
      <c r="Q83">
        <v>8.6999999999999994E-2</v>
      </c>
      <c r="R83">
        <v>46338</v>
      </c>
      <c r="S83">
        <v>49848</v>
      </c>
      <c r="T83">
        <v>68697</v>
      </c>
      <c r="U83">
        <v>77523</v>
      </c>
    </row>
    <row r="84" spans="1:21" x14ac:dyDescent="0.25">
      <c r="A84" t="s">
        <v>93</v>
      </c>
      <c r="B84" t="s">
        <v>94</v>
      </c>
      <c r="C84" t="s">
        <v>95</v>
      </c>
      <c r="D84" t="s">
        <v>96</v>
      </c>
      <c r="E84">
        <v>307</v>
      </c>
      <c r="F84" t="s">
        <v>15</v>
      </c>
      <c r="G84" t="s">
        <v>656</v>
      </c>
      <c r="H84">
        <v>17099831</v>
      </c>
      <c r="I84">
        <v>812</v>
      </c>
      <c r="J84">
        <v>0</v>
      </c>
      <c r="K84">
        <v>21.2744</v>
      </c>
      <c r="L84">
        <v>0</v>
      </c>
      <c r="M84">
        <v>21.2744</v>
      </c>
      <c r="N84" t="s">
        <v>867</v>
      </c>
      <c r="O84" t="s">
        <v>934</v>
      </c>
      <c r="P84">
        <v>2.6200000000000001E-2</v>
      </c>
      <c r="Q84">
        <v>0.11799999999999999</v>
      </c>
      <c r="R84">
        <v>2787</v>
      </c>
      <c r="S84">
        <v>3599</v>
      </c>
      <c r="T84">
        <v>0</v>
      </c>
      <c r="U84">
        <v>0</v>
      </c>
    </row>
    <row r="85" spans="1:21" x14ac:dyDescent="0.25">
      <c r="A85" t="s">
        <v>93</v>
      </c>
      <c r="B85" t="s">
        <v>94</v>
      </c>
      <c r="C85" t="s">
        <v>95</v>
      </c>
      <c r="D85" t="s">
        <v>96</v>
      </c>
      <c r="E85">
        <v>318</v>
      </c>
      <c r="F85" t="s">
        <v>15</v>
      </c>
      <c r="G85" t="s">
        <v>656</v>
      </c>
      <c r="H85">
        <v>17099440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310</v>
      </c>
      <c r="O85" t="s">
        <v>958</v>
      </c>
      <c r="P85">
        <v>2.6200000000000001E-2</v>
      </c>
      <c r="Q85">
        <v>0.11799999999999999</v>
      </c>
      <c r="R85">
        <v>477</v>
      </c>
      <c r="S85">
        <v>477</v>
      </c>
      <c r="T85">
        <v>0</v>
      </c>
      <c r="U85">
        <v>0</v>
      </c>
    </row>
    <row r="86" spans="1:21" x14ac:dyDescent="0.25">
      <c r="A86" t="s">
        <v>93</v>
      </c>
      <c r="B86" t="s">
        <v>94</v>
      </c>
      <c r="C86" t="s">
        <v>95</v>
      </c>
      <c r="D86" t="s">
        <v>96</v>
      </c>
      <c r="E86">
        <v>320</v>
      </c>
      <c r="F86" t="s">
        <v>15</v>
      </c>
      <c r="G86" t="s">
        <v>656</v>
      </c>
      <c r="H86">
        <v>17099771</v>
      </c>
      <c r="I86">
        <v>5882</v>
      </c>
      <c r="J86">
        <v>0</v>
      </c>
      <c r="K86">
        <v>154.10840000000002</v>
      </c>
      <c r="L86">
        <v>0</v>
      </c>
      <c r="M86">
        <v>154.10840000000002</v>
      </c>
      <c r="N86" t="s">
        <v>102</v>
      </c>
      <c r="O86" t="s">
        <v>103</v>
      </c>
      <c r="P86">
        <v>2.6200000000000001E-2</v>
      </c>
      <c r="Q86">
        <v>0.11799999999999999</v>
      </c>
      <c r="R86">
        <v>50078</v>
      </c>
      <c r="S86">
        <v>55960</v>
      </c>
      <c r="T86">
        <v>0</v>
      </c>
      <c r="U86">
        <v>0</v>
      </c>
    </row>
    <row r="87" spans="1:21" x14ac:dyDescent="0.25">
      <c r="A87" t="s">
        <v>93</v>
      </c>
      <c r="B87" t="s">
        <v>94</v>
      </c>
      <c r="C87" t="s">
        <v>95</v>
      </c>
      <c r="D87" t="s">
        <v>96</v>
      </c>
      <c r="E87">
        <v>331</v>
      </c>
      <c r="F87" t="s">
        <v>15</v>
      </c>
      <c r="G87" t="s">
        <v>656</v>
      </c>
      <c r="H87">
        <v>17099723</v>
      </c>
      <c r="I87">
        <v>784</v>
      </c>
      <c r="J87">
        <v>0</v>
      </c>
      <c r="K87">
        <v>20.540800000000001</v>
      </c>
      <c r="L87">
        <v>0</v>
      </c>
      <c r="M87">
        <v>20.540800000000001</v>
      </c>
      <c r="N87" t="s">
        <v>870</v>
      </c>
      <c r="O87" t="s">
        <v>937</v>
      </c>
      <c r="P87">
        <v>2.6200000000000001E-2</v>
      </c>
      <c r="Q87">
        <v>0.11799999999999999</v>
      </c>
      <c r="R87">
        <v>791</v>
      </c>
      <c r="S87">
        <v>1575</v>
      </c>
      <c r="T87">
        <v>0</v>
      </c>
      <c r="U87">
        <v>0</v>
      </c>
    </row>
    <row r="88" spans="1:21" x14ac:dyDescent="0.25">
      <c r="A88" t="s">
        <v>93</v>
      </c>
      <c r="B88" t="s">
        <v>94</v>
      </c>
      <c r="C88" t="s">
        <v>95</v>
      </c>
      <c r="D88" t="s">
        <v>96</v>
      </c>
      <c r="E88">
        <v>337</v>
      </c>
      <c r="F88" t="s">
        <v>83</v>
      </c>
      <c r="G88" t="s">
        <v>27</v>
      </c>
      <c r="H88">
        <v>17099456</v>
      </c>
      <c r="I88">
        <v>20678</v>
      </c>
      <c r="J88">
        <v>924</v>
      </c>
      <c r="K88">
        <v>428.03460000000001</v>
      </c>
      <c r="L88">
        <v>80.387999999999991</v>
      </c>
      <c r="M88">
        <v>508.42259999999999</v>
      </c>
      <c r="N88" t="s">
        <v>97</v>
      </c>
      <c r="O88" t="s">
        <v>98</v>
      </c>
      <c r="P88">
        <v>2.07E-2</v>
      </c>
      <c r="Q88">
        <v>8.6999999999999994E-2</v>
      </c>
      <c r="R88">
        <v>119688</v>
      </c>
      <c r="S88">
        <v>140366</v>
      </c>
      <c r="T88">
        <v>8442</v>
      </c>
      <c r="U88">
        <v>9366</v>
      </c>
    </row>
    <row r="89" spans="1:21" x14ac:dyDescent="0.25">
      <c r="A89" t="s">
        <v>93</v>
      </c>
      <c r="B89" t="s">
        <v>94</v>
      </c>
      <c r="C89" t="s">
        <v>95</v>
      </c>
      <c r="D89" t="s">
        <v>96</v>
      </c>
      <c r="E89">
        <v>345</v>
      </c>
      <c r="F89" t="s">
        <v>15</v>
      </c>
      <c r="G89" t="s">
        <v>656</v>
      </c>
      <c r="H89">
        <v>17099813</v>
      </c>
      <c r="I89">
        <v>419</v>
      </c>
      <c r="J89">
        <v>0</v>
      </c>
      <c r="K89">
        <v>10.9778</v>
      </c>
      <c r="L89">
        <v>0</v>
      </c>
      <c r="M89">
        <v>10.9778</v>
      </c>
      <c r="N89" t="s">
        <v>868</v>
      </c>
      <c r="O89" t="s">
        <v>935</v>
      </c>
      <c r="P89">
        <v>2.6200000000000001E-2</v>
      </c>
      <c r="Q89">
        <v>0.11799999999999999</v>
      </c>
      <c r="R89">
        <v>8797</v>
      </c>
      <c r="S89">
        <v>9216</v>
      </c>
      <c r="T89">
        <v>0</v>
      </c>
      <c r="U89">
        <v>0</v>
      </c>
    </row>
    <row r="90" spans="1:21" x14ac:dyDescent="0.25">
      <c r="A90" t="s">
        <v>93</v>
      </c>
      <c r="B90" t="s">
        <v>94</v>
      </c>
      <c r="C90" t="s">
        <v>95</v>
      </c>
      <c r="D90" t="s">
        <v>96</v>
      </c>
      <c r="E90">
        <v>346</v>
      </c>
      <c r="F90" t="s">
        <v>90</v>
      </c>
      <c r="G90" t="s">
        <v>656</v>
      </c>
      <c r="H90">
        <v>17099643</v>
      </c>
      <c r="I90">
        <v>64</v>
      </c>
      <c r="J90">
        <v>95</v>
      </c>
      <c r="K90">
        <v>1.6768000000000001</v>
      </c>
      <c r="L90">
        <v>11.209999999999999</v>
      </c>
      <c r="M90">
        <v>12.886799999999999</v>
      </c>
      <c r="N90" t="s">
        <v>790</v>
      </c>
      <c r="O90" t="s">
        <v>804</v>
      </c>
      <c r="P90">
        <v>2.6200000000000001E-2</v>
      </c>
      <c r="Q90">
        <v>0.11799999999999999</v>
      </c>
      <c r="R90">
        <v>154</v>
      </c>
      <c r="S90">
        <v>218</v>
      </c>
      <c r="T90">
        <v>176</v>
      </c>
      <c r="U90">
        <v>271</v>
      </c>
    </row>
    <row r="91" spans="1:21" x14ac:dyDescent="0.25">
      <c r="A91" t="s">
        <v>104</v>
      </c>
      <c r="B91" t="s">
        <v>105</v>
      </c>
      <c r="C91" t="s">
        <v>106</v>
      </c>
      <c r="D91" t="s">
        <v>82</v>
      </c>
      <c r="E91">
        <v>502</v>
      </c>
      <c r="F91" t="s">
        <v>15</v>
      </c>
      <c r="G91" t="s">
        <v>656</v>
      </c>
      <c r="H91">
        <v>17099626</v>
      </c>
      <c r="I91">
        <v>49</v>
      </c>
      <c r="J91">
        <v>0</v>
      </c>
      <c r="K91">
        <v>1.2838000000000001</v>
      </c>
      <c r="L91">
        <v>0</v>
      </c>
      <c r="M91">
        <v>1.2838000000000001</v>
      </c>
      <c r="N91" t="s">
        <v>115</v>
      </c>
      <c r="O91" t="s">
        <v>116</v>
      </c>
      <c r="P91">
        <v>2.6200000000000001E-2</v>
      </c>
      <c r="Q91">
        <v>0.11799999999999999</v>
      </c>
      <c r="R91">
        <v>215</v>
      </c>
      <c r="S91">
        <v>264</v>
      </c>
      <c r="T91">
        <v>0</v>
      </c>
      <c r="U91">
        <v>0</v>
      </c>
    </row>
    <row r="92" spans="1:21" x14ac:dyDescent="0.25">
      <c r="A92" t="s">
        <v>104</v>
      </c>
      <c r="B92" t="s">
        <v>105</v>
      </c>
      <c r="C92" t="s">
        <v>106</v>
      </c>
      <c r="D92" t="s">
        <v>82</v>
      </c>
      <c r="E92">
        <v>507</v>
      </c>
      <c r="F92" t="s">
        <v>15</v>
      </c>
      <c r="G92" t="s">
        <v>656</v>
      </c>
      <c r="H92">
        <v>17099587</v>
      </c>
      <c r="I92">
        <v>107</v>
      </c>
      <c r="J92">
        <v>0</v>
      </c>
      <c r="K92">
        <v>2.8033999999999999</v>
      </c>
      <c r="L92">
        <v>0</v>
      </c>
      <c r="M92">
        <v>2.8033999999999999</v>
      </c>
      <c r="N92" t="s">
        <v>117</v>
      </c>
      <c r="O92" t="s">
        <v>118</v>
      </c>
      <c r="P92">
        <v>2.6200000000000001E-2</v>
      </c>
      <c r="Q92">
        <v>0.11799999999999999</v>
      </c>
      <c r="R92">
        <v>413</v>
      </c>
      <c r="S92">
        <v>520</v>
      </c>
      <c r="T92">
        <v>0</v>
      </c>
      <c r="U92">
        <v>0</v>
      </c>
    </row>
    <row r="93" spans="1:21" x14ac:dyDescent="0.25">
      <c r="A93" t="s">
        <v>104</v>
      </c>
      <c r="B93" t="s">
        <v>105</v>
      </c>
      <c r="C93" t="s">
        <v>106</v>
      </c>
      <c r="D93" t="s">
        <v>82</v>
      </c>
      <c r="E93">
        <v>508</v>
      </c>
      <c r="F93" t="s">
        <v>24</v>
      </c>
      <c r="G93" t="s">
        <v>27</v>
      </c>
      <c r="H93">
        <v>17099466</v>
      </c>
      <c r="I93">
        <v>2053</v>
      </c>
      <c r="J93">
        <v>236</v>
      </c>
      <c r="K93">
        <v>42.497099999999996</v>
      </c>
      <c r="L93">
        <v>20.532</v>
      </c>
      <c r="M93">
        <v>63.0291</v>
      </c>
      <c r="N93" t="s">
        <v>107</v>
      </c>
      <c r="O93" t="s">
        <v>108</v>
      </c>
      <c r="P93">
        <v>2.07E-2</v>
      </c>
      <c r="Q93">
        <v>8.6999999999999994E-2</v>
      </c>
      <c r="R93">
        <v>6583</v>
      </c>
      <c r="S93">
        <v>8636</v>
      </c>
      <c r="T93">
        <v>564</v>
      </c>
      <c r="U93">
        <v>800</v>
      </c>
    </row>
    <row r="94" spans="1:21" x14ac:dyDescent="0.25">
      <c r="A94" t="s">
        <v>104</v>
      </c>
      <c r="B94" t="s">
        <v>105</v>
      </c>
      <c r="C94" t="s">
        <v>106</v>
      </c>
      <c r="D94" t="s">
        <v>82</v>
      </c>
      <c r="E94">
        <v>509</v>
      </c>
      <c r="F94" t="s">
        <v>15</v>
      </c>
      <c r="G94" t="s">
        <v>656</v>
      </c>
      <c r="H94">
        <v>17099614</v>
      </c>
      <c r="I94">
        <v>87</v>
      </c>
      <c r="J94">
        <v>0</v>
      </c>
      <c r="K94">
        <v>2.2793999999999999</v>
      </c>
      <c r="L94">
        <v>0</v>
      </c>
      <c r="M94">
        <v>2.2793999999999999</v>
      </c>
      <c r="N94" t="s">
        <v>109</v>
      </c>
      <c r="O94" t="s">
        <v>110</v>
      </c>
      <c r="P94">
        <v>2.6200000000000001E-2</v>
      </c>
      <c r="Q94">
        <v>0.11799999999999999</v>
      </c>
      <c r="R94">
        <v>298</v>
      </c>
      <c r="S94">
        <v>385</v>
      </c>
      <c r="T94">
        <v>0</v>
      </c>
      <c r="U94">
        <v>0</v>
      </c>
    </row>
    <row r="95" spans="1:21" x14ac:dyDescent="0.25">
      <c r="A95" t="s">
        <v>104</v>
      </c>
      <c r="B95" t="s">
        <v>105</v>
      </c>
      <c r="C95" t="s">
        <v>106</v>
      </c>
      <c r="D95" t="s">
        <v>82</v>
      </c>
      <c r="E95">
        <v>605</v>
      </c>
      <c r="F95" t="s">
        <v>15</v>
      </c>
      <c r="G95" t="s">
        <v>656</v>
      </c>
      <c r="H95">
        <v>17099625</v>
      </c>
      <c r="I95">
        <v>112</v>
      </c>
      <c r="J95">
        <v>0</v>
      </c>
      <c r="K95">
        <v>2.9344000000000001</v>
      </c>
      <c r="L95">
        <v>0</v>
      </c>
      <c r="M95">
        <v>2.9344000000000001</v>
      </c>
      <c r="N95" t="s">
        <v>111</v>
      </c>
      <c r="O95" t="s">
        <v>112</v>
      </c>
      <c r="P95">
        <v>2.6200000000000001E-2</v>
      </c>
      <c r="Q95">
        <v>0.11799999999999999</v>
      </c>
      <c r="R95">
        <v>334</v>
      </c>
      <c r="S95">
        <v>446</v>
      </c>
      <c r="T95">
        <v>0</v>
      </c>
      <c r="U95">
        <v>0</v>
      </c>
    </row>
    <row r="96" spans="1:21" x14ac:dyDescent="0.25">
      <c r="A96" t="s">
        <v>104</v>
      </c>
      <c r="B96" t="s">
        <v>105</v>
      </c>
      <c r="C96" t="s">
        <v>106</v>
      </c>
      <c r="D96" t="s">
        <v>82</v>
      </c>
      <c r="E96">
        <v>620</v>
      </c>
      <c r="F96" t="s">
        <v>15</v>
      </c>
      <c r="G96" t="s">
        <v>656</v>
      </c>
      <c r="H96">
        <v>17099619</v>
      </c>
      <c r="I96">
        <v>233</v>
      </c>
      <c r="J96">
        <v>0</v>
      </c>
      <c r="K96">
        <v>6.1046000000000005</v>
      </c>
      <c r="L96">
        <v>0</v>
      </c>
      <c r="M96">
        <v>6.1046000000000005</v>
      </c>
      <c r="N96" t="s">
        <v>113</v>
      </c>
      <c r="O96" t="s">
        <v>114</v>
      </c>
      <c r="P96">
        <v>2.6200000000000001E-2</v>
      </c>
      <c r="Q96">
        <v>0.11799999999999999</v>
      </c>
      <c r="R96">
        <v>794</v>
      </c>
      <c r="S96">
        <v>1027</v>
      </c>
      <c r="T96">
        <v>0</v>
      </c>
      <c r="U96">
        <v>0</v>
      </c>
    </row>
    <row r="97" spans="1:21" x14ac:dyDescent="0.25">
      <c r="A97" t="s">
        <v>119</v>
      </c>
      <c r="B97" t="s">
        <v>99</v>
      </c>
      <c r="C97" t="s">
        <v>825</v>
      </c>
      <c r="D97" t="s">
        <v>96</v>
      </c>
      <c r="E97">
        <v>206</v>
      </c>
      <c r="F97" t="s">
        <v>15</v>
      </c>
      <c r="G97" t="s">
        <v>656</v>
      </c>
      <c r="H97">
        <v>17099540</v>
      </c>
      <c r="I97">
        <v>387</v>
      </c>
      <c r="J97">
        <v>0</v>
      </c>
      <c r="K97">
        <v>10.1394</v>
      </c>
      <c r="L97">
        <v>0</v>
      </c>
      <c r="M97">
        <v>10.1394</v>
      </c>
      <c r="N97" t="s">
        <v>134</v>
      </c>
      <c r="O97" t="s">
        <v>135</v>
      </c>
      <c r="P97">
        <v>2.6200000000000001E-2</v>
      </c>
      <c r="Q97">
        <v>0.11799999999999999</v>
      </c>
      <c r="R97">
        <v>1621</v>
      </c>
      <c r="S97">
        <v>2008</v>
      </c>
      <c r="T97">
        <v>0</v>
      </c>
      <c r="U97">
        <v>0</v>
      </c>
    </row>
    <row r="98" spans="1:21" x14ac:dyDescent="0.25">
      <c r="A98" t="s">
        <v>119</v>
      </c>
      <c r="B98" t="s">
        <v>99</v>
      </c>
      <c r="C98" t="s">
        <v>825</v>
      </c>
      <c r="D98" t="s">
        <v>96</v>
      </c>
      <c r="E98">
        <v>220</v>
      </c>
      <c r="F98" t="s">
        <v>15</v>
      </c>
      <c r="G98" t="s">
        <v>656</v>
      </c>
      <c r="H98">
        <v>17099539</v>
      </c>
      <c r="I98">
        <v>510</v>
      </c>
      <c r="J98">
        <v>0</v>
      </c>
      <c r="K98">
        <v>13.362</v>
      </c>
      <c r="L98">
        <v>0</v>
      </c>
      <c r="M98">
        <v>13.362</v>
      </c>
      <c r="N98" t="s">
        <v>138</v>
      </c>
      <c r="O98" t="s">
        <v>139</v>
      </c>
      <c r="P98">
        <v>2.6200000000000001E-2</v>
      </c>
      <c r="Q98">
        <v>0.11799999999999999</v>
      </c>
      <c r="R98">
        <v>2579</v>
      </c>
      <c r="S98">
        <v>3089</v>
      </c>
      <c r="T98">
        <v>0</v>
      </c>
      <c r="U98">
        <v>0</v>
      </c>
    </row>
    <row r="99" spans="1:21" x14ac:dyDescent="0.25">
      <c r="A99" t="s">
        <v>119</v>
      </c>
      <c r="B99" t="s">
        <v>99</v>
      </c>
      <c r="C99" t="s">
        <v>825</v>
      </c>
      <c r="D99" t="s">
        <v>96</v>
      </c>
      <c r="E99">
        <v>221</v>
      </c>
      <c r="F99" t="s">
        <v>90</v>
      </c>
      <c r="G99" t="s">
        <v>656</v>
      </c>
      <c r="H99">
        <v>17099516</v>
      </c>
      <c r="I99">
        <v>109</v>
      </c>
      <c r="J99">
        <v>91</v>
      </c>
      <c r="K99">
        <v>2.8558000000000003</v>
      </c>
      <c r="L99">
        <v>10.738</v>
      </c>
      <c r="M99">
        <v>13.5938</v>
      </c>
      <c r="N99" t="s">
        <v>136</v>
      </c>
      <c r="O99" t="s">
        <v>137</v>
      </c>
      <c r="P99">
        <v>2.6200000000000001E-2</v>
      </c>
      <c r="Q99">
        <v>0.11799999999999999</v>
      </c>
      <c r="R99">
        <v>1191</v>
      </c>
      <c r="S99">
        <v>1300</v>
      </c>
      <c r="T99">
        <v>830</v>
      </c>
      <c r="U99">
        <v>921</v>
      </c>
    </row>
    <row r="100" spans="1:21" x14ac:dyDescent="0.25">
      <c r="A100" t="s">
        <v>119</v>
      </c>
      <c r="B100" t="s">
        <v>99</v>
      </c>
      <c r="C100" t="s">
        <v>825</v>
      </c>
      <c r="D100" t="s">
        <v>96</v>
      </c>
      <c r="E100">
        <v>222</v>
      </c>
      <c r="F100" t="s">
        <v>15</v>
      </c>
      <c r="G100" t="s">
        <v>656</v>
      </c>
      <c r="H100">
        <v>17099538</v>
      </c>
      <c r="I100">
        <v>450</v>
      </c>
      <c r="J100">
        <v>0</v>
      </c>
      <c r="K100">
        <v>11.790000000000001</v>
      </c>
      <c r="L100">
        <v>0</v>
      </c>
      <c r="M100">
        <v>11.790000000000001</v>
      </c>
      <c r="N100" t="s">
        <v>126</v>
      </c>
      <c r="O100" t="s">
        <v>127</v>
      </c>
      <c r="P100">
        <v>2.6200000000000001E-2</v>
      </c>
      <c r="Q100">
        <v>0.11799999999999999</v>
      </c>
      <c r="R100">
        <v>2490</v>
      </c>
      <c r="S100">
        <v>2940</v>
      </c>
      <c r="T100">
        <v>0</v>
      </c>
      <c r="U100">
        <v>0</v>
      </c>
    </row>
    <row r="101" spans="1:21" x14ac:dyDescent="0.25">
      <c r="A101" t="s">
        <v>119</v>
      </c>
      <c r="B101" t="s">
        <v>99</v>
      </c>
      <c r="C101" t="s">
        <v>825</v>
      </c>
      <c r="D101" t="s">
        <v>96</v>
      </c>
      <c r="E101">
        <v>223</v>
      </c>
      <c r="F101" t="s">
        <v>15</v>
      </c>
      <c r="G101" t="s">
        <v>656</v>
      </c>
      <c r="H101">
        <v>17099514</v>
      </c>
      <c r="I101">
        <v>1155</v>
      </c>
      <c r="J101">
        <v>0</v>
      </c>
      <c r="K101">
        <v>30.261000000000003</v>
      </c>
      <c r="L101">
        <v>0</v>
      </c>
      <c r="M101">
        <v>30.261000000000003</v>
      </c>
      <c r="N101" t="s">
        <v>132</v>
      </c>
      <c r="O101" t="s">
        <v>133</v>
      </c>
      <c r="P101">
        <v>2.6200000000000001E-2</v>
      </c>
      <c r="Q101">
        <v>0.11799999999999999</v>
      </c>
      <c r="R101">
        <v>4638</v>
      </c>
      <c r="S101">
        <v>5793</v>
      </c>
      <c r="T101">
        <v>0</v>
      </c>
      <c r="U101">
        <v>0</v>
      </c>
    </row>
    <row r="102" spans="1:21" x14ac:dyDescent="0.25">
      <c r="A102" t="s">
        <v>119</v>
      </c>
      <c r="B102" t="s">
        <v>99</v>
      </c>
      <c r="C102" t="s">
        <v>825</v>
      </c>
      <c r="D102" t="s">
        <v>96</v>
      </c>
      <c r="E102">
        <v>224</v>
      </c>
      <c r="F102" t="s">
        <v>15</v>
      </c>
      <c r="G102" t="s">
        <v>656</v>
      </c>
      <c r="H102">
        <v>17099517</v>
      </c>
      <c r="I102">
        <v>575</v>
      </c>
      <c r="J102">
        <v>0</v>
      </c>
      <c r="K102">
        <v>15.065000000000001</v>
      </c>
      <c r="L102">
        <v>0</v>
      </c>
      <c r="M102">
        <v>15.065000000000001</v>
      </c>
      <c r="N102" t="s">
        <v>791</v>
      </c>
      <c r="O102" t="s">
        <v>140</v>
      </c>
      <c r="P102">
        <v>2.6200000000000001E-2</v>
      </c>
      <c r="Q102">
        <v>0.11799999999999999</v>
      </c>
      <c r="R102">
        <v>2270</v>
      </c>
      <c r="S102">
        <v>2845</v>
      </c>
      <c r="T102">
        <v>0</v>
      </c>
      <c r="U102">
        <v>0</v>
      </c>
    </row>
    <row r="103" spans="1:21" x14ac:dyDescent="0.25">
      <c r="A103" t="s">
        <v>119</v>
      </c>
      <c r="B103" t="s">
        <v>99</v>
      </c>
      <c r="C103" t="s">
        <v>825</v>
      </c>
      <c r="D103" t="s">
        <v>96</v>
      </c>
      <c r="E103">
        <v>226</v>
      </c>
      <c r="F103" t="s">
        <v>15</v>
      </c>
      <c r="G103" t="s">
        <v>656</v>
      </c>
      <c r="H103">
        <v>17099521</v>
      </c>
      <c r="I103">
        <v>163</v>
      </c>
      <c r="J103">
        <v>0</v>
      </c>
      <c r="K103">
        <v>4.2706</v>
      </c>
      <c r="L103">
        <v>0</v>
      </c>
      <c r="M103">
        <v>4.2706</v>
      </c>
      <c r="N103" t="s">
        <v>124</v>
      </c>
      <c r="O103" t="s">
        <v>125</v>
      </c>
      <c r="P103">
        <v>2.6200000000000001E-2</v>
      </c>
      <c r="Q103">
        <v>0.11799999999999999</v>
      </c>
      <c r="R103">
        <v>2307</v>
      </c>
      <c r="S103">
        <v>2470</v>
      </c>
      <c r="T103">
        <v>0</v>
      </c>
      <c r="U103">
        <v>0</v>
      </c>
    </row>
    <row r="104" spans="1:21" x14ac:dyDescent="0.25">
      <c r="A104" t="s">
        <v>119</v>
      </c>
      <c r="B104" t="s">
        <v>99</v>
      </c>
      <c r="C104" t="s">
        <v>825</v>
      </c>
      <c r="D104" t="s">
        <v>96</v>
      </c>
      <c r="E104">
        <v>227</v>
      </c>
      <c r="F104" t="s">
        <v>24</v>
      </c>
      <c r="G104" t="s">
        <v>27</v>
      </c>
      <c r="H104">
        <v>17099453</v>
      </c>
      <c r="I104">
        <v>22757</v>
      </c>
      <c r="J104">
        <v>4845</v>
      </c>
      <c r="K104">
        <v>471.06990000000002</v>
      </c>
      <c r="L104">
        <v>421.51499999999999</v>
      </c>
      <c r="M104">
        <v>892.58490000000006</v>
      </c>
      <c r="N104" t="s">
        <v>287</v>
      </c>
      <c r="O104" t="s">
        <v>288</v>
      </c>
      <c r="P104">
        <v>2.07E-2</v>
      </c>
      <c r="Q104">
        <v>8.6999999999999994E-2</v>
      </c>
      <c r="R104">
        <v>14621</v>
      </c>
      <c r="S104">
        <v>37378</v>
      </c>
      <c r="T104">
        <v>956</v>
      </c>
      <c r="U104">
        <v>5801</v>
      </c>
    </row>
    <row r="105" spans="1:21" x14ac:dyDescent="0.25">
      <c r="A105" t="s">
        <v>119</v>
      </c>
      <c r="B105" t="s">
        <v>99</v>
      </c>
      <c r="C105" t="s">
        <v>825</v>
      </c>
      <c r="D105" t="s">
        <v>96</v>
      </c>
      <c r="E105">
        <v>231</v>
      </c>
      <c r="F105" t="s">
        <v>15</v>
      </c>
      <c r="G105" t="s">
        <v>656</v>
      </c>
      <c r="H105">
        <v>17099537</v>
      </c>
      <c r="I105">
        <v>535</v>
      </c>
      <c r="J105">
        <v>0</v>
      </c>
      <c r="K105">
        <v>14.017000000000001</v>
      </c>
      <c r="L105">
        <v>0</v>
      </c>
      <c r="M105">
        <v>14.017000000000001</v>
      </c>
      <c r="N105" t="s">
        <v>128</v>
      </c>
      <c r="O105" t="s">
        <v>129</v>
      </c>
      <c r="P105">
        <v>2.6200000000000001E-2</v>
      </c>
      <c r="Q105">
        <v>0.11799999999999999</v>
      </c>
      <c r="R105">
        <v>3393</v>
      </c>
      <c r="S105">
        <v>3928</v>
      </c>
      <c r="T105">
        <v>0</v>
      </c>
      <c r="U105">
        <v>0</v>
      </c>
    </row>
    <row r="106" spans="1:21" x14ac:dyDescent="0.25">
      <c r="A106" t="s">
        <v>119</v>
      </c>
      <c r="B106" t="s">
        <v>99</v>
      </c>
      <c r="C106" t="s">
        <v>825</v>
      </c>
      <c r="D106" t="s">
        <v>96</v>
      </c>
      <c r="E106">
        <v>232</v>
      </c>
      <c r="F106" t="s">
        <v>15</v>
      </c>
      <c r="G106" t="s">
        <v>656</v>
      </c>
      <c r="H106">
        <v>17099519</v>
      </c>
      <c r="I106">
        <v>268</v>
      </c>
      <c r="J106">
        <v>0</v>
      </c>
      <c r="K106">
        <v>7.0216000000000003</v>
      </c>
      <c r="L106">
        <v>0</v>
      </c>
      <c r="M106">
        <v>7.0216000000000003</v>
      </c>
      <c r="N106" t="s">
        <v>122</v>
      </c>
      <c r="O106" t="s">
        <v>123</v>
      </c>
      <c r="P106">
        <v>2.6200000000000001E-2</v>
      </c>
      <c r="Q106">
        <v>0.11799999999999999</v>
      </c>
      <c r="R106">
        <v>1997</v>
      </c>
      <c r="S106">
        <v>2265</v>
      </c>
      <c r="T106">
        <v>0</v>
      </c>
      <c r="U106">
        <v>0</v>
      </c>
    </row>
    <row r="107" spans="1:21" x14ac:dyDescent="0.25">
      <c r="A107" t="s">
        <v>119</v>
      </c>
      <c r="B107" t="s">
        <v>99</v>
      </c>
      <c r="C107" t="s">
        <v>825</v>
      </c>
      <c r="D107" t="s">
        <v>96</v>
      </c>
      <c r="E107">
        <v>236</v>
      </c>
      <c r="F107" t="s">
        <v>15</v>
      </c>
      <c r="G107" t="s">
        <v>656</v>
      </c>
      <c r="H107">
        <v>17099518</v>
      </c>
      <c r="I107">
        <v>336</v>
      </c>
      <c r="J107">
        <v>0</v>
      </c>
      <c r="K107">
        <v>8.8032000000000004</v>
      </c>
      <c r="L107">
        <v>0</v>
      </c>
      <c r="M107">
        <v>8.8032000000000004</v>
      </c>
      <c r="N107" t="s">
        <v>130</v>
      </c>
      <c r="O107" t="s">
        <v>131</v>
      </c>
      <c r="P107">
        <v>2.6200000000000001E-2</v>
      </c>
      <c r="Q107">
        <v>0.11799999999999999</v>
      </c>
      <c r="R107">
        <v>2254</v>
      </c>
      <c r="S107">
        <v>2590</v>
      </c>
      <c r="T107">
        <v>0</v>
      </c>
      <c r="U107">
        <v>0</v>
      </c>
    </row>
    <row r="108" spans="1:21" x14ac:dyDescent="0.25">
      <c r="A108" t="s">
        <v>119</v>
      </c>
      <c r="B108" t="s">
        <v>99</v>
      </c>
      <c r="C108" t="s">
        <v>825</v>
      </c>
      <c r="D108" t="s">
        <v>96</v>
      </c>
      <c r="E108">
        <v>323</v>
      </c>
      <c r="F108" t="s">
        <v>15</v>
      </c>
      <c r="G108" t="s">
        <v>656</v>
      </c>
      <c r="H108">
        <v>17099559</v>
      </c>
      <c r="I108">
        <v>675</v>
      </c>
      <c r="J108">
        <v>0</v>
      </c>
      <c r="K108">
        <v>17.685000000000002</v>
      </c>
      <c r="L108">
        <v>0</v>
      </c>
      <c r="M108">
        <v>17.685000000000002</v>
      </c>
      <c r="N108" t="s">
        <v>100</v>
      </c>
      <c r="O108" t="s">
        <v>101</v>
      </c>
      <c r="P108">
        <v>2.6200000000000001E-2</v>
      </c>
      <c r="Q108">
        <v>0.11799999999999999</v>
      </c>
      <c r="R108">
        <v>4465</v>
      </c>
      <c r="S108">
        <v>5140</v>
      </c>
      <c r="T108">
        <v>0</v>
      </c>
      <c r="U108">
        <v>0</v>
      </c>
    </row>
    <row r="109" spans="1:21" x14ac:dyDescent="0.25">
      <c r="A109" t="s">
        <v>606</v>
      </c>
      <c r="B109" t="s">
        <v>601</v>
      </c>
      <c r="C109" t="s">
        <v>602</v>
      </c>
      <c r="D109" t="s">
        <v>603</v>
      </c>
      <c r="E109">
        <v>307</v>
      </c>
      <c r="F109" t="s">
        <v>15</v>
      </c>
      <c r="G109" t="s">
        <v>656</v>
      </c>
      <c r="H109">
        <v>17099623</v>
      </c>
      <c r="I109">
        <v>131</v>
      </c>
      <c r="J109">
        <v>0</v>
      </c>
      <c r="K109">
        <v>3.4321999999999999</v>
      </c>
      <c r="L109">
        <v>0</v>
      </c>
      <c r="M109">
        <v>3.4321999999999999</v>
      </c>
      <c r="N109" t="s">
        <v>607</v>
      </c>
      <c r="O109" t="s">
        <v>608</v>
      </c>
      <c r="P109">
        <v>2.6200000000000001E-2</v>
      </c>
      <c r="Q109">
        <v>0.11799999999999999</v>
      </c>
      <c r="R109">
        <v>344</v>
      </c>
      <c r="S109">
        <v>475</v>
      </c>
      <c r="T109">
        <v>0</v>
      </c>
      <c r="U109">
        <v>0</v>
      </c>
    </row>
    <row r="110" spans="1:21" x14ac:dyDescent="0.25">
      <c r="A110" t="s">
        <v>600</v>
      </c>
      <c r="B110" t="s">
        <v>601</v>
      </c>
      <c r="C110" t="s">
        <v>602</v>
      </c>
      <c r="D110" t="s">
        <v>603</v>
      </c>
      <c r="E110">
        <v>312</v>
      </c>
      <c r="F110" t="s">
        <v>24</v>
      </c>
      <c r="G110" t="s">
        <v>27</v>
      </c>
      <c r="H110">
        <v>17099481</v>
      </c>
      <c r="I110">
        <v>8443</v>
      </c>
      <c r="J110">
        <v>10259</v>
      </c>
      <c r="K110">
        <v>174.77009999999999</v>
      </c>
      <c r="L110">
        <v>892.5329999999999</v>
      </c>
      <c r="M110">
        <v>1067.3030999999999</v>
      </c>
      <c r="N110" t="s">
        <v>604</v>
      </c>
      <c r="O110" t="s">
        <v>605</v>
      </c>
      <c r="P110">
        <v>2.07E-2</v>
      </c>
      <c r="Q110">
        <v>8.6999999999999994E-2</v>
      </c>
      <c r="R110">
        <v>47583</v>
      </c>
      <c r="S110">
        <v>56026</v>
      </c>
      <c r="T110">
        <v>9768</v>
      </c>
      <c r="U110">
        <v>20027</v>
      </c>
    </row>
    <row r="111" spans="1:21" x14ac:dyDescent="0.25">
      <c r="A111" t="s">
        <v>141</v>
      </c>
      <c r="B111" t="s">
        <v>142</v>
      </c>
      <c r="C111" t="s">
        <v>141</v>
      </c>
      <c r="D111" t="s">
        <v>96</v>
      </c>
      <c r="E111">
        <v>521</v>
      </c>
      <c r="F111" t="s">
        <v>15</v>
      </c>
      <c r="G111" t="s">
        <v>656</v>
      </c>
      <c r="H111">
        <v>17099544</v>
      </c>
      <c r="I111">
        <v>99</v>
      </c>
      <c r="J111">
        <v>0</v>
      </c>
      <c r="K111">
        <v>2.5937999999999999</v>
      </c>
      <c r="L111">
        <v>0</v>
      </c>
      <c r="M111">
        <v>2.5937999999999999</v>
      </c>
      <c r="N111" t="s">
        <v>145</v>
      </c>
      <c r="O111" t="s">
        <v>146</v>
      </c>
      <c r="P111">
        <v>2.6200000000000001E-2</v>
      </c>
      <c r="Q111">
        <v>0.11799999999999999</v>
      </c>
      <c r="R111">
        <v>703</v>
      </c>
      <c r="S111">
        <v>802</v>
      </c>
      <c r="T111">
        <v>0</v>
      </c>
      <c r="U111">
        <v>0</v>
      </c>
    </row>
    <row r="112" spans="1:21" x14ac:dyDescent="0.25">
      <c r="A112" t="s">
        <v>141</v>
      </c>
      <c r="B112" t="s">
        <v>142</v>
      </c>
      <c r="C112" t="s">
        <v>141</v>
      </c>
      <c r="D112" t="s">
        <v>96</v>
      </c>
      <c r="E112">
        <v>523</v>
      </c>
      <c r="F112" t="s">
        <v>15</v>
      </c>
      <c r="G112" t="s">
        <v>656</v>
      </c>
      <c r="H112">
        <v>17099543</v>
      </c>
      <c r="I112">
        <v>240</v>
      </c>
      <c r="J112">
        <v>0</v>
      </c>
      <c r="K112">
        <v>6.2880000000000003</v>
      </c>
      <c r="L112">
        <v>0</v>
      </c>
      <c r="M112">
        <v>6.2880000000000003</v>
      </c>
      <c r="N112" t="s">
        <v>147</v>
      </c>
      <c r="O112" t="s">
        <v>148</v>
      </c>
      <c r="P112">
        <v>2.6200000000000001E-2</v>
      </c>
      <c r="Q112">
        <v>0.11799999999999999</v>
      </c>
      <c r="R112">
        <v>1688</v>
      </c>
      <c r="S112">
        <v>1928</v>
      </c>
      <c r="T112">
        <v>0</v>
      </c>
      <c r="U112">
        <v>0</v>
      </c>
    </row>
    <row r="113" spans="1:21" x14ac:dyDescent="0.25">
      <c r="A113" t="s">
        <v>141</v>
      </c>
      <c r="B113" t="s">
        <v>142</v>
      </c>
      <c r="C113" t="s">
        <v>141</v>
      </c>
      <c r="D113" t="s">
        <v>96</v>
      </c>
      <c r="E113">
        <v>528</v>
      </c>
      <c r="F113" t="s">
        <v>54</v>
      </c>
      <c r="G113" t="s">
        <v>27</v>
      </c>
      <c r="H113">
        <v>17099485</v>
      </c>
      <c r="I113">
        <v>1969</v>
      </c>
      <c r="J113">
        <v>8</v>
      </c>
      <c r="K113">
        <v>40.758299999999998</v>
      </c>
      <c r="L113">
        <v>0.69599999999999995</v>
      </c>
      <c r="M113">
        <v>41.454299999999996</v>
      </c>
      <c r="N113" t="s">
        <v>143</v>
      </c>
      <c r="O113" t="s">
        <v>144</v>
      </c>
      <c r="P113">
        <v>2.07E-2</v>
      </c>
      <c r="Q113">
        <v>8.6999999999999994E-2</v>
      </c>
      <c r="R113">
        <v>22455</v>
      </c>
      <c r="S113">
        <v>24424</v>
      </c>
      <c r="T113">
        <v>636</v>
      </c>
      <c r="U113">
        <v>644</v>
      </c>
    </row>
    <row r="114" spans="1:21" x14ac:dyDescent="0.25">
      <c r="A114" t="s">
        <v>141</v>
      </c>
      <c r="B114" t="s">
        <v>142</v>
      </c>
      <c r="C114" t="s">
        <v>141</v>
      </c>
      <c r="D114" t="s">
        <v>96</v>
      </c>
      <c r="E114">
        <v>532</v>
      </c>
      <c r="F114" t="s">
        <v>15</v>
      </c>
      <c r="G114" t="s">
        <v>656</v>
      </c>
      <c r="H114">
        <v>17099545</v>
      </c>
      <c r="I114">
        <v>41</v>
      </c>
      <c r="J114">
        <v>0</v>
      </c>
      <c r="K114">
        <v>1.0742</v>
      </c>
      <c r="L114">
        <v>0</v>
      </c>
      <c r="M114">
        <v>1.0742</v>
      </c>
      <c r="N114" t="s">
        <v>151</v>
      </c>
      <c r="O114" t="s">
        <v>152</v>
      </c>
      <c r="P114">
        <v>2.6200000000000001E-2</v>
      </c>
      <c r="Q114">
        <v>0.11799999999999999</v>
      </c>
      <c r="R114">
        <v>185</v>
      </c>
      <c r="S114">
        <v>226</v>
      </c>
      <c r="T114">
        <v>0</v>
      </c>
      <c r="U114">
        <v>0</v>
      </c>
    </row>
    <row r="115" spans="1:21" x14ac:dyDescent="0.25">
      <c r="A115" t="s">
        <v>141</v>
      </c>
      <c r="B115" t="s">
        <v>142</v>
      </c>
      <c r="C115" t="s">
        <v>141</v>
      </c>
      <c r="D115" t="s">
        <v>96</v>
      </c>
      <c r="E115">
        <v>536</v>
      </c>
      <c r="F115" t="s">
        <v>15</v>
      </c>
      <c r="G115" t="s">
        <v>656</v>
      </c>
      <c r="H115">
        <v>17099546</v>
      </c>
      <c r="I115">
        <v>1451</v>
      </c>
      <c r="J115">
        <v>0</v>
      </c>
      <c r="K115">
        <v>38.016200000000005</v>
      </c>
      <c r="L115">
        <v>0</v>
      </c>
      <c r="M115">
        <v>38.016200000000005</v>
      </c>
      <c r="N115" t="s">
        <v>149</v>
      </c>
      <c r="O115" t="s">
        <v>150</v>
      </c>
      <c r="P115">
        <v>2.6200000000000001E-2</v>
      </c>
      <c r="Q115">
        <v>0.11799999999999999</v>
      </c>
      <c r="R115">
        <v>5033</v>
      </c>
      <c r="S115">
        <v>6484</v>
      </c>
      <c r="T115">
        <v>0</v>
      </c>
      <c r="U115">
        <v>0</v>
      </c>
    </row>
    <row r="116" spans="1:21" x14ac:dyDescent="0.25">
      <c r="A116" t="s">
        <v>740</v>
      </c>
      <c r="B116" t="s">
        <v>741</v>
      </c>
      <c r="C116" t="s">
        <v>740</v>
      </c>
      <c r="D116" t="s">
        <v>335</v>
      </c>
      <c r="E116">
        <v>304</v>
      </c>
      <c r="F116" t="s">
        <v>15</v>
      </c>
      <c r="G116" t="s">
        <v>656</v>
      </c>
      <c r="H116">
        <v>17099</v>
      </c>
      <c r="I116">
        <v>115</v>
      </c>
      <c r="J116">
        <v>0</v>
      </c>
      <c r="K116">
        <v>3.0129999999999999</v>
      </c>
      <c r="L116">
        <v>0</v>
      </c>
      <c r="M116">
        <v>3.0129999999999999</v>
      </c>
      <c r="N116" t="s">
        <v>890</v>
      </c>
      <c r="O116" t="s">
        <v>970</v>
      </c>
      <c r="P116">
        <v>2.6200000000000001E-2</v>
      </c>
      <c r="Q116">
        <v>0.11799999999999999</v>
      </c>
      <c r="R116">
        <v>656</v>
      </c>
      <c r="S116">
        <v>771</v>
      </c>
      <c r="T116">
        <v>0</v>
      </c>
      <c r="U116">
        <v>0</v>
      </c>
    </row>
    <row r="117" spans="1:21" x14ac:dyDescent="0.25">
      <c r="A117" t="s">
        <v>740</v>
      </c>
      <c r="B117" t="s">
        <v>741</v>
      </c>
      <c r="C117" t="s">
        <v>740</v>
      </c>
      <c r="D117" t="s">
        <v>335</v>
      </c>
      <c r="E117">
        <v>411</v>
      </c>
      <c r="F117" t="s">
        <v>157</v>
      </c>
      <c r="G117" t="s">
        <v>27</v>
      </c>
      <c r="H117">
        <v>17099433</v>
      </c>
      <c r="I117">
        <v>2248</v>
      </c>
      <c r="J117">
        <v>0</v>
      </c>
      <c r="K117">
        <v>46.5336</v>
      </c>
      <c r="L117">
        <v>0</v>
      </c>
      <c r="M117">
        <v>46.5336</v>
      </c>
      <c r="N117" t="s">
        <v>742</v>
      </c>
      <c r="O117" t="s">
        <v>743</v>
      </c>
      <c r="P117">
        <v>2.07E-2</v>
      </c>
      <c r="Q117">
        <v>8.6999999999999994E-2</v>
      </c>
      <c r="R117">
        <v>6391</v>
      </c>
      <c r="S117">
        <v>8639</v>
      </c>
      <c r="T117">
        <v>0</v>
      </c>
      <c r="U117">
        <v>0</v>
      </c>
    </row>
    <row r="118" spans="1:21" x14ac:dyDescent="0.25">
      <c r="A118" t="s">
        <v>376</v>
      </c>
      <c r="B118" t="s">
        <v>807</v>
      </c>
      <c r="C118" t="s">
        <v>808</v>
      </c>
      <c r="D118" t="s">
        <v>276</v>
      </c>
      <c r="E118">
        <v>302</v>
      </c>
      <c r="F118" t="s">
        <v>90</v>
      </c>
      <c r="G118" t="s">
        <v>656</v>
      </c>
      <c r="H118">
        <v>17099750</v>
      </c>
      <c r="I118">
        <v>275</v>
      </c>
      <c r="J118">
        <v>500</v>
      </c>
      <c r="K118">
        <v>7.2050000000000001</v>
      </c>
      <c r="L118">
        <v>59</v>
      </c>
      <c r="M118">
        <v>66.204999999999998</v>
      </c>
      <c r="N118" t="s">
        <v>900</v>
      </c>
      <c r="O118" t="s">
        <v>801</v>
      </c>
      <c r="P118">
        <v>2.6200000000000001E-2</v>
      </c>
      <c r="Q118">
        <v>0.11799999999999999</v>
      </c>
      <c r="R118">
        <v>6</v>
      </c>
      <c r="S118">
        <v>281</v>
      </c>
      <c r="T118">
        <v>49</v>
      </c>
      <c r="U118">
        <v>549</v>
      </c>
    </row>
    <row r="119" spans="1:21" x14ac:dyDescent="0.25">
      <c r="A119" t="s">
        <v>376</v>
      </c>
      <c r="B119" t="s">
        <v>807</v>
      </c>
      <c r="C119" t="s">
        <v>808</v>
      </c>
      <c r="D119" t="s">
        <v>276</v>
      </c>
      <c r="E119">
        <v>303</v>
      </c>
      <c r="F119" t="s">
        <v>15</v>
      </c>
      <c r="G119" t="s">
        <v>656</v>
      </c>
      <c r="H119">
        <v>17099709</v>
      </c>
      <c r="I119">
        <v>106</v>
      </c>
      <c r="J119">
        <v>0</v>
      </c>
      <c r="K119">
        <v>2.7772000000000001</v>
      </c>
      <c r="L119">
        <v>0</v>
      </c>
      <c r="M119">
        <v>2.7772000000000001</v>
      </c>
      <c r="N119" t="s">
        <v>377</v>
      </c>
      <c r="O119" t="s">
        <v>378</v>
      </c>
      <c r="P119">
        <v>2.6200000000000001E-2</v>
      </c>
      <c r="Q119">
        <v>0.11799999999999999</v>
      </c>
      <c r="R119">
        <v>1485</v>
      </c>
      <c r="S119">
        <v>1591</v>
      </c>
      <c r="T119">
        <v>0</v>
      </c>
      <c r="U119">
        <v>0</v>
      </c>
    </row>
    <row r="120" spans="1:21" x14ac:dyDescent="0.25">
      <c r="A120" t="s">
        <v>376</v>
      </c>
      <c r="B120" t="s">
        <v>807</v>
      </c>
      <c r="C120" t="s">
        <v>808</v>
      </c>
      <c r="D120" t="s">
        <v>276</v>
      </c>
      <c r="E120">
        <v>303</v>
      </c>
      <c r="F120" t="s">
        <v>90</v>
      </c>
      <c r="G120" t="s">
        <v>656</v>
      </c>
      <c r="H120">
        <v>17099513</v>
      </c>
      <c r="I120">
        <v>291</v>
      </c>
      <c r="J120">
        <v>572</v>
      </c>
      <c r="K120">
        <v>7.6242000000000001</v>
      </c>
      <c r="L120">
        <v>67.495999999999995</v>
      </c>
      <c r="M120">
        <v>75.120199999999997</v>
      </c>
      <c r="N120" t="s">
        <v>309</v>
      </c>
      <c r="O120" t="s">
        <v>801</v>
      </c>
      <c r="P120">
        <v>2.6200000000000001E-2</v>
      </c>
      <c r="Q120">
        <v>0.11799999999999999</v>
      </c>
      <c r="R120">
        <v>1341</v>
      </c>
      <c r="S120">
        <v>1632</v>
      </c>
      <c r="T120">
        <v>1433</v>
      </c>
      <c r="U120">
        <v>2005</v>
      </c>
    </row>
    <row r="121" spans="1:21" x14ac:dyDescent="0.25">
      <c r="A121" t="s">
        <v>376</v>
      </c>
      <c r="B121" t="s">
        <v>807</v>
      </c>
      <c r="C121" t="s">
        <v>808</v>
      </c>
      <c r="D121" t="s">
        <v>276</v>
      </c>
      <c r="E121">
        <v>304</v>
      </c>
      <c r="F121" t="s">
        <v>24</v>
      </c>
      <c r="G121" t="s">
        <v>27</v>
      </c>
      <c r="H121">
        <v>17099529</v>
      </c>
      <c r="I121">
        <v>4707</v>
      </c>
      <c r="J121">
        <v>4513</v>
      </c>
      <c r="K121">
        <v>97.434899999999999</v>
      </c>
      <c r="L121">
        <v>392.63099999999997</v>
      </c>
      <c r="M121">
        <v>490.06589999999994</v>
      </c>
      <c r="N121" t="s">
        <v>786</v>
      </c>
      <c r="O121" t="s">
        <v>803</v>
      </c>
      <c r="P121">
        <v>2.07E-2</v>
      </c>
      <c r="Q121">
        <v>8.6999999999999994E-2</v>
      </c>
      <c r="R121">
        <v>21347</v>
      </c>
      <c r="S121">
        <v>26054</v>
      </c>
      <c r="T121">
        <v>17254</v>
      </c>
      <c r="U121">
        <v>21767</v>
      </c>
    </row>
    <row r="122" spans="1:21" x14ac:dyDescent="0.25">
      <c r="A122" t="s">
        <v>808</v>
      </c>
      <c r="B122" t="s">
        <v>807</v>
      </c>
      <c r="C122" t="s">
        <v>808</v>
      </c>
      <c r="D122" t="s">
        <v>665</v>
      </c>
      <c r="E122">
        <v>301</v>
      </c>
      <c r="F122" t="s">
        <v>15</v>
      </c>
      <c r="G122" t="s">
        <v>656</v>
      </c>
      <c r="H122">
        <v>17099561</v>
      </c>
      <c r="I122">
        <v>220</v>
      </c>
      <c r="J122">
        <v>0</v>
      </c>
      <c r="K122">
        <v>5.7640000000000002</v>
      </c>
      <c r="L122">
        <v>0</v>
      </c>
      <c r="M122">
        <v>5.7640000000000002</v>
      </c>
      <c r="N122" t="s">
        <v>514</v>
      </c>
      <c r="O122" t="s">
        <v>515</v>
      </c>
      <c r="P122">
        <v>2.6200000000000001E-2</v>
      </c>
      <c r="Q122">
        <v>0.11799999999999999</v>
      </c>
      <c r="R122">
        <v>1773</v>
      </c>
      <c r="S122">
        <v>1993</v>
      </c>
      <c r="T122">
        <v>0</v>
      </c>
      <c r="U122">
        <v>0</v>
      </c>
    </row>
    <row r="123" spans="1:21" x14ac:dyDescent="0.25">
      <c r="A123" t="s">
        <v>285</v>
      </c>
      <c r="B123" t="s">
        <v>286</v>
      </c>
      <c r="C123" t="s">
        <v>849</v>
      </c>
      <c r="D123" t="s">
        <v>221</v>
      </c>
      <c r="E123">
        <v>215</v>
      </c>
      <c r="F123" t="s">
        <v>15</v>
      </c>
      <c r="G123" t="s">
        <v>656</v>
      </c>
      <c r="H123">
        <v>17099563</v>
      </c>
      <c r="I123">
        <v>1632</v>
      </c>
      <c r="J123">
        <v>0</v>
      </c>
      <c r="K123">
        <v>42.758400000000002</v>
      </c>
      <c r="L123">
        <v>0</v>
      </c>
      <c r="M123">
        <v>42.758400000000002</v>
      </c>
      <c r="N123" t="s">
        <v>291</v>
      </c>
      <c r="O123" t="s">
        <v>292</v>
      </c>
      <c r="P123">
        <v>2.6200000000000001E-2</v>
      </c>
      <c r="Q123">
        <v>0.11799999999999999</v>
      </c>
      <c r="R123">
        <v>6306</v>
      </c>
      <c r="S123">
        <v>7938</v>
      </c>
      <c r="T123">
        <v>0</v>
      </c>
      <c r="U123">
        <v>0</v>
      </c>
    </row>
    <row r="124" spans="1:21" x14ac:dyDescent="0.25">
      <c r="A124" t="s">
        <v>285</v>
      </c>
      <c r="B124" t="s">
        <v>286</v>
      </c>
      <c r="C124" t="s">
        <v>849</v>
      </c>
      <c r="D124" t="s">
        <v>221</v>
      </c>
      <c r="E124">
        <v>217</v>
      </c>
      <c r="F124" t="s">
        <v>54</v>
      </c>
      <c r="G124" t="s">
        <v>27</v>
      </c>
      <c r="H124">
        <v>17099458</v>
      </c>
      <c r="I124">
        <v>154</v>
      </c>
      <c r="J124">
        <v>0</v>
      </c>
      <c r="K124">
        <v>3.1877999999999997</v>
      </c>
      <c r="L124">
        <v>0</v>
      </c>
      <c r="M124">
        <v>3.1877999999999997</v>
      </c>
      <c r="N124" t="s">
        <v>120</v>
      </c>
      <c r="O124" t="s">
        <v>121</v>
      </c>
      <c r="P124">
        <v>2.07E-2</v>
      </c>
      <c r="Q124">
        <v>8.6999999999999994E-2</v>
      </c>
      <c r="R124">
        <v>88677</v>
      </c>
      <c r="S124">
        <v>88831</v>
      </c>
      <c r="T124">
        <v>5149</v>
      </c>
      <c r="U124">
        <v>5149</v>
      </c>
    </row>
    <row r="125" spans="1:21" x14ac:dyDescent="0.25">
      <c r="A125" t="s">
        <v>285</v>
      </c>
      <c r="B125" t="s">
        <v>286</v>
      </c>
      <c r="C125" t="s">
        <v>849</v>
      </c>
      <c r="D125" t="s">
        <v>221</v>
      </c>
      <c r="E125">
        <v>219</v>
      </c>
      <c r="F125" t="s">
        <v>15</v>
      </c>
      <c r="G125" t="s">
        <v>656</v>
      </c>
      <c r="H125">
        <v>17099576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289</v>
      </c>
      <c r="O125" t="s">
        <v>290</v>
      </c>
      <c r="P125">
        <v>2.6200000000000001E-2</v>
      </c>
      <c r="Q125">
        <v>0.11799999999999999</v>
      </c>
      <c r="R125">
        <v>23</v>
      </c>
      <c r="S125">
        <v>23</v>
      </c>
      <c r="T125">
        <v>0</v>
      </c>
      <c r="U125">
        <v>0</v>
      </c>
    </row>
    <row r="126" spans="1:21" x14ac:dyDescent="0.25">
      <c r="A126" t="s">
        <v>810</v>
      </c>
      <c r="B126" t="s">
        <v>483</v>
      </c>
      <c r="C126" t="s">
        <v>830</v>
      </c>
      <c r="D126" t="s">
        <v>276</v>
      </c>
      <c r="E126">
        <v>101</v>
      </c>
      <c r="F126" t="s">
        <v>54</v>
      </c>
      <c r="G126" t="s">
        <v>27</v>
      </c>
      <c r="H126">
        <v>17099527</v>
      </c>
      <c r="I126">
        <v>154</v>
      </c>
      <c r="J126">
        <v>0</v>
      </c>
      <c r="K126">
        <v>3.1877999999999997</v>
      </c>
      <c r="L126">
        <v>0</v>
      </c>
      <c r="M126">
        <v>3.1877999999999997</v>
      </c>
      <c r="N126" t="s">
        <v>485</v>
      </c>
      <c r="O126" t="s">
        <v>486</v>
      </c>
      <c r="P126">
        <v>2.07E-2</v>
      </c>
      <c r="Q126">
        <v>8.6999999999999994E-2</v>
      </c>
      <c r="R126">
        <v>973</v>
      </c>
      <c r="S126">
        <v>1127</v>
      </c>
      <c r="T126">
        <v>13</v>
      </c>
      <c r="U126">
        <v>13</v>
      </c>
    </row>
    <row r="127" spans="1:21" x14ac:dyDescent="0.25">
      <c r="A127" t="s">
        <v>155</v>
      </c>
      <c r="B127" t="s">
        <v>728</v>
      </c>
      <c r="C127" t="s">
        <v>155</v>
      </c>
      <c r="D127" t="s">
        <v>156</v>
      </c>
      <c r="E127">
        <v>101</v>
      </c>
      <c r="F127" t="s">
        <v>157</v>
      </c>
      <c r="G127" t="s">
        <v>27</v>
      </c>
      <c r="H127">
        <v>17099533</v>
      </c>
      <c r="I127">
        <v>336</v>
      </c>
      <c r="J127">
        <v>0</v>
      </c>
      <c r="K127">
        <v>6.9551999999999996</v>
      </c>
      <c r="L127">
        <v>0</v>
      </c>
      <c r="M127">
        <v>6.9551999999999996</v>
      </c>
      <c r="N127" t="s">
        <v>158</v>
      </c>
      <c r="O127" t="s">
        <v>159</v>
      </c>
      <c r="P127">
        <v>2.07E-2</v>
      </c>
      <c r="Q127">
        <v>8.6999999999999994E-2</v>
      </c>
      <c r="R127">
        <v>2444</v>
      </c>
      <c r="S127">
        <v>2780</v>
      </c>
      <c r="T127">
        <v>0</v>
      </c>
      <c r="U127">
        <v>0</v>
      </c>
    </row>
    <row r="128" spans="1:21" x14ac:dyDescent="0.25">
      <c r="A128" t="s">
        <v>155</v>
      </c>
      <c r="B128" t="s">
        <v>728</v>
      </c>
      <c r="C128" t="s">
        <v>155</v>
      </c>
      <c r="D128" t="s">
        <v>156</v>
      </c>
      <c r="E128">
        <v>102</v>
      </c>
      <c r="F128" t="s">
        <v>90</v>
      </c>
      <c r="G128" t="s">
        <v>656</v>
      </c>
      <c r="H128">
        <v>17099693</v>
      </c>
      <c r="I128">
        <v>200</v>
      </c>
      <c r="J128">
        <v>36</v>
      </c>
      <c r="K128">
        <v>5.24</v>
      </c>
      <c r="L128">
        <v>4.2479999999999993</v>
      </c>
      <c r="M128">
        <v>9.4879999999999995</v>
      </c>
      <c r="N128" t="s">
        <v>762</v>
      </c>
      <c r="O128" t="s">
        <v>763</v>
      </c>
      <c r="P128">
        <v>2.6200000000000001E-2</v>
      </c>
      <c r="Q128">
        <v>0.11799999999999999</v>
      </c>
      <c r="R128">
        <v>857</v>
      </c>
      <c r="S128">
        <v>1057</v>
      </c>
      <c r="T128">
        <v>259</v>
      </c>
      <c r="U128">
        <v>295</v>
      </c>
    </row>
    <row r="129" spans="1:21" x14ac:dyDescent="0.25">
      <c r="A129" t="s">
        <v>153</v>
      </c>
      <c r="B129" t="s">
        <v>727</v>
      </c>
      <c r="C129" t="s">
        <v>831</v>
      </c>
      <c r="D129" t="s">
        <v>96</v>
      </c>
      <c r="E129">
        <v>429</v>
      </c>
      <c r="F129" t="s">
        <v>15</v>
      </c>
      <c r="G129" t="s">
        <v>656</v>
      </c>
      <c r="H129">
        <v>17099547</v>
      </c>
      <c r="I129">
        <v>1017</v>
      </c>
      <c r="J129">
        <v>0</v>
      </c>
      <c r="K129">
        <v>26.645400000000002</v>
      </c>
      <c r="L129">
        <v>0</v>
      </c>
      <c r="M129">
        <v>26.645400000000002</v>
      </c>
      <c r="N129" t="s">
        <v>160</v>
      </c>
      <c r="O129" t="s">
        <v>161</v>
      </c>
      <c r="P129">
        <v>2.6200000000000001E-2</v>
      </c>
      <c r="Q129">
        <v>0.11799999999999999</v>
      </c>
      <c r="R129">
        <v>3606</v>
      </c>
      <c r="S129">
        <v>4623</v>
      </c>
      <c r="T129">
        <v>0</v>
      </c>
      <c r="U129">
        <v>0</v>
      </c>
    </row>
    <row r="130" spans="1:21" x14ac:dyDescent="0.25">
      <c r="A130" t="s">
        <v>153</v>
      </c>
      <c r="B130" t="s">
        <v>727</v>
      </c>
      <c r="C130" t="s">
        <v>831</v>
      </c>
      <c r="D130" t="s">
        <v>96</v>
      </c>
      <c r="E130">
        <v>432</v>
      </c>
      <c r="F130" t="s">
        <v>15</v>
      </c>
      <c r="G130" t="s">
        <v>656</v>
      </c>
      <c r="H130">
        <v>17099549</v>
      </c>
      <c r="I130">
        <v>1151</v>
      </c>
      <c r="J130">
        <v>0</v>
      </c>
      <c r="K130">
        <v>30.156200000000002</v>
      </c>
      <c r="L130">
        <v>0</v>
      </c>
      <c r="M130">
        <v>30.156200000000002</v>
      </c>
      <c r="N130" t="s">
        <v>766</v>
      </c>
      <c r="O130" t="s">
        <v>767</v>
      </c>
      <c r="P130">
        <v>2.6200000000000001E-2</v>
      </c>
      <c r="Q130">
        <v>0.11799999999999999</v>
      </c>
      <c r="R130">
        <v>5209</v>
      </c>
      <c r="S130">
        <v>6360</v>
      </c>
      <c r="T130">
        <v>0</v>
      </c>
      <c r="U130">
        <v>0</v>
      </c>
    </row>
    <row r="131" spans="1:21" x14ac:dyDescent="0.25">
      <c r="A131" t="s">
        <v>153</v>
      </c>
      <c r="B131" t="s">
        <v>727</v>
      </c>
      <c r="C131" t="s">
        <v>831</v>
      </c>
      <c r="D131" t="s">
        <v>96</v>
      </c>
      <c r="E131">
        <v>434</v>
      </c>
      <c r="F131" t="s">
        <v>15</v>
      </c>
      <c r="G131" t="s">
        <v>656</v>
      </c>
      <c r="H131">
        <v>17099550</v>
      </c>
      <c r="I131">
        <v>45</v>
      </c>
      <c r="J131">
        <v>0</v>
      </c>
      <c r="K131">
        <v>1.179</v>
      </c>
      <c r="L131">
        <v>0</v>
      </c>
      <c r="M131">
        <v>1.179</v>
      </c>
      <c r="N131" t="s">
        <v>162</v>
      </c>
      <c r="O131" t="s">
        <v>163</v>
      </c>
      <c r="P131">
        <v>2.6200000000000001E-2</v>
      </c>
      <c r="Q131">
        <v>0.11799999999999999</v>
      </c>
      <c r="R131">
        <v>1019</v>
      </c>
      <c r="S131">
        <v>1064</v>
      </c>
      <c r="T131">
        <v>0</v>
      </c>
      <c r="U131">
        <v>0</v>
      </c>
    </row>
    <row r="132" spans="1:21" x14ac:dyDescent="0.25">
      <c r="A132" t="s">
        <v>153</v>
      </c>
      <c r="B132" t="s">
        <v>727</v>
      </c>
      <c r="C132" t="s">
        <v>831</v>
      </c>
      <c r="D132" t="s">
        <v>96</v>
      </c>
      <c r="E132">
        <v>444</v>
      </c>
      <c r="F132" t="s">
        <v>764</v>
      </c>
      <c r="G132" t="s">
        <v>27</v>
      </c>
      <c r="H132">
        <v>17099404</v>
      </c>
      <c r="I132">
        <v>13016</v>
      </c>
      <c r="J132">
        <v>49</v>
      </c>
      <c r="K132">
        <v>269.43119999999999</v>
      </c>
      <c r="L132">
        <v>4.2629999999999999</v>
      </c>
      <c r="M132">
        <v>273.69419999999997</v>
      </c>
      <c r="N132" t="s">
        <v>765</v>
      </c>
      <c r="O132" t="s">
        <v>189</v>
      </c>
      <c r="P132">
        <v>2.07E-2</v>
      </c>
      <c r="Q132">
        <v>8.6999999999999994E-2</v>
      </c>
      <c r="R132">
        <v>40545</v>
      </c>
      <c r="S132">
        <v>53561</v>
      </c>
      <c r="T132">
        <v>1530</v>
      </c>
      <c r="U132">
        <v>1579</v>
      </c>
    </row>
    <row r="133" spans="1:21" x14ac:dyDescent="0.25">
      <c r="A133" t="s">
        <v>267</v>
      </c>
      <c r="B133" t="s">
        <v>268</v>
      </c>
      <c r="C133" t="s">
        <v>269</v>
      </c>
      <c r="D133" t="s">
        <v>82</v>
      </c>
      <c r="E133">
        <v>308</v>
      </c>
      <c r="F133" t="s">
        <v>15</v>
      </c>
      <c r="G133" t="s">
        <v>656</v>
      </c>
      <c r="H133">
        <v>17099640</v>
      </c>
      <c r="I133">
        <v>377</v>
      </c>
      <c r="J133">
        <v>0</v>
      </c>
      <c r="K133">
        <v>9.8773999999999997</v>
      </c>
      <c r="L133">
        <v>0</v>
      </c>
      <c r="M133">
        <v>9.8773999999999997</v>
      </c>
      <c r="N133" t="s">
        <v>272</v>
      </c>
      <c r="O133" t="s">
        <v>273</v>
      </c>
      <c r="P133">
        <v>2.6200000000000001E-2</v>
      </c>
      <c r="Q133">
        <v>0.11799999999999999</v>
      </c>
      <c r="R133">
        <v>1135</v>
      </c>
      <c r="S133">
        <v>1512</v>
      </c>
      <c r="T133">
        <v>0</v>
      </c>
      <c r="U133">
        <v>0</v>
      </c>
    </row>
    <row r="134" spans="1:21" x14ac:dyDescent="0.25">
      <c r="A134" t="s">
        <v>267</v>
      </c>
      <c r="B134" t="s">
        <v>268</v>
      </c>
      <c r="C134" t="s">
        <v>269</v>
      </c>
      <c r="D134" t="s">
        <v>82</v>
      </c>
      <c r="E134">
        <v>315</v>
      </c>
      <c r="F134" t="s">
        <v>90</v>
      </c>
      <c r="G134" t="s">
        <v>656</v>
      </c>
      <c r="H134">
        <v>17099629</v>
      </c>
      <c r="I134">
        <v>477</v>
      </c>
      <c r="J134">
        <v>32</v>
      </c>
      <c r="K134">
        <v>12.497400000000001</v>
      </c>
      <c r="L134">
        <v>3.7759999999999998</v>
      </c>
      <c r="M134">
        <v>16.273400000000002</v>
      </c>
      <c r="N134" t="s">
        <v>757</v>
      </c>
      <c r="O134" t="s">
        <v>273</v>
      </c>
      <c r="P134">
        <v>2.6200000000000001E-2</v>
      </c>
      <c r="Q134">
        <v>0.11799999999999999</v>
      </c>
      <c r="R134">
        <v>2988</v>
      </c>
      <c r="S134">
        <v>3465</v>
      </c>
      <c r="T134">
        <v>16</v>
      </c>
      <c r="U134">
        <v>48</v>
      </c>
    </row>
    <row r="135" spans="1:21" x14ac:dyDescent="0.25">
      <c r="A135" t="s">
        <v>267</v>
      </c>
      <c r="B135" t="s">
        <v>268</v>
      </c>
      <c r="C135" t="s">
        <v>269</v>
      </c>
      <c r="D135" t="s">
        <v>82</v>
      </c>
      <c r="E135">
        <v>343</v>
      </c>
      <c r="F135" t="s">
        <v>83</v>
      </c>
      <c r="G135" t="s">
        <v>27</v>
      </c>
      <c r="H135">
        <v>17099400</v>
      </c>
      <c r="I135">
        <v>5745</v>
      </c>
      <c r="J135">
        <v>293</v>
      </c>
      <c r="K135">
        <v>118.92149999999999</v>
      </c>
      <c r="L135">
        <v>25.491</v>
      </c>
      <c r="M135">
        <v>144.41249999999999</v>
      </c>
      <c r="N135" t="s">
        <v>270</v>
      </c>
      <c r="O135" t="s">
        <v>271</v>
      </c>
      <c r="P135">
        <v>2.07E-2</v>
      </c>
      <c r="Q135">
        <v>8.6999999999999994E-2</v>
      </c>
      <c r="R135">
        <v>27067</v>
      </c>
      <c r="S135">
        <v>32812</v>
      </c>
      <c r="T135">
        <v>2883</v>
      </c>
      <c r="U135">
        <v>3176</v>
      </c>
    </row>
    <row r="136" spans="1:21" x14ac:dyDescent="0.25">
      <c r="A136" t="s">
        <v>323</v>
      </c>
      <c r="B136" t="s">
        <v>324</v>
      </c>
      <c r="C136" t="s">
        <v>325</v>
      </c>
      <c r="D136" t="s">
        <v>221</v>
      </c>
      <c r="E136">
        <v>209</v>
      </c>
      <c r="F136" t="s">
        <v>15</v>
      </c>
      <c r="G136" t="s">
        <v>656</v>
      </c>
      <c r="H136">
        <v>17099577</v>
      </c>
      <c r="I136">
        <v>23</v>
      </c>
      <c r="J136">
        <v>0</v>
      </c>
      <c r="K136">
        <v>0.60260000000000002</v>
      </c>
      <c r="L136">
        <v>0</v>
      </c>
      <c r="M136">
        <v>0.60260000000000002</v>
      </c>
      <c r="N136" t="s">
        <v>302</v>
      </c>
      <c r="O136" t="s">
        <v>303</v>
      </c>
      <c r="P136">
        <v>2.6200000000000001E-2</v>
      </c>
      <c r="Q136">
        <v>0.11799999999999999</v>
      </c>
      <c r="R136">
        <v>8</v>
      </c>
      <c r="S136">
        <v>31</v>
      </c>
      <c r="T136">
        <v>0</v>
      </c>
      <c r="U136">
        <v>0</v>
      </c>
    </row>
    <row r="137" spans="1:21" x14ac:dyDescent="0.25">
      <c r="A137" t="s">
        <v>323</v>
      </c>
      <c r="B137" t="s">
        <v>324</v>
      </c>
      <c r="C137" t="s">
        <v>325</v>
      </c>
      <c r="D137" t="s">
        <v>221</v>
      </c>
      <c r="E137" t="s">
        <v>326</v>
      </c>
      <c r="F137" t="s">
        <v>15</v>
      </c>
      <c r="G137" t="s">
        <v>656</v>
      </c>
      <c r="H137">
        <v>17099754</v>
      </c>
      <c r="I137">
        <v>700</v>
      </c>
      <c r="J137">
        <v>0</v>
      </c>
      <c r="K137">
        <v>18.34</v>
      </c>
      <c r="L137">
        <v>0</v>
      </c>
      <c r="M137">
        <v>18.34</v>
      </c>
      <c r="N137" t="s">
        <v>327</v>
      </c>
      <c r="O137" t="s">
        <v>328</v>
      </c>
      <c r="P137">
        <v>2.6200000000000001E-2</v>
      </c>
      <c r="Q137">
        <v>0.11799999999999999</v>
      </c>
      <c r="R137">
        <v>4081</v>
      </c>
      <c r="S137">
        <v>4781</v>
      </c>
      <c r="T137">
        <v>0</v>
      </c>
      <c r="U137">
        <v>0</v>
      </c>
    </row>
    <row r="138" spans="1:21" x14ac:dyDescent="0.25">
      <c r="A138" t="s">
        <v>329</v>
      </c>
      <c r="B138" t="s">
        <v>324</v>
      </c>
      <c r="C138" t="s">
        <v>325</v>
      </c>
      <c r="D138" t="s">
        <v>221</v>
      </c>
      <c r="E138">
        <v>202</v>
      </c>
      <c r="F138" t="s">
        <v>15</v>
      </c>
      <c r="G138" t="s">
        <v>656</v>
      </c>
      <c r="H138">
        <v>17099755</v>
      </c>
      <c r="I138">
        <v>2555</v>
      </c>
      <c r="J138">
        <v>0</v>
      </c>
      <c r="K138">
        <v>66.941000000000003</v>
      </c>
      <c r="L138">
        <v>0</v>
      </c>
      <c r="M138">
        <v>66.941000000000003</v>
      </c>
      <c r="N138" t="s">
        <v>770</v>
      </c>
      <c r="O138" t="s">
        <v>941</v>
      </c>
      <c r="P138">
        <v>2.6200000000000001E-2</v>
      </c>
      <c r="Q138">
        <v>0.11799999999999999</v>
      </c>
      <c r="R138">
        <v>9749</v>
      </c>
      <c r="S138">
        <v>12304</v>
      </c>
      <c r="T138">
        <v>0</v>
      </c>
      <c r="U138">
        <v>0</v>
      </c>
    </row>
    <row r="139" spans="1:21" x14ac:dyDescent="0.25">
      <c r="A139" t="s">
        <v>329</v>
      </c>
      <c r="B139" t="s">
        <v>324</v>
      </c>
      <c r="C139" t="s">
        <v>325</v>
      </c>
      <c r="D139" t="s">
        <v>221</v>
      </c>
      <c r="E139">
        <v>203</v>
      </c>
      <c r="F139" t="s">
        <v>15</v>
      </c>
      <c r="G139" t="s">
        <v>656</v>
      </c>
      <c r="H139">
        <v>17099584</v>
      </c>
      <c r="I139">
        <v>248</v>
      </c>
      <c r="J139">
        <v>0</v>
      </c>
      <c r="K139">
        <v>6.4976000000000003</v>
      </c>
      <c r="L139">
        <v>0</v>
      </c>
      <c r="M139">
        <v>6.4976000000000003</v>
      </c>
      <c r="N139" t="s">
        <v>330</v>
      </c>
      <c r="O139" t="s">
        <v>331</v>
      </c>
      <c r="P139">
        <v>2.6200000000000001E-2</v>
      </c>
      <c r="Q139">
        <v>0.11799999999999999</v>
      </c>
      <c r="R139">
        <v>1221</v>
      </c>
      <c r="S139">
        <v>1469</v>
      </c>
      <c r="T139">
        <v>0</v>
      </c>
      <c r="U139">
        <v>0</v>
      </c>
    </row>
    <row r="140" spans="1:21" x14ac:dyDescent="0.25">
      <c r="A140" t="s">
        <v>329</v>
      </c>
      <c r="B140" t="s">
        <v>324</v>
      </c>
      <c r="C140" t="s">
        <v>325</v>
      </c>
      <c r="D140" t="s">
        <v>221</v>
      </c>
      <c r="E140">
        <v>206</v>
      </c>
      <c r="F140" t="s">
        <v>15</v>
      </c>
      <c r="G140" t="s">
        <v>656</v>
      </c>
      <c r="H140">
        <v>17099825</v>
      </c>
      <c r="I140">
        <v>638</v>
      </c>
      <c r="J140">
        <v>0</v>
      </c>
      <c r="K140">
        <v>16.715600000000002</v>
      </c>
      <c r="L140">
        <v>0</v>
      </c>
      <c r="M140">
        <v>16.715600000000002</v>
      </c>
      <c r="N140" t="s">
        <v>875</v>
      </c>
      <c r="O140" t="s">
        <v>945</v>
      </c>
      <c r="P140">
        <v>2.6200000000000001E-2</v>
      </c>
      <c r="Q140">
        <v>0.11799999999999999</v>
      </c>
      <c r="R140">
        <v>557</v>
      </c>
      <c r="S140">
        <v>1195</v>
      </c>
      <c r="T140">
        <v>0</v>
      </c>
      <c r="U140">
        <v>0</v>
      </c>
    </row>
    <row r="141" spans="1:21" x14ac:dyDescent="0.25">
      <c r="A141" t="s">
        <v>175</v>
      </c>
      <c r="B141" t="s">
        <v>240</v>
      </c>
      <c r="C141" t="s">
        <v>237</v>
      </c>
      <c r="D141" t="s">
        <v>175</v>
      </c>
      <c r="E141">
        <v>302</v>
      </c>
      <c r="F141" t="s">
        <v>15</v>
      </c>
      <c r="G141" t="s">
        <v>656</v>
      </c>
      <c r="H141">
        <v>17099502</v>
      </c>
      <c r="I141">
        <v>1388</v>
      </c>
      <c r="J141">
        <v>0</v>
      </c>
      <c r="K141">
        <v>36.365600000000001</v>
      </c>
      <c r="L141">
        <v>0</v>
      </c>
      <c r="M141">
        <v>36.365600000000001</v>
      </c>
      <c r="N141" t="s">
        <v>265</v>
      </c>
      <c r="O141" t="s">
        <v>266</v>
      </c>
      <c r="P141">
        <v>2.6200000000000001E-2</v>
      </c>
      <c r="Q141">
        <v>0.11799999999999999</v>
      </c>
      <c r="R141">
        <v>5940</v>
      </c>
      <c r="S141">
        <v>7328</v>
      </c>
      <c r="T141">
        <v>0</v>
      </c>
      <c r="U141">
        <v>0</v>
      </c>
    </row>
    <row r="142" spans="1:21" x14ac:dyDescent="0.25">
      <c r="A142" t="s">
        <v>175</v>
      </c>
      <c r="B142" t="s">
        <v>240</v>
      </c>
      <c r="C142" t="s">
        <v>237</v>
      </c>
      <c r="D142" t="s">
        <v>175</v>
      </c>
      <c r="E142">
        <v>303</v>
      </c>
      <c r="F142" t="s">
        <v>15</v>
      </c>
      <c r="G142" t="s">
        <v>656</v>
      </c>
      <c r="H142">
        <v>17099504</v>
      </c>
      <c r="I142">
        <v>634</v>
      </c>
      <c r="J142">
        <v>0</v>
      </c>
      <c r="K142">
        <v>16.610800000000001</v>
      </c>
      <c r="L142">
        <v>0</v>
      </c>
      <c r="M142">
        <v>16.610800000000001</v>
      </c>
      <c r="N142" t="s">
        <v>261</v>
      </c>
      <c r="O142" t="s">
        <v>262</v>
      </c>
      <c r="P142">
        <v>2.6200000000000001E-2</v>
      </c>
      <c r="Q142">
        <v>0.11799999999999999</v>
      </c>
      <c r="R142">
        <v>6064</v>
      </c>
      <c r="S142">
        <v>6698</v>
      </c>
      <c r="T142">
        <v>0</v>
      </c>
      <c r="U142">
        <v>0</v>
      </c>
    </row>
    <row r="143" spans="1:21" x14ac:dyDescent="0.25">
      <c r="A143" t="s">
        <v>175</v>
      </c>
      <c r="B143" t="s">
        <v>240</v>
      </c>
      <c r="C143" t="s">
        <v>237</v>
      </c>
      <c r="D143" t="s">
        <v>175</v>
      </c>
      <c r="E143">
        <v>401</v>
      </c>
      <c r="F143" t="s">
        <v>15</v>
      </c>
      <c r="G143" t="s">
        <v>656</v>
      </c>
      <c r="H143">
        <v>17099526</v>
      </c>
      <c r="I143">
        <v>1292</v>
      </c>
      <c r="J143">
        <v>0</v>
      </c>
      <c r="K143">
        <v>33.8504</v>
      </c>
      <c r="L143">
        <v>0</v>
      </c>
      <c r="M143">
        <v>33.8504</v>
      </c>
      <c r="N143" t="s">
        <v>252</v>
      </c>
      <c r="O143" t="s">
        <v>253</v>
      </c>
      <c r="P143">
        <v>2.6200000000000001E-2</v>
      </c>
      <c r="Q143">
        <v>0.11799999999999999</v>
      </c>
      <c r="R143">
        <v>4765</v>
      </c>
      <c r="S143">
        <v>6057</v>
      </c>
      <c r="T143">
        <v>0</v>
      </c>
      <c r="U143">
        <v>0</v>
      </c>
    </row>
    <row r="144" spans="1:21" x14ac:dyDescent="0.25">
      <c r="A144" t="s">
        <v>175</v>
      </c>
      <c r="B144" t="s">
        <v>240</v>
      </c>
      <c r="C144" t="s">
        <v>237</v>
      </c>
      <c r="D144" t="s">
        <v>175</v>
      </c>
      <c r="E144">
        <v>401</v>
      </c>
      <c r="F144" t="s">
        <v>15</v>
      </c>
      <c r="G144" t="s">
        <v>656</v>
      </c>
      <c r="H144">
        <v>17099641</v>
      </c>
      <c r="I144">
        <v>98</v>
      </c>
      <c r="J144">
        <v>0</v>
      </c>
      <c r="K144">
        <v>2.5676000000000001</v>
      </c>
      <c r="L144">
        <v>0</v>
      </c>
      <c r="M144">
        <v>2.5676000000000001</v>
      </c>
      <c r="N144" t="s">
        <v>263</v>
      </c>
      <c r="O144" t="s">
        <v>264</v>
      </c>
      <c r="P144">
        <v>2.6200000000000001E-2</v>
      </c>
      <c r="Q144">
        <v>0.11799999999999999</v>
      </c>
      <c r="R144">
        <v>596</v>
      </c>
      <c r="S144">
        <v>694</v>
      </c>
      <c r="T144">
        <v>0</v>
      </c>
      <c r="U144">
        <v>0</v>
      </c>
    </row>
    <row r="145" spans="1:21" x14ac:dyDescent="0.25">
      <c r="A145" t="s">
        <v>175</v>
      </c>
      <c r="B145" t="s">
        <v>240</v>
      </c>
      <c r="C145" t="s">
        <v>237</v>
      </c>
      <c r="D145" t="s">
        <v>175</v>
      </c>
      <c r="E145">
        <v>500</v>
      </c>
      <c r="F145" t="s">
        <v>15</v>
      </c>
      <c r="G145" t="s">
        <v>656</v>
      </c>
      <c r="H145">
        <v>17099525</v>
      </c>
      <c r="I145">
        <v>975</v>
      </c>
      <c r="J145">
        <v>0</v>
      </c>
      <c r="K145">
        <v>25.545000000000002</v>
      </c>
      <c r="L145">
        <v>0</v>
      </c>
      <c r="M145">
        <v>25.545000000000002</v>
      </c>
      <c r="N145" t="s">
        <v>874</v>
      </c>
      <c r="O145" t="s">
        <v>247</v>
      </c>
      <c r="P145">
        <v>2.6200000000000001E-2</v>
      </c>
      <c r="Q145">
        <v>0.11799999999999999</v>
      </c>
      <c r="R145">
        <v>5046</v>
      </c>
      <c r="S145">
        <v>6021</v>
      </c>
      <c r="T145">
        <v>0</v>
      </c>
      <c r="U145">
        <v>0</v>
      </c>
    </row>
    <row r="146" spans="1:21" x14ac:dyDescent="0.25">
      <c r="A146" t="s">
        <v>175</v>
      </c>
      <c r="B146" t="s">
        <v>240</v>
      </c>
      <c r="C146" t="s">
        <v>237</v>
      </c>
      <c r="D146" t="s">
        <v>175</v>
      </c>
      <c r="E146">
        <v>501</v>
      </c>
      <c r="F146" t="s">
        <v>15</v>
      </c>
      <c r="G146" t="s">
        <v>656</v>
      </c>
      <c r="H146">
        <v>17099523</v>
      </c>
      <c r="I146">
        <v>7509</v>
      </c>
      <c r="J146">
        <v>0</v>
      </c>
      <c r="K146">
        <v>196.73580000000001</v>
      </c>
      <c r="L146">
        <v>0</v>
      </c>
      <c r="M146">
        <v>196.73580000000001</v>
      </c>
      <c r="N146" t="s">
        <v>254</v>
      </c>
      <c r="O146" t="s">
        <v>255</v>
      </c>
      <c r="P146">
        <v>2.6200000000000001E-2</v>
      </c>
      <c r="Q146">
        <v>0.11799999999999999</v>
      </c>
      <c r="R146">
        <v>48374</v>
      </c>
      <c r="S146">
        <v>55883</v>
      </c>
      <c r="T146">
        <v>0</v>
      </c>
      <c r="U146">
        <v>0</v>
      </c>
    </row>
    <row r="147" spans="1:21" x14ac:dyDescent="0.25">
      <c r="A147" t="s">
        <v>175</v>
      </c>
      <c r="B147" t="s">
        <v>240</v>
      </c>
      <c r="C147" t="s">
        <v>237</v>
      </c>
      <c r="D147" t="s">
        <v>175</v>
      </c>
      <c r="E147">
        <v>501</v>
      </c>
      <c r="F147" t="s">
        <v>15</v>
      </c>
      <c r="G147" t="s">
        <v>656</v>
      </c>
      <c r="H147">
        <v>17099830</v>
      </c>
      <c r="I147">
        <v>36</v>
      </c>
      <c r="J147">
        <v>0</v>
      </c>
      <c r="K147">
        <v>0.94320000000000004</v>
      </c>
      <c r="L147">
        <v>0</v>
      </c>
      <c r="M147">
        <v>0.94320000000000004</v>
      </c>
      <c r="N147" t="s">
        <v>881</v>
      </c>
      <c r="O147" t="s">
        <v>956</v>
      </c>
      <c r="P147">
        <v>2.6200000000000001E-2</v>
      </c>
      <c r="Q147">
        <v>0.11799999999999999</v>
      </c>
      <c r="R147">
        <v>76</v>
      </c>
      <c r="S147">
        <v>112</v>
      </c>
      <c r="T147">
        <v>0</v>
      </c>
      <c r="U147">
        <v>0</v>
      </c>
    </row>
    <row r="148" spans="1:21" x14ac:dyDescent="0.25">
      <c r="A148" t="s">
        <v>175</v>
      </c>
      <c r="B148" t="s">
        <v>240</v>
      </c>
      <c r="C148" t="s">
        <v>237</v>
      </c>
      <c r="D148" t="s">
        <v>175</v>
      </c>
      <c r="E148">
        <v>501</v>
      </c>
      <c r="F148" t="s">
        <v>15</v>
      </c>
      <c r="G148" t="s">
        <v>656</v>
      </c>
      <c r="H148">
        <v>17099634</v>
      </c>
      <c r="I148">
        <v>848</v>
      </c>
      <c r="J148">
        <v>0</v>
      </c>
      <c r="K148">
        <v>22.217600000000001</v>
      </c>
      <c r="L148">
        <v>0</v>
      </c>
      <c r="M148">
        <v>22.217600000000001</v>
      </c>
      <c r="N148" t="s">
        <v>248</v>
      </c>
      <c r="O148" t="s">
        <v>249</v>
      </c>
      <c r="P148">
        <v>2.6200000000000001E-2</v>
      </c>
      <c r="Q148">
        <v>0.11799999999999999</v>
      </c>
      <c r="R148">
        <v>1621</v>
      </c>
      <c r="S148">
        <v>2469</v>
      </c>
      <c r="T148">
        <v>0</v>
      </c>
      <c r="U148">
        <v>0</v>
      </c>
    </row>
    <row r="149" spans="1:21" x14ac:dyDescent="0.25">
      <c r="A149" t="s">
        <v>175</v>
      </c>
      <c r="B149" t="s">
        <v>240</v>
      </c>
      <c r="C149" t="s">
        <v>237</v>
      </c>
      <c r="D149" t="s">
        <v>175</v>
      </c>
      <c r="E149">
        <v>502</v>
      </c>
      <c r="F149" t="s">
        <v>15</v>
      </c>
      <c r="G149" t="s">
        <v>656</v>
      </c>
      <c r="H149">
        <v>17099524</v>
      </c>
      <c r="I149">
        <v>939</v>
      </c>
      <c r="J149">
        <v>0</v>
      </c>
      <c r="K149">
        <v>24.601800000000001</v>
      </c>
      <c r="L149">
        <v>0</v>
      </c>
      <c r="M149">
        <v>24.601800000000001</v>
      </c>
      <c r="N149" t="s">
        <v>250</v>
      </c>
      <c r="O149" t="s">
        <v>251</v>
      </c>
      <c r="P149">
        <v>2.6200000000000001E-2</v>
      </c>
      <c r="Q149">
        <v>0.11799999999999999</v>
      </c>
      <c r="R149">
        <v>8527</v>
      </c>
      <c r="S149">
        <v>9466</v>
      </c>
      <c r="T149">
        <v>0</v>
      </c>
      <c r="U149">
        <v>0</v>
      </c>
    </row>
    <row r="150" spans="1:21" x14ac:dyDescent="0.25">
      <c r="A150" t="s">
        <v>175</v>
      </c>
      <c r="B150" t="s">
        <v>240</v>
      </c>
      <c r="C150" t="s">
        <v>237</v>
      </c>
      <c r="D150" t="s">
        <v>175</v>
      </c>
      <c r="E150">
        <v>650</v>
      </c>
      <c r="F150" t="s">
        <v>15</v>
      </c>
      <c r="G150" t="s">
        <v>656</v>
      </c>
      <c r="H150">
        <v>17099445</v>
      </c>
      <c r="I150">
        <v>928</v>
      </c>
      <c r="J150">
        <v>0</v>
      </c>
      <c r="K150">
        <v>24.313600000000001</v>
      </c>
      <c r="L150">
        <v>0</v>
      </c>
      <c r="M150">
        <v>24.313600000000001</v>
      </c>
      <c r="N150" t="s">
        <v>259</v>
      </c>
      <c r="O150" t="s">
        <v>260</v>
      </c>
      <c r="P150">
        <v>2.6200000000000001E-2</v>
      </c>
      <c r="Q150">
        <v>0.11799999999999999</v>
      </c>
      <c r="R150">
        <v>6635</v>
      </c>
      <c r="S150">
        <v>7563</v>
      </c>
      <c r="T150">
        <v>0</v>
      </c>
      <c r="U150">
        <v>0</v>
      </c>
    </row>
    <row r="151" spans="1:21" x14ac:dyDescent="0.25">
      <c r="A151" t="s">
        <v>175</v>
      </c>
      <c r="B151" t="s">
        <v>240</v>
      </c>
      <c r="C151" t="s">
        <v>237</v>
      </c>
      <c r="D151" t="s">
        <v>175</v>
      </c>
      <c r="E151" t="s">
        <v>256</v>
      </c>
      <c r="F151" t="s">
        <v>15</v>
      </c>
      <c r="G151" t="s">
        <v>656</v>
      </c>
      <c r="H151">
        <v>17099503</v>
      </c>
      <c r="I151">
        <v>2310</v>
      </c>
      <c r="J151">
        <v>0</v>
      </c>
      <c r="K151">
        <v>60.522000000000006</v>
      </c>
      <c r="L151">
        <v>0</v>
      </c>
      <c r="M151">
        <v>60.522000000000006</v>
      </c>
      <c r="N151" t="s">
        <v>257</v>
      </c>
      <c r="O151" t="s">
        <v>258</v>
      </c>
      <c r="P151">
        <v>2.6200000000000001E-2</v>
      </c>
      <c r="Q151">
        <v>0.11799999999999999</v>
      </c>
      <c r="R151">
        <v>12640</v>
      </c>
      <c r="S151">
        <v>14950</v>
      </c>
      <c r="T151">
        <v>0</v>
      </c>
      <c r="U151">
        <v>0</v>
      </c>
    </row>
    <row r="152" spans="1:21" x14ac:dyDescent="0.25">
      <c r="A152" t="s">
        <v>175</v>
      </c>
      <c r="B152" t="s">
        <v>240</v>
      </c>
      <c r="C152" t="s">
        <v>237</v>
      </c>
      <c r="D152" t="s">
        <v>175</v>
      </c>
      <c r="E152" t="s">
        <v>241</v>
      </c>
      <c r="F152" t="s">
        <v>90</v>
      </c>
      <c r="G152" t="s">
        <v>656</v>
      </c>
      <c r="H152">
        <v>17099630</v>
      </c>
      <c r="I152">
        <v>30</v>
      </c>
      <c r="J152">
        <v>276</v>
      </c>
      <c r="K152">
        <v>0.78600000000000003</v>
      </c>
      <c r="L152">
        <v>32.567999999999998</v>
      </c>
      <c r="M152">
        <v>33.353999999999999</v>
      </c>
      <c r="N152" t="s">
        <v>898</v>
      </c>
      <c r="O152" t="s">
        <v>976</v>
      </c>
      <c r="P152">
        <v>2.6200000000000001E-2</v>
      </c>
      <c r="Q152">
        <v>0.11799999999999999</v>
      </c>
      <c r="R152">
        <v>557</v>
      </c>
      <c r="S152">
        <v>587</v>
      </c>
      <c r="T152">
        <v>1248</v>
      </c>
      <c r="U152">
        <v>1524</v>
      </c>
    </row>
    <row r="153" spans="1:21" x14ac:dyDescent="0.25">
      <c r="A153" t="s">
        <v>175</v>
      </c>
      <c r="B153" t="s">
        <v>240</v>
      </c>
      <c r="C153" t="s">
        <v>237</v>
      </c>
      <c r="D153" t="s">
        <v>175</v>
      </c>
      <c r="E153" t="s">
        <v>241</v>
      </c>
      <c r="F153" t="s">
        <v>54</v>
      </c>
      <c r="G153" t="s">
        <v>27</v>
      </c>
      <c r="H153">
        <v>17099487</v>
      </c>
      <c r="I153">
        <v>347</v>
      </c>
      <c r="J153">
        <v>2</v>
      </c>
      <c r="K153">
        <v>7.1829000000000001</v>
      </c>
      <c r="L153">
        <v>0.17399999999999999</v>
      </c>
      <c r="M153">
        <v>7.3569000000000004</v>
      </c>
      <c r="N153" t="s">
        <v>242</v>
      </c>
      <c r="O153" t="s">
        <v>243</v>
      </c>
      <c r="P153">
        <v>2.07E-2</v>
      </c>
      <c r="Q153">
        <v>8.6999999999999994E-2</v>
      </c>
      <c r="R153">
        <v>1601</v>
      </c>
      <c r="S153">
        <v>1948</v>
      </c>
      <c r="T153">
        <v>45</v>
      </c>
      <c r="U153">
        <v>47</v>
      </c>
    </row>
    <row r="154" spans="1:21" x14ac:dyDescent="0.25">
      <c r="A154" t="s">
        <v>175</v>
      </c>
      <c r="B154" t="s">
        <v>240</v>
      </c>
      <c r="C154" t="s">
        <v>237</v>
      </c>
      <c r="D154" t="s">
        <v>175</v>
      </c>
      <c r="E154" t="s">
        <v>244</v>
      </c>
      <c r="F154" t="s">
        <v>54</v>
      </c>
      <c r="G154" t="s">
        <v>27</v>
      </c>
      <c r="H154">
        <v>17099432</v>
      </c>
      <c r="I154">
        <v>2194</v>
      </c>
      <c r="J154">
        <v>525</v>
      </c>
      <c r="K154">
        <v>45.415799999999997</v>
      </c>
      <c r="L154">
        <v>45.674999999999997</v>
      </c>
      <c r="M154">
        <v>91.090800000000002</v>
      </c>
      <c r="N154" t="s">
        <v>245</v>
      </c>
      <c r="O154" t="s">
        <v>246</v>
      </c>
      <c r="P154">
        <v>2.07E-2</v>
      </c>
      <c r="Q154">
        <v>8.6999999999999994E-2</v>
      </c>
      <c r="R154">
        <v>21640</v>
      </c>
      <c r="S154">
        <v>23834</v>
      </c>
      <c r="T154">
        <v>5291</v>
      </c>
      <c r="U154">
        <v>5816</v>
      </c>
    </row>
    <row r="155" spans="1:21" x14ac:dyDescent="0.25">
      <c r="A155" t="s">
        <v>799</v>
      </c>
      <c r="B155" t="s">
        <v>164</v>
      </c>
      <c r="C155" t="s">
        <v>165</v>
      </c>
      <c r="D155" t="s">
        <v>166</v>
      </c>
      <c r="E155">
        <v>415</v>
      </c>
      <c r="F155" t="s">
        <v>15</v>
      </c>
      <c r="G155" t="s">
        <v>656</v>
      </c>
      <c r="H155">
        <v>17099579</v>
      </c>
      <c r="I155">
        <v>567</v>
      </c>
      <c r="J155">
        <v>0</v>
      </c>
      <c r="K155">
        <v>14.855400000000001</v>
      </c>
      <c r="L155">
        <v>0</v>
      </c>
      <c r="M155">
        <v>14.855400000000001</v>
      </c>
      <c r="N155" t="s">
        <v>169</v>
      </c>
      <c r="O155" t="s">
        <v>170</v>
      </c>
      <c r="P155">
        <v>2.6200000000000001E-2</v>
      </c>
      <c r="Q155">
        <v>0.11799999999999999</v>
      </c>
      <c r="R155">
        <v>2605</v>
      </c>
      <c r="S155">
        <v>3172</v>
      </c>
      <c r="T155">
        <v>0</v>
      </c>
      <c r="U155">
        <v>0</v>
      </c>
    </row>
    <row r="156" spans="1:21" x14ac:dyDescent="0.25">
      <c r="A156" t="s">
        <v>799</v>
      </c>
      <c r="B156" t="s">
        <v>164</v>
      </c>
      <c r="C156" t="s">
        <v>165</v>
      </c>
      <c r="D156" t="s">
        <v>166</v>
      </c>
      <c r="E156">
        <v>416</v>
      </c>
      <c r="F156" t="s">
        <v>83</v>
      </c>
      <c r="G156" t="s">
        <v>27</v>
      </c>
      <c r="H156">
        <v>17099492</v>
      </c>
      <c r="I156">
        <v>17692</v>
      </c>
      <c r="J156">
        <v>556</v>
      </c>
      <c r="K156">
        <v>366.2244</v>
      </c>
      <c r="L156">
        <v>48.372</v>
      </c>
      <c r="M156">
        <v>414.59640000000002</v>
      </c>
      <c r="N156" t="s">
        <v>167</v>
      </c>
      <c r="O156" t="s">
        <v>168</v>
      </c>
      <c r="P156">
        <v>2.07E-2</v>
      </c>
      <c r="Q156">
        <v>8.6999999999999994E-2</v>
      </c>
      <c r="R156">
        <v>179390</v>
      </c>
      <c r="S156">
        <v>197082</v>
      </c>
      <c r="T156">
        <v>16194</v>
      </c>
      <c r="U156">
        <v>16750</v>
      </c>
    </row>
    <row r="157" spans="1:21" x14ac:dyDescent="0.25">
      <c r="A157" t="s">
        <v>799</v>
      </c>
      <c r="B157" t="s">
        <v>164</v>
      </c>
      <c r="C157" t="s">
        <v>165</v>
      </c>
      <c r="D157" t="s">
        <v>166</v>
      </c>
      <c r="E157">
        <v>425</v>
      </c>
      <c r="F157" t="s">
        <v>15</v>
      </c>
      <c r="G157" t="s">
        <v>656</v>
      </c>
      <c r="H157">
        <v>17099582</v>
      </c>
      <c r="I157">
        <v>102</v>
      </c>
      <c r="J157">
        <v>0</v>
      </c>
      <c r="K157">
        <v>2.6724000000000001</v>
      </c>
      <c r="L157">
        <v>0</v>
      </c>
      <c r="M157">
        <v>2.6724000000000001</v>
      </c>
      <c r="N157" t="s">
        <v>171</v>
      </c>
      <c r="O157" t="s">
        <v>172</v>
      </c>
      <c r="P157">
        <v>2.6200000000000001E-2</v>
      </c>
      <c r="Q157">
        <v>0.11799999999999999</v>
      </c>
      <c r="R157">
        <v>1720</v>
      </c>
      <c r="S157">
        <v>1822</v>
      </c>
      <c r="T157">
        <v>0</v>
      </c>
      <c r="U157">
        <v>0</v>
      </c>
    </row>
    <row r="158" spans="1:21" x14ac:dyDescent="0.25">
      <c r="A158" t="s">
        <v>178</v>
      </c>
      <c r="B158" t="s">
        <v>179</v>
      </c>
      <c r="C158" t="s">
        <v>178</v>
      </c>
      <c r="D158" t="s">
        <v>82</v>
      </c>
      <c r="E158">
        <v>709</v>
      </c>
      <c r="F158" t="s">
        <v>90</v>
      </c>
      <c r="G158" t="s">
        <v>656</v>
      </c>
      <c r="H158">
        <v>17099632</v>
      </c>
      <c r="I158">
        <v>604</v>
      </c>
      <c r="J158">
        <v>175</v>
      </c>
      <c r="K158">
        <v>15.8248</v>
      </c>
      <c r="L158">
        <v>20.65</v>
      </c>
      <c r="M158">
        <v>36.474800000000002</v>
      </c>
      <c r="N158" t="s">
        <v>184</v>
      </c>
      <c r="O158" t="s">
        <v>185</v>
      </c>
      <c r="P158">
        <v>2.6200000000000001E-2</v>
      </c>
      <c r="Q158">
        <v>0.11799999999999999</v>
      </c>
      <c r="R158">
        <v>2070</v>
      </c>
      <c r="S158">
        <v>2674</v>
      </c>
      <c r="T158">
        <v>363</v>
      </c>
      <c r="U158">
        <v>538</v>
      </c>
    </row>
    <row r="159" spans="1:21" x14ac:dyDescent="0.25">
      <c r="A159" t="s">
        <v>178</v>
      </c>
      <c r="B159" t="s">
        <v>179</v>
      </c>
      <c r="C159" t="s">
        <v>178</v>
      </c>
      <c r="D159" t="s">
        <v>82</v>
      </c>
      <c r="E159">
        <v>709</v>
      </c>
      <c r="F159" t="s">
        <v>54</v>
      </c>
      <c r="G159" t="s">
        <v>27</v>
      </c>
      <c r="H159">
        <v>17099465</v>
      </c>
      <c r="I159">
        <v>7092</v>
      </c>
      <c r="J159">
        <v>694</v>
      </c>
      <c r="K159">
        <v>146.80439999999999</v>
      </c>
      <c r="L159">
        <v>60.377999999999993</v>
      </c>
      <c r="M159">
        <v>207.18239999999997</v>
      </c>
      <c r="N159" t="s">
        <v>180</v>
      </c>
      <c r="O159" t="s">
        <v>181</v>
      </c>
      <c r="P159">
        <v>2.07E-2</v>
      </c>
      <c r="Q159">
        <v>8.6999999999999994E-2</v>
      </c>
      <c r="R159">
        <v>50577</v>
      </c>
      <c r="S159">
        <v>57669</v>
      </c>
      <c r="T159">
        <v>2647</v>
      </c>
      <c r="U159">
        <v>3341</v>
      </c>
    </row>
    <row r="160" spans="1:21" x14ac:dyDescent="0.25">
      <c r="A160" t="s">
        <v>178</v>
      </c>
      <c r="B160" t="s">
        <v>179</v>
      </c>
      <c r="C160" t="s">
        <v>178</v>
      </c>
      <c r="D160" t="s">
        <v>82</v>
      </c>
      <c r="E160">
        <v>717</v>
      </c>
      <c r="F160" t="s">
        <v>15</v>
      </c>
      <c r="G160" t="s">
        <v>656</v>
      </c>
      <c r="H160">
        <v>17099586</v>
      </c>
      <c r="I160">
        <v>14</v>
      </c>
      <c r="J160">
        <v>0</v>
      </c>
      <c r="K160">
        <v>0.36680000000000001</v>
      </c>
      <c r="L160">
        <v>0</v>
      </c>
      <c r="M160">
        <v>0.36680000000000001</v>
      </c>
      <c r="N160" t="s">
        <v>182</v>
      </c>
      <c r="O160" t="s">
        <v>183</v>
      </c>
      <c r="P160">
        <v>2.6200000000000001E-2</v>
      </c>
      <c r="Q160">
        <v>0.11799999999999999</v>
      </c>
      <c r="R160">
        <v>103</v>
      </c>
      <c r="S160">
        <v>117</v>
      </c>
      <c r="T160">
        <v>0</v>
      </c>
      <c r="U160">
        <v>0</v>
      </c>
    </row>
    <row r="161" spans="1:21" x14ac:dyDescent="0.25">
      <c r="A161" t="s">
        <v>165</v>
      </c>
      <c r="B161" t="s">
        <v>173</v>
      </c>
      <c r="C161" t="s">
        <v>174</v>
      </c>
      <c r="D161" t="s">
        <v>175</v>
      </c>
      <c r="E161">
        <v>700</v>
      </c>
      <c r="F161" t="s">
        <v>54</v>
      </c>
      <c r="G161" t="s">
        <v>27</v>
      </c>
      <c r="H161">
        <v>17099505</v>
      </c>
      <c r="I161">
        <v>380</v>
      </c>
      <c r="J161">
        <v>123</v>
      </c>
      <c r="K161">
        <v>7.8659999999999997</v>
      </c>
      <c r="L161">
        <v>10.700999999999999</v>
      </c>
      <c r="M161">
        <v>18.567</v>
      </c>
      <c r="N161" t="s">
        <v>176</v>
      </c>
      <c r="O161" t="s">
        <v>177</v>
      </c>
      <c r="P161">
        <v>2.07E-2</v>
      </c>
      <c r="Q161">
        <v>8.6999999999999994E-2</v>
      </c>
      <c r="R161">
        <v>2215</v>
      </c>
      <c r="S161">
        <v>2595</v>
      </c>
      <c r="T161">
        <v>671</v>
      </c>
      <c r="U161">
        <v>794</v>
      </c>
    </row>
    <row r="162" spans="1:21" x14ac:dyDescent="0.25">
      <c r="A162" t="s">
        <v>186</v>
      </c>
      <c r="B162" t="s">
        <v>187</v>
      </c>
      <c r="C162" t="s">
        <v>186</v>
      </c>
      <c r="D162" t="s">
        <v>96</v>
      </c>
      <c r="E162">
        <v>416</v>
      </c>
      <c r="F162" t="s">
        <v>15</v>
      </c>
      <c r="G162" t="s">
        <v>656</v>
      </c>
      <c r="H162">
        <v>17099542</v>
      </c>
      <c r="I162">
        <v>862</v>
      </c>
      <c r="J162">
        <v>0</v>
      </c>
      <c r="K162">
        <v>22.584400000000002</v>
      </c>
      <c r="L162">
        <v>0</v>
      </c>
      <c r="M162">
        <v>22.584400000000002</v>
      </c>
      <c r="N162" t="s">
        <v>192</v>
      </c>
      <c r="O162" t="s">
        <v>193</v>
      </c>
      <c r="P162">
        <v>2.6200000000000001E-2</v>
      </c>
      <c r="Q162">
        <v>0.11799999999999999</v>
      </c>
      <c r="R162">
        <v>7030</v>
      </c>
      <c r="S162">
        <v>7892</v>
      </c>
      <c r="T162">
        <v>0</v>
      </c>
      <c r="U162">
        <v>0</v>
      </c>
    </row>
    <row r="163" spans="1:21" x14ac:dyDescent="0.25">
      <c r="A163" t="s">
        <v>186</v>
      </c>
      <c r="B163" t="s">
        <v>187</v>
      </c>
      <c r="C163" t="s">
        <v>186</v>
      </c>
      <c r="D163" t="s">
        <v>96</v>
      </c>
      <c r="E163">
        <v>424</v>
      </c>
      <c r="F163" t="s">
        <v>15</v>
      </c>
      <c r="G163" t="s">
        <v>656</v>
      </c>
      <c r="H163">
        <v>17099548</v>
      </c>
      <c r="I163">
        <v>404</v>
      </c>
      <c r="J163">
        <v>0</v>
      </c>
      <c r="K163">
        <v>10.584800000000001</v>
      </c>
      <c r="L163">
        <v>0</v>
      </c>
      <c r="M163">
        <v>10.584800000000001</v>
      </c>
      <c r="N163" t="s">
        <v>795</v>
      </c>
      <c r="O163" t="s">
        <v>194</v>
      </c>
      <c r="P163">
        <v>2.6200000000000001E-2</v>
      </c>
      <c r="Q163">
        <v>0.11799999999999999</v>
      </c>
      <c r="R163">
        <v>2822</v>
      </c>
      <c r="S163">
        <v>3226</v>
      </c>
      <c r="T163">
        <v>0</v>
      </c>
      <c r="U163">
        <v>0</v>
      </c>
    </row>
    <row r="164" spans="1:21" x14ac:dyDescent="0.25">
      <c r="A164" t="s">
        <v>186</v>
      </c>
      <c r="B164" t="s">
        <v>187</v>
      </c>
      <c r="C164" t="s">
        <v>186</v>
      </c>
      <c r="D164" t="s">
        <v>96</v>
      </c>
      <c r="E164">
        <v>541</v>
      </c>
      <c r="F164" t="s">
        <v>15</v>
      </c>
      <c r="G164" t="s">
        <v>656</v>
      </c>
      <c r="H164">
        <v>17099551</v>
      </c>
      <c r="I164">
        <v>418</v>
      </c>
      <c r="J164">
        <v>0</v>
      </c>
      <c r="K164">
        <v>10.951600000000001</v>
      </c>
      <c r="L164">
        <v>0</v>
      </c>
      <c r="M164">
        <v>10.951600000000001</v>
      </c>
      <c r="N164" t="s">
        <v>190</v>
      </c>
      <c r="O164" t="s">
        <v>191</v>
      </c>
      <c r="P164">
        <v>2.6200000000000001E-2</v>
      </c>
      <c r="Q164">
        <v>0.11799999999999999</v>
      </c>
      <c r="R164">
        <v>3360</v>
      </c>
      <c r="S164">
        <v>3778</v>
      </c>
      <c r="T164">
        <v>0</v>
      </c>
      <c r="U164">
        <v>0</v>
      </c>
    </row>
    <row r="165" spans="1:21" x14ac:dyDescent="0.25">
      <c r="A165" t="s">
        <v>230</v>
      </c>
      <c r="B165" t="s">
        <v>231</v>
      </c>
      <c r="C165" t="s">
        <v>232</v>
      </c>
      <c r="D165" t="s">
        <v>233</v>
      </c>
      <c r="E165">
        <v>105</v>
      </c>
      <c r="F165" t="s">
        <v>54</v>
      </c>
      <c r="G165" t="s">
        <v>27</v>
      </c>
      <c r="H165">
        <v>17099721</v>
      </c>
      <c r="I165">
        <v>1220</v>
      </c>
      <c r="J165">
        <v>361</v>
      </c>
      <c r="K165">
        <v>25.254000000000001</v>
      </c>
      <c r="L165">
        <v>31.406999999999996</v>
      </c>
      <c r="M165">
        <v>56.661000000000001</v>
      </c>
      <c r="N165" t="s">
        <v>234</v>
      </c>
      <c r="O165" t="s">
        <v>235</v>
      </c>
      <c r="P165">
        <v>2.07E-2</v>
      </c>
      <c r="Q165">
        <v>8.6999999999999994E-2</v>
      </c>
      <c r="R165">
        <v>10977</v>
      </c>
      <c r="S165">
        <v>12197</v>
      </c>
      <c r="T165">
        <v>5165</v>
      </c>
      <c r="U165">
        <v>5526</v>
      </c>
    </row>
    <row r="166" spans="1:21" x14ac:dyDescent="0.25">
      <c r="A166" t="s">
        <v>510</v>
      </c>
      <c r="B166" t="s">
        <v>682</v>
      </c>
      <c r="C166" t="s">
        <v>510</v>
      </c>
      <c r="D166" t="s">
        <v>665</v>
      </c>
      <c r="E166">
        <v>306</v>
      </c>
      <c r="F166" t="s">
        <v>15</v>
      </c>
      <c r="G166" t="s">
        <v>656</v>
      </c>
      <c r="H166">
        <v>17099567</v>
      </c>
      <c r="I166">
        <v>696</v>
      </c>
      <c r="J166">
        <v>0</v>
      </c>
      <c r="K166">
        <v>18.235199999999999</v>
      </c>
      <c r="L166">
        <v>0</v>
      </c>
      <c r="M166">
        <v>18.235199999999999</v>
      </c>
      <c r="N166" t="s">
        <v>516</v>
      </c>
      <c r="O166" t="s">
        <v>517</v>
      </c>
      <c r="P166">
        <v>2.6200000000000001E-2</v>
      </c>
      <c r="Q166">
        <v>0.11799999999999999</v>
      </c>
      <c r="R166">
        <v>1075</v>
      </c>
      <c r="S166">
        <v>1771</v>
      </c>
      <c r="T166">
        <v>0</v>
      </c>
      <c r="U166">
        <v>0</v>
      </c>
    </row>
    <row r="167" spans="1:21" x14ac:dyDescent="0.25">
      <c r="A167" t="s">
        <v>510</v>
      </c>
      <c r="B167" t="s">
        <v>682</v>
      </c>
      <c r="C167" t="s">
        <v>510</v>
      </c>
      <c r="D167" t="s">
        <v>665</v>
      </c>
      <c r="E167" t="s">
        <v>511</v>
      </c>
      <c r="F167" t="s">
        <v>24</v>
      </c>
      <c r="G167" t="s">
        <v>27</v>
      </c>
      <c r="H167">
        <v>17099488</v>
      </c>
      <c r="I167">
        <v>1971</v>
      </c>
      <c r="J167">
        <v>1800</v>
      </c>
      <c r="K167">
        <v>40.799700000000001</v>
      </c>
      <c r="L167">
        <v>156.6</v>
      </c>
      <c r="M167">
        <v>197.3997</v>
      </c>
      <c r="N167" t="s">
        <v>512</v>
      </c>
      <c r="O167" t="s">
        <v>513</v>
      </c>
      <c r="P167">
        <v>2.07E-2</v>
      </c>
      <c r="Q167">
        <v>8.6999999999999994E-2</v>
      </c>
      <c r="R167">
        <v>9936</v>
      </c>
      <c r="S167">
        <v>11907</v>
      </c>
      <c r="T167">
        <v>8175</v>
      </c>
      <c r="U167">
        <v>9975</v>
      </c>
    </row>
    <row r="168" spans="1:21" x14ac:dyDescent="0.25">
      <c r="A168" t="s">
        <v>391</v>
      </c>
      <c r="B168" t="s">
        <v>392</v>
      </c>
      <c r="C168" t="s">
        <v>393</v>
      </c>
      <c r="D168" t="s">
        <v>664</v>
      </c>
      <c r="E168">
        <v>301</v>
      </c>
      <c r="F168" t="s">
        <v>15</v>
      </c>
      <c r="G168" t="s">
        <v>656</v>
      </c>
      <c r="H168">
        <v>17099422</v>
      </c>
      <c r="I168">
        <v>731</v>
      </c>
      <c r="J168">
        <v>0</v>
      </c>
      <c r="K168">
        <v>19.152200000000001</v>
      </c>
      <c r="L168">
        <v>0</v>
      </c>
      <c r="M168">
        <v>19.152200000000001</v>
      </c>
      <c r="N168" t="s">
        <v>481</v>
      </c>
      <c r="O168" t="s">
        <v>482</v>
      </c>
      <c r="P168">
        <v>2.6200000000000001E-2</v>
      </c>
      <c r="Q168">
        <v>0.11799999999999999</v>
      </c>
      <c r="R168">
        <v>3077</v>
      </c>
      <c r="S168">
        <v>3808</v>
      </c>
      <c r="T168">
        <v>0</v>
      </c>
      <c r="U168">
        <v>0</v>
      </c>
    </row>
    <row r="169" spans="1:21" x14ac:dyDescent="0.25">
      <c r="A169" t="s">
        <v>391</v>
      </c>
      <c r="B169" t="s">
        <v>392</v>
      </c>
      <c r="C169" t="s">
        <v>393</v>
      </c>
      <c r="D169" t="s">
        <v>664</v>
      </c>
      <c r="E169">
        <v>301</v>
      </c>
      <c r="F169" t="s">
        <v>15</v>
      </c>
      <c r="G169" t="s">
        <v>656</v>
      </c>
      <c r="H169">
        <v>17099508</v>
      </c>
      <c r="I169">
        <v>485</v>
      </c>
      <c r="J169">
        <v>0</v>
      </c>
      <c r="K169">
        <v>12.707000000000001</v>
      </c>
      <c r="L169">
        <v>0</v>
      </c>
      <c r="M169">
        <v>12.707000000000001</v>
      </c>
      <c r="N169" t="s">
        <v>400</v>
      </c>
      <c r="O169" t="s">
        <v>401</v>
      </c>
      <c r="P169">
        <v>2.6200000000000001E-2</v>
      </c>
      <c r="Q169">
        <v>0.11799999999999999</v>
      </c>
      <c r="R169">
        <v>2169</v>
      </c>
      <c r="S169">
        <v>2654</v>
      </c>
      <c r="T169">
        <v>0</v>
      </c>
      <c r="U169">
        <v>0</v>
      </c>
    </row>
    <row r="170" spans="1:21" x14ac:dyDescent="0.25">
      <c r="A170" t="s">
        <v>391</v>
      </c>
      <c r="B170" t="s">
        <v>392</v>
      </c>
      <c r="C170" t="s">
        <v>393</v>
      </c>
      <c r="D170" t="s">
        <v>664</v>
      </c>
      <c r="E170">
        <v>303</v>
      </c>
      <c r="F170" t="s">
        <v>15</v>
      </c>
      <c r="G170" t="s">
        <v>656</v>
      </c>
      <c r="H170">
        <v>17099441</v>
      </c>
      <c r="I170">
        <v>697</v>
      </c>
      <c r="J170">
        <v>0</v>
      </c>
      <c r="K170">
        <v>18.261400000000002</v>
      </c>
      <c r="L170">
        <v>0</v>
      </c>
      <c r="M170">
        <v>18.261400000000002</v>
      </c>
      <c r="N170" t="s">
        <v>396</v>
      </c>
      <c r="O170" t="s">
        <v>397</v>
      </c>
      <c r="P170">
        <v>2.6200000000000001E-2</v>
      </c>
      <c r="Q170">
        <v>0.11799999999999999</v>
      </c>
      <c r="R170">
        <v>1665</v>
      </c>
      <c r="S170">
        <v>2362</v>
      </c>
      <c r="T170">
        <v>0</v>
      </c>
      <c r="U170">
        <v>0</v>
      </c>
    </row>
    <row r="171" spans="1:21" x14ac:dyDescent="0.25">
      <c r="A171" t="s">
        <v>391</v>
      </c>
      <c r="B171" t="s">
        <v>392</v>
      </c>
      <c r="C171" t="s">
        <v>393</v>
      </c>
      <c r="D171" t="s">
        <v>664</v>
      </c>
      <c r="E171">
        <v>303</v>
      </c>
      <c r="F171" t="s">
        <v>15</v>
      </c>
      <c r="G171" t="s">
        <v>656</v>
      </c>
      <c r="H171">
        <v>17099510</v>
      </c>
      <c r="I171">
        <v>307</v>
      </c>
      <c r="J171">
        <v>0</v>
      </c>
      <c r="K171">
        <v>8.0434000000000001</v>
      </c>
      <c r="L171">
        <v>0</v>
      </c>
      <c r="M171">
        <v>8.0434000000000001</v>
      </c>
      <c r="N171" t="s">
        <v>402</v>
      </c>
      <c r="O171" t="s">
        <v>403</v>
      </c>
      <c r="P171">
        <v>2.6200000000000001E-2</v>
      </c>
      <c r="Q171">
        <v>0.11799999999999999</v>
      </c>
      <c r="R171">
        <v>1622</v>
      </c>
      <c r="S171">
        <v>1929</v>
      </c>
      <c r="T171">
        <v>0</v>
      </c>
      <c r="U171">
        <v>0</v>
      </c>
    </row>
    <row r="172" spans="1:21" x14ac:dyDescent="0.25">
      <c r="A172" t="s">
        <v>391</v>
      </c>
      <c r="B172" t="s">
        <v>392</v>
      </c>
      <c r="C172" t="s">
        <v>393</v>
      </c>
      <c r="D172" t="s">
        <v>664</v>
      </c>
      <c r="E172">
        <v>303</v>
      </c>
      <c r="F172" t="s">
        <v>15</v>
      </c>
      <c r="G172" t="s">
        <v>656</v>
      </c>
      <c r="H172">
        <v>17099509</v>
      </c>
      <c r="I172">
        <v>1471</v>
      </c>
      <c r="J172">
        <v>0</v>
      </c>
      <c r="K172">
        <v>38.540199999999999</v>
      </c>
      <c r="L172">
        <v>0</v>
      </c>
      <c r="M172">
        <v>38.540199999999999</v>
      </c>
      <c r="N172" t="s">
        <v>398</v>
      </c>
      <c r="O172" t="s">
        <v>399</v>
      </c>
      <c r="P172">
        <v>2.6200000000000001E-2</v>
      </c>
      <c r="Q172">
        <v>0.11799999999999999</v>
      </c>
      <c r="R172">
        <v>6272</v>
      </c>
      <c r="S172">
        <v>7743</v>
      </c>
      <c r="T172">
        <v>0</v>
      </c>
      <c r="U172">
        <v>0</v>
      </c>
    </row>
    <row r="173" spans="1:21" x14ac:dyDescent="0.25">
      <c r="A173" t="s">
        <v>391</v>
      </c>
      <c r="B173" t="s">
        <v>392</v>
      </c>
      <c r="C173" t="s">
        <v>393</v>
      </c>
      <c r="D173" t="s">
        <v>664</v>
      </c>
      <c r="E173">
        <v>305</v>
      </c>
      <c r="F173" t="s">
        <v>54</v>
      </c>
      <c r="G173" t="s">
        <v>27</v>
      </c>
      <c r="H173">
        <v>17099494</v>
      </c>
      <c r="I173">
        <v>2152</v>
      </c>
      <c r="J173">
        <v>226</v>
      </c>
      <c r="K173">
        <v>44.546399999999998</v>
      </c>
      <c r="L173">
        <v>19.661999999999999</v>
      </c>
      <c r="M173">
        <v>64.208399999999997</v>
      </c>
      <c r="N173" t="s">
        <v>394</v>
      </c>
      <c r="O173" t="s">
        <v>395</v>
      </c>
      <c r="P173">
        <v>2.07E-2</v>
      </c>
      <c r="Q173">
        <v>8.6999999999999994E-2</v>
      </c>
      <c r="R173">
        <v>12564</v>
      </c>
      <c r="S173">
        <v>14716</v>
      </c>
      <c r="T173">
        <v>1807</v>
      </c>
      <c r="U173">
        <v>2033</v>
      </c>
    </row>
    <row r="174" spans="1:21" x14ac:dyDescent="0.25">
      <c r="A174" t="s">
        <v>847</v>
      </c>
      <c r="B174" t="s">
        <v>219</v>
      </c>
      <c r="C174" t="s">
        <v>847</v>
      </c>
      <c r="D174" t="s">
        <v>221</v>
      </c>
      <c r="E174" t="s">
        <v>858</v>
      </c>
      <c r="F174" t="s">
        <v>15</v>
      </c>
      <c r="G174" t="s">
        <v>656</v>
      </c>
      <c r="H174">
        <v>17099578</v>
      </c>
      <c r="I174">
        <v>2062</v>
      </c>
      <c r="J174">
        <v>0</v>
      </c>
      <c r="K174">
        <v>54.0244</v>
      </c>
      <c r="L174">
        <v>0</v>
      </c>
      <c r="M174">
        <v>54.0244</v>
      </c>
      <c r="N174" t="s">
        <v>348</v>
      </c>
      <c r="O174" t="s">
        <v>349</v>
      </c>
      <c r="P174">
        <v>2.6200000000000001E-2</v>
      </c>
      <c r="Q174">
        <v>0.11799999999999999</v>
      </c>
      <c r="R174">
        <v>5146</v>
      </c>
      <c r="S174">
        <v>7208</v>
      </c>
      <c r="T174">
        <v>0</v>
      </c>
      <c r="U174">
        <v>0</v>
      </c>
    </row>
    <row r="175" spans="1:21" x14ac:dyDescent="0.25">
      <c r="A175" t="s">
        <v>220</v>
      </c>
      <c r="B175" t="s">
        <v>219</v>
      </c>
      <c r="C175" t="s">
        <v>847</v>
      </c>
      <c r="D175" t="s">
        <v>221</v>
      </c>
      <c r="E175">
        <v>403</v>
      </c>
      <c r="F175" t="s">
        <v>83</v>
      </c>
      <c r="G175" t="s">
        <v>27</v>
      </c>
      <c r="H175">
        <v>17099452</v>
      </c>
      <c r="I175">
        <v>10202</v>
      </c>
      <c r="J175">
        <v>146</v>
      </c>
      <c r="K175">
        <v>211.1814</v>
      </c>
      <c r="L175">
        <v>12.702</v>
      </c>
      <c r="M175">
        <v>223.88339999999999</v>
      </c>
      <c r="N175" t="s">
        <v>222</v>
      </c>
      <c r="O175" t="s">
        <v>223</v>
      </c>
      <c r="P175">
        <v>2.07E-2</v>
      </c>
      <c r="Q175">
        <v>8.6999999999999994E-2</v>
      </c>
      <c r="R175">
        <v>73384</v>
      </c>
      <c r="S175">
        <v>83586</v>
      </c>
      <c r="T175">
        <v>2599</v>
      </c>
      <c r="U175">
        <v>2745</v>
      </c>
    </row>
    <row r="176" spans="1:21" x14ac:dyDescent="0.25">
      <c r="A176" t="s">
        <v>220</v>
      </c>
      <c r="B176" t="s">
        <v>219</v>
      </c>
      <c r="C176" t="s">
        <v>847</v>
      </c>
      <c r="D176" t="s">
        <v>221</v>
      </c>
      <c r="E176">
        <v>406</v>
      </c>
      <c r="F176" t="s">
        <v>90</v>
      </c>
      <c r="G176" t="s">
        <v>656</v>
      </c>
      <c r="H176">
        <v>17099758</v>
      </c>
      <c r="I176">
        <v>34</v>
      </c>
      <c r="J176">
        <v>17</v>
      </c>
      <c r="K176">
        <v>0.89080000000000004</v>
      </c>
      <c r="L176">
        <v>2.0059999999999998</v>
      </c>
      <c r="M176">
        <v>2.8967999999999998</v>
      </c>
      <c r="N176" t="s">
        <v>776</v>
      </c>
      <c r="O176" t="s">
        <v>225</v>
      </c>
      <c r="P176">
        <v>2.6200000000000001E-2</v>
      </c>
      <c r="Q176">
        <v>0.11799999999999999</v>
      </c>
      <c r="R176">
        <v>719</v>
      </c>
      <c r="S176">
        <v>753</v>
      </c>
      <c r="T176">
        <v>364</v>
      </c>
      <c r="U176">
        <v>381</v>
      </c>
    </row>
    <row r="177" spans="1:21" x14ac:dyDescent="0.25">
      <c r="A177" t="s">
        <v>220</v>
      </c>
      <c r="B177" t="s">
        <v>219</v>
      </c>
      <c r="C177" t="s">
        <v>847</v>
      </c>
      <c r="D177" t="s">
        <v>221</v>
      </c>
      <c r="E177">
        <v>411</v>
      </c>
      <c r="F177" t="s">
        <v>15</v>
      </c>
      <c r="G177" t="s">
        <v>656</v>
      </c>
      <c r="H177">
        <v>17099757</v>
      </c>
      <c r="I177">
        <v>143</v>
      </c>
      <c r="J177">
        <v>0</v>
      </c>
      <c r="K177">
        <v>3.7465999999999999</v>
      </c>
      <c r="L177">
        <v>0</v>
      </c>
      <c r="M177">
        <v>3.7465999999999999</v>
      </c>
      <c r="N177" t="s">
        <v>226</v>
      </c>
      <c r="O177" t="s">
        <v>227</v>
      </c>
      <c r="P177">
        <v>2.6200000000000001E-2</v>
      </c>
      <c r="Q177">
        <v>0.11799999999999999</v>
      </c>
      <c r="R177">
        <v>2431</v>
      </c>
      <c r="S177">
        <v>2574</v>
      </c>
      <c r="T177">
        <v>0</v>
      </c>
      <c r="U177">
        <v>0</v>
      </c>
    </row>
    <row r="178" spans="1:21" x14ac:dyDescent="0.25">
      <c r="A178" t="s">
        <v>220</v>
      </c>
      <c r="B178" t="s">
        <v>219</v>
      </c>
      <c r="C178" t="s">
        <v>847</v>
      </c>
      <c r="D178" t="s">
        <v>221</v>
      </c>
      <c r="E178">
        <v>414</v>
      </c>
      <c r="F178" t="s">
        <v>15</v>
      </c>
      <c r="G178" t="s">
        <v>656</v>
      </c>
      <c r="H178">
        <v>17099585</v>
      </c>
      <c r="I178">
        <v>493</v>
      </c>
      <c r="J178">
        <v>0</v>
      </c>
      <c r="K178">
        <v>12.916600000000001</v>
      </c>
      <c r="L178">
        <v>0</v>
      </c>
      <c r="M178">
        <v>12.916600000000001</v>
      </c>
      <c r="N178" t="s">
        <v>228</v>
      </c>
      <c r="O178" t="s">
        <v>229</v>
      </c>
      <c r="P178">
        <v>2.6200000000000001E-2</v>
      </c>
      <c r="Q178">
        <v>0.11799999999999999</v>
      </c>
      <c r="R178">
        <v>4110</v>
      </c>
      <c r="S178">
        <v>4603</v>
      </c>
      <c r="T178">
        <v>0</v>
      </c>
      <c r="U178">
        <v>0</v>
      </c>
    </row>
    <row r="179" spans="1:21" x14ac:dyDescent="0.25">
      <c r="A179" t="s">
        <v>220</v>
      </c>
      <c r="B179" t="s">
        <v>219</v>
      </c>
      <c r="C179" t="s">
        <v>847</v>
      </c>
      <c r="D179" t="s">
        <v>205</v>
      </c>
      <c r="E179">
        <v>506</v>
      </c>
      <c r="F179" t="s">
        <v>15</v>
      </c>
      <c r="G179" t="s">
        <v>656</v>
      </c>
      <c r="H179">
        <v>17099826</v>
      </c>
      <c r="I179">
        <v>33</v>
      </c>
      <c r="J179">
        <v>0</v>
      </c>
      <c r="K179">
        <v>0.86460000000000004</v>
      </c>
      <c r="L179">
        <v>0</v>
      </c>
      <c r="M179">
        <v>0.86460000000000004</v>
      </c>
      <c r="N179" t="s">
        <v>889</v>
      </c>
      <c r="O179" t="s">
        <v>969</v>
      </c>
      <c r="P179">
        <v>2.6200000000000001E-2</v>
      </c>
      <c r="Q179">
        <v>0.11799999999999999</v>
      </c>
      <c r="R179">
        <v>3</v>
      </c>
      <c r="S179">
        <v>36</v>
      </c>
      <c r="T179">
        <v>0</v>
      </c>
      <c r="U179">
        <v>0</v>
      </c>
    </row>
    <row r="180" spans="1:21" x14ac:dyDescent="0.25">
      <c r="A180" t="s">
        <v>203</v>
      </c>
      <c r="B180" t="s">
        <v>204</v>
      </c>
      <c r="C180" t="s">
        <v>203</v>
      </c>
      <c r="D180" t="s">
        <v>205</v>
      </c>
      <c r="E180">
        <v>201</v>
      </c>
      <c r="F180" t="s">
        <v>90</v>
      </c>
      <c r="G180" t="s">
        <v>656</v>
      </c>
      <c r="H180">
        <v>17099541</v>
      </c>
      <c r="I180">
        <v>128</v>
      </c>
      <c r="J180">
        <v>0</v>
      </c>
      <c r="K180">
        <v>3.3536000000000001</v>
      </c>
      <c r="L180">
        <v>0</v>
      </c>
      <c r="M180">
        <v>3.3536000000000001</v>
      </c>
      <c r="N180" t="s">
        <v>213</v>
      </c>
      <c r="O180" t="s">
        <v>771</v>
      </c>
      <c r="P180">
        <v>2.6200000000000001E-2</v>
      </c>
      <c r="Q180">
        <v>0.11799999999999999</v>
      </c>
      <c r="R180">
        <v>672</v>
      </c>
      <c r="S180">
        <v>800</v>
      </c>
      <c r="T180">
        <v>1</v>
      </c>
      <c r="U180">
        <v>1</v>
      </c>
    </row>
    <row r="181" spans="1:21" x14ac:dyDescent="0.25">
      <c r="A181" t="s">
        <v>203</v>
      </c>
      <c r="B181" t="s">
        <v>204</v>
      </c>
      <c r="C181" t="s">
        <v>203</v>
      </c>
      <c r="D181" t="s">
        <v>205</v>
      </c>
      <c r="E181">
        <v>316</v>
      </c>
      <c r="F181" t="s">
        <v>15</v>
      </c>
      <c r="G181" t="s">
        <v>656</v>
      </c>
      <c r="H181">
        <v>17099792</v>
      </c>
      <c r="I181">
        <v>128</v>
      </c>
      <c r="J181">
        <v>0</v>
      </c>
      <c r="K181">
        <v>3.3536000000000001</v>
      </c>
      <c r="L181">
        <v>0</v>
      </c>
      <c r="M181">
        <v>3.3536000000000001</v>
      </c>
      <c r="N181" t="s">
        <v>891</v>
      </c>
      <c r="O181" t="s">
        <v>971</v>
      </c>
      <c r="P181">
        <v>2.6200000000000001E-2</v>
      </c>
      <c r="Q181">
        <v>0.11799999999999999</v>
      </c>
      <c r="R181">
        <v>748</v>
      </c>
      <c r="S181">
        <v>876</v>
      </c>
      <c r="T181">
        <v>0</v>
      </c>
      <c r="U181">
        <v>0</v>
      </c>
    </row>
    <row r="182" spans="1:21" x14ac:dyDescent="0.25">
      <c r="A182" t="s">
        <v>203</v>
      </c>
      <c r="B182" t="s">
        <v>204</v>
      </c>
      <c r="C182" t="s">
        <v>203</v>
      </c>
      <c r="D182" t="s">
        <v>205</v>
      </c>
      <c r="E182">
        <v>320</v>
      </c>
      <c r="F182" t="s">
        <v>15</v>
      </c>
      <c r="G182" t="s">
        <v>656</v>
      </c>
      <c r="H182">
        <v>17099598</v>
      </c>
      <c r="I182">
        <v>373</v>
      </c>
      <c r="J182">
        <v>0</v>
      </c>
      <c r="K182">
        <v>9.7726000000000006</v>
      </c>
      <c r="L182">
        <v>0</v>
      </c>
      <c r="M182">
        <v>9.7726000000000006</v>
      </c>
      <c r="N182" t="s">
        <v>208</v>
      </c>
      <c r="O182" t="s">
        <v>209</v>
      </c>
      <c r="P182">
        <v>2.6200000000000001E-2</v>
      </c>
      <c r="Q182">
        <v>0.11799999999999999</v>
      </c>
      <c r="R182">
        <v>3119</v>
      </c>
      <c r="S182">
        <v>3492</v>
      </c>
      <c r="T182">
        <v>0</v>
      </c>
      <c r="U182">
        <v>0</v>
      </c>
    </row>
    <row r="183" spans="1:21" x14ac:dyDescent="0.25">
      <c r="A183" t="s">
        <v>203</v>
      </c>
      <c r="B183" t="s">
        <v>204</v>
      </c>
      <c r="C183" t="s">
        <v>203</v>
      </c>
      <c r="D183" t="s">
        <v>205</v>
      </c>
      <c r="E183">
        <v>328</v>
      </c>
      <c r="F183" t="s">
        <v>24</v>
      </c>
      <c r="G183" t="s">
        <v>27</v>
      </c>
      <c r="H183">
        <v>17099461</v>
      </c>
      <c r="I183">
        <v>6962</v>
      </c>
      <c r="J183">
        <v>5</v>
      </c>
      <c r="K183">
        <v>144.11339999999998</v>
      </c>
      <c r="L183">
        <v>0.43499999999999994</v>
      </c>
      <c r="M183">
        <v>144.54839999999999</v>
      </c>
      <c r="N183" t="s">
        <v>206</v>
      </c>
      <c r="O183" t="s">
        <v>207</v>
      </c>
      <c r="P183">
        <v>2.07E-2</v>
      </c>
      <c r="Q183">
        <v>8.6999999999999994E-2</v>
      </c>
      <c r="R183">
        <v>39701</v>
      </c>
      <c r="S183">
        <v>46663</v>
      </c>
      <c r="T183">
        <v>587</v>
      </c>
      <c r="U183">
        <v>592</v>
      </c>
    </row>
    <row r="184" spans="1:21" x14ac:dyDescent="0.25">
      <c r="A184" t="s">
        <v>203</v>
      </c>
      <c r="B184" t="s">
        <v>204</v>
      </c>
      <c r="C184" t="s">
        <v>203</v>
      </c>
      <c r="D184" t="s">
        <v>205</v>
      </c>
      <c r="E184" t="s">
        <v>210</v>
      </c>
      <c r="F184" t="s">
        <v>15</v>
      </c>
      <c r="G184" t="s">
        <v>656</v>
      </c>
      <c r="H184">
        <v>17099720</v>
      </c>
      <c r="I184">
        <v>371</v>
      </c>
      <c r="J184">
        <v>0</v>
      </c>
      <c r="K184">
        <v>9.7202000000000002</v>
      </c>
      <c r="L184">
        <v>0</v>
      </c>
      <c r="M184">
        <v>9.7202000000000002</v>
      </c>
      <c r="N184" t="s">
        <v>211</v>
      </c>
      <c r="O184" t="s">
        <v>212</v>
      </c>
      <c r="P184">
        <v>2.6200000000000001E-2</v>
      </c>
      <c r="Q184">
        <v>0.11799999999999999</v>
      </c>
      <c r="R184">
        <v>2002</v>
      </c>
      <c r="S184">
        <v>2373</v>
      </c>
      <c r="T184">
        <v>0</v>
      </c>
      <c r="U184">
        <v>0</v>
      </c>
    </row>
    <row r="185" spans="1:21" x14ac:dyDescent="0.25">
      <c r="A185" t="s">
        <v>497</v>
      </c>
      <c r="B185" t="s">
        <v>498</v>
      </c>
      <c r="C185" t="s">
        <v>499</v>
      </c>
      <c r="D185" t="s">
        <v>497</v>
      </c>
      <c r="E185">
        <v>110</v>
      </c>
      <c r="F185" t="s">
        <v>157</v>
      </c>
      <c r="G185" t="s">
        <v>27</v>
      </c>
      <c r="H185">
        <v>17099402</v>
      </c>
      <c r="I185">
        <v>1558</v>
      </c>
      <c r="J185">
        <v>0</v>
      </c>
      <c r="K185">
        <v>32.250599999999999</v>
      </c>
      <c r="L185">
        <v>0</v>
      </c>
      <c r="M185">
        <v>32.250599999999999</v>
      </c>
      <c r="N185" t="s">
        <v>502</v>
      </c>
      <c r="O185" t="s">
        <v>503</v>
      </c>
      <c r="P185">
        <v>2.07E-2</v>
      </c>
      <c r="Q185">
        <v>8.6999999999999994E-2</v>
      </c>
      <c r="R185">
        <v>6504</v>
      </c>
      <c r="S185">
        <v>8062</v>
      </c>
      <c r="T185">
        <v>0</v>
      </c>
      <c r="U185">
        <v>0</v>
      </c>
    </row>
    <row r="186" spans="1:21" x14ac:dyDescent="0.25">
      <c r="A186" t="s">
        <v>497</v>
      </c>
      <c r="B186" t="s">
        <v>498</v>
      </c>
      <c r="C186" t="s">
        <v>499</v>
      </c>
      <c r="D186" t="s">
        <v>497</v>
      </c>
      <c r="E186">
        <v>118</v>
      </c>
      <c r="F186" t="s">
        <v>54</v>
      </c>
      <c r="G186" t="s">
        <v>27</v>
      </c>
      <c r="H186">
        <v>17099787</v>
      </c>
      <c r="I186">
        <v>4788</v>
      </c>
      <c r="J186">
        <v>805</v>
      </c>
      <c r="K186">
        <v>99.111599999999996</v>
      </c>
      <c r="L186">
        <v>70.034999999999997</v>
      </c>
      <c r="M186">
        <v>169.14659999999998</v>
      </c>
      <c r="N186" t="s">
        <v>500</v>
      </c>
      <c r="O186" t="s">
        <v>501</v>
      </c>
      <c r="P186">
        <v>2.07E-2</v>
      </c>
      <c r="Q186">
        <v>8.6999999999999994E-2</v>
      </c>
      <c r="R186">
        <v>18888</v>
      </c>
      <c r="S186">
        <v>23676</v>
      </c>
      <c r="T186">
        <v>6585</v>
      </c>
      <c r="U186">
        <v>7390</v>
      </c>
    </row>
    <row r="187" spans="1:21" x14ac:dyDescent="0.25">
      <c r="A187" t="s">
        <v>497</v>
      </c>
      <c r="B187" t="s">
        <v>498</v>
      </c>
      <c r="C187" t="s">
        <v>499</v>
      </c>
      <c r="D187" t="s">
        <v>497</v>
      </c>
      <c r="E187">
        <v>126</v>
      </c>
      <c r="F187" t="s">
        <v>15</v>
      </c>
      <c r="G187" t="s">
        <v>656</v>
      </c>
      <c r="H187">
        <v>17099599</v>
      </c>
      <c r="I187">
        <v>646</v>
      </c>
      <c r="J187">
        <v>0</v>
      </c>
      <c r="K187">
        <v>16.9252</v>
      </c>
      <c r="L187">
        <v>0</v>
      </c>
      <c r="M187">
        <v>16.9252</v>
      </c>
      <c r="N187" t="s">
        <v>504</v>
      </c>
      <c r="O187" t="s">
        <v>505</v>
      </c>
      <c r="P187">
        <v>2.6200000000000001E-2</v>
      </c>
      <c r="Q187">
        <v>0.11799999999999999</v>
      </c>
      <c r="R187">
        <v>1802</v>
      </c>
      <c r="S187">
        <v>2448</v>
      </c>
      <c r="T187">
        <v>0</v>
      </c>
      <c r="U187">
        <v>0</v>
      </c>
    </row>
    <row r="188" spans="1:21" x14ac:dyDescent="0.25">
      <c r="A188" t="s">
        <v>497</v>
      </c>
      <c r="B188" t="s">
        <v>498</v>
      </c>
      <c r="C188" t="s">
        <v>499</v>
      </c>
      <c r="D188" t="s">
        <v>497</v>
      </c>
      <c r="E188">
        <v>132</v>
      </c>
      <c r="F188" t="s">
        <v>15</v>
      </c>
      <c r="G188" t="s">
        <v>656</v>
      </c>
      <c r="H188">
        <v>17099600</v>
      </c>
      <c r="I188">
        <v>574</v>
      </c>
      <c r="J188">
        <v>0</v>
      </c>
      <c r="K188">
        <v>15.0388</v>
      </c>
      <c r="L188">
        <v>0</v>
      </c>
      <c r="M188">
        <v>15.0388</v>
      </c>
      <c r="N188" t="s">
        <v>506</v>
      </c>
      <c r="O188" t="s">
        <v>507</v>
      </c>
      <c r="P188">
        <v>2.6200000000000001E-2</v>
      </c>
      <c r="Q188">
        <v>0.11799999999999999</v>
      </c>
      <c r="R188">
        <v>1372</v>
      </c>
      <c r="S188">
        <v>1946</v>
      </c>
      <c r="T188">
        <v>0</v>
      </c>
      <c r="U188">
        <v>0</v>
      </c>
    </row>
    <row r="189" spans="1:21" x14ac:dyDescent="0.25">
      <c r="A189" t="s">
        <v>497</v>
      </c>
      <c r="B189" t="s">
        <v>498</v>
      </c>
      <c r="C189" t="s">
        <v>499</v>
      </c>
      <c r="D189" t="s">
        <v>497</v>
      </c>
      <c r="E189">
        <v>135</v>
      </c>
      <c r="F189" t="s">
        <v>15</v>
      </c>
      <c r="G189" t="s">
        <v>656</v>
      </c>
      <c r="H189">
        <v>17099601</v>
      </c>
      <c r="I189">
        <v>116</v>
      </c>
      <c r="J189">
        <v>0</v>
      </c>
      <c r="K189">
        <v>3.0392000000000001</v>
      </c>
      <c r="L189">
        <v>0</v>
      </c>
      <c r="M189">
        <v>3.0392000000000001</v>
      </c>
      <c r="N189" t="s">
        <v>508</v>
      </c>
      <c r="O189" t="s">
        <v>509</v>
      </c>
      <c r="P189">
        <v>2.6200000000000001E-2</v>
      </c>
      <c r="Q189">
        <v>0.11799999999999999</v>
      </c>
      <c r="R189">
        <v>277</v>
      </c>
      <c r="S189">
        <v>393</v>
      </c>
      <c r="T189">
        <v>0</v>
      </c>
      <c r="U189">
        <v>0</v>
      </c>
    </row>
    <row r="190" spans="1:21" x14ac:dyDescent="0.25">
      <c r="A190" t="s">
        <v>473</v>
      </c>
      <c r="B190" t="s">
        <v>474</v>
      </c>
      <c r="C190" t="s">
        <v>475</v>
      </c>
      <c r="D190" t="s">
        <v>424</v>
      </c>
      <c r="E190" t="s">
        <v>476</v>
      </c>
      <c r="F190" t="s">
        <v>157</v>
      </c>
      <c r="G190" t="s">
        <v>27</v>
      </c>
      <c r="H190">
        <v>17099535</v>
      </c>
      <c r="I190">
        <v>1532</v>
      </c>
      <c r="J190">
        <v>0</v>
      </c>
      <c r="K190">
        <v>31.712399999999999</v>
      </c>
      <c r="L190">
        <v>0</v>
      </c>
      <c r="M190">
        <v>31.712399999999999</v>
      </c>
      <c r="N190" t="s">
        <v>477</v>
      </c>
      <c r="O190" t="s">
        <v>478</v>
      </c>
      <c r="P190">
        <v>2.07E-2</v>
      </c>
      <c r="Q190">
        <v>8.6999999999999994E-2</v>
      </c>
      <c r="R190">
        <v>6929</v>
      </c>
      <c r="S190">
        <v>8461</v>
      </c>
      <c r="T190">
        <v>0</v>
      </c>
      <c r="U190">
        <v>0</v>
      </c>
    </row>
    <row r="191" spans="1:21" x14ac:dyDescent="0.25">
      <c r="A191" t="s">
        <v>432</v>
      </c>
      <c r="B191" t="s">
        <v>422</v>
      </c>
      <c r="C191" t="s">
        <v>423</v>
      </c>
      <c r="D191" t="s">
        <v>221</v>
      </c>
      <c r="E191" t="s">
        <v>433</v>
      </c>
      <c r="F191" t="s">
        <v>15</v>
      </c>
      <c r="G191" t="s">
        <v>656</v>
      </c>
      <c r="H191">
        <v>17099562</v>
      </c>
      <c r="I191">
        <v>175</v>
      </c>
      <c r="J191">
        <v>0</v>
      </c>
      <c r="K191">
        <v>4.585</v>
      </c>
      <c r="L191">
        <v>0</v>
      </c>
      <c r="M191">
        <v>4.585</v>
      </c>
      <c r="N191" t="s">
        <v>434</v>
      </c>
      <c r="O191" t="s">
        <v>435</v>
      </c>
      <c r="P191">
        <v>2.6200000000000001E-2</v>
      </c>
      <c r="Q191">
        <v>0.11799999999999999</v>
      </c>
      <c r="R191">
        <v>3596</v>
      </c>
      <c r="S191">
        <v>3771</v>
      </c>
      <c r="T191">
        <v>0</v>
      </c>
      <c r="U191">
        <v>0</v>
      </c>
    </row>
    <row r="192" spans="1:21" x14ac:dyDescent="0.25">
      <c r="A192" t="s">
        <v>432</v>
      </c>
      <c r="B192" t="s">
        <v>422</v>
      </c>
      <c r="C192" t="s">
        <v>423</v>
      </c>
      <c r="D192" t="s">
        <v>221</v>
      </c>
      <c r="E192" t="s">
        <v>433</v>
      </c>
      <c r="F192" t="s">
        <v>90</v>
      </c>
      <c r="G192" t="s">
        <v>656</v>
      </c>
      <c r="H192">
        <v>17099741</v>
      </c>
      <c r="I192">
        <v>26</v>
      </c>
      <c r="J192">
        <v>70</v>
      </c>
      <c r="K192">
        <v>0.68120000000000003</v>
      </c>
      <c r="L192">
        <v>8.26</v>
      </c>
      <c r="M192">
        <v>8.9412000000000003</v>
      </c>
      <c r="N192" t="s">
        <v>899</v>
      </c>
      <c r="O192" t="s">
        <v>978</v>
      </c>
      <c r="P192">
        <v>2.6200000000000001E-2</v>
      </c>
      <c r="Q192">
        <v>0.11799999999999999</v>
      </c>
      <c r="R192">
        <v>21</v>
      </c>
      <c r="S192">
        <v>47</v>
      </c>
      <c r="T192">
        <v>1</v>
      </c>
      <c r="U192">
        <v>71</v>
      </c>
    </row>
    <row r="193" spans="1:21" x14ac:dyDescent="0.25">
      <c r="A193" t="s">
        <v>52</v>
      </c>
      <c r="B193" t="s">
        <v>422</v>
      </c>
      <c r="C193" t="s">
        <v>423</v>
      </c>
      <c r="D193" t="s">
        <v>166</v>
      </c>
      <c r="E193">
        <v>214</v>
      </c>
      <c r="F193" t="s">
        <v>15</v>
      </c>
      <c r="G193" t="s">
        <v>656</v>
      </c>
      <c r="H193">
        <v>17099580</v>
      </c>
      <c r="I193">
        <v>94</v>
      </c>
      <c r="J193">
        <v>0</v>
      </c>
      <c r="K193">
        <v>2.4628000000000001</v>
      </c>
      <c r="L193">
        <v>0</v>
      </c>
      <c r="M193">
        <v>2.4628000000000001</v>
      </c>
      <c r="N193" t="s">
        <v>436</v>
      </c>
      <c r="O193" t="s">
        <v>437</v>
      </c>
      <c r="P193">
        <v>2.6200000000000001E-2</v>
      </c>
      <c r="Q193">
        <v>0.11799999999999999</v>
      </c>
      <c r="R193">
        <v>2989</v>
      </c>
      <c r="S193">
        <v>3083</v>
      </c>
      <c r="T193">
        <v>0</v>
      </c>
      <c r="U193">
        <v>0</v>
      </c>
    </row>
    <row r="194" spans="1:21" x14ac:dyDescent="0.25">
      <c r="A194" t="s">
        <v>52</v>
      </c>
      <c r="B194" t="s">
        <v>422</v>
      </c>
      <c r="C194" t="s">
        <v>423</v>
      </c>
      <c r="D194" t="s">
        <v>53</v>
      </c>
      <c r="E194" t="s">
        <v>438</v>
      </c>
      <c r="F194" t="s">
        <v>15</v>
      </c>
      <c r="G194" t="s">
        <v>656</v>
      </c>
      <c r="H194">
        <v>17099708</v>
      </c>
      <c r="I194">
        <v>110</v>
      </c>
      <c r="J194">
        <v>0</v>
      </c>
      <c r="K194">
        <v>2.8820000000000001</v>
      </c>
      <c r="L194">
        <v>0</v>
      </c>
      <c r="M194">
        <v>2.8820000000000001</v>
      </c>
      <c r="N194" t="s">
        <v>439</v>
      </c>
      <c r="O194" t="s">
        <v>440</v>
      </c>
      <c r="P194">
        <v>2.6200000000000001E-2</v>
      </c>
      <c r="Q194">
        <v>0.11799999999999999</v>
      </c>
      <c r="R194">
        <v>362</v>
      </c>
      <c r="S194">
        <v>472</v>
      </c>
      <c r="T194">
        <v>0</v>
      </c>
      <c r="U194">
        <v>0</v>
      </c>
    </row>
    <row r="195" spans="1:21" x14ac:dyDescent="0.25">
      <c r="A195" t="s">
        <v>79</v>
      </c>
      <c r="B195" t="s">
        <v>422</v>
      </c>
      <c r="C195" t="s">
        <v>423</v>
      </c>
      <c r="D195" t="s">
        <v>82</v>
      </c>
      <c r="E195">
        <v>601</v>
      </c>
      <c r="F195" t="s">
        <v>15</v>
      </c>
      <c r="G195" t="s">
        <v>656</v>
      </c>
      <c r="H195">
        <v>17099768</v>
      </c>
      <c r="I195">
        <v>8958</v>
      </c>
      <c r="J195">
        <v>0</v>
      </c>
      <c r="K195">
        <v>234.6996</v>
      </c>
      <c r="L195">
        <v>0</v>
      </c>
      <c r="M195">
        <v>234.6996</v>
      </c>
      <c r="N195" t="s">
        <v>441</v>
      </c>
      <c r="O195" t="s">
        <v>442</v>
      </c>
      <c r="P195">
        <v>2.6200000000000001E-2</v>
      </c>
      <c r="Q195">
        <v>0.11799999999999999</v>
      </c>
      <c r="R195">
        <v>61511</v>
      </c>
      <c r="S195">
        <v>70469</v>
      </c>
      <c r="T195">
        <v>0</v>
      </c>
      <c r="U195">
        <v>0</v>
      </c>
    </row>
    <row r="196" spans="1:21" x14ac:dyDescent="0.25">
      <c r="A196" t="s">
        <v>104</v>
      </c>
      <c r="B196" t="s">
        <v>422</v>
      </c>
      <c r="C196" t="s">
        <v>423</v>
      </c>
      <c r="D196" t="s">
        <v>82</v>
      </c>
      <c r="E196">
        <v>404</v>
      </c>
      <c r="F196" t="s">
        <v>15</v>
      </c>
      <c r="G196" t="s">
        <v>656</v>
      </c>
      <c r="H196">
        <v>17099764</v>
      </c>
      <c r="I196">
        <v>2142</v>
      </c>
      <c r="J196">
        <v>0</v>
      </c>
      <c r="K196">
        <v>56.120400000000004</v>
      </c>
      <c r="L196">
        <v>0</v>
      </c>
      <c r="M196">
        <v>56.120400000000004</v>
      </c>
      <c r="N196" t="s">
        <v>453</v>
      </c>
      <c r="O196" t="s">
        <v>454</v>
      </c>
      <c r="P196">
        <v>2.6200000000000001E-2</v>
      </c>
      <c r="Q196">
        <v>0.11799999999999999</v>
      </c>
      <c r="R196">
        <v>9951</v>
      </c>
      <c r="S196">
        <v>12093</v>
      </c>
      <c r="T196">
        <v>0</v>
      </c>
      <c r="U196">
        <v>0</v>
      </c>
    </row>
    <row r="197" spans="1:21" x14ac:dyDescent="0.25">
      <c r="A197" t="s">
        <v>104</v>
      </c>
      <c r="B197" t="s">
        <v>422</v>
      </c>
      <c r="C197" t="s">
        <v>423</v>
      </c>
      <c r="D197" t="s">
        <v>82</v>
      </c>
      <c r="E197">
        <v>407</v>
      </c>
      <c r="F197" t="s">
        <v>15</v>
      </c>
      <c r="G197" t="s">
        <v>656</v>
      </c>
      <c r="H197">
        <v>17099788</v>
      </c>
      <c r="I197">
        <v>385</v>
      </c>
      <c r="J197">
        <v>0</v>
      </c>
      <c r="K197">
        <v>10.087</v>
      </c>
      <c r="L197">
        <v>0</v>
      </c>
      <c r="M197">
        <v>10.087</v>
      </c>
      <c r="N197" t="s">
        <v>443</v>
      </c>
      <c r="O197" t="s">
        <v>444</v>
      </c>
      <c r="P197">
        <v>2.6200000000000001E-2</v>
      </c>
      <c r="Q197">
        <v>0.11799999999999999</v>
      </c>
      <c r="R197">
        <v>1911</v>
      </c>
      <c r="S197">
        <v>2296</v>
      </c>
      <c r="T197">
        <v>0</v>
      </c>
      <c r="U197">
        <v>0</v>
      </c>
    </row>
    <row r="198" spans="1:21" x14ac:dyDescent="0.25">
      <c r="A198" t="s">
        <v>104</v>
      </c>
      <c r="B198" t="s">
        <v>422</v>
      </c>
      <c r="C198" t="s">
        <v>423</v>
      </c>
      <c r="D198" t="s">
        <v>82</v>
      </c>
      <c r="E198">
        <v>408</v>
      </c>
      <c r="F198" t="s">
        <v>90</v>
      </c>
      <c r="G198" t="s">
        <v>656</v>
      </c>
      <c r="H198">
        <v>17099769</v>
      </c>
      <c r="I198">
        <v>49</v>
      </c>
      <c r="J198">
        <v>5</v>
      </c>
      <c r="K198">
        <v>1.2838000000000001</v>
      </c>
      <c r="L198">
        <v>0.59</v>
      </c>
      <c r="M198">
        <v>1.8738000000000001</v>
      </c>
      <c r="N198" t="s">
        <v>758</v>
      </c>
      <c r="O198" t="s">
        <v>759</v>
      </c>
      <c r="P198">
        <v>2.6200000000000001E-2</v>
      </c>
      <c r="Q198">
        <v>0.11799999999999999</v>
      </c>
      <c r="R198">
        <v>521</v>
      </c>
      <c r="S198">
        <v>570</v>
      </c>
      <c r="T198">
        <v>236</v>
      </c>
      <c r="U198">
        <v>241</v>
      </c>
    </row>
    <row r="199" spans="1:21" x14ac:dyDescent="0.25">
      <c r="A199" t="s">
        <v>104</v>
      </c>
      <c r="B199" t="s">
        <v>422</v>
      </c>
      <c r="C199" t="s">
        <v>423</v>
      </c>
      <c r="D199" t="s">
        <v>82</v>
      </c>
      <c r="E199">
        <v>426</v>
      </c>
      <c r="F199" t="s">
        <v>15</v>
      </c>
      <c r="G199" t="s">
        <v>656</v>
      </c>
      <c r="H199">
        <v>17099766</v>
      </c>
      <c r="I199">
        <v>502</v>
      </c>
      <c r="J199">
        <v>0</v>
      </c>
      <c r="K199">
        <v>13.1524</v>
      </c>
      <c r="L199">
        <v>0</v>
      </c>
      <c r="M199">
        <v>13.1524</v>
      </c>
      <c r="N199" t="s">
        <v>451</v>
      </c>
      <c r="O199" t="s">
        <v>452</v>
      </c>
      <c r="P199">
        <v>2.6200000000000001E-2</v>
      </c>
      <c r="Q199">
        <v>0.11799999999999999</v>
      </c>
      <c r="R199">
        <v>2992</v>
      </c>
      <c r="S199">
        <v>3494</v>
      </c>
      <c r="T199">
        <v>0</v>
      </c>
      <c r="U199">
        <v>0</v>
      </c>
    </row>
    <row r="200" spans="1:21" x14ac:dyDescent="0.25">
      <c r="A200" t="s">
        <v>104</v>
      </c>
      <c r="B200" t="s">
        <v>422</v>
      </c>
      <c r="C200" t="s">
        <v>423</v>
      </c>
      <c r="D200" t="s">
        <v>82</v>
      </c>
      <c r="E200">
        <v>427</v>
      </c>
      <c r="F200" t="s">
        <v>15</v>
      </c>
      <c r="G200" t="s">
        <v>656</v>
      </c>
      <c r="H200">
        <v>17099767</v>
      </c>
      <c r="I200">
        <v>89</v>
      </c>
      <c r="J200">
        <v>0</v>
      </c>
      <c r="K200">
        <v>2.3318000000000003</v>
      </c>
      <c r="L200">
        <v>0</v>
      </c>
      <c r="M200">
        <v>2.3318000000000003</v>
      </c>
      <c r="N200" t="s">
        <v>449</v>
      </c>
      <c r="O200" t="s">
        <v>450</v>
      </c>
      <c r="P200">
        <v>2.6200000000000001E-2</v>
      </c>
      <c r="Q200">
        <v>0.11799999999999999</v>
      </c>
      <c r="R200">
        <v>1255</v>
      </c>
      <c r="S200">
        <v>1344</v>
      </c>
      <c r="T200">
        <v>0</v>
      </c>
      <c r="U200">
        <v>0</v>
      </c>
    </row>
    <row r="201" spans="1:21" x14ac:dyDescent="0.25">
      <c r="A201" t="s">
        <v>104</v>
      </c>
      <c r="B201" t="s">
        <v>422</v>
      </c>
      <c r="C201" t="s">
        <v>423</v>
      </c>
      <c r="D201" t="s">
        <v>82</v>
      </c>
      <c r="E201">
        <v>428</v>
      </c>
      <c r="F201" t="s">
        <v>15</v>
      </c>
      <c r="G201" t="s">
        <v>656</v>
      </c>
      <c r="H201">
        <v>17099765</v>
      </c>
      <c r="I201">
        <v>90</v>
      </c>
      <c r="J201">
        <v>0</v>
      </c>
      <c r="K201">
        <v>2.3580000000000001</v>
      </c>
      <c r="L201">
        <v>0</v>
      </c>
      <c r="M201">
        <v>2.3580000000000001</v>
      </c>
      <c r="N201" t="s">
        <v>445</v>
      </c>
      <c r="O201" t="s">
        <v>446</v>
      </c>
      <c r="P201">
        <v>2.6200000000000001E-2</v>
      </c>
      <c r="Q201">
        <v>0.11799999999999999</v>
      </c>
      <c r="R201">
        <v>1795</v>
      </c>
      <c r="S201">
        <v>1885</v>
      </c>
      <c r="T201">
        <v>0</v>
      </c>
      <c r="U201">
        <v>0</v>
      </c>
    </row>
    <row r="202" spans="1:21" x14ac:dyDescent="0.25">
      <c r="A202" t="s">
        <v>104</v>
      </c>
      <c r="B202" t="s">
        <v>422</v>
      </c>
      <c r="C202" t="s">
        <v>423</v>
      </c>
      <c r="D202" t="s">
        <v>82</v>
      </c>
      <c r="E202">
        <v>506</v>
      </c>
      <c r="F202" t="s">
        <v>15</v>
      </c>
      <c r="G202" t="s">
        <v>656</v>
      </c>
      <c r="H202">
        <v>17099627</v>
      </c>
      <c r="I202">
        <v>37</v>
      </c>
      <c r="J202">
        <v>0</v>
      </c>
      <c r="K202">
        <v>0.96940000000000004</v>
      </c>
      <c r="L202">
        <v>0</v>
      </c>
      <c r="M202">
        <v>0.96940000000000004</v>
      </c>
      <c r="N202" t="s">
        <v>447</v>
      </c>
      <c r="O202" t="s">
        <v>448</v>
      </c>
      <c r="P202">
        <v>2.6200000000000001E-2</v>
      </c>
      <c r="Q202">
        <v>0.11799999999999999</v>
      </c>
      <c r="R202">
        <v>763</v>
      </c>
      <c r="S202">
        <v>800</v>
      </c>
      <c r="T202">
        <v>0</v>
      </c>
      <c r="U202">
        <v>0</v>
      </c>
    </row>
    <row r="203" spans="1:21" x14ac:dyDescent="0.25">
      <c r="A203" t="s">
        <v>267</v>
      </c>
      <c r="B203" t="s">
        <v>422</v>
      </c>
      <c r="C203" t="s">
        <v>423</v>
      </c>
      <c r="D203" t="s">
        <v>166</v>
      </c>
      <c r="E203">
        <v>414</v>
      </c>
      <c r="F203" t="s">
        <v>15</v>
      </c>
      <c r="G203" t="s">
        <v>656</v>
      </c>
      <c r="H203">
        <v>17099786</v>
      </c>
      <c r="I203">
        <v>3967</v>
      </c>
      <c r="J203">
        <v>0</v>
      </c>
      <c r="K203">
        <v>103.9354</v>
      </c>
      <c r="L203">
        <v>0</v>
      </c>
      <c r="M203">
        <v>103.9354</v>
      </c>
      <c r="N203" t="s">
        <v>459</v>
      </c>
      <c r="O203" t="s">
        <v>460</v>
      </c>
      <c r="P203">
        <v>2.6200000000000001E-2</v>
      </c>
      <c r="Q203">
        <v>0.11799999999999999</v>
      </c>
      <c r="R203">
        <v>22033</v>
      </c>
      <c r="S203">
        <v>26000</v>
      </c>
      <c r="T203">
        <v>0</v>
      </c>
      <c r="U203">
        <v>0</v>
      </c>
    </row>
    <row r="204" spans="1:21" x14ac:dyDescent="0.25">
      <c r="A204" t="s">
        <v>267</v>
      </c>
      <c r="B204" t="s">
        <v>422</v>
      </c>
      <c r="C204" t="s">
        <v>423</v>
      </c>
      <c r="D204" t="s">
        <v>424</v>
      </c>
      <c r="E204" t="s">
        <v>425</v>
      </c>
      <c r="F204" t="s">
        <v>407</v>
      </c>
      <c r="G204" t="s">
        <v>27</v>
      </c>
      <c r="H204">
        <v>17099482</v>
      </c>
      <c r="I204">
        <v>8200</v>
      </c>
      <c r="J204">
        <v>0</v>
      </c>
      <c r="K204">
        <v>169.74</v>
      </c>
      <c r="L204">
        <v>0</v>
      </c>
      <c r="M204">
        <v>169.74</v>
      </c>
      <c r="N204" t="s">
        <v>428</v>
      </c>
      <c r="O204" t="s">
        <v>429</v>
      </c>
      <c r="P204">
        <v>2.07E-2</v>
      </c>
      <c r="Q204">
        <v>8.6999999999999994E-2</v>
      </c>
      <c r="R204">
        <v>196959</v>
      </c>
      <c r="S204">
        <v>205159</v>
      </c>
      <c r="T204">
        <v>0</v>
      </c>
      <c r="U204">
        <v>0</v>
      </c>
    </row>
    <row r="205" spans="1:21" x14ac:dyDescent="0.25">
      <c r="A205" t="s">
        <v>267</v>
      </c>
      <c r="B205" t="s">
        <v>422</v>
      </c>
      <c r="C205" t="s">
        <v>423</v>
      </c>
      <c r="D205" t="s">
        <v>424</v>
      </c>
      <c r="E205" t="s">
        <v>425</v>
      </c>
      <c r="F205" t="s">
        <v>407</v>
      </c>
      <c r="G205" t="s">
        <v>27</v>
      </c>
      <c r="H205">
        <v>17099483</v>
      </c>
      <c r="I205">
        <v>39023</v>
      </c>
      <c r="J205">
        <v>0</v>
      </c>
      <c r="K205">
        <v>807.77610000000004</v>
      </c>
      <c r="L205">
        <v>0</v>
      </c>
      <c r="M205">
        <v>807.77610000000004</v>
      </c>
      <c r="N205" t="s">
        <v>426</v>
      </c>
      <c r="O205" t="s">
        <v>427</v>
      </c>
      <c r="P205">
        <v>2.07E-2</v>
      </c>
      <c r="Q205">
        <v>8.6999999999999994E-2</v>
      </c>
      <c r="R205">
        <v>218629</v>
      </c>
      <c r="S205">
        <v>257652</v>
      </c>
      <c r="T205">
        <v>0</v>
      </c>
      <c r="U205">
        <v>0</v>
      </c>
    </row>
    <row r="206" spans="1:21" x14ac:dyDescent="0.25">
      <c r="A206" t="s">
        <v>267</v>
      </c>
      <c r="B206" t="s">
        <v>422</v>
      </c>
      <c r="C206" t="s">
        <v>423</v>
      </c>
      <c r="D206" t="s">
        <v>82</v>
      </c>
      <c r="E206">
        <v>304</v>
      </c>
      <c r="F206" t="s">
        <v>15</v>
      </c>
      <c r="G206" t="s">
        <v>656</v>
      </c>
      <c r="H206">
        <v>17099645</v>
      </c>
      <c r="I206">
        <v>90</v>
      </c>
      <c r="J206">
        <v>0</v>
      </c>
      <c r="K206">
        <v>2.3580000000000001</v>
      </c>
      <c r="L206">
        <v>0</v>
      </c>
      <c r="M206">
        <v>2.3580000000000001</v>
      </c>
      <c r="N206" t="s">
        <v>455</v>
      </c>
      <c r="O206" t="s">
        <v>456</v>
      </c>
      <c r="P206">
        <v>2.6200000000000001E-2</v>
      </c>
      <c r="Q206">
        <v>0.11799999999999999</v>
      </c>
      <c r="R206">
        <v>1050</v>
      </c>
      <c r="S206">
        <v>1140</v>
      </c>
      <c r="T206">
        <v>0</v>
      </c>
      <c r="U206">
        <v>0</v>
      </c>
    </row>
    <row r="207" spans="1:21" x14ac:dyDescent="0.25">
      <c r="A207" t="s">
        <v>267</v>
      </c>
      <c r="B207" t="s">
        <v>422</v>
      </c>
      <c r="C207" t="s">
        <v>423</v>
      </c>
      <c r="D207" t="s">
        <v>82</v>
      </c>
      <c r="E207">
        <v>342</v>
      </c>
      <c r="F207" t="s">
        <v>90</v>
      </c>
      <c r="G207" t="s">
        <v>656</v>
      </c>
      <c r="H207">
        <v>17099740</v>
      </c>
      <c r="I207">
        <v>0</v>
      </c>
      <c r="J207">
        <v>0</v>
      </c>
      <c r="K207">
        <v>0</v>
      </c>
      <c r="L207">
        <v>0</v>
      </c>
      <c r="M207">
        <v>0</v>
      </c>
      <c r="N207" t="s">
        <v>91</v>
      </c>
      <c r="O207" t="s">
        <v>92</v>
      </c>
      <c r="P207">
        <v>2.6200000000000001E-2</v>
      </c>
      <c r="Q207">
        <v>0.11799999999999999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 t="s">
        <v>267</v>
      </c>
      <c r="B208" t="s">
        <v>422</v>
      </c>
      <c r="C208" t="s">
        <v>423</v>
      </c>
      <c r="D208" t="s">
        <v>82</v>
      </c>
      <c r="E208">
        <v>342</v>
      </c>
      <c r="F208" t="s">
        <v>15</v>
      </c>
      <c r="G208" t="s">
        <v>656</v>
      </c>
      <c r="H208">
        <v>17099705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922</v>
      </c>
      <c r="P208">
        <v>2.6200000000000001E-2</v>
      </c>
      <c r="Q208">
        <v>0.11799999999999999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 t="s">
        <v>267</v>
      </c>
      <c r="B209" t="s">
        <v>422</v>
      </c>
      <c r="C209" t="s">
        <v>423</v>
      </c>
      <c r="D209" t="s">
        <v>82</v>
      </c>
      <c r="E209">
        <v>342</v>
      </c>
      <c r="F209" t="s">
        <v>90</v>
      </c>
      <c r="G209" t="s">
        <v>656</v>
      </c>
      <c r="H209">
        <v>17099522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312</v>
      </c>
      <c r="P209">
        <v>2.6200000000000001E-2</v>
      </c>
      <c r="Q209">
        <v>0.11799999999999999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 t="s">
        <v>267</v>
      </c>
      <c r="B210" t="s">
        <v>422</v>
      </c>
      <c r="C210" t="s">
        <v>423</v>
      </c>
      <c r="D210" t="s">
        <v>96</v>
      </c>
      <c r="E210">
        <v>117</v>
      </c>
      <c r="F210" t="s">
        <v>15</v>
      </c>
      <c r="G210" t="s">
        <v>656</v>
      </c>
      <c r="H210">
        <v>17099501</v>
      </c>
      <c r="I210">
        <v>1847</v>
      </c>
      <c r="J210">
        <v>0</v>
      </c>
      <c r="K210">
        <v>48.391400000000004</v>
      </c>
      <c r="L210">
        <v>0</v>
      </c>
      <c r="M210">
        <v>48.391400000000004</v>
      </c>
      <c r="N210" t="s">
        <v>760</v>
      </c>
      <c r="O210" t="s">
        <v>761</v>
      </c>
      <c r="P210">
        <v>2.6200000000000001E-2</v>
      </c>
      <c r="Q210">
        <v>0.11799999999999999</v>
      </c>
      <c r="R210">
        <v>32872</v>
      </c>
      <c r="S210">
        <v>34719</v>
      </c>
      <c r="T210">
        <v>0</v>
      </c>
      <c r="U210">
        <v>0</v>
      </c>
    </row>
    <row r="211" spans="1:21" x14ac:dyDescent="0.25">
      <c r="A211" t="s">
        <v>799</v>
      </c>
      <c r="B211" t="s">
        <v>422</v>
      </c>
      <c r="C211" t="s">
        <v>423</v>
      </c>
      <c r="D211" t="s">
        <v>166</v>
      </c>
      <c r="E211">
        <v>315</v>
      </c>
      <c r="F211" t="s">
        <v>157</v>
      </c>
      <c r="G211" t="s">
        <v>27</v>
      </c>
      <c r="H211">
        <v>17099464</v>
      </c>
      <c r="I211">
        <v>201</v>
      </c>
      <c r="J211">
        <v>0</v>
      </c>
      <c r="K211">
        <v>4.1607000000000003</v>
      </c>
      <c r="L211">
        <v>0</v>
      </c>
      <c r="M211">
        <v>4.1607000000000003</v>
      </c>
      <c r="N211" t="s">
        <v>457</v>
      </c>
      <c r="O211" t="s">
        <v>458</v>
      </c>
      <c r="P211">
        <v>2.07E-2</v>
      </c>
      <c r="Q211">
        <v>8.6999999999999994E-2</v>
      </c>
      <c r="R211">
        <v>234</v>
      </c>
      <c r="S211">
        <v>435</v>
      </c>
      <c r="T211">
        <v>0</v>
      </c>
      <c r="U211">
        <v>0</v>
      </c>
    </row>
    <row r="212" spans="1:21" x14ac:dyDescent="0.25">
      <c r="A212" t="s">
        <v>178</v>
      </c>
      <c r="B212" t="s">
        <v>422</v>
      </c>
      <c r="C212" t="s">
        <v>423</v>
      </c>
      <c r="D212" t="s">
        <v>82</v>
      </c>
      <c r="E212">
        <v>701</v>
      </c>
      <c r="F212" t="s">
        <v>15</v>
      </c>
      <c r="G212" t="s">
        <v>656</v>
      </c>
      <c r="H212">
        <v>17099770</v>
      </c>
      <c r="I212">
        <v>11984</v>
      </c>
      <c r="J212">
        <v>0</v>
      </c>
      <c r="K212">
        <v>313.98079999999999</v>
      </c>
      <c r="L212">
        <v>0</v>
      </c>
      <c r="M212">
        <v>313.98079999999999</v>
      </c>
      <c r="N212" t="s">
        <v>768</v>
      </c>
      <c r="O212" t="s">
        <v>769</v>
      </c>
      <c r="P212">
        <v>2.6200000000000001E-2</v>
      </c>
      <c r="Q212">
        <v>0.11799999999999999</v>
      </c>
      <c r="R212">
        <v>75846</v>
      </c>
      <c r="S212">
        <v>87830</v>
      </c>
      <c r="T212">
        <v>0</v>
      </c>
      <c r="U212">
        <v>0</v>
      </c>
    </row>
    <row r="213" spans="1:21" x14ac:dyDescent="0.25">
      <c r="A213" t="s">
        <v>178</v>
      </c>
      <c r="B213" t="s">
        <v>422</v>
      </c>
      <c r="C213" t="s">
        <v>423</v>
      </c>
      <c r="D213" t="s">
        <v>82</v>
      </c>
      <c r="E213">
        <v>701</v>
      </c>
      <c r="F213" t="s">
        <v>15</v>
      </c>
      <c r="G213" t="s">
        <v>656</v>
      </c>
      <c r="H213">
        <v>17099633</v>
      </c>
      <c r="I213">
        <v>2</v>
      </c>
      <c r="J213">
        <v>0</v>
      </c>
      <c r="K213">
        <v>5.2400000000000002E-2</v>
      </c>
      <c r="L213">
        <v>0</v>
      </c>
      <c r="M213">
        <v>5.2400000000000002E-2</v>
      </c>
      <c r="N213" t="s">
        <v>463</v>
      </c>
      <c r="O213" t="s">
        <v>464</v>
      </c>
      <c r="P213">
        <v>2.6200000000000001E-2</v>
      </c>
      <c r="Q213">
        <v>0.11799999999999999</v>
      </c>
      <c r="R213">
        <v>8</v>
      </c>
      <c r="S213">
        <v>10</v>
      </c>
      <c r="T213">
        <v>0</v>
      </c>
      <c r="U213">
        <v>0</v>
      </c>
    </row>
    <row r="214" spans="1:21" x14ac:dyDescent="0.25">
      <c r="A214" t="s">
        <v>178</v>
      </c>
      <c r="B214" t="s">
        <v>422</v>
      </c>
      <c r="C214" t="s">
        <v>423</v>
      </c>
      <c r="D214" t="s">
        <v>82</v>
      </c>
      <c r="E214">
        <v>708</v>
      </c>
      <c r="F214" t="s">
        <v>15</v>
      </c>
      <c r="G214" t="s">
        <v>656</v>
      </c>
      <c r="H214">
        <v>17099624</v>
      </c>
      <c r="I214">
        <v>272</v>
      </c>
      <c r="J214">
        <v>0</v>
      </c>
      <c r="K214">
        <v>7.1264000000000003</v>
      </c>
      <c r="L214">
        <v>0</v>
      </c>
      <c r="M214">
        <v>7.1264000000000003</v>
      </c>
      <c r="N214" t="s">
        <v>461</v>
      </c>
      <c r="O214" t="s">
        <v>462</v>
      </c>
      <c r="P214">
        <v>2.6200000000000001E-2</v>
      </c>
      <c r="Q214">
        <v>0.11799999999999999</v>
      </c>
      <c r="R214">
        <v>1003</v>
      </c>
      <c r="S214">
        <v>1275</v>
      </c>
      <c r="T214">
        <v>0</v>
      </c>
      <c r="U214">
        <v>0</v>
      </c>
    </row>
    <row r="215" spans="1:21" x14ac:dyDescent="0.25">
      <c r="A215" t="s">
        <v>186</v>
      </c>
      <c r="B215" t="s">
        <v>422</v>
      </c>
      <c r="C215" t="s">
        <v>423</v>
      </c>
      <c r="D215" t="s">
        <v>96</v>
      </c>
      <c r="E215">
        <v>418</v>
      </c>
      <c r="F215" t="s">
        <v>15</v>
      </c>
      <c r="G215" t="s">
        <v>656</v>
      </c>
      <c r="H215">
        <v>17099520</v>
      </c>
      <c r="I215">
        <v>13075</v>
      </c>
      <c r="J215">
        <v>0</v>
      </c>
      <c r="K215">
        <v>342.565</v>
      </c>
      <c r="L215">
        <v>0</v>
      </c>
      <c r="M215">
        <v>342.565</v>
      </c>
      <c r="N215" t="s">
        <v>465</v>
      </c>
      <c r="O215" t="s">
        <v>466</v>
      </c>
      <c r="P215">
        <v>2.6200000000000001E-2</v>
      </c>
      <c r="Q215">
        <v>0.11799999999999999</v>
      </c>
      <c r="R215">
        <v>62231</v>
      </c>
      <c r="S215">
        <v>75306</v>
      </c>
      <c r="T215">
        <v>0</v>
      </c>
      <c r="U215">
        <v>0</v>
      </c>
    </row>
    <row r="216" spans="1:21" x14ac:dyDescent="0.25">
      <c r="A216" t="s">
        <v>186</v>
      </c>
      <c r="B216" t="s">
        <v>422</v>
      </c>
      <c r="C216" t="s">
        <v>423</v>
      </c>
      <c r="D216" t="s">
        <v>96</v>
      </c>
      <c r="E216">
        <v>425</v>
      </c>
      <c r="F216" t="s">
        <v>24</v>
      </c>
      <c r="G216" t="s">
        <v>27</v>
      </c>
      <c r="H216">
        <v>17099405</v>
      </c>
      <c r="I216">
        <v>7956</v>
      </c>
      <c r="J216">
        <v>498</v>
      </c>
      <c r="K216">
        <v>164.6892</v>
      </c>
      <c r="L216">
        <v>43.326000000000001</v>
      </c>
      <c r="M216">
        <v>208.01519999999999</v>
      </c>
      <c r="N216" t="s">
        <v>794</v>
      </c>
      <c r="O216" t="s">
        <v>154</v>
      </c>
      <c r="P216">
        <v>2.07E-2</v>
      </c>
      <c r="Q216">
        <v>8.6999999999999994E-2</v>
      </c>
      <c r="R216">
        <v>27215</v>
      </c>
      <c r="S216">
        <v>35171</v>
      </c>
      <c r="T216">
        <v>1346</v>
      </c>
      <c r="U216">
        <v>1844</v>
      </c>
    </row>
    <row r="217" spans="1:21" x14ac:dyDescent="0.25">
      <c r="A217" t="s">
        <v>214</v>
      </c>
      <c r="B217" t="s">
        <v>422</v>
      </c>
      <c r="C217" t="s">
        <v>423</v>
      </c>
      <c r="D217" t="s">
        <v>166</v>
      </c>
      <c r="E217">
        <v>318</v>
      </c>
      <c r="F217" t="s">
        <v>15</v>
      </c>
      <c r="G217" t="s">
        <v>656</v>
      </c>
      <c r="H217">
        <v>17099583</v>
      </c>
      <c r="I217">
        <v>524</v>
      </c>
      <c r="J217">
        <v>0</v>
      </c>
      <c r="K217">
        <v>13.7288</v>
      </c>
      <c r="L217">
        <v>0</v>
      </c>
      <c r="M217">
        <v>13.7288</v>
      </c>
      <c r="N217" t="s">
        <v>467</v>
      </c>
      <c r="O217" t="s">
        <v>468</v>
      </c>
      <c r="P217">
        <v>2.6200000000000001E-2</v>
      </c>
      <c r="Q217">
        <v>0.11799999999999999</v>
      </c>
      <c r="R217">
        <v>499</v>
      </c>
      <c r="S217">
        <v>1023</v>
      </c>
      <c r="T217">
        <v>0</v>
      </c>
      <c r="U217">
        <v>0</v>
      </c>
    </row>
    <row r="218" spans="1:21" x14ac:dyDescent="0.25">
      <c r="A218" t="s">
        <v>175</v>
      </c>
      <c r="B218" t="s">
        <v>422</v>
      </c>
      <c r="C218" t="s">
        <v>423</v>
      </c>
      <c r="D218" t="s">
        <v>175</v>
      </c>
      <c r="E218">
        <v>503</v>
      </c>
      <c r="F218" t="s">
        <v>15</v>
      </c>
      <c r="G218" t="s">
        <v>656</v>
      </c>
      <c r="H218">
        <v>17099631</v>
      </c>
      <c r="I218">
        <v>9226</v>
      </c>
      <c r="J218">
        <v>0</v>
      </c>
      <c r="K218">
        <v>241.72120000000001</v>
      </c>
      <c r="L218">
        <v>0</v>
      </c>
      <c r="M218">
        <v>241.72120000000001</v>
      </c>
      <c r="N218" t="s">
        <v>471</v>
      </c>
      <c r="O218" t="s">
        <v>472</v>
      </c>
      <c r="P218">
        <v>2.6200000000000001E-2</v>
      </c>
      <c r="Q218">
        <v>0.11799999999999999</v>
      </c>
      <c r="R218">
        <v>52448</v>
      </c>
      <c r="S218">
        <v>61674</v>
      </c>
      <c r="T218">
        <v>0</v>
      </c>
      <c r="U218">
        <v>0</v>
      </c>
    </row>
    <row r="219" spans="1:21" x14ac:dyDescent="0.25">
      <c r="A219" t="s">
        <v>175</v>
      </c>
      <c r="B219" t="s">
        <v>422</v>
      </c>
      <c r="C219" t="s">
        <v>423</v>
      </c>
      <c r="D219" t="s">
        <v>175</v>
      </c>
      <c r="E219">
        <v>601</v>
      </c>
      <c r="F219" t="s">
        <v>15</v>
      </c>
      <c r="G219" t="s">
        <v>656</v>
      </c>
      <c r="H219">
        <v>17099706</v>
      </c>
      <c r="I219">
        <v>2888</v>
      </c>
      <c r="J219">
        <v>0</v>
      </c>
      <c r="K219">
        <v>75.665599999999998</v>
      </c>
      <c r="L219">
        <v>0</v>
      </c>
      <c r="M219">
        <v>75.665599999999998</v>
      </c>
      <c r="N219" t="s">
        <v>469</v>
      </c>
      <c r="O219" t="s">
        <v>470</v>
      </c>
      <c r="P219">
        <v>2.6200000000000001E-2</v>
      </c>
      <c r="Q219">
        <v>0.11799999999999999</v>
      </c>
      <c r="R219">
        <v>15440</v>
      </c>
      <c r="S219">
        <v>18328</v>
      </c>
      <c r="T219">
        <v>0</v>
      </c>
      <c r="U219">
        <v>0</v>
      </c>
    </row>
    <row r="220" spans="1:21" x14ac:dyDescent="0.25">
      <c r="A220" t="s">
        <v>479</v>
      </c>
      <c r="B220" t="s">
        <v>480</v>
      </c>
      <c r="C220" t="s">
        <v>479</v>
      </c>
      <c r="D220" t="s">
        <v>666</v>
      </c>
      <c r="E220">
        <v>300</v>
      </c>
      <c r="F220" t="s">
        <v>732</v>
      </c>
      <c r="G220" t="s">
        <v>656</v>
      </c>
      <c r="H220">
        <v>17099718</v>
      </c>
      <c r="I220">
        <v>598</v>
      </c>
      <c r="J220">
        <v>0</v>
      </c>
      <c r="K220">
        <v>15.6676</v>
      </c>
      <c r="L220">
        <v>0</v>
      </c>
      <c r="M220">
        <v>15.6676</v>
      </c>
      <c r="N220" t="s">
        <v>736</v>
      </c>
      <c r="O220" t="s">
        <v>737</v>
      </c>
      <c r="P220">
        <v>2.6200000000000001E-2</v>
      </c>
      <c r="Q220">
        <v>0.11799999999999999</v>
      </c>
      <c r="R220">
        <v>273</v>
      </c>
      <c r="S220">
        <v>871</v>
      </c>
      <c r="T220">
        <v>87</v>
      </c>
      <c r="U220">
        <v>87</v>
      </c>
    </row>
    <row r="221" spans="1:21" x14ac:dyDescent="0.25">
      <c r="A221" t="s">
        <v>479</v>
      </c>
      <c r="B221" t="s">
        <v>480</v>
      </c>
      <c r="C221" t="s">
        <v>479</v>
      </c>
      <c r="D221" t="s">
        <v>666</v>
      </c>
      <c r="E221">
        <v>300</v>
      </c>
      <c r="F221" t="s">
        <v>54</v>
      </c>
      <c r="G221" t="s">
        <v>27</v>
      </c>
      <c r="H221">
        <v>17099528</v>
      </c>
      <c r="I221">
        <v>44</v>
      </c>
      <c r="J221">
        <v>1</v>
      </c>
      <c r="K221">
        <v>0.91079999999999994</v>
      </c>
      <c r="L221">
        <v>8.6999999999999994E-2</v>
      </c>
      <c r="M221">
        <v>0.99779999999999991</v>
      </c>
      <c r="N221" t="s">
        <v>388</v>
      </c>
      <c r="O221" t="s">
        <v>735</v>
      </c>
      <c r="P221">
        <v>2.07E-2</v>
      </c>
      <c r="Q221">
        <v>8.6999999999999994E-2</v>
      </c>
      <c r="R221">
        <v>29715</v>
      </c>
      <c r="S221">
        <v>29759</v>
      </c>
      <c r="T221">
        <v>219</v>
      </c>
      <c r="U221">
        <v>220</v>
      </c>
    </row>
    <row r="222" spans="1:21" x14ac:dyDescent="0.25">
      <c r="A222" t="s">
        <v>479</v>
      </c>
      <c r="B222" t="s">
        <v>480</v>
      </c>
      <c r="C222" t="s">
        <v>479</v>
      </c>
      <c r="D222" t="s">
        <v>666</v>
      </c>
      <c r="E222">
        <v>301</v>
      </c>
      <c r="F222" t="s">
        <v>15</v>
      </c>
      <c r="G222" t="s">
        <v>656</v>
      </c>
      <c r="H222">
        <v>17099571</v>
      </c>
      <c r="I222">
        <v>131</v>
      </c>
      <c r="J222">
        <v>0</v>
      </c>
      <c r="K222">
        <v>3.4321999999999999</v>
      </c>
      <c r="L222">
        <v>0</v>
      </c>
      <c r="M222">
        <v>3.4321999999999999</v>
      </c>
      <c r="N222" t="s">
        <v>224</v>
      </c>
      <c r="O222" t="s">
        <v>311</v>
      </c>
      <c r="P222">
        <v>2.6200000000000001E-2</v>
      </c>
      <c r="Q222">
        <v>0.11799999999999999</v>
      </c>
      <c r="R222">
        <v>550</v>
      </c>
      <c r="S222">
        <v>681</v>
      </c>
      <c r="T222">
        <v>0</v>
      </c>
      <c r="U222">
        <v>0</v>
      </c>
    </row>
    <row r="223" spans="1:21" x14ac:dyDescent="0.25">
      <c r="A223" t="s">
        <v>404</v>
      </c>
      <c r="B223" t="s">
        <v>405</v>
      </c>
      <c r="C223" t="s">
        <v>406</v>
      </c>
      <c r="D223" t="s">
        <v>276</v>
      </c>
      <c r="E223">
        <v>314</v>
      </c>
      <c r="F223" t="s">
        <v>407</v>
      </c>
      <c r="G223" t="s">
        <v>27</v>
      </c>
      <c r="H223">
        <v>17099500</v>
      </c>
      <c r="I223">
        <v>2196</v>
      </c>
      <c r="J223">
        <v>0</v>
      </c>
      <c r="K223">
        <v>45.4572</v>
      </c>
      <c r="L223">
        <v>0</v>
      </c>
      <c r="M223">
        <v>45.4572</v>
      </c>
      <c r="N223" t="s">
        <v>408</v>
      </c>
      <c r="O223" t="s">
        <v>409</v>
      </c>
      <c r="P223">
        <v>2.07E-2</v>
      </c>
      <c r="Q223">
        <v>8.6999999999999994E-2</v>
      </c>
      <c r="R223">
        <v>9962</v>
      </c>
      <c r="S223">
        <v>12158</v>
      </c>
      <c r="T223">
        <v>0</v>
      </c>
      <c r="U223">
        <v>0</v>
      </c>
    </row>
    <row r="224" spans="1:21" x14ac:dyDescent="0.25">
      <c r="A224" t="s">
        <v>332</v>
      </c>
      <c r="B224" t="s">
        <v>333</v>
      </c>
      <c r="C224" t="s">
        <v>334</v>
      </c>
      <c r="D224" t="s">
        <v>335</v>
      </c>
      <c r="E224">
        <v>302</v>
      </c>
      <c r="F224" t="s">
        <v>15</v>
      </c>
      <c r="G224" t="s">
        <v>656</v>
      </c>
      <c r="H224">
        <v>17099753</v>
      </c>
      <c r="I224">
        <v>13</v>
      </c>
      <c r="J224">
        <v>0</v>
      </c>
      <c r="K224">
        <v>0.34060000000000001</v>
      </c>
      <c r="L224">
        <v>0</v>
      </c>
      <c r="M224">
        <v>0.34060000000000001</v>
      </c>
      <c r="N224" t="s">
        <v>777</v>
      </c>
      <c r="O224" t="s">
        <v>778</v>
      </c>
      <c r="P224">
        <v>2.6200000000000001E-2</v>
      </c>
      <c r="Q224">
        <v>0.11799999999999999</v>
      </c>
      <c r="R224">
        <v>135</v>
      </c>
      <c r="S224">
        <v>148</v>
      </c>
      <c r="T224">
        <v>0</v>
      </c>
      <c r="U224">
        <v>0</v>
      </c>
    </row>
    <row r="225" spans="1:21" x14ac:dyDescent="0.25">
      <c r="A225" t="s">
        <v>332</v>
      </c>
      <c r="B225" t="s">
        <v>333</v>
      </c>
      <c r="C225" t="s">
        <v>334</v>
      </c>
      <c r="D225" t="s">
        <v>335</v>
      </c>
      <c r="E225">
        <v>303</v>
      </c>
      <c r="F225" t="s">
        <v>15</v>
      </c>
      <c r="G225" t="s">
        <v>656</v>
      </c>
      <c r="H225">
        <v>17099685</v>
      </c>
      <c r="I225">
        <v>947</v>
      </c>
      <c r="J225">
        <v>0</v>
      </c>
      <c r="K225">
        <v>24.811400000000003</v>
      </c>
      <c r="L225">
        <v>0</v>
      </c>
      <c r="M225">
        <v>24.811400000000003</v>
      </c>
      <c r="N225" t="s">
        <v>338</v>
      </c>
      <c r="O225" t="s">
        <v>339</v>
      </c>
      <c r="P225">
        <v>2.6200000000000001E-2</v>
      </c>
      <c r="Q225">
        <v>0.11799999999999999</v>
      </c>
      <c r="R225">
        <v>5646</v>
      </c>
      <c r="S225">
        <v>6593</v>
      </c>
      <c r="T225">
        <v>0</v>
      </c>
      <c r="U225">
        <v>0</v>
      </c>
    </row>
    <row r="226" spans="1:21" x14ac:dyDescent="0.25">
      <c r="A226" t="s">
        <v>332</v>
      </c>
      <c r="B226" t="s">
        <v>333</v>
      </c>
      <c r="C226" t="s">
        <v>334</v>
      </c>
      <c r="D226" t="s">
        <v>335</v>
      </c>
      <c r="E226">
        <v>303</v>
      </c>
      <c r="F226" t="s">
        <v>15</v>
      </c>
      <c r="G226" t="s">
        <v>656</v>
      </c>
      <c r="H226">
        <v>17099700</v>
      </c>
      <c r="I226">
        <v>1153</v>
      </c>
      <c r="J226">
        <v>0</v>
      </c>
      <c r="K226">
        <v>30.208600000000001</v>
      </c>
      <c r="L226">
        <v>0</v>
      </c>
      <c r="M226">
        <v>30.208600000000001</v>
      </c>
      <c r="N226" t="s">
        <v>340</v>
      </c>
      <c r="O226" t="s">
        <v>341</v>
      </c>
      <c r="P226">
        <v>2.6200000000000001E-2</v>
      </c>
      <c r="Q226">
        <v>0.11799999999999999</v>
      </c>
      <c r="R226">
        <v>10683</v>
      </c>
      <c r="S226">
        <v>11836</v>
      </c>
      <c r="T226">
        <v>0</v>
      </c>
      <c r="U226">
        <v>0</v>
      </c>
    </row>
    <row r="227" spans="1:21" x14ac:dyDescent="0.25">
      <c r="A227" t="s">
        <v>332</v>
      </c>
      <c r="B227" t="s">
        <v>333</v>
      </c>
      <c r="C227" t="s">
        <v>334</v>
      </c>
      <c r="D227" t="s">
        <v>335</v>
      </c>
      <c r="E227">
        <v>311</v>
      </c>
      <c r="F227" t="s">
        <v>15</v>
      </c>
      <c r="G227" t="s">
        <v>656</v>
      </c>
      <c r="H227">
        <v>17099656</v>
      </c>
      <c r="I227">
        <v>694</v>
      </c>
      <c r="J227">
        <v>0</v>
      </c>
      <c r="K227">
        <v>18.1828</v>
      </c>
      <c r="L227">
        <v>0</v>
      </c>
      <c r="M227">
        <v>18.1828</v>
      </c>
      <c r="N227" t="s">
        <v>336</v>
      </c>
      <c r="O227" t="s">
        <v>337</v>
      </c>
      <c r="P227">
        <v>2.6200000000000001E-2</v>
      </c>
      <c r="Q227">
        <v>0.11799999999999999</v>
      </c>
      <c r="R227">
        <v>5056</v>
      </c>
      <c r="S227">
        <v>5750</v>
      </c>
      <c r="T227">
        <v>0</v>
      </c>
      <c r="U227">
        <v>0</v>
      </c>
    </row>
    <row r="228" spans="1:21" x14ac:dyDescent="0.25">
      <c r="A228" t="s">
        <v>332</v>
      </c>
      <c r="B228" t="s">
        <v>333</v>
      </c>
      <c r="C228" t="s">
        <v>334</v>
      </c>
      <c r="D228" t="s">
        <v>335</v>
      </c>
      <c r="E228">
        <v>312</v>
      </c>
      <c r="F228" t="s">
        <v>90</v>
      </c>
      <c r="G228" t="s">
        <v>656</v>
      </c>
      <c r="H228">
        <v>17099646</v>
      </c>
      <c r="I228">
        <v>563</v>
      </c>
      <c r="J228">
        <v>34</v>
      </c>
      <c r="K228">
        <v>14.7506</v>
      </c>
      <c r="L228">
        <v>4.0119999999999996</v>
      </c>
      <c r="M228">
        <v>18.762599999999999</v>
      </c>
      <c r="N228" t="s">
        <v>345</v>
      </c>
      <c r="O228" t="s">
        <v>346</v>
      </c>
      <c r="P228">
        <v>2.6200000000000001E-2</v>
      </c>
      <c r="Q228">
        <v>0.11799999999999999</v>
      </c>
      <c r="R228">
        <v>4005</v>
      </c>
      <c r="S228">
        <v>4568</v>
      </c>
      <c r="T228">
        <v>438</v>
      </c>
      <c r="U228">
        <v>472</v>
      </c>
    </row>
    <row r="229" spans="1:21" x14ac:dyDescent="0.25">
      <c r="A229" t="s">
        <v>11</v>
      </c>
      <c r="B229" t="s">
        <v>12</v>
      </c>
      <c r="C229" t="s">
        <v>13</v>
      </c>
      <c r="D229" t="s">
        <v>14</v>
      </c>
      <c r="E229">
        <v>2012</v>
      </c>
      <c r="F229" t="s">
        <v>15</v>
      </c>
      <c r="G229" t="s">
        <v>656</v>
      </c>
      <c r="H229">
        <v>17099443</v>
      </c>
      <c r="I229">
        <v>2</v>
      </c>
      <c r="J229">
        <v>0</v>
      </c>
      <c r="K229">
        <v>5.2400000000000002E-2</v>
      </c>
      <c r="L229">
        <v>0</v>
      </c>
      <c r="M229">
        <v>5.2400000000000002E-2</v>
      </c>
      <c r="N229" t="s">
        <v>16</v>
      </c>
      <c r="O229" t="s">
        <v>17</v>
      </c>
      <c r="P229">
        <v>2.6200000000000001E-2</v>
      </c>
      <c r="Q229">
        <v>0.11799999999999999</v>
      </c>
      <c r="R229">
        <v>319</v>
      </c>
      <c r="S229">
        <v>321</v>
      </c>
      <c r="T229">
        <v>0</v>
      </c>
      <c r="U229">
        <v>0</v>
      </c>
    </row>
    <row r="230" spans="1:21" x14ac:dyDescent="0.25">
      <c r="A230" t="s">
        <v>11</v>
      </c>
      <c r="B230" t="s">
        <v>12</v>
      </c>
      <c r="C230" t="s">
        <v>13</v>
      </c>
      <c r="D230" t="s">
        <v>14</v>
      </c>
      <c r="E230">
        <v>2018</v>
      </c>
      <c r="F230" t="s">
        <v>15</v>
      </c>
      <c r="G230" t="s">
        <v>656</v>
      </c>
      <c r="H230">
        <v>17099438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19</v>
      </c>
      <c r="O230" t="s">
        <v>20</v>
      </c>
      <c r="P230">
        <v>2.6200000000000001E-2</v>
      </c>
      <c r="Q230">
        <v>0.11799999999999999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 t="s">
        <v>21</v>
      </c>
      <c r="B231" t="s">
        <v>22</v>
      </c>
      <c r="C231" t="s">
        <v>23</v>
      </c>
      <c r="D231" t="s">
        <v>14</v>
      </c>
      <c r="E231">
        <v>1027</v>
      </c>
      <c r="F231" t="s">
        <v>15</v>
      </c>
      <c r="G231" t="s">
        <v>656</v>
      </c>
      <c r="H231">
        <v>17099737</v>
      </c>
      <c r="I231">
        <v>87</v>
      </c>
      <c r="J231">
        <v>0</v>
      </c>
      <c r="K231">
        <v>2.2793999999999999</v>
      </c>
      <c r="L231">
        <v>0</v>
      </c>
      <c r="M231">
        <v>2.2793999999999999</v>
      </c>
      <c r="N231" t="s">
        <v>888</v>
      </c>
      <c r="O231" t="s">
        <v>968</v>
      </c>
      <c r="P231">
        <v>2.6200000000000001E-2</v>
      </c>
      <c r="Q231">
        <v>0.11799999999999999</v>
      </c>
      <c r="R231">
        <v>45</v>
      </c>
      <c r="S231">
        <v>132</v>
      </c>
      <c r="T231">
        <v>0</v>
      </c>
      <c r="U231">
        <v>0</v>
      </c>
    </row>
    <row r="232" spans="1:21" x14ac:dyDescent="0.25">
      <c r="A232" t="s">
        <v>21</v>
      </c>
      <c r="B232" t="s">
        <v>22</v>
      </c>
      <c r="C232" t="s">
        <v>23</v>
      </c>
      <c r="D232" t="s">
        <v>14</v>
      </c>
      <c r="E232">
        <v>1027</v>
      </c>
      <c r="F232" t="s">
        <v>15</v>
      </c>
      <c r="G232" t="s">
        <v>656</v>
      </c>
      <c r="H232">
        <v>17099738</v>
      </c>
      <c r="I232">
        <v>106</v>
      </c>
      <c r="J232">
        <v>0</v>
      </c>
      <c r="K232">
        <v>2.7772000000000001</v>
      </c>
      <c r="L232">
        <v>0</v>
      </c>
      <c r="M232">
        <v>2.7772000000000001</v>
      </c>
      <c r="N232" t="s">
        <v>894</v>
      </c>
      <c r="O232" t="s">
        <v>973</v>
      </c>
      <c r="P232">
        <v>2.6200000000000001E-2</v>
      </c>
      <c r="Q232">
        <v>0.11799999999999999</v>
      </c>
      <c r="R232">
        <v>191</v>
      </c>
      <c r="S232">
        <v>297</v>
      </c>
      <c r="T232">
        <v>0</v>
      </c>
      <c r="U232">
        <v>0</v>
      </c>
    </row>
    <row r="233" spans="1:21" x14ac:dyDescent="0.25">
      <c r="A233" t="s">
        <v>21</v>
      </c>
      <c r="B233" t="s">
        <v>22</v>
      </c>
      <c r="C233" t="s">
        <v>23</v>
      </c>
      <c r="D233" t="s">
        <v>14</v>
      </c>
      <c r="E233">
        <v>1030</v>
      </c>
      <c r="F233" t="s">
        <v>15</v>
      </c>
      <c r="G233" t="s">
        <v>656</v>
      </c>
      <c r="H233">
        <v>17099719</v>
      </c>
      <c r="I233">
        <v>2354</v>
      </c>
      <c r="J233">
        <v>0</v>
      </c>
      <c r="K233">
        <v>61.674800000000005</v>
      </c>
      <c r="L233">
        <v>0</v>
      </c>
      <c r="M233">
        <v>61.674800000000005</v>
      </c>
      <c r="N233" t="s">
        <v>923</v>
      </c>
      <c r="O233" t="s">
        <v>963</v>
      </c>
      <c r="P233">
        <v>2.6200000000000001E-2</v>
      </c>
      <c r="Q233">
        <v>0.11799999999999999</v>
      </c>
      <c r="R233">
        <v>0</v>
      </c>
      <c r="S233">
        <v>2354</v>
      </c>
      <c r="T233">
        <v>0</v>
      </c>
      <c r="U233">
        <v>0</v>
      </c>
    </row>
    <row r="234" spans="1:21" x14ac:dyDescent="0.25">
      <c r="A234" t="s">
        <v>21</v>
      </c>
      <c r="B234" t="s">
        <v>22</v>
      </c>
      <c r="C234" t="s">
        <v>23</v>
      </c>
      <c r="D234" t="s">
        <v>14</v>
      </c>
      <c r="E234">
        <v>2020</v>
      </c>
      <c r="F234" t="s">
        <v>15</v>
      </c>
      <c r="G234" t="s">
        <v>656</v>
      </c>
      <c r="H234">
        <v>17099714</v>
      </c>
      <c r="I234">
        <v>3</v>
      </c>
      <c r="J234">
        <v>0</v>
      </c>
      <c r="K234">
        <v>7.8600000000000003E-2</v>
      </c>
      <c r="L234">
        <v>0</v>
      </c>
      <c r="M234">
        <v>7.8600000000000003E-2</v>
      </c>
      <c r="N234" t="s">
        <v>882</v>
      </c>
      <c r="O234" t="s">
        <v>957</v>
      </c>
      <c r="P234">
        <v>2.6200000000000001E-2</v>
      </c>
      <c r="Q234">
        <v>0.11799999999999999</v>
      </c>
      <c r="R234">
        <v>791</v>
      </c>
      <c r="S234">
        <v>794</v>
      </c>
      <c r="T234">
        <v>0</v>
      </c>
      <c r="U234">
        <v>0</v>
      </c>
    </row>
    <row r="235" spans="1:21" x14ac:dyDescent="0.25">
      <c r="A235" t="s">
        <v>21</v>
      </c>
      <c r="B235" t="s">
        <v>22</v>
      </c>
      <c r="C235" t="s">
        <v>23</v>
      </c>
      <c r="D235" t="s">
        <v>14</v>
      </c>
      <c r="E235">
        <v>2022</v>
      </c>
      <c r="F235" t="s">
        <v>24</v>
      </c>
      <c r="G235" t="s">
        <v>27</v>
      </c>
      <c r="H235">
        <v>17099434</v>
      </c>
      <c r="I235">
        <v>9373</v>
      </c>
      <c r="J235">
        <v>691</v>
      </c>
      <c r="K235">
        <v>194.02109999999999</v>
      </c>
      <c r="L235">
        <v>60.116999999999997</v>
      </c>
      <c r="M235">
        <v>254.13809999999998</v>
      </c>
      <c r="N235" t="s">
        <v>25</v>
      </c>
      <c r="O235" t="s">
        <v>26</v>
      </c>
      <c r="P235">
        <v>2.07E-2</v>
      </c>
      <c r="Q235">
        <v>8.6999999999999994E-2</v>
      </c>
      <c r="R235">
        <v>75648</v>
      </c>
      <c r="S235">
        <v>85021</v>
      </c>
      <c r="T235">
        <v>7433</v>
      </c>
      <c r="U235">
        <v>8124</v>
      </c>
    </row>
    <row r="236" spans="1:21" x14ac:dyDescent="0.25">
      <c r="A236" t="s">
        <v>21</v>
      </c>
      <c r="B236" t="s">
        <v>22</v>
      </c>
      <c r="C236" t="s">
        <v>23</v>
      </c>
      <c r="D236" t="s">
        <v>14</v>
      </c>
      <c r="E236">
        <v>2023</v>
      </c>
      <c r="F236" t="s">
        <v>15</v>
      </c>
      <c r="G236" t="s">
        <v>656</v>
      </c>
      <c r="H236">
        <v>17099435</v>
      </c>
      <c r="I236">
        <v>126</v>
      </c>
      <c r="J236">
        <v>0</v>
      </c>
      <c r="K236">
        <v>3.3012000000000001</v>
      </c>
      <c r="L236">
        <v>0</v>
      </c>
      <c r="M236">
        <v>3.3012000000000001</v>
      </c>
      <c r="N236" t="s">
        <v>46</v>
      </c>
      <c r="O236" t="s">
        <v>47</v>
      </c>
      <c r="P236">
        <v>2.6200000000000001E-2</v>
      </c>
      <c r="Q236">
        <v>0.11799999999999999</v>
      </c>
      <c r="R236">
        <v>490</v>
      </c>
      <c r="S236">
        <v>616</v>
      </c>
      <c r="T236">
        <v>0</v>
      </c>
      <c r="U236">
        <v>0</v>
      </c>
    </row>
    <row r="237" spans="1:21" x14ac:dyDescent="0.25">
      <c r="A237" t="s">
        <v>21</v>
      </c>
      <c r="B237" t="s">
        <v>22</v>
      </c>
      <c r="C237" t="s">
        <v>23</v>
      </c>
      <c r="D237" t="s">
        <v>14</v>
      </c>
      <c r="E237">
        <v>2029</v>
      </c>
      <c r="F237" t="s">
        <v>15</v>
      </c>
      <c r="G237" t="s">
        <v>656</v>
      </c>
      <c r="H237">
        <v>17099446</v>
      </c>
      <c r="I237">
        <v>3</v>
      </c>
      <c r="J237">
        <v>0</v>
      </c>
      <c r="K237">
        <v>7.8600000000000003E-2</v>
      </c>
      <c r="L237">
        <v>0</v>
      </c>
      <c r="M237">
        <v>7.8600000000000003E-2</v>
      </c>
      <c r="N237" t="s">
        <v>30</v>
      </c>
      <c r="O237" t="s">
        <v>31</v>
      </c>
      <c r="P237">
        <v>2.6200000000000001E-2</v>
      </c>
      <c r="Q237">
        <v>0.11799999999999999</v>
      </c>
      <c r="R237">
        <v>305</v>
      </c>
      <c r="S237">
        <v>308</v>
      </c>
      <c r="T237">
        <v>0</v>
      </c>
      <c r="U237">
        <v>0</v>
      </c>
    </row>
    <row r="238" spans="1:21" x14ac:dyDescent="0.25">
      <c r="A238" t="s">
        <v>21</v>
      </c>
      <c r="B238" t="s">
        <v>22</v>
      </c>
      <c r="C238" t="s">
        <v>23</v>
      </c>
      <c r="D238" t="s">
        <v>14</v>
      </c>
      <c r="E238">
        <v>2051</v>
      </c>
      <c r="F238" t="s">
        <v>15</v>
      </c>
      <c r="G238" t="s">
        <v>656</v>
      </c>
      <c r="H238">
        <v>17099715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884</v>
      </c>
      <c r="O238" t="s">
        <v>960</v>
      </c>
      <c r="P238">
        <v>2.6200000000000001E-2</v>
      </c>
      <c r="Q238">
        <v>0.11799999999999999</v>
      </c>
      <c r="R238">
        <v>504</v>
      </c>
      <c r="S238">
        <v>504</v>
      </c>
      <c r="T238">
        <v>0</v>
      </c>
      <c r="U238">
        <v>0</v>
      </c>
    </row>
    <row r="239" spans="1:21" x14ac:dyDescent="0.25">
      <c r="A239" t="s">
        <v>21</v>
      </c>
      <c r="B239" t="s">
        <v>22</v>
      </c>
      <c r="C239" t="s">
        <v>23</v>
      </c>
      <c r="D239" t="s">
        <v>14</v>
      </c>
      <c r="E239">
        <v>2053</v>
      </c>
      <c r="F239" t="s">
        <v>15</v>
      </c>
      <c r="G239" t="s">
        <v>656</v>
      </c>
      <c r="H239">
        <v>17099437</v>
      </c>
      <c r="I239">
        <v>172</v>
      </c>
      <c r="J239">
        <v>0</v>
      </c>
      <c r="K239">
        <v>4.5064000000000002</v>
      </c>
      <c r="L239">
        <v>0</v>
      </c>
      <c r="M239">
        <v>4.5064000000000002</v>
      </c>
      <c r="N239" t="s">
        <v>44</v>
      </c>
      <c r="O239" t="s">
        <v>45</v>
      </c>
      <c r="P239">
        <v>2.6200000000000001E-2</v>
      </c>
      <c r="Q239">
        <v>0.11799999999999999</v>
      </c>
      <c r="R239">
        <v>1340</v>
      </c>
      <c r="S239">
        <v>1512</v>
      </c>
      <c r="T239">
        <v>0</v>
      </c>
      <c r="U239">
        <v>0</v>
      </c>
    </row>
    <row r="240" spans="1:21" x14ac:dyDescent="0.25">
      <c r="A240" t="s">
        <v>21</v>
      </c>
      <c r="B240" t="s">
        <v>22</v>
      </c>
      <c r="C240" t="s">
        <v>23</v>
      </c>
      <c r="D240" t="s">
        <v>14</v>
      </c>
      <c r="E240">
        <v>2056</v>
      </c>
      <c r="F240" t="s">
        <v>15</v>
      </c>
      <c r="G240" t="s">
        <v>656</v>
      </c>
      <c r="H240">
        <v>17099436</v>
      </c>
      <c r="I240">
        <v>126</v>
      </c>
      <c r="J240">
        <v>0</v>
      </c>
      <c r="K240">
        <v>3.3012000000000001</v>
      </c>
      <c r="L240">
        <v>0</v>
      </c>
      <c r="M240">
        <v>3.3012000000000001</v>
      </c>
      <c r="N240" t="s">
        <v>36</v>
      </c>
      <c r="O240" t="s">
        <v>37</v>
      </c>
      <c r="P240">
        <v>2.6200000000000001E-2</v>
      </c>
      <c r="Q240">
        <v>0.11799999999999999</v>
      </c>
      <c r="R240">
        <v>1903</v>
      </c>
      <c r="S240">
        <v>2029</v>
      </c>
      <c r="T240">
        <v>0</v>
      </c>
      <c r="U240">
        <v>0</v>
      </c>
    </row>
    <row r="241" spans="1:21" x14ac:dyDescent="0.25">
      <c r="A241" t="s">
        <v>21</v>
      </c>
      <c r="B241" t="s">
        <v>22</v>
      </c>
      <c r="C241" t="s">
        <v>23</v>
      </c>
      <c r="D241" t="s">
        <v>14</v>
      </c>
      <c r="E241">
        <v>2057</v>
      </c>
      <c r="F241" t="s">
        <v>15</v>
      </c>
      <c r="G241" t="s">
        <v>656</v>
      </c>
      <c r="H241">
        <v>17099444</v>
      </c>
      <c r="I241">
        <v>555</v>
      </c>
      <c r="J241">
        <v>0</v>
      </c>
      <c r="K241">
        <v>14.541</v>
      </c>
      <c r="L241">
        <v>0</v>
      </c>
      <c r="M241">
        <v>14.541</v>
      </c>
      <c r="N241" t="s">
        <v>28</v>
      </c>
      <c r="O241" t="s">
        <v>29</v>
      </c>
      <c r="P241">
        <v>2.6200000000000001E-2</v>
      </c>
      <c r="Q241">
        <v>0.11799999999999999</v>
      </c>
      <c r="R241">
        <v>3310</v>
      </c>
      <c r="S241">
        <v>3865</v>
      </c>
      <c r="T241">
        <v>0</v>
      </c>
      <c r="U241">
        <v>0</v>
      </c>
    </row>
    <row r="242" spans="1:21" x14ac:dyDescent="0.25">
      <c r="A242" t="s">
        <v>21</v>
      </c>
      <c r="B242" t="s">
        <v>22</v>
      </c>
      <c r="C242" t="s">
        <v>23</v>
      </c>
      <c r="D242" t="s">
        <v>14</v>
      </c>
      <c r="E242">
        <v>2060</v>
      </c>
      <c r="F242" t="s">
        <v>15</v>
      </c>
      <c r="G242" t="s">
        <v>656</v>
      </c>
      <c r="H242">
        <v>17099430</v>
      </c>
      <c r="I242">
        <v>113</v>
      </c>
      <c r="J242">
        <v>0</v>
      </c>
      <c r="K242">
        <v>2.9606000000000003</v>
      </c>
      <c r="L242">
        <v>0</v>
      </c>
      <c r="M242">
        <v>2.9606000000000003</v>
      </c>
      <c r="N242" t="s">
        <v>40</v>
      </c>
      <c r="O242" t="s">
        <v>41</v>
      </c>
      <c r="P242">
        <v>2.6200000000000001E-2</v>
      </c>
      <c r="Q242">
        <v>0.11799999999999999</v>
      </c>
      <c r="R242">
        <v>448</v>
      </c>
      <c r="S242">
        <v>561</v>
      </c>
      <c r="T242">
        <v>0</v>
      </c>
      <c r="U242">
        <v>0</v>
      </c>
    </row>
    <row r="243" spans="1:21" x14ac:dyDescent="0.25">
      <c r="A243" t="s">
        <v>21</v>
      </c>
      <c r="B243" t="s">
        <v>22</v>
      </c>
      <c r="C243" t="s">
        <v>23</v>
      </c>
      <c r="D243" t="s">
        <v>14</v>
      </c>
      <c r="E243">
        <v>2061</v>
      </c>
      <c r="F243" t="s">
        <v>15</v>
      </c>
      <c r="G243" t="s">
        <v>656</v>
      </c>
      <c r="H243">
        <v>17099442</v>
      </c>
      <c r="I243">
        <v>190</v>
      </c>
      <c r="J243">
        <v>0</v>
      </c>
      <c r="K243">
        <v>4.9779999999999998</v>
      </c>
      <c r="L243">
        <v>0</v>
      </c>
      <c r="M243">
        <v>4.9779999999999998</v>
      </c>
      <c r="N243" t="s">
        <v>34</v>
      </c>
      <c r="O243" t="s">
        <v>35</v>
      </c>
      <c r="P243">
        <v>2.6200000000000001E-2</v>
      </c>
      <c r="Q243">
        <v>0.11799999999999999</v>
      </c>
      <c r="R243">
        <v>943</v>
      </c>
      <c r="S243">
        <v>1133</v>
      </c>
      <c r="T243">
        <v>0</v>
      </c>
      <c r="U243">
        <v>0</v>
      </c>
    </row>
    <row r="244" spans="1:21" x14ac:dyDescent="0.25">
      <c r="A244" t="s">
        <v>21</v>
      </c>
      <c r="B244" t="s">
        <v>22</v>
      </c>
      <c r="C244" t="s">
        <v>23</v>
      </c>
      <c r="D244" t="s">
        <v>14</v>
      </c>
      <c r="E244">
        <v>2063</v>
      </c>
      <c r="F244" t="s">
        <v>15</v>
      </c>
      <c r="G244" t="s">
        <v>656</v>
      </c>
      <c r="H244">
        <v>17099427</v>
      </c>
      <c r="I244">
        <v>97</v>
      </c>
      <c r="J244">
        <v>0</v>
      </c>
      <c r="K244">
        <v>2.5414000000000003</v>
      </c>
      <c r="L244">
        <v>0</v>
      </c>
      <c r="M244">
        <v>2.5414000000000003</v>
      </c>
      <c r="N244" t="s">
        <v>48</v>
      </c>
      <c r="O244" t="s">
        <v>49</v>
      </c>
      <c r="P244">
        <v>2.6200000000000001E-2</v>
      </c>
      <c r="Q244">
        <v>0.11799999999999999</v>
      </c>
      <c r="R244">
        <v>1475</v>
      </c>
      <c r="S244">
        <v>1572</v>
      </c>
      <c r="T244">
        <v>0</v>
      </c>
      <c r="U244">
        <v>0</v>
      </c>
    </row>
    <row r="245" spans="1:21" x14ac:dyDescent="0.25">
      <c r="A245" t="s">
        <v>21</v>
      </c>
      <c r="B245" t="s">
        <v>22</v>
      </c>
      <c r="C245" t="s">
        <v>23</v>
      </c>
      <c r="D245" t="s">
        <v>14</v>
      </c>
      <c r="E245">
        <v>2064</v>
      </c>
      <c r="F245" t="s">
        <v>15</v>
      </c>
      <c r="G245" t="s">
        <v>656</v>
      </c>
      <c r="H245">
        <v>17099439</v>
      </c>
      <c r="I245">
        <v>68</v>
      </c>
      <c r="J245">
        <v>0</v>
      </c>
      <c r="K245">
        <v>1.7816000000000001</v>
      </c>
      <c r="L245">
        <v>0</v>
      </c>
      <c r="M245">
        <v>1.7816000000000001</v>
      </c>
      <c r="N245" t="s">
        <v>50</v>
      </c>
      <c r="O245" t="s">
        <v>51</v>
      </c>
      <c r="P245">
        <v>2.6200000000000001E-2</v>
      </c>
      <c r="Q245">
        <v>0.11799999999999999</v>
      </c>
      <c r="R245">
        <v>911</v>
      </c>
      <c r="S245">
        <v>979</v>
      </c>
      <c r="T245">
        <v>0</v>
      </c>
      <c r="U245">
        <v>0</v>
      </c>
    </row>
    <row r="246" spans="1:21" x14ac:dyDescent="0.25">
      <c r="A246" t="s">
        <v>21</v>
      </c>
      <c r="B246" t="s">
        <v>22</v>
      </c>
      <c r="C246" t="s">
        <v>23</v>
      </c>
      <c r="D246" t="s">
        <v>14</v>
      </c>
      <c r="E246">
        <v>2066</v>
      </c>
      <c r="F246" t="s">
        <v>15</v>
      </c>
      <c r="G246" t="s">
        <v>656</v>
      </c>
      <c r="H246">
        <v>17099426</v>
      </c>
      <c r="I246">
        <v>72</v>
      </c>
      <c r="J246">
        <v>0</v>
      </c>
      <c r="K246">
        <v>1.8864000000000001</v>
      </c>
      <c r="L246">
        <v>0</v>
      </c>
      <c r="M246">
        <v>1.8864000000000001</v>
      </c>
      <c r="N246" t="s">
        <v>38</v>
      </c>
      <c r="O246" t="s">
        <v>39</v>
      </c>
      <c r="P246">
        <v>2.6200000000000001E-2</v>
      </c>
      <c r="Q246">
        <v>0.11799999999999999</v>
      </c>
      <c r="R246">
        <v>386</v>
      </c>
      <c r="S246">
        <v>458</v>
      </c>
      <c r="T246">
        <v>0</v>
      </c>
      <c r="U246">
        <v>0</v>
      </c>
    </row>
    <row r="247" spans="1:21" x14ac:dyDescent="0.25">
      <c r="A247" t="s">
        <v>21</v>
      </c>
      <c r="B247" t="s">
        <v>22</v>
      </c>
      <c r="C247" t="s">
        <v>23</v>
      </c>
      <c r="D247" t="s">
        <v>14</v>
      </c>
      <c r="E247">
        <v>2067</v>
      </c>
      <c r="F247" t="s">
        <v>15</v>
      </c>
      <c r="G247" t="s">
        <v>656</v>
      </c>
      <c r="H247">
        <v>17099425</v>
      </c>
      <c r="I247">
        <v>158</v>
      </c>
      <c r="J247">
        <v>0</v>
      </c>
      <c r="K247">
        <v>4.1395999999999997</v>
      </c>
      <c r="L247">
        <v>0</v>
      </c>
      <c r="M247">
        <v>4.1395999999999997</v>
      </c>
      <c r="N247" t="s">
        <v>32</v>
      </c>
      <c r="O247" t="s">
        <v>33</v>
      </c>
      <c r="P247">
        <v>2.6200000000000001E-2</v>
      </c>
      <c r="Q247">
        <v>0.11799999999999999</v>
      </c>
      <c r="R247">
        <v>1014</v>
      </c>
      <c r="S247">
        <v>1172</v>
      </c>
      <c r="T247">
        <v>0</v>
      </c>
      <c r="U247">
        <v>0</v>
      </c>
    </row>
    <row r="248" spans="1:21" x14ac:dyDescent="0.25">
      <c r="A248" t="s">
        <v>21</v>
      </c>
      <c r="B248" t="s">
        <v>22</v>
      </c>
      <c r="C248" t="s">
        <v>23</v>
      </c>
      <c r="D248" t="s">
        <v>14</v>
      </c>
      <c r="E248">
        <v>2068</v>
      </c>
      <c r="F248" t="s">
        <v>15</v>
      </c>
      <c r="G248" t="s">
        <v>656</v>
      </c>
      <c r="H248">
        <v>17099829</v>
      </c>
      <c r="I248">
        <v>163</v>
      </c>
      <c r="J248">
        <v>0</v>
      </c>
      <c r="K248">
        <v>4.2706</v>
      </c>
      <c r="L248">
        <v>0</v>
      </c>
      <c r="M248">
        <v>4.2706</v>
      </c>
      <c r="N248" t="s">
        <v>895</v>
      </c>
      <c r="O248" t="s">
        <v>974</v>
      </c>
      <c r="P248">
        <v>2.6200000000000001E-2</v>
      </c>
      <c r="Q248">
        <v>0.11799999999999999</v>
      </c>
      <c r="R248">
        <v>48</v>
      </c>
      <c r="S248">
        <v>211</v>
      </c>
      <c r="T248">
        <v>0</v>
      </c>
      <c r="U248">
        <v>0</v>
      </c>
    </row>
    <row r="249" spans="1:21" x14ac:dyDescent="0.25">
      <c r="A249" t="s">
        <v>21</v>
      </c>
      <c r="B249" t="s">
        <v>22</v>
      </c>
      <c r="C249" t="s">
        <v>23</v>
      </c>
      <c r="D249" t="s">
        <v>14</v>
      </c>
      <c r="E249">
        <v>2070</v>
      </c>
      <c r="F249" t="s">
        <v>15</v>
      </c>
      <c r="G249" t="s">
        <v>656</v>
      </c>
      <c r="H249">
        <v>17099428</v>
      </c>
      <c r="I249">
        <v>156</v>
      </c>
      <c r="J249">
        <v>0</v>
      </c>
      <c r="K249">
        <v>4.0872000000000002</v>
      </c>
      <c r="L249">
        <v>0</v>
      </c>
      <c r="M249">
        <v>4.0872000000000002</v>
      </c>
      <c r="N249" t="s">
        <v>42</v>
      </c>
      <c r="O249" t="s">
        <v>43</v>
      </c>
      <c r="P249">
        <v>2.6200000000000001E-2</v>
      </c>
      <c r="Q249">
        <v>0.11799999999999999</v>
      </c>
      <c r="R249">
        <v>1150</v>
      </c>
      <c r="S249">
        <v>1306</v>
      </c>
      <c r="T249">
        <v>0</v>
      </c>
      <c r="U249">
        <v>0</v>
      </c>
    </row>
    <row r="250" spans="1:21" x14ac:dyDescent="0.25">
      <c r="A250" t="s">
        <v>195</v>
      </c>
      <c r="B250" t="s">
        <v>196</v>
      </c>
      <c r="C250" t="s">
        <v>197</v>
      </c>
      <c r="D250" t="s">
        <v>14</v>
      </c>
      <c r="E250">
        <v>2080</v>
      </c>
      <c r="F250" t="s">
        <v>15</v>
      </c>
      <c r="G250" t="s">
        <v>656</v>
      </c>
      <c r="H250">
        <v>17099431</v>
      </c>
      <c r="I250">
        <v>231</v>
      </c>
      <c r="J250">
        <v>0</v>
      </c>
      <c r="K250">
        <v>6.0522</v>
      </c>
      <c r="L250">
        <v>0</v>
      </c>
      <c r="M250">
        <v>6.0522</v>
      </c>
      <c r="N250" t="s">
        <v>796</v>
      </c>
      <c r="O250" t="s">
        <v>200</v>
      </c>
      <c r="P250">
        <v>2.6200000000000001E-2</v>
      </c>
      <c r="Q250">
        <v>0.11799999999999999</v>
      </c>
      <c r="R250">
        <v>1681</v>
      </c>
      <c r="S250">
        <v>1912</v>
      </c>
      <c r="T250">
        <v>0</v>
      </c>
      <c r="U250">
        <v>0</v>
      </c>
    </row>
    <row r="251" spans="1:21" x14ac:dyDescent="0.25">
      <c r="A251" t="s">
        <v>195</v>
      </c>
      <c r="B251" t="s">
        <v>196</v>
      </c>
      <c r="C251" t="s">
        <v>197</v>
      </c>
      <c r="D251" t="s">
        <v>14</v>
      </c>
      <c r="E251">
        <v>2082</v>
      </c>
      <c r="F251" t="s">
        <v>15</v>
      </c>
      <c r="G251" t="s">
        <v>656</v>
      </c>
      <c r="H251">
        <v>17099506</v>
      </c>
      <c r="I251">
        <v>145</v>
      </c>
      <c r="J251">
        <v>0</v>
      </c>
      <c r="K251">
        <v>3.7990000000000004</v>
      </c>
      <c r="L251">
        <v>0</v>
      </c>
      <c r="M251">
        <v>3.7990000000000004</v>
      </c>
      <c r="N251" t="s">
        <v>198</v>
      </c>
      <c r="O251" t="s">
        <v>199</v>
      </c>
      <c r="P251">
        <v>2.6200000000000001E-2</v>
      </c>
      <c r="Q251">
        <v>0.11799999999999999</v>
      </c>
      <c r="R251">
        <v>1249</v>
      </c>
      <c r="S251">
        <v>1394</v>
      </c>
      <c r="T251">
        <v>0</v>
      </c>
      <c r="U251">
        <v>0</v>
      </c>
    </row>
    <row r="252" spans="1:21" x14ac:dyDescent="0.25">
      <c r="A252" t="s">
        <v>195</v>
      </c>
      <c r="B252" t="s">
        <v>196</v>
      </c>
      <c r="C252" t="s">
        <v>197</v>
      </c>
      <c r="D252" t="s">
        <v>14</v>
      </c>
      <c r="E252">
        <v>2090</v>
      </c>
      <c r="F252" t="s">
        <v>15</v>
      </c>
      <c r="G252" t="s">
        <v>656</v>
      </c>
      <c r="H252">
        <v>17099429</v>
      </c>
      <c r="I252">
        <v>57</v>
      </c>
      <c r="J252">
        <v>0</v>
      </c>
      <c r="K252">
        <v>1.4934000000000001</v>
      </c>
      <c r="L252">
        <v>0</v>
      </c>
      <c r="M252">
        <v>1.4934000000000001</v>
      </c>
      <c r="N252" t="s">
        <v>201</v>
      </c>
      <c r="O252" t="s">
        <v>202</v>
      </c>
      <c r="P252">
        <v>2.6200000000000001E-2</v>
      </c>
      <c r="Q252">
        <v>0.11799999999999999</v>
      </c>
      <c r="R252">
        <v>471</v>
      </c>
      <c r="S252">
        <v>528</v>
      </c>
      <c r="T252">
        <v>0</v>
      </c>
      <c r="U252">
        <v>0</v>
      </c>
    </row>
    <row r="253" spans="1:21" x14ac:dyDescent="0.25">
      <c r="A253" t="s">
        <v>582</v>
      </c>
      <c r="B253" t="s">
        <v>589</v>
      </c>
      <c r="C253" t="s">
        <v>811</v>
      </c>
      <c r="D253" t="s">
        <v>583</v>
      </c>
      <c r="E253">
        <v>245</v>
      </c>
      <c r="F253" t="s">
        <v>15</v>
      </c>
      <c r="G253" t="s">
        <v>656</v>
      </c>
      <c r="H253">
        <v>17099557</v>
      </c>
      <c r="I253">
        <v>59</v>
      </c>
      <c r="J253">
        <v>0</v>
      </c>
      <c r="K253">
        <v>1.5458000000000001</v>
      </c>
      <c r="L253">
        <v>0</v>
      </c>
      <c r="M253">
        <v>1.5458000000000001</v>
      </c>
      <c r="N253" t="s">
        <v>590</v>
      </c>
      <c r="O253" t="s">
        <v>591</v>
      </c>
      <c r="P253">
        <v>2.6200000000000001E-2</v>
      </c>
      <c r="Q253">
        <v>0.11799999999999999</v>
      </c>
      <c r="R253">
        <v>889</v>
      </c>
      <c r="S253">
        <v>948</v>
      </c>
      <c r="T253">
        <v>0</v>
      </c>
      <c r="U253">
        <v>0</v>
      </c>
    </row>
    <row r="254" spans="1:21" x14ac:dyDescent="0.25">
      <c r="A254" t="s">
        <v>582</v>
      </c>
      <c r="B254" t="s">
        <v>613</v>
      </c>
      <c r="C254" t="s">
        <v>614</v>
      </c>
      <c r="D254" t="s">
        <v>583</v>
      </c>
      <c r="E254">
        <v>239</v>
      </c>
      <c r="F254" t="s">
        <v>15</v>
      </c>
      <c r="G254" t="s">
        <v>656</v>
      </c>
      <c r="H254">
        <v>17099565</v>
      </c>
      <c r="I254">
        <v>142</v>
      </c>
      <c r="J254">
        <v>0</v>
      </c>
      <c r="K254">
        <v>3.7204000000000002</v>
      </c>
      <c r="L254">
        <v>0</v>
      </c>
      <c r="M254">
        <v>3.7204000000000002</v>
      </c>
      <c r="N254" t="s">
        <v>615</v>
      </c>
      <c r="O254" t="s">
        <v>616</v>
      </c>
      <c r="P254">
        <v>2.6200000000000001E-2</v>
      </c>
      <c r="Q254">
        <v>0.11799999999999999</v>
      </c>
      <c r="R254">
        <v>635</v>
      </c>
      <c r="S254">
        <v>777</v>
      </c>
      <c r="T254">
        <v>0</v>
      </c>
      <c r="U254">
        <v>0</v>
      </c>
    </row>
    <row r="255" spans="1:21" x14ac:dyDescent="0.25">
      <c r="A255" t="s">
        <v>667</v>
      </c>
      <c r="B255" t="s">
        <v>494</v>
      </c>
      <c r="C255" t="s">
        <v>856</v>
      </c>
      <c r="D255" t="s">
        <v>276</v>
      </c>
      <c r="E255">
        <v>116</v>
      </c>
      <c r="F255" t="s">
        <v>157</v>
      </c>
      <c r="G255" t="s">
        <v>27</v>
      </c>
      <c r="H255">
        <v>17099531</v>
      </c>
      <c r="I255">
        <v>1024</v>
      </c>
      <c r="J255">
        <v>0</v>
      </c>
      <c r="K255">
        <v>21.1968</v>
      </c>
      <c r="L255">
        <v>0</v>
      </c>
      <c r="M255">
        <v>21.1968</v>
      </c>
      <c r="N255" t="s">
        <v>495</v>
      </c>
      <c r="O255" t="s">
        <v>496</v>
      </c>
      <c r="P255">
        <v>2.07E-2</v>
      </c>
      <c r="Q255">
        <v>8.6999999999999994E-2</v>
      </c>
      <c r="R255">
        <v>5761</v>
      </c>
      <c r="S255">
        <v>6785</v>
      </c>
      <c r="T255">
        <v>0</v>
      </c>
      <c r="U255">
        <v>0</v>
      </c>
    </row>
    <row r="256" spans="1:21" x14ac:dyDescent="0.25">
      <c r="A256" t="s">
        <v>746</v>
      </c>
      <c r="B256" t="s">
        <v>573</v>
      </c>
      <c r="C256" t="s">
        <v>574</v>
      </c>
      <c r="D256" t="s">
        <v>747</v>
      </c>
      <c r="E256">
        <v>3115</v>
      </c>
      <c r="F256" t="s">
        <v>54</v>
      </c>
      <c r="G256" t="s">
        <v>27</v>
      </c>
      <c r="H256">
        <v>17099486</v>
      </c>
      <c r="I256">
        <v>468</v>
      </c>
      <c r="J256">
        <v>29</v>
      </c>
      <c r="K256">
        <v>9.6875999999999998</v>
      </c>
      <c r="L256">
        <v>2.5229999999999997</v>
      </c>
      <c r="M256">
        <v>12.210599999999999</v>
      </c>
      <c r="N256" t="s">
        <v>748</v>
      </c>
      <c r="O256" t="s">
        <v>749</v>
      </c>
      <c r="P256">
        <v>2.07E-2</v>
      </c>
      <c r="Q256">
        <v>8.6999999999999994E-2</v>
      </c>
      <c r="R256">
        <v>20459</v>
      </c>
      <c r="S256">
        <v>20927</v>
      </c>
      <c r="T256">
        <v>780</v>
      </c>
      <c r="U256">
        <v>809</v>
      </c>
    </row>
    <row r="257" spans="1:21" x14ac:dyDescent="0.25">
      <c r="A257" t="s">
        <v>746</v>
      </c>
      <c r="B257" t="s">
        <v>573</v>
      </c>
      <c r="C257" t="s">
        <v>574</v>
      </c>
      <c r="D257" t="s">
        <v>747</v>
      </c>
      <c r="E257">
        <v>3116</v>
      </c>
      <c r="F257" t="s">
        <v>15</v>
      </c>
      <c r="G257" t="s">
        <v>656</v>
      </c>
      <c r="H257">
        <v>17099717</v>
      </c>
      <c r="I257">
        <v>74</v>
      </c>
      <c r="J257">
        <v>0</v>
      </c>
      <c r="K257">
        <v>1.9388000000000001</v>
      </c>
      <c r="L257">
        <v>0</v>
      </c>
      <c r="M257">
        <v>1.9388000000000001</v>
      </c>
      <c r="N257" t="s">
        <v>787</v>
      </c>
      <c r="O257" t="s">
        <v>961</v>
      </c>
      <c r="P257">
        <v>2.6200000000000001E-2</v>
      </c>
      <c r="Q257">
        <v>0.11799999999999999</v>
      </c>
      <c r="R257">
        <v>704</v>
      </c>
      <c r="S257">
        <v>778</v>
      </c>
      <c r="T257">
        <v>0</v>
      </c>
      <c r="U257">
        <v>0</v>
      </c>
    </row>
    <row r="258" spans="1:21" x14ac:dyDescent="0.25">
      <c r="A258" t="s">
        <v>572</v>
      </c>
      <c r="B258" t="s">
        <v>573</v>
      </c>
      <c r="C258" t="s">
        <v>574</v>
      </c>
      <c r="D258" t="s">
        <v>424</v>
      </c>
      <c r="E258" t="s">
        <v>729</v>
      </c>
      <c r="F258" t="s">
        <v>157</v>
      </c>
      <c r="G258" t="s">
        <v>27</v>
      </c>
      <c r="H258">
        <v>17099701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575</v>
      </c>
      <c r="O258" t="s">
        <v>576</v>
      </c>
      <c r="P258">
        <v>2.07E-2</v>
      </c>
      <c r="Q258">
        <v>8.6999999999999994E-2</v>
      </c>
      <c r="R258">
        <v>62</v>
      </c>
      <c r="S258">
        <v>62</v>
      </c>
      <c r="T258">
        <v>0</v>
      </c>
      <c r="U258">
        <v>0</v>
      </c>
    </row>
    <row r="259" spans="1:21" x14ac:dyDescent="0.25">
      <c r="A259" t="s">
        <v>361</v>
      </c>
      <c r="B259" t="s">
        <v>362</v>
      </c>
      <c r="C259" t="s">
        <v>361</v>
      </c>
      <c r="D259" t="s">
        <v>276</v>
      </c>
      <c r="E259">
        <v>201</v>
      </c>
      <c r="F259" t="s">
        <v>24</v>
      </c>
      <c r="G259" t="s">
        <v>27</v>
      </c>
      <c r="H259">
        <v>17099498</v>
      </c>
      <c r="I259">
        <v>1956</v>
      </c>
      <c r="J259">
        <v>1858</v>
      </c>
      <c r="K259">
        <v>40.489199999999997</v>
      </c>
      <c r="L259">
        <v>161.64599999999999</v>
      </c>
      <c r="M259">
        <v>202.1352</v>
      </c>
      <c r="N259" t="s">
        <v>363</v>
      </c>
      <c r="O259" t="s">
        <v>364</v>
      </c>
      <c r="P259">
        <v>2.07E-2</v>
      </c>
      <c r="Q259">
        <v>8.6999999999999994E-2</v>
      </c>
      <c r="R259">
        <v>11148</v>
      </c>
      <c r="S259">
        <v>13104</v>
      </c>
      <c r="T259">
        <v>9151</v>
      </c>
      <c r="U259">
        <v>11009</v>
      </c>
    </row>
    <row r="260" spans="1:21" x14ac:dyDescent="0.25">
      <c r="A260" t="s">
        <v>365</v>
      </c>
      <c r="B260" t="s">
        <v>362</v>
      </c>
      <c r="C260" t="s">
        <v>361</v>
      </c>
      <c r="D260" t="s">
        <v>276</v>
      </c>
      <c r="E260">
        <v>201</v>
      </c>
      <c r="F260" t="s">
        <v>15</v>
      </c>
      <c r="G260" t="s">
        <v>656</v>
      </c>
      <c r="H260">
        <v>17099784</v>
      </c>
      <c r="I260">
        <v>246</v>
      </c>
      <c r="J260">
        <v>0</v>
      </c>
      <c r="K260">
        <v>6.4451999999999998</v>
      </c>
      <c r="L260">
        <v>0</v>
      </c>
      <c r="M260">
        <v>6.4451999999999998</v>
      </c>
      <c r="N260" t="s">
        <v>366</v>
      </c>
      <c r="O260" t="s">
        <v>367</v>
      </c>
      <c r="P260">
        <v>2.6200000000000001E-2</v>
      </c>
      <c r="Q260">
        <v>0.11799999999999999</v>
      </c>
      <c r="R260">
        <v>1281</v>
      </c>
      <c r="S260">
        <v>1527</v>
      </c>
      <c r="T260">
        <v>0</v>
      </c>
      <c r="U260">
        <v>0</v>
      </c>
    </row>
    <row r="261" spans="1:21" x14ac:dyDescent="0.25">
      <c r="A261" t="s">
        <v>365</v>
      </c>
      <c r="B261" t="s">
        <v>362</v>
      </c>
      <c r="C261" t="s">
        <v>361</v>
      </c>
      <c r="D261" t="s">
        <v>276</v>
      </c>
      <c r="E261">
        <v>201</v>
      </c>
      <c r="F261" t="s">
        <v>15</v>
      </c>
      <c r="G261" t="s">
        <v>656</v>
      </c>
      <c r="H261">
        <v>17099688</v>
      </c>
      <c r="I261">
        <v>405</v>
      </c>
      <c r="J261">
        <v>0</v>
      </c>
      <c r="K261">
        <v>10.611000000000001</v>
      </c>
      <c r="L261">
        <v>0</v>
      </c>
      <c r="M261">
        <v>10.611000000000001</v>
      </c>
      <c r="N261" t="s">
        <v>368</v>
      </c>
      <c r="O261" t="s">
        <v>369</v>
      </c>
      <c r="P261">
        <v>2.6200000000000001E-2</v>
      </c>
      <c r="Q261">
        <v>0.11799999999999999</v>
      </c>
      <c r="R261">
        <v>2730</v>
      </c>
      <c r="S261">
        <v>3135</v>
      </c>
      <c r="T261">
        <v>0</v>
      </c>
      <c r="U261">
        <v>0</v>
      </c>
    </row>
    <row r="262" spans="1:21" x14ac:dyDescent="0.25">
      <c r="A262" t="s">
        <v>365</v>
      </c>
      <c r="B262" t="s">
        <v>362</v>
      </c>
      <c r="C262" t="s">
        <v>361</v>
      </c>
      <c r="D262" t="s">
        <v>276</v>
      </c>
      <c r="E262">
        <v>201</v>
      </c>
      <c r="F262" t="s">
        <v>15</v>
      </c>
      <c r="G262" t="s">
        <v>656</v>
      </c>
      <c r="H262">
        <v>17099712</v>
      </c>
      <c r="I262">
        <v>1126</v>
      </c>
      <c r="J262">
        <v>0</v>
      </c>
      <c r="K262">
        <v>29.501200000000001</v>
      </c>
      <c r="L262">
        <v>0</v>
      </c>
      <c r="M262">
        <v>29.501200000000001</v>
      </c>
      <c r="N262" t="s">
        <v>370</v>
      </c>
      <c r="O262" t="s">
        <v>371</v>
      </c>
      <c r="P262">
        <v>2.6200000000000001E-2</v>
      </c>
      <c r="Q262">
        <v>0.11799999999999999</v>
      </c>
      <c r="R262">
        <v>6287</v>
      </c>
      <c r="S262">
        <v>7413</v>
      </c>
      <c r="T262">
        <v>0</v>
      </c>
      <c r="U262">
        <v>0</v>
      </c>
    </row>
    <row r="263" spans="1:21" x14ac:dyDescent="0.25">
      <c r="A263" t="s">
        <v>365</v>
      </c>
      <c r="B263" t="s">
        <v>362</v>
      </c>
      <c r="C263" t="s">
        <v>361</v>
      </c>
      <c r="D263" t="s">
        <v>276</v>
      </c>
      <c r="E263">
        <v>201</v>
      </c>
      <c r="F263" t="s">
        <v>15</v>
      </c>
      <c r="G263" t="s">
        <v>656</v>
      </c>
      <c r="H263">
        <v>17099698</v>
      </c>
      <c r="I263">
        <v>117</v>
      </c>
      <c r="J263">
        <v>0</v>
      </c>
      <c r="K263">
        <v>3.0654000000000003</v>
      </c>
      <c r="L263">
        <v>0</v>
      </c>
      <c r="M263">
        <v>3.0654000000000003</v>
      </c>
      <c r="N263" t="s">
        <v>372</v>
      </c>
      <c r="O263" t="s">
        <v>373</v>
      </c>
      <c r="P263">
        <v>2.6200000000000001E-2</v>
      </c>
      <c r="Q263">
        <v>0.11799999999999999</v>
      </c>
      <c r="R263">
        <v>1163</v>
      </c>
      <c r="S263">
        <v>1280</v>
      </c>
      <c r="T263">
        <v>0</v>
      </c>
      <c r="U263">
        <v>0</v>
      </c>
    </row>
    <row r="264" spans="1:21" x14ac:dyDescent="0.25">
      <c r="A264" t="s">
        <v>582</v>
      </c>
      <c r="B264" t="s">
        <v>609</v>
      </c>
      <c r="C264" t="s">
        <v>610</v>
      </c>
      <c r="D264" t="s">
        <v>583</v>
      </c>
      <c r="E264">
        <v>231</v>
      </c>
      <c r="F264" t="s">
        <v>15</v>
      </c>
      <c r="G264" t="s">
        <v>656</v>
      </c>
      <c r="H264">
        <v>17099560</v>
      </c>
      <c r="I264">
        <v>327</v>
      </c>
      <c r="J264">
        <v>0</v>
      </c>
      <c r="K264">
        <v>8.567400000000001</v>
      </c>
      <c r="L264">
        <v>0</v>
      </c>
      <c r="M264">
        <v>8.567400000000001</v>
      </c>
      <c r="N264" t="s">
        <v>611</v>
      </c>
      <c r="O264" t="s">
        <v>612</v>
      </c>
      <c r="P264">
        <v>2.6200000000000001E-2</v>
      </c>
      <c r="Q264">
        <v>0.11799999999999999</v>
      </c>
      <c r="R264">
        <v>3273</v>
      </c>
      <c r="S264">
        <v>3600</v>
      </c>
      <c r="T264">
        <v>0</v>
      </c>
      <c r="U264">
        <v>0</v>
      </c>
    </row>
    <row r="265" spans="1:21" x14ac:dyDescent="0.25">
      <c r="A265" t="s">
        <v>376</v>
      </c>
      <c r="B265" t="s">
        <v>809</v>
      </c>
      <c r="C265" t="s">
        <v>848</v>
      </c>
      <c r="D265" t="s">
        <v>276</v>
      </c>
      <c r="E265">
        <v>303</v>
      </c>
      <c r="F265" t="s">
        <v>15</v>
      </c>
      <c r="G265" t="s">
        <v>656</v>
      </c>
      <c r="H265">
        <v>17099711</v>
      </c>
      <c r="I265">
        <v>1608</v>
      </c>
      <c r="J265">
        <v>0</v>
      </c>
      <c r="K265">
        <v>42.129600000000003</v>
      </c>
      <c r="L265">
        <v>0</v>
      </c>
      <c r="M265">
        <v>42.129600000000003</v>
      </c>
      <c r="N265" t="s">
        <v>379</v>
      </c>
      <c r="O265" t="s">
        <v>380</v>
      </c>
      <c r="P265">
        <v>2.6200000000000001E-2</v>
      </c>
      <c r="Q265">
        <v>0.11799999999999999</v>
      </c>
      <c r="R265">
        <v>9430</v>
      </c>
      <c r="S265">
        <v>11038</v>
      </c>
      <c r="T265">
        <v>0</v>
      </c>
      <c r="U265">
        <v>0</v>
      </c>
    </row>
    <row r="266" spans="1:21" x14ac:dyDescent="0.25">
      <c r="A266" t="s">
        <v>376</v>
      </c>
      <c r="B266" t="s">
        <v>809</v>
      </c>
      <c r="C266" t="s">
        <v>848</v>
      </c>
      <c r="D266" t="s">
        <v>276</v>
      </c>
      <c r="E266">
        <v>305</v>
      </c>
      <c r="F266" t="s">
        <v>15</v>
      </c>
      <c r="G266" t="s">
        <v>656</v>
      </c>
      <c r="H266">
        <v>17099710</v>
      </c>
      <c r="I266">
        <v>1241</v>
      </c>
      <c r="J266">
        <v>0</v>
      </c>
      <c r="K266">
        <v>32.514200000000002</v>
      </c>
      <c r="L266">
        <v>0</v>
      </c>
      <c r="M266">
        <v>32.514200000000002</v>
      </c>
      <c r="N266" t="s">
        <v>383</v>
      </c>
      <c r="O266" t="s">
        <v>384</v>
      </c>
      <c r="P266">
        <v>2.6200000000000001E-2</v>
      </c>
      <c r="Q266">
        <v>0.11799999999999999</v>
      </c>
      <c r="R266">
        <v>3301</v>
      </c>
      <c r="S266">
        <v>4542</v>
      </c>
      <c r="T266">
        <v>0</v>
      </c>
      <c r="U266">
        <v>0</v>
      </c>
    </row>
    <row r="267" spans="1:21" x14ac:dyDescent="0.25">
      <c r="A267" t="s">
        <v>539</v>
      </c>
      <c r="B267" t="s">
        <v>540</v>
      </c>
      <c r="C267" t="s">
        <v>541</v>
      </c>
      <c r="D267" t="s">
        <v>335</v>
      </c>
      <c r="E267">
        <v>207</v>
      </c>
      <c r="F267" t="s">
        <v>157</v>
      </c>
      <c r="G267" t="s">
        <v>27</v>
      </c>
      <c r="H267">
        <v>17099460</v>
      </c>
      <c r="I267">
        <v>504</v>
      </c>
      <c r="J267">
        <v>0</v>
      </c>
      <c r="K267">
        <v>10.4328</v>
      </c>
      <c r="L267">
        <v>0</v>
      </c>
      <c r="M267">
        <v>10.4328</v>
      </c>
      <c r="N267" t="s">
        <v>542</v>
      </c>
      <c r="O267" t="s">
        <v>543</v>
      </c>
      <c r="P267">
        <v>2.07E-2</v>
      </c>
      <c r="Q267">
        <v>8.6999999999999994E-2</v>
      </c>
      <c r="R267">
        <v>6112</v>
      </c>
      <c r="S267">
        <v>6616</v>
      </c>
      <c r="T267">
        <v>0</v>
      </c>
      <c r="U267">
        <v>0</v>
      </c>
    </row>
    <row r="268" spans="1:21" x14ac:dyDescent="0.25">
      <c r="A268" t="s">
        <v>523</v>
      </c>
      <c r="B268" t="s">
        <v>524</v>
      </c>
      <c r="C268" t="s">
        <v>525</v>
      </c>
      <c r="D268" t="s">
        <v>418</v>
      </c>
      <c r="E268">
        <v>1</v>
      </c>
      <c r="F268" t="s">
        <v>83</v>
      </c>
      <c r="G268" t="s">
        <v>27</v>
      </c>
      <c r="H268">
        <v>17099497</v>
      </c>
      <c r="I268">
        <v>3609</v>
      </c>
      <c r="J268">
        <v>630</v>
      </c>
      <c r="K268">
        <v>74.706299999999999</v>
      </c>
      <c r="L268">
        <v>54.809999999999995</v>
      </c>
      <c r="M268">
        <v>129.5163</v>
      </c>
      <c r="N268" t="s">
        <v>526</v>
      </c>
      <c r="O268" t="s">
        <v>527</v>
      </c>
      <c r="P268">
        <v>2.07E-2</v>
      </c>
      <c r="Q268">
        <v>8.6999999999999994E-2</v>
      </c>
      <c r="R268">
        <v>29849</v>
      </c>
      <c r="S268">
        <v>33458</v>
      </c>
      <c r="T268">
        <v>5379</v>
      </c>
      <c r="U268">
        <v>6009</v>
      </c>
    </row>
    <row r="269" spans="1:21" x14ac:dyDescent="0.25">
      <c r="A269" t="s">
        <v>523</v>
      </c>
      <c r="B269" t="s">
        <v>524</v>
      </c>
      <c r="C269" t="s">
        <v>525</v>
      </c>
      <c r="D269" t="s">
        <v>418</v>
      </c>
      <c r="E269">
        <v>131</v>
      </c>
      <c r="F269" t="s">
        <v>15</v>
      </c>
      <c r="G269" t="s">
        <v>656</v>
      </c>
      <c r="H269">
        <v>17099704</v>
      </c>
      <c r="I269">
        <v>938</v>
      </c>
      <c r="J269">
        <v>0</v>
      </c>
      <c r="K269">
        <v>24.575600000000001</v>
      </c>
      <c r="L269">
        <v>0</v>
      </c>
      <c r="M269">
        <v>24.575600000000001</v>
      </c>
      <c r="N269" t="s">
        <v>788</v>
      </c>
      <c r="O269" t="s">
        <v>528</v>
      </c>
      <c r="P269">
        <v>2.6200000000000001E-2</v>
      </c>
      <c r="Q269">
        <v>0.11799999999999999</v>
      </c>
      <c r="R269">
        <v>3156</v>
      </c>
      <c r="S269">
        <v>4094</v>
      </c>
      <c r="T269">
        <v>0</v>
      </c>
      <c r="U269">
        <v>0</v>
      </c>
    </row>
    <row r="270" spans="1:21" x14ac:dyDescent="0.25">
      <c r="A270" t="s">
        <v>523</v>
      </c>
      <c r="B270" t="s">
        <v>524</v>
      </c>
      <c r="C270" t="s">
        <v>525</v>
      </c>
      <c r="D270" t="s">
        <v>418</v>
      </c>
      <c r="E270">
        <v>139</v>
      </c>
      <c r="F270" t="s">
        <v>15</v>
      </c>
      <c r="G270" t="s">
        <v>656</v>
      </c>
      <c r="H270">
        <v>17099713</v>
      </c>
      <c r="I270">
        <v>2157</v>
      </c>
      <c r="J270">
        <v>0</v>
      </c>
      <c r="K270">
        <v>56.513400000000004</v>
      </c>
      <c r="L270">
        <v>0</v>
      </c>
      <c r="M270">
        <v>56.513400000000004</v>
      </c>
      <c r="N270" t="s">
        <v>873</v>
      </c>
      <c r="O270" t="s">
        <v>943</v>
      </c>
      <c r="P270">
        <v>2.6200000000000001E-2</v>
      </c>
      <c r="Q270">
        <v>0.11799999999999999</v>
      </c>
      <c r="R270">
        <v>11006</v>
      </c>
      <c r="S270">
        <v>13163</v>
      </c>
      <c r="T270">
        <v>0</v>
      </c>
      <c r="U270">
        <v>0</v>
      </c>
    </row>
    <row r="271" spans="1:21" x14ac:dyDescent="0.25">
      <c r="A271" t="s">
        <v>523</v>
      </c>
      <c r="B271" t="s">
        <v>524</v>
      </c>
      <c r="C271" t="s">
        <v>525</v>
      </c>
      <c r="D271" t="s">
        <v>418</v>
      </c>
      <c r="E271" t="s">
        <v>529</v>
      </c>
      <c r="F271" t="s">
        <v>15</v>
      </c>
      <c r="G271" t="s">
        <v>656</v>
      </c>
      <c r="H271">
        <v>17099703</v>
      </c>
      <c r="I271">
        <v>2725</v>
      </c>
      <c r="J271">
        <v>0</v>
      </c>
      <c r="K271">
        <v>71.394999999999996</v>
      </c>
      <c r="L271">
        <v>0</v>
      </c>
      <c r="M271">
        <v>71.394999999999996</v>
      </c>
      <c r="N271" t="s">
        <v>530</v>
      </c>
      <c r="O271" t="s">
        <v>531</v>
      </c>
      <c r="P271">
        <v>2.6200000000000001E-2</v>
      </c>
      <c r="Q271">
        <v>0.11799999999999999</v>
      </c>
      <c r="R271">
        <v>11267</v>
      </c>
      <c r="S271">
        <v>13992</v>
      </c>
      <c r="T271">
        <v>0</v>
      </c>
      <c r="U271">
        <v>0</v>
      </c>
    </row>
    <row r="272" spans="1:21" x14ac:dyDescent="0.25">
      <c r="A272" t="s">
        <v>523</v>
      </c>
      <c r="B272" t="s">
        <v>524</v>
      </c>
      <c r="C272" t="s">
        <v>525</v>
      </c>
      <c r="D272" t="s">
        <v>418</v>
      </c>
      <c r="E272" t="s">
        <v>946</v>
      </c>
      <c r="F272" t="s">
        <v>15</v>
      </c>
      <c r="G272" t="s">
        <v>656</v>
      </c>
      <c r="H272">
        <v>17099761</v>
      </c>
      <c r="I272">
        <v>24</v>
      </c>
      <c r="J272">
        <v>0</v>
      </c>
      <c r="K272">
        <v>0.62880000000000003</v>
      </c>
      <c r="L272">
        <v>0</v>
      </c>
      <c r="M272">
        <v>0.62880000000000003</v>
      </c>
      <c r="N272" t="s">
        <v>876</v>
      </c>
      <c r="O272" t="s">
        <v>947</v>
      </c>
      <c r="P272">
        <v>2.6200000000000001E-2</v>
      </c>
      <c r="Q272">
        <v>0.11799999999999999</v>
      </c>
      <c r="R272">
        <v>124</v>
      </c>
      <c r="S272">
        <v>148</v>
      </c>
      <c r="T272">
        <v>0</v>
      </c>
      <c r="U272">
        <v>0</v>
      </c>
    </row>
    <row r="273" spans="1:21" x14ac:dyDescent="0.25">
      <c r="A273" t="s">
        <v>523</v>
      </c>
      <c r="B273" t="s">
        <v>524</v>
      </c>
      <c r="C273" t="s">
        <v>525</v>
      </c>
      <c r="D273" t="s">
        <v>418</v>
      </c>
      <c r="E273" t="s">
        <v>985</v>
      </c>
      <c r="F273" t="s">
        <v>15</v>
      </c>
      <c r="G273" t="s">
        <v>656</v>
      </c>
      <c r="H273">
        <v>17099707</v>
      </c>
      <c r="I273">
        <v>1142</v>
      </c>
      <c r="J273">
        <v>0</v>
      </c>
      <c r="K273">
        <v>29.920400000000001</v>
      </c>
      <c r="L273">
        <v>0</v>
      </c>
      <c r="M273">
        <v>29.920400000000001</v>
      </c>
      <c r="N273" t="s">
        <v>872</v>
      </c>
      <c r="O273" t="s">
        <v>942</v>
      </c>
      <c r="P273">
        <v>2.6200000000000001E-2</v>
      </c>
      <c r="Q273">
        <v>0.11799999999999999</v>
      </c>
      <c r="R273">
        <v>3022</v>
      </c>
      <c r="S273">
        <v>4164</v>
      </c>
      <c r="T273">
        <v>0</v>
      </c>
      <c r="U273">
        <v>0</v>
      </c>
    </row>
    <row r="274" spans="1:21" x14ac:dyDescent="0.25">
      <c r="A274" t="s">
        <v>532</v>
      </c>
      <c r="B274" t="s">
        <v>524</v>
      </c>
      <c r="C274" t="s">
        <v>525</v>
      </c>
      <c r="D274" t="s">
        <v>418</v>
      </c>
      <c r="E274">
        <v>123</v>
      </c>
      <c r="F274" t="s">
        <v>15</v>
      </c>
      <c r="G274" t="s">
        <v>656</v>
      </c>
      <c r="H274">
        <v>17099783</v>
      </c>
      <c r="I274">
        <v>690</v>
      </c>
      <c r="J274">
        <v>0</v>
      </c>
      <c r="K274">
        <v>18.077999999999999</v>
      </c>
      <c r="L274">
        <v>0</v>
      </c>
      <c r="M274">
        <v>18.077999999999999</v>
      </c>
      <c r="N274" t="s">
        <v>533</v>
      </c>
      <c r="O274" t="s">
        <v>534</v>
      </c>
      <c r="P274">
        <v>2.6200000000000001E-2</v>
      </c>
      <c r="Q274">
        <v>0.11799999999999999</v>
      </c>
      <c r="R274">
        <v>5967</v>
      </c>
      <c r="S274">
        <v>6657</v>
      </c>
      <c r="T274">
        <v>0</v>
      </c>
      <c r="U274">
        <v>0</v>
      </c>
    </row>
    <row r="275" spans="1:21" x14ac:dyDescent="0.25">
      <c r="A275" t="s">
        <v>535</v>
      </c>
      <c r="B275" t="s">
        <v>524</v>
      </c>
      <c r="C275" t="s">
        <v>525</v>
      </c>
      <c r="D275" t="s">
        <v>424</v>
      </c>
      <c r="E275" t="s">
        <v>536</v>
      </c>
      <c r="F275" t="s">
        <v>157</v>
      </c>
      <c r="G275" t="s">
        <v>27</v>
      </c>
      <c r="H275">
        <v>17099536</v>
      </c>
      <c r="I275">
        <v>90</v>
      </c>
      <c r="J275">
        <v>0</v>
      </c>
      <c r="K275">
        <v>1.863</v>
      </c>
      <c r="L275">
        <v>0</v>
      </c>
      <c r="M275">
        <v>1.863</v>
      </c>
      <c r="N275" t="s">
        <v>537</v>
      </c>
      <c r="O275" t="s">
        <v>538</v>
      </c>
      <c r="P275">
        <v>2.07E-2</v>
      </c>
      <c r="Q275">
        <v>8.6999999999999994E-2</v>
      </c>
      <c r="R275">
        <v>1041</v>
      </c>
      <c r="S275">
        <v>1131</v>
      </c>
      <c r="T275">
        <v>0</v>
      </c>
      <c r="U275">
        <v>0</v>
      </c>
    </row>
    <row r="276" spans="1:21" x14ac:dyDescent="0.25">
      <c r="A276" t="s">
        <v>518</v>
      </c>
      <c r="B276" t="s">
        <v>519</v>
      </c>
      <c r="C276" t="s">
        <v>520</v>
      </c>
      <c r="D276" t="s">
        <v>156</v>
      </c>
      <c r="E276">
        <v>202</v>
      </c>
      <c r="F276" t="s">
        <v>157</v>
      </c>
      <c r="G276" t="s">
        <v>27</v>
      </c>
      <c r="H276">
        <v>17099532</v>
      </c>
      <c r="I276">
        <v>758</v>
      </c>
      <c r="J276">
        <v>0</v>
      </c>
      <c r="K276">
        <v>15.6906</v>
      </c>
      <c r="L276">
        <v>0</v>
      </c>
      <c r="M276">
        <v>15.6906</v>
      </c>
      <c r="N276" t="s">
        <v>521</v>
      </c>
      <c r="O276" t="s">
        <v>522</v>
      </c>
      <c r="P276">
        <v>2.07E-2</v>
      </c>
      <c r="Q276">
        <v>8.6999999999999994E-2</v>
      </c>
      <c r="R276">
        <v>5803</v>
      </c>
      <c r="S276">
        <v>6561</v>
      </c>
      <c r="T276">
        <v>0</v>
      </c>
      <c r="U276">
        <v>0</v>
      </c>
    </row>
    <row r="277" spans="1:21" x14ac:dyDescent="0.25">
      <c r="A277" t="s">
        <v>659</v>
      </c>
      <c r="B277" t="s">
        <v>236</v>
      </c>
      <c r="C277" t="s">
        <v>824</v>
      </c>
      <c r="D277" t="s">
        <v>175</v>
      </c>
      <c r="E277" t="s">
        <v>663</v>
      </c>
      <c r="F277" t="s">
        <v>24</v>
      </c>
      <c r="G277" t="s">
        <v>27</v>
      </c>
      <c r="H277">
        <v>17099489</v>
      </c>
      <c r="I277">
        <v>445</v>
      </c>
      <c r="J277">
        <v>13</v>
      </c>
      <c r="K277">
        <v>9.2114999999999991</v>
      </c>
      <c r="L277">
        <v>1.131</v>
      </c>
      <c r="M277">
        <v>10.342499999999999</v>
      </c>
      <c r="N277" t="s">
        <v>238</v>
      </c>
      <c r="O277" t="s">
        <v>239</v>
      </c>
      <c r="P277">
        <v>2.07E-2</v>
      </c>
      <c r="Q277">
        <v>8.6999999999999994E-2</v>
      </c>
      <c r="R277">
        <v>5213</v>
      </c>
      <c r="S277">
        <v>5658</v>
      </c>
      <c r="T277">
        <v>122</v>
      </c>
      <c r="U277">
        <v>135</v>
      </c>
    </row>
    <row r="278" spans="1:21" x14ac:dyDescent="0.25">
      <c r="A278" t="s">
        <v>659</v>
      </c>
      <c r="B278" t="s">
        <v>236</v>
      </c>
      <c r="C278" t="s">
        <v>824</v>
      </c>
      <c r="D278" t="s">
        <v>175</v>
      </c>
      <c r="E278" t="s">
        <v>966</v>
      </c>
      <c r="F278" t="s">
        <v>15</v>
      </c>
      <c r="G278" t="s">
        <v>656</v>
      </c>
      <c r="H278">
        <v>17099642</v>
      </c>
      <c r="I278">
        <v>293</v>
      </c>
      <c r="J278">
        <v>0</v>
      </c>
      <c r="K278">
        <v>7.6766000000000005</v>
      </c>
      <c r="L278">
        <v>0</v>
      </c>
      <c r="M278">
        <v>7.6766000000000005</v>
      </c>
      <c r="N278" t="s">
        <v>887</v>
      </c>
      <c r="O278" t="s">
        <v>967</v>
      </c>
      <c r="P278">
        <v>2.6200000000000001E-2</v>
      </c>
      <c r="Q278">
        <v>0.11799999999999999</v>
      </c>
      <c r="R278">
        <v>1528</v>
      </c>
      <c r="S278">
        <v>1821</v>
      </c>
      <c r="T278">
        <v>0</v>
      </c>
      <c r="U278">
        <v>0</v>
      </c>
    </row>
    <row r="279" spans="1:21" x14ac:dyDescent="0.25">
      <c r="I279">
        <v>510535</v>
      </c>
      <c r="J279">
        <v>63285</v>
      </c>
    </row>
    <row r="281" spans="1:21" x14ac:dyDescent="0.25">
      <c r="A281" t="s">
        <v>52</v>
      </c>
      <c r="B281" t="s">
        <v>817</v>
      </c>
      <c r="C281" t="s">
        <v>52</v>
      </c>
      <c r="D281" t="s">
        <v>53</v>
      </c>
      <c r="E281">
        <v>219</v>
      </c>
      <c r="F281" t="s">
        <v>15</v>
      </c>
      <c r="G281" t="s">
        <v>656</v>
      </c>
      <c r="H281">
        <v>17099760</v>
      </c>
      <c r="I281">
        <v>220</v>
      </c>
      <c r="J281">
        <v>0</v>
      </c>
      <c r="K281">
        <v>5.7640000000000002</v>
      </c>
      <c r="L281">
        <v>0</v>
      </c>
      <c r="M281">
        <v>5.7640000000000002</v>
      </c>
      <c r="N281" t="s">
        <v>886</v>
      </c>
      <c r="O281" t="s">
        <v>965</v>
      </c>
      <c r="P281">
        <v>2.6200000000000001E-2</v>
      </c>
      <c r="Q281">
        <v>0.11799999999999999</v>
      </c>
      <c r="R281">
        <v>686</v>
      </c>
      <c r="S281">
        <v>906</v>
      </c>
      <c r="T281">
        <v>0</v>
      </c>
      <c r="U281">
        <v>0</v>
      </c>
    </row>
    <row r="282" spans="1:21" x14ac:dyDescent="0.25">
      <c r="A282" t="s">
        <v>214</v>
      </c>
      <c r="B282" t="s">
        <v>817</v>
      </c>
      <c r="C282" t="s">
        <v>52</v>
      </c>
      <c r="D282" t="s">
        <v>53</v>
      </c>
      <c r="E282">
        <v>216</v>
      </c>
      <c r="F282" t="s">
        <v>15</v>
      </c>
      <c r="G282" t="s">
        <v>656</v>
      </c>
      <c r="H282">
        <v>17099814</v>
      </c>
      <c r="I282">
        <v>76</v>
      </c>
      <c r="J282">
        <v>0</v>
      </c>
      <c r="K282">
        <v>1.9912000000000001</v>
      </c>
      <c r="L282">
        <v>0</v>
      </c>
      <c r="M282">
        <v>1.9912000000000001</v>
      </c>
      <c r="N282" t="s">
        <v>871</v>
      </c>
      <c r="O282" t="s">
        <v>939</v>
      </c>
      <c r="P282">
        <v>2.6200000000000001E-2</v>
      </c>
      <c r="Q282">
        <v>0.11799999999999999</v>
      </c>
      <c r="R282">
        <v>93</v>
      </c>
      <c r="S282">
        <v>169</v>
      </c>
      <c r="T282">
        <v>0</v>
      </c>
      <c r="U282">
        <v>0</v>
      </c>
    </row>
    <row r="283" spans="1:21" x14ac:dyDescent="0.25">
      <c r="A283" t="s">
        <v>750</v>
      </c>
      <c r="B283" t="s">
        <v>828</v>
      </c>
      <c r="C283" t="s">
        <v>829</v>
      </c>
      <c r="D283" t="s">
        <v>563</v>
      </c>
      <c r="E283">
        <v>203</v>
      </c>
      <c r="F283" t="s">
        <v>15</v>
      </c>
      <c r="G283" t="s">
        <v>656</v>
      </c>
      <c r="H283">
        <v>17099636</v>
      </c>
      <c r="I283">
        <v>12</v>
      </c>
      <c r="J283">
        <v>0</v>
      </c>
      <c r="K283">
        <v>0.31440000000000001</v>
      </c>
      <c r="L283">
        <v>0</v>
      </c>
      <c r="M283">
        <v>0.31440000000000001</v>
      </c>
      <c r="N283" t="s">
        <v>869</v>
      </c>
      <c r="O283" t="s">
        <v>936</v>
      </c>
      <c r="P283">
        <v>2.6200000000000001E-2</v>
      </c>
      <c r="Q283">
        <v>0.11799999999999999</v>
      </c>
      <c r="R283">
        <v>276</v>
      </c>
      <c r="S283">
        <v>288</v>
      </c>
      <c r="T283">
        <v>0</v>
      </c>
      <c r="U283">
        <v>0</v>
      </c>
    </row>
    <row r="284" spans="1:21" x14ac:dyDescent="0.25">
      <c r="A284" t="s">
        <v>750</v>
      </c>
      <c r="B284" t="s">
        <v>828</v>
      </c>
      <c r="C284" t="s">
        <v>829</v>
      </c>
      <c r="D284" t="s">
        <v>563</v>
      </c>
      <c r="E284">
        <v>203</v>
      </c>
      <c r="F284" t="s">
        <v>54</v>
      </c>
      <c r="G284" t="s">
        <v>27</v>
      </c>
      <c r="H284">
        <v>17099417</v>
      </c>
      <c r="I284">
        <v>1373</v>
      </c>
      <c r="J284">
        <v>41</v>
      </c>
      <c r="K284">
        <v>28.421099999999999</v>
      </c>
      <c r="L284">
        <v>3.5669999999999997</v>
      </c>
      <c r="M284">
        <v>31.988099999999999</v>
      </c>
      <c r="N284" t="s">
        <v>907</v>
      </c>
      <c r="O284" t="s">
        <v>930</v>
      </c>
      <c r="P284">
        <v>2.07E-2</v>
      </c>
      <c r="Q284">
        <v>8.6999999999999994E-2</v>
      </c>
      <c r="R284">
        <v>1326</v>
      </c>
      <c r="S284">
        <v>2699</v>
      </c>
      <c r="T284">
        <v>56</v>
      </c>
      <c r="U284">
        <v>97</v>
      </c>
    </row>
    <row r="285" spans="1:21" x14ac:dyDescent="0.25">
      <c r="A285" t="s">
        <v>750</v>
      </c>
      <c r="B285" t="s">
        <v>828</v>
      </c>
      <c r="C285" t="s">
        <v>829</v>
      </c>
      <c r="D285" t="s">
        <v>563</v>
      </c>
      <c r="E285">
        <v>204</v>
      </c>
      <c r="F285" t="s">
        <v>15</v>
      </c>
      <c r="G285" t="s">
        <v>656</v>
      </c>
      <c r="H285">
        <v>17099603</v>
      </c>
      <c r="I285">
        <v>128</v>
      </c>
      <c r="J285">
        <v>0</v>
      </c>
      <c r="K285">
        <v>3.3536000000000001</v>
      </c>
      <c r="L285">
        <v>0</v>
      </c>
      <c r="M285">
        <v>3.3536000000000001</v>
      </c>
      <c r="N285" t="s">
        <v>789</v>
      </c>
      <c r="O285" t="s">
        <v>753</v>
      </c>
      <c r="P285">
        <v>2.6200000000000001E-2</v>
      </c>
      <c r="Q285">
        <v>0.11799999999999999</v>
      </c>
      <c r="R285">
        <v>1829</v>
      </c>
      <c r="S285">
        <v>1957</v>
      </c>
      <c r="T285">
        <v>0</v>
      </c>
      <c r="U285">
        <v>0</v>
      </c>
    </row>
    <row r="286" spans="1:21" x14ac:dyDescent="0.25">
      <c r="A286" t="s">
        <v>750</v>
      </c>
      <c r="B286" t="s">
        <v>828</v>
      </c>
      <c r="C286" t="s">
        <v>829</v>
      </c>
      <c r="D286" t="s">
        <v>563</v>
      </c>
      <c r="E286">
        <v>213</v>
      </c>
      <c r="F286" t="s">
        <v>15</v>
      </c>
      <c r="G286" t="s">
        <v>656</v>
      </c>
      <c r="H286">
        <v>17099604</v>
      </c>
      <c r="I286">
        <v>143</v>
      </c>
      <c r="J286">
        <v>0</v>
      </c>
      <c r="K286">
        <v>3.7465999999999999</v>
      </c>
      <c r="L286">
        <v>0</v>
      </c>
      <c r="M286">
        <v>3.7465999999999999</v>
      </c>
      <c r="N286" t="s">
        <v>752</v>
      </c>
      <c r="O286" t="s">
        <v>938</v>
      </c>
      <c r="P286">
        <v>2.6200000000000001E-2</v>
      </c>
      <c r="Q286">
        <v>0.11799999999999999</v>
      </c>
      <c r="R286">
        <v>812</v>
      </c>
      <c r="S286">
        <v>955</v>
      </c>
      <c r="T286">
        <v>0</v>
      </c>
      <c r="U286">
        <v>0</v>
      </c>
    </row>
    <row r="287" spans="1:21" x14ac:dyDescent="0.25">
      <c r="A287" t="s">
        <v>347</v>
      </c>
      <c r="B287" t="s">
        <v>826</v>
      </c>
      <c r="C287" t="s">
        <v>295</v>
      </c>
      <c r="D287" t="s">
        <v>221</v>
      </c>
      <c r="E287">
        <v>302</v>
      </c>
      <c r="F287" t="s">
        <v>15</v>
      </c>
      <c r="G287" t="s">
        <v>656</v>
      </c>
      <c r="H287">
        <v>17099574</v>
      </c>
      <c r="I287">
        <v>2513</v>
      </c>
      <c r="J287">
        <v>0</v>
      </c>
      <c r="K287">
        <v>65.840600000000009</v>
      </c>
      <c r="L287">
        <v>0</v>
      </c>
      <c r="M287">
        <v>65.840600000000009</v>
      </c>
      <c r="N287" t="s">
        <v>359</v>
      </c>
      <c r="O287" t="s">
        <v>360</v>
      </c>
      <c r="P287">
        <v>2.6200000000000001E-2</v>
      </c>
      <c r="Q287">
        <v>0.11799999999999999</v>
      </c>
      <c r="R287">
        <v>796</v>
      </c>
      <c r="S287">
        <v>3309</v>
      </c>
      <c r="T287">
        <v>0</v>
      </c>
      <c r="U287">
        <v>0</v>
      </c>
    </row>
    <row r="288" spans="1:21" x14ac:dyDescent="0.25">
      <c r="A288" t="s">
        <v>347</v>
      </c>
      <c r="B288" t="s">
        <v>826</v>
      </c>
      <c r="C288" t="s">
        <v>295</v>
      </c>
      <c r="D288" t="s">
        <v>221</v>
      </c>
      <c r="E288" t="s">
        <v>353</v>
      </c>
      <c r="F288" t="s">
        <v>15</v>
      </c>
      <c r="G288" t="s">
        <v>656</v>
      </c>
      <c r="H288">
        <v>17099575</v>
      </c>
      <c r="I288">
        <v>1831</v>
      </c>
      <c r="J288">
        <v>0</v>
      </c>
      <c r="K288">
        <v>47.972200000000001</v>
      </c>
      <c r="L288">
        <v>0</v>
      </c>
      <c r="M288">
        <v>47.972200000000001</v>
      </c>
      <c r="N288" t="s">
        <v>354</v>
      </c>
      <c r="O288" t="s">
        <v>355</v>
      </c>
      <c r="P288">
        <v>2.6200000000000001E-2</v>
      </c>
      <c r="Q288">
        <v>0.11799999999999999</v>
      </c>
      <c r="R288">
        <v>453</v>
      </c>
      <c r="S288">
        <v>2284</v>
      </c>
      <c r="T288">
        <v>0</v>
      </c>
      <c r="U288">
        <v>0</v>
      </c>
    </row>
    <row r="289" spans="1:21" x14ac:dyDescent="0.25">
      <c r="A289" t="s">
        <v>347</v>
      </c>
      <c r="B289" t="s">
        <v>826</v>
      </c>
      <c r="C289" t="s">
        <v>295</v>
      </c>
      <c r="D289" t="s">
        <v>221</v>
      </c>
      <c r="E289" t="s">
        <v>356</v>
      </c>
      <c r="F289" t="s">
        <v>15</v>
      </c>
      <c r="G289" t="s">
        <v>656</v>
      </c>
      <c r="H289">
        <v>17099572</v>
      </c>
      <c r="I289">
        <v>373</v>
      </c>
      <c r="J289">
        <v>0</v>
      </c>
      <c r="K289">
        <v>9.7726000000000006</v>
      </c>
      <c r="L289">
        <v>0</v>
      </c>
      <c r="M289">
        <v>9.7726000000000006</v>
      </c>
      <c r="N289" t="s">
        <v>357</v>
      </c>
      <c r="O289" t="s">
        <v>358</v>
      </c>
      <c r="P289">
        <v>2.6200000000000001E-2</v>
      </c>
      <c r="Q289">
        <v>0.11799999999999999</v>
      </c>
      <c r="R289">
        <v>6371</v>
      </c>
      <c r="S289">
        <v>6744</v>
      </c>
      <c r="T289">
        <v>0</v>
      </c>
      <c r="U289">
        <v>0</v>
      </c>
    </row>
    <row r="290" spans="1:21" x14ac:dyDescent="0.25">
      <c r="A290" t="s">
        <v>347</v>
      </c>
      <c r="B290" t="s">
        <v>826</v>
      </c>
      <c r="C290" t="s">
        <v>295</v>
      </c>
      <c r="D290" t="s">
        <v>221</v>
      </c>
      <c r="E290" t="s">
        <v>350</v>
      </c>
      <c r="F290" t="s">
        <v>15</v>
      </c>
      <c r="G290" t="s">
        <v>656</v>
      </c>
      <c r="H290">
        <v>17099573</v>
      </c>
      <c r="I290">
        <v>1187</v>
      </c>
      <c r="J290">
        <v>0</v>
      </c>
      <c r="K290">
        <v>31.099400000000003</v>
      </c>
      <c r="L290">
        <v>0</v>
      </c>
      <c r="M290">
        <v>31.099400000000003</v>
      </c>
      <c r="N290" t="s">
        <v>351</v>
      </c>
      <c r="O290" t="s">
        <v>352</v>
      </c>
      <c r="P290">
        <v>2.6200000000000001E-2</v>
      </c>
      <c r="Q290">
        <v>0.11799999999999999</v>
      </c>
      <c r="R290">
        <v>3170</v>
      </c>
      <c r="S290">
        <v>4357</v>
      </c>
      <c r="T290">
        <v>0</v>
      </c>
      <c r="U290">
        <v>0</v>
      </c>
    </row>
    <row r="291" spans="1:21" x14ac:dyDescent="0.25">
      <c r="A291" t="s">
        <v>730</v>
      </c>
      <c r="B291" t="s">
        <v>845</v>
      </c>
      <c r="C291" t="s">
        <v>846</v>
      </c>
      <c r="D291" t="s">
        <v>731</v>
      </c>
      <c r="E291">
        <v>200</v>
      </c>
      <c r="F291" t="s">
        <v>90</v>
      </c>
      <c r="G291" t="s">
        <v>656</v>
      </c>
      <c r="H291">
        <v>17099451</v>
      </c>
      <c r="I291">
        <v>239</v>
      </c>
      <c r="J291">
        <v>320</v>
      </c>
      <c r="K291">
        <v>6.2618</v>
      </c>
      <c r="L291">
        <v>37.76</v>
      </c>
      <c r="M291">
        <v>44.021799999999999</v>
      </c>
      <c r="N291" t="s">
        <v>283</v>
      </c>
      <c r="O291" t="s">
        <v>977</v>
      </c>
      <c r="P291">
        <v>2.6200000000000001E-2</v>
      </c>
      <c r="Q291">
        <v>0.11799999999999999</v>
      </c>
      <c r="R291">
        <v>1871</v>
      </c>
      <c r="S291">
        <v>2110</v>
      </c>
      <c r="T291">
        <v>756</v>
      </c>
      <c r="U291">
        <v>1076</v>
      </c>
    </row>
    <row r="292" spans="1:21" x14ac:dyDescent="0.25">
      <c r="A292" t="s">
        <v>730</v>
      </c>
      <c r="B292" t="s">
        <v>845</v>
      </c>
      <c r="C292" t="s">
        <v>846</v>
      </c>
      <c r="D292" t="s">
        <v>731</v>
      </c>
      <c r="E292">
        <v>201</v>
      </c>
      <c r="F292" t="s">
        <v>157</v>
      </c>
      <c r="G292" t="s">
        <v>27</v>
      </c>
      <c r="H292">
        <v>17099406</v>
      </c>
      <c r="I292">
        <v>716</v>
      </c>
      <c r="J292">
        <v>0</v>
      </c>
      <c r="K292">
        <v>14.821199999999999</v>
      </c>
      <c r="L292">
        <v>0</v>
      </c>
      <c r="M292">
        <v>14.821199999999999</v>
      </c>
      <c r="N292" t="s">
        <v>744</v>
      </c>
      <c r="O292" t="s">
        <v>745</v>
      </c>
      <c r="P292">
        <v>2.07E-2</v>
      </c>
      <c r="Q292">
        <v>8.6999999999999994E-2</v>
      </c>
      <c r="R292">
        <v>2443</v>
      </c>
      <c r="S292">
        <v>3159</v>
      </c>
      <c r="T292">
        <v>0</v>
      </c>
      <c r="U292">
        <v>0</v>
      </c>
    </row>
    <row r="293" spans="1:21" x14ac:dyDescent="0.25">
      <c r="A293" t="s">
        <v>730</v>
      </c>
      <c r="B293" t="s">
        <v>845</v>
      </c>
      <c r="C293" t="s">
        <v>846</v>
      </c>
      <c r="D293" t="s">
        <v>731</v>
      </c>
      <c r="E293">
        <v>203</v>
      </c>
      <c r="F293" t="s">
        <v>54</v>
      </c>
      <c r="G293" t="s">
        <v>27</v>
      </c>
      <c r="H293">
        <v>17099455</v>
      </c>
      <c r="I293">
        <v>1623</v>
      </c>
      <c r="J293">
        <v>644</v>
      </c>
      <c r="K293">
        <v>33.5961</v>
      </c>
      <c r="L293">
        <v>56.027999999999999</v>
      </c>
      <c r="M293">
        <v>89.624099999999999</v>
      </c>
      <c r="N293" t="s">
        <v>188</v>
      </c>
      <c r="O293" t="s">
        <v>774</v>
      </c>
      <c r="P293">
        <v>2.07E-2</v>
      </c>
      <c r="Q293">
        <v>8.6999999999999994E-2</v>
      </c>
      <c r="R293">
        <v>13203</v>
      </c>
      <c r="S293">
        <v>14826</v>
      </c>
      <c r="T293">
        <v>354</v>
      </c>
      <c r="U293">
        <v>998</v>
      </c>
    </row>
    <row r="294" spans="1:21" x14ac:dyDescent="0.25">
      <c r="A294" t="s">
        <v>730</v>
      </c>
      <c r="B294" t="s">
        <v>845</v>
      </c>
      <c r="C294" t="s">
        <v>846</v>
      </c>
      <c r="D294" t="s">
        <v>731</v>
      </c>
      <c r="E294">
        <v>300</v>
      </c>
      <c r="F294" t="s">
        <v>90</v>
      </c>
      <c r="G294" t="s">
        <v>656</v>
      </c>
      <c r="H294">
        <v>17099725</v>
      </c>
      <c r="I294">
        <v>5</v>
      </c>
      <c r="J294">
        <v>27</v>
      </c>
      <c r="K294">
        <v>0.13100000000000001</v>
      </c>
      <c r="L294">
        <v>3.1859999999999999</v>
      </c>
      <c r="M294">
        <v>3.3170000000000002</v>
      </c>
      <c r="N294" t="s">
        <v>772</v>
      </c>
      <c r="O294" t="s">
        <v>773</v>
      </c>
      <c r="P294">
        <v>2.6200000000000001E-2</v>
      </c>
      <c r="Q294">
        <v>0.11799999999999999</v>
      </c>
      <c r="R294">
        <v>228</v>
      </c>
      <c r="S294">
        <v>233</v>
      </c>
      <c r="T294">
        <v>457</v>
      </c>
      <c r="U294">
        <v>484</v>
      </c>
    </row>
    <row r="295" spans="1:21" x14ac:dyDescent="0.25">
      <c r="A295" t="s">
        <v>730</v>
      </c>
      <c r="B295" t="s">
        <v>845</v>
      </c>
      <c r="C295" t="s">
        <v>846</v>
      </c>
      <c r="D295" t="s">
        <v>731</v>
      </c>
      <c r="E295">
        <v>301</v>
      </c>
      <c r="F295" t="s">
        <v>15</v>
      </c>
      <c r="G295" t="s">
        <v>656</v>
      </c>
      <c r="H295">
        <v>17099736</v>
      </c>
      <c r="I295">
        <v>84</v>
      </c>
      <c r="J295">
        <v>0</v>
      </c>
      <c r="K295">
        <v>2.2008000000000001</v>
      </c>
      <c r="L295">
        <v>0</v>
      </c>
      <c r="M295">
        <v>2.2008000000000001</v>
      </c>
      <c r="N295" t="s">
        <v>798</v>
      </c>
      <c r="O295" t="s">
        <v>775</v>
      </c>
      <c r="P295">
        <v>2.6200000000000001E-2</v>
      </c>
      <c r="Q295">
        <v>0.11799999999999999</v>
      </c>
      <c r="R295">
        <v>38</v>
      </c>
      <c r="S295">
        <v>122</v>
      </c>
      <c r="T295">
        <v>0</v>
      </c>
      <c r="U295">
        <v>0</v>
      </c>
    </row>
    <row r="296" spans="1:21" x14ac:dyDescent="0.25">
      <c r="A296" t="s">
        <v>980</v>
      </c>
      <c r="B296" t="s">
        <v>984</v>
      </c>
      <c r="C296" t="s">
        <v>980</v>
      </c>
      <c r="D296" t="s">
        <v>980</v>
      </c>
      <c r="E296" t="s">
        <v>981</v>
      </c>
      <c r="F296" t="s">
        <v>90</v>
      </c>
      <c r="G296" t="s">
        <v>656</v>
      </c>
      <c r="H296">
        <v>17099827</v>
      </c>
      <c r="I296">
        <v>422</v>
      </c>
      <c r="J296">
        <v>65</v>
      </c>
      <c r="K296">
        <v>11.0564</v>
      </c>
      <c r="L296">
        <v>7.67</v>
      </c>
      <c r="M296">
        <v>18.726399999999998</v>
      </c>
      <c r="N296" t="s">
        <v>902</v>
      </c>
      <c r="O296" t="s">
        <v>982</v>
      </c>
      <c r="P296">
        <v>2.6200000000000001E-2</v>
      </c>
      <c r="Q296">
        <v>0.11799999999999999</v>
      </c>
      <c r="R296">
        <v>265</v>
      </c>
      <c r="S296">
        <v>687</v>
      </c>
      <c r="T296">
        <v>1</v>
      </c>
      <c r="U296">
        <v>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3"/>
  <sheetViews>
    <sheetView workbookViewId="0">
      <selection activeCell="A3" sqref="A3"/>
    </sheetView>
  </sheetViews>
  <sheetFormatPr defaultRowHeight="14.4" x14ac:dyDescent="0.3"/>
  <cols>
    <col min="1" max="1" width="30.44140625" bestFit="1" customWidth="1"/>
    <col min="2" max="2" width="13.6640625" style="87" bestFit="1" customWidth="1"/>
  </cols>
  <sheetData>
    <row r="3" spans="1:2" ht="45" x14ac:dyDescent="0.25">
      <c r="A3" s="85" t="s">
        <v>852</v>
      </c>
      <c r="B3" s="89" t="s">
        <v>854</v>
      </c>
    </row>
    <row r="4" spans="1:2" x14ac:dyDescent="0.3">
      <c r="A4" s="84" t="s">
        <v>544</v>
      </c>
      <c r="B4" s="88">
        <v>25.6008</v>
      </c>
    </row>
    <row r="5" spans="1:2" x14ac:dyDescent="0.3">
      <c r="A5" s="84" t="s">
        <v>618</v>
      </c>
      <c r="B5" s="88">
        <v>657.55270000000007</v>
      </c>
    </row>
    <row r="6" spans="1:2" x14ac:dyDescent="0.3">
      <c r="A6" s="84" t="s">
        <v>855</v>
      </c>
      <c r="B6" s="88">
        <v>420.80409999999989</v>
      </c>
    </row>
    <row r="7" spans="1:2" x14ac:dyDescent="0.3">
      <c r="A7" s="84" t="s">
        <v>814</v>
      </c>
      <c r="B7" s="88">
        <v>207.9699</v>
      </c>
    </row>
    <row r="8" spans="1:2" x14ac:dyDescent="0.3">
      <c r="A8" s="84" t="s">
        <v>579</v>
      </c>
      <c r="B8" s="88">
        <v>24.183900000000001</v>
      </c>
    </row>
    <row r="9" spans="1:2" x14ac:dyDescent="0.3">
      <c r="A9" s="84" t="s">
        <v>558</v>
      </c>
      <c r="B9" s="88">
        <v>28.502899999999997</v>
      </c>
    </row>
    <row r="10" spans="1:2" x14ac:dyDescent="0.3">
      <c r="A10" s="84" t="s">
        <v>549</v>
      </c>
      <c r="B10" s="88">
        <v>150.70839999999998</v>
      </c>
    </row>
    <row r="11" spans="1:2" x14ac:dyDescent="0.3">
      <c r="A11" s="84" t="s">
        <v>565</v>
      </c>
      <c r="B11" s="88">
        <v>208.4622</v>
      </c>
    </row>
    <row r="12" spans="1:2" x14ac:dyDescent="0.3">
      <c r="A12" s="84" t="s">
        <v>815</v>
      </c>
      <c r="B12" s="88">
        <v>18.104200000000002</v>
      </c>
    </row>
    <row r="13" spans="1:2" x14ac:dyDescent="0.3">
      <c r="A13" s="84" t="s">
        <v>375</v>
      </c>
      <c r="B13" s="88">
        <v>230.78379999999999</v>
      </c>
    </row>
    <row r="14" spans="1:2" x14ac:dyDescent="0.3">
      <c r="A14" s="84" t="s">
        <v>841</v>
      </c>
      <c r="B14" s="88">
        <v>417.57979999999998</v>
      </c>
    </row>
    <row r="15" spans="1:2" x14ac:dyDescent="0.3">
      <c r="A15" s="84" t="s">
        <v>818</v>
      </c>
      <c r="B15" s="88">
        <v>63.508800000000008</v>
      </c>
    </row>
    <row r="16" spans="1:2" x14ac:dyDescent="0.3">
      <c r="A16" s="84" t="s">
        <v>816</v>
      </c>
      <c r="B16" s="88">
        <v>298.52600000000001</v>
      </c>
    </row>
    <row r="17" spans="1:2" x14ac:dyDescent="0.3">
      <c r="A17" s="84" t="s">
        <v>592</v>
      </c>
      <c r="B17" s="88">
        <v>372.60699999999997</v>
      </c>
    </row>
    <row r="18" spans="1:2" x14ac:dyDescent="0.3">
      <c r="A18" s="84" t="s">
        <v>69</v>
      </c>
      <c r="B18" s="88">
        <v>369.44740000000002</v>
      </c>
    </row>
    <row r="19" spans="1:2" x14ac:dyDescent="0.3">
      <c r="A19" s="84" t="s">
        <v>81</v>
      </c>
      <c r="B19" s="88">
        <v>460.23869999999994</v>
      </c>
    </row>
    <row r="20" spans="1:2" x14ac:dyDescent="0.3">
      <c r="A20" s="84" t="s">
        <v>484</v>
      </c>
      <c r="B20" s="88">
        <v>30.125299999999999</v>
      </c>
    </row>
    <row r="21" spans="1:2" x14ac:dyDescent="0.3">
      <c r="A21" s="84" t="s">
        <v>387</v>
      </c>
      <c r="B21" s="88">
        <v>186.1294</v>
      </c>
    </row>
    <row r="22" spans="1:2" x14ac:dyDescent="0.3">
      <c r="A22" s="84" t="s">
        <v>823</v>
      </c>
      <c r="B22" s="88">
        <v>97.358199999999997</v>
      </c>
    </row>
    <row r="23" spans="1:2" x14ac:dyDescent="0.3">
      <c r="A23" s="84" t="s">
        <v>414</v>
      </c>
      <c r="B23" s="88">
        <v>3057.6763000000001</v>
      </c>
    </row>
    <row r="24" spans="1:2" x14ac:dyDescent="0.3">
      <c r="A24" s="84" t="s">
        <v>95</v>
      </c>
      <c r="B24" s="88">
        <v>1034.5464000000002</v>
      </c>
    </row>
    <row r="25" spans="1:2" x14ac:dyDescent="0.3">
      <c r="A25" s="84" t="s">
        <v>106</v>
      </c>
      <c r="B25" s="88">
        <v>72.151700000000005</v>
      </c>
    </row>
    <row r="26" spans="1:2" x14ac:dyDescent="0.3">
      <c r="A26" s="84" t="s">
        <v>825</v>
      </c>
      <c r="B26" s="88">
        <v>767.43910000000005</v>
      </c>
    </row>
    <row r="27" spans="1:2" x14ac:dyDescent="0.3">
      <c r="A27" s="84" t="s">
        <v>602</v>
      </c>
      <c r="B27" s="88">
        <v>1233.0074</v>
      </c>
    </row>
    <row r="28" spans="1:2" x14ac:dyDescent="0.3">
      <c r="A28" s="84" t="s">
        <v>141</v>
      </c>
      <c r="B28" s="88">
        <v>79.464600000000004</v>
      </c>
    </row>
    <row r="29" spans="1:2" x14ac:dyDescent="0.3">
      <c r="A29" s="84" t="s">
        <v>740</v>
      </c>
      <c r="B29" s="88">
        <v>68.036999999999992</v>
      </c>
    </row>
    <row r="30" spans="1:2" x14ac:dyDescent="0.3">
      <c r="A30" s="84" t="s">
        <v>808</v>
      </c>
      <c r="B30" s="88">
        <v>931.77719999999999</v>
      </c>
    </row>
    <row r="31" spans="1:2" x14ac:dyDescent="0.3">
      <c r="A31" s="84" t="s">
        <v>849</v>
      </c>
      <c r="B31" s="88">
        <v>65.862399999999994</v>
      </c>
    </row>
    <row r="32" spans="1:2" x14ac:dyDescent="0.3">
      <c r="A32" s="84" t="s">
        <v>830</v>
      </c>
      <c r="B32" s="88">
        <v>12.2958</v>
      </c>
    </row>
    <row r="33" spans="1:2" x14ac:dyDescent="0.3">
      <c r="A33" s="84" t="s">
        <v>155</v>
      </c>
      <c r="B33" s="88">
        <v>50.477900000000005</v>
      </c>
    </row>
    <row r="34" spans="1:2" x14ac:dyDescent="0.3">
      <c r="A34" s="84" t="s">
        <v>831</v>
      </c>
      <c r="B34" s="88">
        <v>314.24250000000001</v>
      </c>
    </row>
    <row r="35" spans="1:2" x14ac:dyDescent="0.3">
      <c r="A35" s="84" t="s">
        <v>269</v>
      </c>
      <c r="B35" s="88">
        <v>151.74359999999999</v>
      </c>
    </row>
    <row r="36" spans="1:2" x14ac:dyDescent="0.3">
      <c r="A36" s="84" t="s">
        <v>325</v>
      </c>
      <c r="B36" s="88">
        <v>113.15780000000001</v>
      </c>
    </row>
    <row r="37" spans="1:2" x14ac:dyDescent="0.3">
      <c r="A37" s="84" t="s">
        <v>237</v>
      </c>
      <c r="B37" s="88">
        <v>738.12770000000012</v>
      </c>
    </row>
    <row r="38" spans="1:2" x14ac:dyDescent="0.3">
      <c r="A38" s="84" t="s">
        <v>165</v>
      </c>
      <c r="B38" s="88">
        <v>632.41589999999997</v>
      </c>
    </row>
    <row r="39" spans="1:2" x14ac:dyDescent="0.3">
      <c r="A39" s="84" t="s">
        <v>178</v>
      </c>
      <c r="B39" s="88">
        <v>249.92510000000001</v>
      </c>
    </row>
    <row r="40" spans="1:2" x14ac:dyDescent="0.3">
      <c r="A40" s="84" t="s">
        <v>186</v>
      </c>
      <c r="B40" s="88">
        <v>102.6516</v>
      </c>
    </row>
    <row r="41" spans="1:2" x14ac:dyDescent="0.3">
      <c r="A41" s="84" t="s">
        <v>232</v>
      </c>
      <c r="B41" s="88">
        <v>74.348399999999998</v>
      </c>
    </row>
    <row r="42" spans="1:2" x14ac:dyDescent="0.3">
      <c r="A42" s="84" t="s">
        <v>510</v>
      </c>
      <c r="B42" s="88">
        <v>192.90589999999997</v>
      </c>
    </row>
    <row r="43" spans="1:2" x14ac:dyDescent="0.3">
      <c r="A43" s="84" t="s">
        <v>393</v>
      </c>
      <c r="B43" s="88">
        <v>258.63009999999997</v>
      </c>
    </row>
    <row r="44" spans="1:2" x14ac:dyDescent="0.3">
      <c r="A44" s="84" t="s">
        <v>847</v>
      </c>
      <c r="B44" s="88">
        <v>395.02179999999998</v>
      </c>
    </row>
    <row r="45" spans="1:2" x14ac:dyDescent="0.3">
      <c r="A45" s="84" t="s">
        <v>203</v>
      </c>
      <c r="B45" s="88">
        <v>224.28470000000002</v>
      </c>
    </row>
    <row r="46" spans="1:2" x14ac:dyDescent="0.3">
      <c r="A46" s="84" t="s">
        <v>499</v>
      </c>
      <c r="B46" s="88">
        <v>261.05709999999999</v>
      </c>
    </row>
    <row r="47" spans="1:2" x14ac:dyDescent="0.3">
      <c r="A47" s="84" t="s">
        <v>475</v>
      </c>
      <c r="B47" s="88">
        <v>23.1633</v>
      </c>
    </row>
    <row r="48" spans="1:2" x14ac:dyDescent="0.3">
      <c r="A48" s="84" t="s">
        <v>423</v>
      </c>
      <c r="B48" s="88">
        <v>4230.6375000000007</v>
      </c>
    </row>
    <row r="49" spans="1:2" x14ac:dyDescent="0.3">
      <c r="A49" s="84" t="s">
        <v>479</v>
      </c>
      <c r="B49" s="88">
        <v>13.024800000000001</v>
      </c>
    </row>
    <row r="50" spans="1:2" x14ac:dyDescent="0.3">
      <c r="A50" s="84" t="s">
        <v>406</v>
      </c>
      <c r="B50" s="88">
        <v>71.249399999999994</v>
      </c>
    </row>
    <row r="51" spans="1:2" x14ac:dyDescent="0.3">
      <c r="A51" s="84" t="s">
        <v>334</v>
      </c>
      <c r="B51" s="88">
        <v>158.82600000000002</v>
      </c>
    </row>
    <row r="52" spans="1:2" x14ac:dyDescent="0.3">
      <c r="A52" s="84" t="s">
        <v>13</v>
      </c>
      <c r="B52" s="88">
        <v>0.15720000000000001</v>
      </c>
    </row>
    <row r="53" spans="1:2" x14ac:dyDescent="0.3">
      <c r="A53" s="84" t="s">
        <v>23</v>
      </c>
      <c r="B53" s="88">
        <v>404.01889999999997</v>
      </c>
    </row>
    <row r="54" spans="1:2" x14ac:dyDescent="0.3">
      <c r="A54" s="84" t="s">
        <v>197</v>
      </c>
      <c r="B54" s="88">
        <v>8.7507999999999999</v>
      </c>
    </row>
    <row r="55" spans="1:2" x14ac:dyDescent="0.3">
      <c r="A55" s="84" t="s">
        <v>811</v>
      </c>
      <c r="B55" s="88">
        <v>2.4366000000000003</v>
      </c>
    </row>
    <row r="56" spans="1:2" x14ac:dyDescent="0.3">
      <c r="A56" s="84" t="s">
        <v>614</v>
      </c>
      <c r="B56" s="88">
        <v>8.9342000000000006</v>
      </c>
    </row>
    <row r="57" spans="1:2" x14ac:dyDescent="0.3">
      <c r="A57" s="84" t="s">
        <v>856</v>
      </c>
      <c r="B57" s="88">
        <v>25.895699999999998</v>
      </c>
    </row>
    <row r="58" spans="1:2" x14ac:dyDescent="0.3">
      <c r="A58" s="84" t="s">
        <v>574</v>
      </c>
      <c r="B58" s="88">
        <v>33.658200000000001</v>
      </c>
    </row>
    <row r="59" spans="1:2" x14ac:dyDescent="0.3">
      <c r="A59" s="84" t="s">
        <v>361</v>
      </c>
      <c r="B59" s="88">
        <v>474.14599999999996</v>
      </c>
    </row>
    <row r="60" spans="1:2" x14ac:dyDescent="0.3">
      <c r="A60" s="84" t="s">
        <v>610</v>
      </c>
      <c r="B60" s="88">
        <v>13.624000000000001</v>
      </c>
    </row>
    <row r="61" spans="1:2" x14ac:dyDescent="0.3">
      <c r="A61" s="84" t="s">
        <v>848</v>
      </c>
      <c r="B61" s="88">
        <v>111.74299999999999</v>
      </c>
    </row>
    <row r="62" spans="1:2" x14ac:dyDescent="0.3">
      <c r="A62" s="84" t="s">
        <v>541</v>
      </c>
      <c r="B62" s="88">
        <v>16.021799999999999</v>
      </c>
    </row>
    <row r="63" spans="1:2" x14ac:dyDescent="0.3">
      <c r="A63" s="84" t="s">
        <v>525</v>
      </c>
      <c r="B63" s="88">
        <v>683.62819999999988</v>
      </c>
    </row>
    <row r="64" spans="1:2" x14ac:dyDescent="0.3">
      <c r="A64" s="84" t="s">
        <v>520</v>
      </c>
      <c r="B64" s="88">
        <v>20.741399999999999</v>
      </c>
    </row>
    <row r="65" spans="1:2" x14ac:dyDescent="0.3">
      <c r="A65" s="84" t="s">
        <v>824</v>
      </c>
      <c r="B65" s="88">
        <v>30.107599999999998</v>
      </c>
    </row>
    <row r="66" spans="1:2" x14ac:dyDescent="0.3">
      <c r="A66" s="84" t="s">
        <v>853</v>
      </c>
      <c r="B66" s="88"/>
    </row>
    <row r="67" spans="1:2" x14ac:dyDescent="0.3">
      <c r="A67" s="84" t="s">
        <v>52</v>
      </c>
      <c r="B67" s="88">
        <v>9.7988</v>
      </c>
    </row>
    <row r="68" spans="1:2" x14ac:dyDescent="0.3">
      <c r="A68" s="84" t="s">
        <v>829</v>
      </c>
      <c r="B68" s="88">
        <v>66.4495</v>
      </c>
    </row>
    <row r="69" spans="1:2" x14ac:dyDescent="0.3">
      <c r="A69" s="84" t="s">
        <v>295</v>
      </c>
      <c r="B69" s="88">
        <v>146.53659999999999</v>
      </c>
    </row>
    <row r="70" spans="1:2" x14ac:dyDescent="0.3">
      <c r="A70" s="84" t="s">
        <v>846</v>
      </c>
      <c r="B70" s="88">
        <v>195.98359999999997</v>
      </c>
    </row>
    <row r="71" spans="1:2" x14ac:dyDescent="0.3">
      <c r="A71" s="84" t="s">
        <v>980</v>
      </c>
      <c r="B71" s="88">
        <v>26.375599999999999</v>
      </c>
    </row>
    <row r="72" spans="1:2" x14ac:dyDescent="0.3">
      <c r="A72" s="84" t="s">
        <v>999</v>
      </c>
      <c r="B72" s="88">
        <v>28.907699999999998</v>
      </c>
    </row>
    <row r="73" spans="1:2" x14ac:dyDescent="0.3">
      <c r="A73" s="84" t="s">
        <v>802</v>
      </c>
      <c r="B73" s="88">
        <v>22154.257900000004</v>
      </c>
    </row>
  </sheetData>
  <pageMargins left="0.7" right="0.7" top="0.75" bottom="0.75" header="0.3" footer="0.3"/>
  <pageSetup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zoomScale="63" zoomScaleNormal="63" workbookViewId="0">
      <pane ySplit="1" topLeftCell="A26" activePane="bottomLeft" state="frozenSplit"/>
      <selection pane="bottomLeft"/>
    </sheetView>
  </sheetViews>
  <sheetFormatPr defaultColWidth="9.109375" defaultRowHeight="15.6" outlineLevelRow="2" x14ac:dyDescent="0.3"/>
  <cols>
    <col min="1" max="1" width="31.6640625" style="49" bestFit="1" customWidth="1"/>
    <col min="2" max="2" width="29" style="49" bestFit="1" customWidth="1"/>
    <col min="3" max="3" width="28.44140625" style="49" bestFit="1" customWidth="1"/>
    <col min="4" max="4" width="26.88671875" style="49" bestFit="1" customWidth="1"/>
    <col min="5" max="5" width="12.109375" style="49" bestFit="1" customWidth="1"/>
    <col min="6" max="6" width="14.109375" style="49" bestFit="1" customWidth="1"/>
    <col min="7" max="7" width="10.44140625" style="49" bestFit="1" customWidth="1"/>
    <col min="8" max="8" width="14.88671875" style="49" bestFit="1" customWidth="1"/>
    <col min="9" max="9" width="10.88671875" style="49" customWidth="1"/>
    <col min="10" max="10" width="10.6640625" style="49" customWidth="1"/>
    <col min="11" max="11" width="11.33203125" style="49" bestFit="1" customWidth="1"/>
    <col min="12" max="12" width="11.6640625" style="49" bestFit="1" customWidth="1"/>
    <col min="13" max="13" width="20.109375" style="49" bestFit="1" customWidth="1"/>
    <col min="14" max="14" width="19.44140625" style="49" bestFit="1" customWidth="1"/>
    <col min="15" max="16384" width="9.109375" style="49"/>
  </cols>
  <sheetData>
    <row r="1" spans="1:14" s="91" customFormat="1" ht="87" outlineLevel="2" x14ac:dyDescent="0.3">
      <c r="A1" s="92" t="s">
        <v>680</v>
      </c>
      <c r="B1" s="92" t="s">
        <v>668</v>
      </c>
      <c r="C1" s="92" t="s">
        <v>0</v>
      </c>
      <c r="D1" s="92" t="s">
        <v>1</v>
      </c>
      <c r="E1" s="93" t="s">
        <v>2</v>
      </c>
      <c r="F1" s="92" t="s">
        <v>3</v>
      </c>
      <c r="G1" s="92" t="s">
        <v>6</v>
      </c>
      <c r="H1" s="94" t="s">
        <v>669</v>
      </c>
      <c r="I1" s="92" t="s">
        <v>683</v>
      </c>
      <c r="J1" s="92" t="s">
        <v>684</v>
      </c>
      <c r="K1" s="95" t="s">
        <v>685</v>
      </c>
      <c r="L1" s="95" t="s">
        <v>686</v>
      </c>
      <c r="M1" s="92" t="s">
        <v>4</v>
      </c>
      <c r="N1" s="92" t="s">
        <v>5</v>
      </c>
    </row>
    <row r="2" spans="1:14" s="44" customFormat="1" ht="15" outlineLevel="2" x14ac:dyDescent="0.25">
      <c r="A2" s="152" t="s">
        <v>687</v>
      </c>
      <c r="B2" s="38" t="s">
        <v>362</v>
      </c>
      <c r="C2" s="41" t="str">
        <f>VLOOKUP(B2,Tables!G$2:H$79,2,FALSE)</f>
        <v>Superintendents Office</v>
      </c>
      <c r="D2" s="38" t="s">
        <v>687</v>
      </c>
      <c r="E2" s="40" t="s">
        <v>784</v>
      </c>
      <c r="F2" s="38" t="s">
        <v>688</v>
      </c>
      <c r="G2" s="38" t="s">
        <v>723</v>
      </c>
      <c r="H2" s="42">
        <v>17099735</v>
      </c>
      <c r="I2" s="153" t="s">
        <v>689</v>
      </c>
      <c r="J2" s="153"/>
      <c r="K2" s="154">
        <v>47.92</v>
      </c>
      <c r="L2" s="3">
        <f>SUM(J2*K2)</f>
        <v>0</v>
      </c>
      <c r="M2" s="38" t="s">
        <v>690</v>
      </c>
      <c r="N2" s="38" t="s">
        <v>691</v>
      </c>
    </row>
    <row r="3" spans="1:14" s="44" customFormat="1" ht="15" outlineLevel="1" x14ac:dyDescent="0.25">
      <c r="A3" s="38" t="s">
        <v>692</v>
      </c>
      <c r="B3" s="38" t="s">
        <v>480</v>
      </c>
      <c r="C3" s="41" t="str">
        <f>VLOOKUP(B3,Tables!G$2:H$79,2,FALSE)</f>
        <v>Protocol Office</v>
      </c>
      <c r="D3" s="38" t="s">
        <v>785</v>
      </c>
      <c r="E3" s="40">
        <v>300</v>
      </c>
      <c r="F3" s="38">
        <v>4650</v>
      </c>
      <c r="G3" s="38" t="s">
        <v>724</v>
      </c>
      <c r="H3" s="155" t="s">
        <v>693</v>
      </c>
      <c r="I3" s="153" t="s">
        <v>689</v>
      </c>
      <c r="J3" s="153"/>
      <c r="K3" s="154">
        <v>58.48</v>
      </c>
      <c r="L3" s="3">
        <f>SUM(J3*K3)</f>
        <v>0</v>
      </c>
      <c r="M3" s="38" t="s">
        <v>694</v>
      </c>
      <c r="N3" s="38" t="s">
        <v>695</v>
      </c>
    </row>
    <row r="4" spans="1:14" s="45" customFormat="1" ht="15.75" x14ac:dyDescent="0.25">
      <c r="A4" s="38" t="s">
        <v>692</v>
      </c>
      <c r="B4" s="38" t="s">
        <v>480</v>
      </c>
      <c r="C4" s="41" t="str">
        <f>VLOOKUP(B4,Tables!G$2:H$79,2,FALSE)</f>
        <v>Protocol Office</v>
      </c>
      <c r="D4" s="38" t="s">
        <v>785</v>
      </c>
      <c r="E4" s="156">
        <v>300</v>
      </c>
      <c r="F4" s="38">
        <v>4650</v>
      </c>
      <c r="G4" s="38" t="s">
        <v>724</v>
      </c>
      <c r="H4" s="155" t="s">
        <v>693</v>
      </c>
      <c r="I4" s="153" t="s">
        <v>696</v>
      </c>
      <c r="J4" s="153"/>
      <c r="K4" s="154">
        <v>58.48</v>
      </c>
      <c r="L4" s="3">
        <f>SUM(J4*K4)</f>
        <v>0</v>
      </c>
      <c r="M4" s="38" t="s">
        <v>694</v>
      </c>
      <c r="N4" s="38" t="s">
        <v>695</v>
      </c>
    </row>
    <row r="5" spans="1:14" s="45" customFormat="1" x14ac:dyDescent="0.3">
      <c r="A5" s="38" t="s">
        <v>692</v>
      </c>
      <c r="B5" s="38" t="s">
        <v>480</v>
      </c>
      <c r="C5" s="41" t="str">
        <f>VLOOKUP(B5,Tables!G$2:H$90,2,FALSE)</f>
        <v>Protocol Office</v>
      </c>
      <c r="D5" s="38" t="s">
        <v>785</v>
      </c>
      <c r="E5" s="156">
        <v>300</v>
      </c>
      <c r="F5" s="38">
        <v>4650</v>
      </c>
      <c r="G5" s="38" t="s">
        <v>724</v>
      </c>
      <c r="H5" s="155" t="s">
        <v>693</v>
      </c>
      <c r="I5" s="153" t="s">
        <v>697</v>
      </c>
      <c r="J5" s="153"/>
      <c r="K5" s="154">
        <v>58.48</v>
      </c>
      <c r="L5" s="3">
        <f>SUM(J5*K5)</f>
        <v>0</v>
      </c>
      <c r="M5" s="38" t="s">
        <v>694</v>
      </c>
      <c r="N5" s="38" t="s">
        <v>695</v>
      </c>
    </row>
    <row r="6" spans="1:14" s="45" customFormat="1" ht="15.75" x14ac:dyDescent="0.25">
      <c r="A6" s="38" t="s">
        <v>692</v>
      </c>
      <c r="B6" s="38" t="s">
        <v>480</v>
      </c>
      <c r="C6" s="41" t="str">
        <f>VLOOKUP(B6,Tables!G$2:H$90,2,FALSE)</f>
        <v>Protocol Office</v>
      </c>
      <c r="D6" s="38" t="s">
        <v>785</v>
      </c>
      <c r="E6" s="156">
        <v>300</v>
      </c>
      <c r="F6" s="38">
        <v>4650</v>
      </c>
      <c r="G6" s="38" t="s">
        <v>724</v>
      </c>
      <c r="H6" s="155" t="s">
        <v>693</v>
      </c>
      <c r="I6" s="153" t="s">
        <v>698</v>
      </c>
      <c r="J6" s="153"/>
      <c r="K6" s="154">
        <v>58.48</v>
      </c>
      <c r="L6" s="3">
        <f>SUM(J6*K6)</f>
        <v>0</v>
      </c>
      <c r="M6" s="38" t="s">
        <v>694</v>
      </c>
      <c r="N6" s="38" t="s">
        <v>695</v>
      </c>
    </row>
    <row r="7" spans="1:14" s="44" customFormat="1" ht="15" outlineLevel="2" x14ac:dyDescent="0.3">
      <c r="A7" s="38" t="s">
        <v>699</v>
      </c>
      <c r="B7" s="76" t="s">
        <v>305</v>
      </c>
      <c r="C7" s="41" t="str">
        <f>VLOOKUP(B7,Tables!G$2:H$90,2,FALSE)</f>
        <v>Admissions Office</v>
      </c>
      <c r="D7" s="38" t="s">
        <v>306</v>
      </c>
      <c r="E7" s="40">
        <v>204</v>
      </c>
      <c r="F7" s="38" t="s">
        <v>700</v>
      </c>
      <c r="G7" s="38" t="s">
        <v>724</v>
      </c>
      <c r="H7" s="46">
        <v>17099781</v>
      </c>
      <c r="I7" s="153" t="s">
        <v>689</v>
      </c>
      <c r="J7" s="153"/>
      <c r="K7" s="154">
        <v>89.75</v>
      </c>
      <c r="L7" s="3">
        <f t="shared" ref="L7:L50" si="0">SUM(J7*K7)</f>
        <v>0</v>
      </c>
      <c r="M7" s="155" t="s">
        <v>701</v>
      </c>
      <c r="N7" s="38" t="s">
        <v>702</v>
      </c>
    </row>
    <row r="8" spans="1:14" s="44" customFormat="1" ht="15" outlineLevel="2" x14ac:dyDescent="0.3">
      <c r="A8" s="38" t="s">
        <v>699</v>
      </c>
      <c r="B8" s="76" t="s">
        <v>305</v>
      </c>
      <c r="C8" s="41" t="str">
        <f>VLOOKUP(B8,Tables!G$2:H$90,2,FALSE)</f>
        <v>Admissions Office</v>
      </c>
      <c r="D8" s="38" t="s">
        <v>306</v>
      </c>
      <c r="E8" s="40">
        <v>204</v>
      </c>
      <c r="F8" s="38" t="s">
        <v>700</v>
      </c>
      <c r="G8" s="38" t="s">
        <v>724</v>
      </c>
      <c r="H8" s="46">
        <v>17099781</v>
      </c>
      <c r="I8" s="153" t="s">
        <v>696</v>
      </c>
      <c r="J8" s="153"/>
      <c r="K8" s="154">
        <v>91.49</v>
      </c>
      <c r="L8" s="3">
        <f t="shared" si="0"/>
        <v>0</v>
      </c>
      <c r="M8" s="155" t="s">
        <v>701</v>
      </c>
      <c r="N8" s="38" t="s">
        <v>702</v>
      </c>
    </row>
    <row r="9" spans="1:14" s="44" customFormat="1" ht="15" outlineLevel="2" x14ac:dyDescent="0.3">
      <c r="A9" s="38" t="s">
        <v>699</v>
      </c>
      <c r="B9" s="76" t="s">
        <v>305</v>
      </c>
      <c r="C9" s="41" t="str">
        <f>VLOOKUP(B9,Tables!G$2:H$90,2,FALSE)</f>
        <v>Admissions Office</v>
      </c>
      <c r="D9" s="38" t="s">
        <v>306</v>
      </c>
      <c r="E9" s="40">
        <v>204</v>
      </c>
      <c r="F9" s="38" t="s">
        <v>700</v>
      </c>
      <c r="G9" s="38" t="s">
        <v>724</v>
      </c>
      <c r="H9" s="46">
        <v>17099781</v>
      </c>
      <c r="I9" s="153" t="s">
        <v>697</v>
      </c>
      <c r="J9" s="153"/>
      <c r="K9" s="154">
        <v>91.49</v>
      </c>
      <c r="L9" s="3">
        <f t="shared" si="0"/>
        <v>0</v>
      </c>
      <c r="M9" s="155" t="s">
        <v>701</v>
      </c>
      <c r="N9" s="38" t="s">
        <v>702</v>
      </c>
    </row>
    <row r="10" spans="1:14" s="44" customFormat="1" ht="15" outlineLevel="2" x14ac:dyDescent="0.3">
      <c r="A10" s="38" t="s">
        <v>699</v>
      </c>
      <c r="B10" s="76" t="s">
        <v>305</v>
      </c>
      <c r="C10" s="41" t="str">
        <f>VLOOKUP(B10,Tables!G$2:H$90,2,FALSE)</f>
        <v>Admissions Office</v>
      </c>
      <c r="D10" s="38" t="s">
        <v>306</v>
      </c>
      <c r="E10" s="40">
        <v>204</v>
      </c>
      <c r="F10" s="38" t="s">
        <v>700</v>
      </c>
      <c r="G10" s="38" t="s">
        <v>724</v>
      </c>
      <c r="H10" s="46">
        <v>17099781</v>
      </c>
      <c r="I10" s="153" t="s">
        <v>698</v>
      </c>
      <c r="J10" s="153"/>
      <c r="K10" s="154">
        <v>91.49</v>
      </c>
      <c r="L10" s="3">
        <f t="shared" si="0"/>
        <v>0</v>
      </c>
      <c r="M10" s="155" t="s">
        <v>701</v>
      </c>
      <c r="N10" s="38" t="s">
        <v>702</v>
      </c>
    </row>
    <row r="11" spans="1:14" s="44" customFormat="1" ht="15" outlineLevel="2" x14ac:dyDescent="0.25">
      <c r="A11" s="38" t="s">
        <v>703</v>
      </c>
      <c r="B11" s="38" t="s">
        <v>240</v>
      </c>
      <c r="C11" s="41" t="str">
        <f>VLOOKUP(B11,Tables!G$2:H$90,2,FALSE)</f>
        <v>Libraries</v>
      </c>
      <c r="D11" s="38" t="s">
        <v>175</v>
      </c>
      <c r="E11" s="40">
        <v>406</v>
      </c>
      <c r="F11" s="38" t="s">
        <v>704</v>
      </c>
      <c r="G11" s="38" t="s">
        <v>724</v>
      </c>
      <c r="H11" s="46">
        <v>17099815</v>
      </c>
      <c r="I11" s="153" t="s">
        <v>689</v>
      </c>
      <c r="J11" s="153"/>
      <c r="K11" s="154">
        <v>53.82</v>
      </c>
      <c r="L11" s="3">
        <f t="shared" si="0"/>
        <v>0</v>
      </c>
      <c r="M11" s="38" t="s">
        <v>705</v>
      </c>
      <c r="N11" s="38" t="s">
        <v>706</v>
      </c>
    </row>
    <row r="12" spans="1:14" s="44" customFormat="1" ht="15" outlineLevel="2" x14ac:dyDescent="0.25">
      <c r="A12" s="38" t="s">
        <v>703</v>
      </c>
      <c r="B12" s="38" t="s">
        <v>240</v>
      </c>
      <c r="C12" s="41" t="str">
        <f>VLOOKUP(B12,Tables!G$2:H$90,2,FALSE)</f>
        <v>Libraries</v>
      </c>
      <c r="D12" s="38" t="s">
        <v>175</v>
      </c>
      <c r="E12" s="40">
        <v>406</v>
      </c>
      <c r="F12" s="38" t="s">
        <v>704</v>
      </c>
      <c r="G12" s="38" t="s">
        <v>724</v>
      </c>
      <c r="H12" s="46">
        <v>17099815</v>
      </c>
      <c r="I12" s="153" t="s">
        <v>696</v>
      </c>
      <c r="J12" s="153"/>
      <c r="K12" s="154">
        <v>61.89</v>
      </c>
      <c r="L12" s="3">
        <f t="shared" si="0"/>
        <v>0</v>
      </c>
      <c r="M12" s="38" t="s">
        <v>707</v>
      </c>
      <c r="N12" s="38" t="s">
        <v>706</v>
      </c>
    </row>
    <row r="13" spans="1:14" s="44" customFormat="1" ht="15" outlineLevel="2" x14ac:dyDescent="0.25">
      <c r="A13" s="38" t="s">
        <v>703</v>
      </c>
      <c r="B13" s="38" t="s">
        <v>240</v>
      </c>
      <c r="C13" s="41" t="str">
        <f>VLOOKUP(B13,Tables!G$2:H$90,2,FALSE)</f>
        <v>Libraries</v>
      </c>
      <c r="D13" s="38" t="s">
        <v>175</v>
      </c>
      <c r="E13" s="40">
        <v>406</v>
      </c>
      <c r="F13" s="38" t="s">
        <v>704</v>
      </c>
      <c r="G13" s="38" t="s">
        <v>724</v>
      </c>
      <c r="H13" s="46">
        <v>17099815</v>
      </c>
      <c r="I13" s="153" t="s">
        <v>697</v>
      </c>
      <c r="J13" s="153"/>
      <c r="K13" s="154">
        <v>61.89</v>
      </c>
      <c r="L13" s="3">
        <f t="shared" si="0"/>
        <v>0</v>
      </c>
      <c r="M13" s="38" t="s">
        <v>708</v>
      </c>
      <c r="N13" s="38" t="s">
        <v>706</v>
      </c>
    </row>
    <row r="14" spans="1:14" s="44" customFormat="1" ht="15" outlineLevel="2" x14ac:dyDescent="0.25">
      <c r="A14" s="38" t="s">
        <v>703</v>
      </c>
      <c r="B14" s="38" t="s">
        <v>240</v>
      </c>
      <c r="C14" s="41" t="str">
        <f>VLOOKUP(B14,Tables!G$2:H$90,2,FALSE)</f>
        <v>Libraries</v>
      </c>
      <c r="D14" s="38" t="s">
        <v>175</v>
      </c>
      <c r="E14" s="40">
        <v>406</v>
      </c>
      <c r="F14" s="38" t="s">
        <v>704</v>
      </c>
      <c r="G14" s="38" t="s">
        <v>724</v>
      </c>
      <c r="H14" s="46">
        <v>17099815</v>
      </c>
      <c r="I14" s="153" t="s">
        <v>698</v>
      </c>
      <c r="J14" s="153"/>
      <c r="K14" s="154">
        <v>61.89</v>
      </c>
      <c r="L14" s="3">
        <f t="shared" si="0"/>
        <v>0</v>
      </c>
      <c r="M14" s="38" t="s">
        <v>709</v>
      </c>
      <c r="N14" s="38" t="s">
        <v>706</v>
      </c>
    </row>
    <row r="15" spans="1:14" s="44" customFormat="1" ht="15" outlineLevel="2" x14ac:dyDescent="0.25">
      <c r="A15" s="38" t="s">
        <v>220</v>
      </c>
      <c r="B15" s="157" t="s">
        <v>219</v>
      </c>
      <c r="C15" s="41" t="str">
        <f>VLOOKUP(B15,Tables!G$2:H$90,2,FALSE)</f>
        <v>Philosophy &amp; Psychology</v>
      </c>
      <c r="D15" s="38" t="s">
        <v>221</v>
      </c>
      <c r="E15" s="40">
        <v>403</v>
      </c>
      <c r="F15" s="158" t="s">
        <v>710</v>
      </c>
      <c r="G15" s="38" t="s">
        <v>724</v>
      </c>
      <c r="H15" s="46">
        <v>17099728</v>
      </c>
      <c r="I15" s="153" t="s">
        <v>689</v>
      </c>
      <c r="J15" s="153"/>
      <c r="K15" s="154">
        <v>74.180000000000007</v>
      </c>
      <c r="L15" s="3">
        <f t="shared" si="0"/>
        <v>0</v>
      </c>
      <c r="M15" s="38" t="s">
        <v>711</v>
      </c>
      <c r="N15" s="38" t="s">
        <v>712</v>
      </c>
    </row>
    <row r="16" spans="1:14" s="44" customFormat="1" ht="15" outlineLevel="2" x14ac:dyDescent="0.25">
      <c r="A16" s="38" t="s">
        <v>220</v>
      </c>
      <c r="B16" s="157" t="s">
        <v>219</v>
      </c>
      <c r="C16" s="41" t="str">
        <f>VLOOKUP(B16,Tables!G$2:H$90,2,FALSE)</f>
        <v>Philosophy &amp; Psychology</v>
      </c>
      <c r="D16" s="38" t="s">
        <v>221</v>
      </c>
      <c r="E16" s="40">
        <v>403</v>
      </c>
      <c r="F16" s="158" t="s">
        <v>710</v>
      </c>
      <c r="G16" s="38" t="s">
        <v>724</v>
      </c>
      <c r="H16" s="46">
        <v>17099728</v>
      </c>
      <c r="I16" s="153" t="s">
        <v>696</v>
      </c>
      <c r="J16" s="153"/>
      <c r="K16" s="154">
        <v>76.19</v>
      </c>
      <c r="L16" s="3">
        <f t="shared" si="0"/>
        <v>0</v>
      </c>
      <c r="M16" s="38" t="s">
        <v>713</v>
      </c>
      <c r="N16" s="38" t="s">
        <v>712</v>
      </c>
    </row>
    <row r="17" spans="1:14" s="44" customFormat="1" ht="15" outlineLevel="2" x14ac:dyDescent="0.25">
      <c r="A17" s="38" t="s">
        <v>220</v>
      </c>
      <c r="B17" s="157" t="s">
        <v>219</v>
      </c>
      <c r="C17" s="41" t="str">
        <f>VLOOKUP(B17,Tables!G$2:H$90,2,FALSE)</f>
        <v>Philosophy &amp; Psychology</v>
      </c>
      <c r="D17" s="38" t="s">
        <v>221</v>
      </c>
      <c r="E17" s="40">
        <v>403</v>
      </c>
      <c r="F17" s="158" t="s">
        <v>710</v>
      </c>
      <c r="G17" s="38" t="s">
        <v>724</v>
      </c>
      <c r="H17" s="46">
        <v>17099728</v>
      </c>
      <c r="I17" s="153" t="s">
        <v>697</v>
      </c>
      <c r="J17" s="153"/>
      <c r="K17" s="154">
        <v>76.19</v>
      </c>
      <c r="L17" s="3">
        <f t="shared" si="0"/>
        <v>0</v>
      </c>
      <c r="M17" s="38" t="s">
        <v>714</v>
      </c>
      <c r="N17" s="38" t="s">
        <v>712</v>
      </c>
    </row>
    <row r="18" spans="1:14" s="44" customFormat="1" ht="15" outlineLevel="2" x14ac:dyDescent="0.25">
      <c r="A18" s="38" t="s">
        <v>220</v>
      </c>
      <c r="B18" s="157" t="s">
        <v>219</v>
      </c>
      <c r="C18" s="41" t="str">
        <f>VLOOKUP(B18,Tables!G$2:H$90,2,FALSE)</f>
        <v>Philosophy &amp; Psychology</v>
      </c>
      <c r="D18" s="38" t="s">
        <v>221</v>
      </c>
      <c r="E18" s="40">
        <v>403</v>
      </c>
      <c r="F18" s="158" t="s">
        <v>710</v>
      </c>
      <c r="G18" s="38" t="s">
        <v>724</v>
      </c>
      <c r="H18" s="46">
        <v>17099728</v>
      </c>
      <c r="I18" s="153" t="s">
        <v>698</v>
      </c>
      <c r="J18" s="153"/>
      <c r="K18" s="154">
        <v>76.19</v>
      </c>
      <c r="L18" s="3">
        <f t="shared" si="0"/>
        <v>0</v>
      </c>
      <c r="M18" s="38" t="s">
        <v>715</v>
      </c>
      <c r="N18" s="38" t="s">
        <v>712</v>
      </c>
    </row>
    <row r="19" spans="1:14" s="44" customFormat="1" ht="15" outlineLevel="2" x14ac:dyDescent="0.3">
      <c r="A19" s="38" t="s">
        <v>716</v>
      </c>
      <c r="B19" s="38" t="s">
        <v>617</v>
      </c>
      <c r="C19" s="41" t="str">
        <f>VLOOKUP(B19,Tables!G$2:H$90,2,FALSE)</f>
        <v>Administrative</v>
      </c>
      <c r="D19" s="38" t="s">
        <v>583</v>
      </c>
      <c r="E19" s="40">
        <v>345</v>
      </c>
      <c r="F19" s="158" t="s">
        <v>710</v>
      </c>
      <c r="G19" s="38" t="s">
        <v>724</v>
      </c>
      <c r="H19" s="158" t="s">
        <v>717</v>
      </c>
      <c r="I19" s="153" t="s">
        <v>689</v>
      </c>
      <c r="J19" s="153"/>
      <c r="K19" s="154">
        <v>74.180000000000007</v>
      </c>
      <c r="L19" s="3">
        <f t="shared" si="0"/>
        <v>0</v>
      </c>
      <c r="M19" s="38" t="s">
        <v>738</v>
      </c>
      <c r="N19" s="38" t="s">
        <v>739</v>
      </c>
    </row>
    <row r="20" spans="1:14" s="48" customFormat="1" ht="15" outlineLevel="2" x14ac:dyDescent="0.25">
      <c r="A20" s="38" t="s">
        <v>716</v>
      </c>
      <c r="B20" s="38" t="s">
        <v>617</v>
      </c>
      <c r="C20" s="41" t="str">
        <f>VLOOKUP(B20,Tables!G$2:H$90,2,FALSE)</f>
        <v>Administrative</v>
      </c>
      <c r="D20" s="38" t="s">
        <v>583</v>
      </c>
      <c r="E20" s="40">
        <v>345</v>
      </c>
      <c r="F20" s="158" t="s">
        <v>710</v>
      </c>
      <c r="G20" s="38" t="s">
        <v>724</v>
      </c>
      <c r="H20" s="158" t="s">
        <v>717</v>
      </c>
      <c r="I20" s="153" t="s">
        <v>696</v>
      </c>
      <c r="J20" s="153"/>
      <c r="K20" s="154">
        <v>76.19</v>
      </c>
      <c r="L20" s="3">
        <f t="shared" si="0"/>
        <v>0</v>
      </c>
      <c r="M20" s="38" t="s">
        <v>738</v>
      </c>
      <c r="N20" s="38" t="s">
        <v>739</v>
      </c>
    </row>
    <row r="21" spans="1:14" s="48" customFormat="1" ht="15" outlineLevel="1" x14ac:dyDescent="0.25">
      <c r="A21" s="38" t="s">
        <v>716</v>
      </c>
      <c r="B21" s="38" t="s">
        <v>617</v>
      </c>
      <c r="C21" s="41" t="str">
        <f>VLOOKUP(B21,Tables!G$2:H$90,2,FALSE)</f>
        <v>Administrative</v>
      </c>
      <c r="D21" s="38" t="s">
        <v>583</v>
      </c>
      <c r="E21" s="40">
        <v>345</v>
      </c>
      <c r="F21" s="158" t="s">
        <v>710</v>
      </c>
      <c r="G21" s="38" t="s">
        <v>724</v>
      </c>
      <c r="H21" s="158" t="s">
        <v>717</v>
      </c>
      <c r="I21" s="153" t="s">
        <v>697</v>
      </c>
      <c r="J21" s="153"/>
      <c r="K21" s="154">
        <v>76.19</v>
      </c>
      <c r="L21" s="3">
        <f t="shared" si="0"/>
        <v>0</v>
      </c>
      <c r="M21" s="38" t="s">
        <v>738</v>
      </c>
      <c r="N21" s="38" t="s">
        <v>739</v>
      </c>
    </row>
    <row r="22" spans="1:14" s="48" customFormat="1" ht="15" outlineLevel="2" x14ac:dyDescent="0.25">
      <c r="A22" s="38" t="s">
        <v>716</v>
      </c>
      <c r="B22" s="38" t="s">
        <v>617</v>
      </c>
      <c r="C22" s="41" t="str">
        <f>VLOOKUP(B22,Tables!G$2:H$90,2,FALSE)</f>
        <v>Administrative</v>
      </c>
      <c r="D22" s="38" t="s">
        <v>583</v>
      </c>
      <c r="E22" s="40">
        <v>345</v>
      </c>
      <c r="F22" s="158" t="s">
        <v>710</v>
      </c>
      <c r="G22" s="38" t="s">
        <v>724</v>
      </c>
      <c r="H22" s="158" t="s">
        <v>717</v>
      </c>
      <c r="I22" s="153" t="s">
        <v>698</v>
      </c>
      <c r="J22" s="153"/>
      <c r="K22" s="154">
        <v>76.19</v>
      </c>
      <c r="L22" s="3">
        <f t="shared" si="0"/>
        <v>0</v>
      </c>
      <c r="M22" s="38" t="s">
        <v>738</v>
      </c>
      <c r="N22" s="38" t="s">
        <v>739</v>
      </c>
    </row>
    <row r="23" spans="1:14" s="44" customFormat="1" ht="15" outlineLevel="2" x14ac:dyDescent="0.25">
      <c r="A23" s="38" t="s">
        <v>385</v>
      </c>
      <c r="B23" s="38" t="s">
        <v>386</v>
      </c>
      <c r="C23" s="41" t="str">
        <f>VLOOKUP(B23,Tables!G$2:H$90,2,FALSE)</f>
        <v>Comptroller's Office</v>
      </c>
      <c r="D23" s="38" t="s">
        <v>276</v>
      </c>
      <c r="E23" s="40">
        <v>311</v>
      </c>
      <c r="F23" s="38" t="s">
        <v>718</v>
      </c>
      <c r="G23" s="38" t="s">
        <v>724</v>
      </c>
      <c r="H23" s="42">
        <v>17099745</v>
      </c>
      <c r="I23" s="153" t="s">
        <v>689</v>
      </c>
      <c r="J23" s="153"/>
      <c r="K23" s="154">
        <v>32.03</v>
      </c>
      <c r="L23" s="3">
        <f t="shared" si="0"/>
        <v>0</v>
      </c>
      <c r="M23" s="38" t="s">
        <v>719</v>
      </c>
      <c r="N23" s="38" t="s">
        <v>720</v>
      </c>
    </row>
    <row r="24" spans="1:14" s="44" customFormat="1" ht="15" outlineLevel="1" x14ac:dyDescent="0.25">
      <c r="A24" s="38" t="s">
        <v>385</v>
      </c>
      <c r="B24" s="38" t="s">
        <v>386</v>
      </c>
      <c r="C24" s="41" t="str">
        <f>VLOOKUP(B24,Tables!G$2:H$90,2,FALSE)</f>
        <v>Comptroller's Office</v>
      </c>
      <c r="D24" s="38" t="s">
        <v>276</v>
      </c>
      <c r="E24" s="40">
        <v>320</v>
      </c>
      <c r="F24" s="38" t="s">
        <v>718</v>
      </c>
      <c r="G24" s="38" t="s">
        <v>724</v>
      </c>
      <c r="H24" s="42">
        <v>17099744</v>
      </c>
      <c r="I24" s="153" t="s">
        <v>689</v>
      </c>
      <c r="J24" s="153"/>
      <c r="K24" s="154">
        <v>32.03</v>
      </c>
      <c r="L24" s="3">
        <f t="shared" si="0"/>
        <v>0</v>
      </c>
      <c r="M24" s="38" t="s">
        <v>721</v>
      </c>
      <c r="N24" s="38" t="s">
        <v>722</v>
      </c>
    </row>
    <row r="25" spans="1:14" s="48" customFormat="1" ht="15" outlineLevel="2" x14ac:dyDescent="0.2">
      <c r="A25" s="38" t="s">
        <v>556</v>
      </c>
      <c r="B25" s="38" t="s">
        <v>557</v>
      </c>
      <c r="C25" s="41" t="str">
        <f>VLOOKUP(B25,Tables!G$2:H$90,2,FALSE)</f>
        <v>AUX-Laundry &amp; Pressing</v>
      </c>
      <c r="D25" s="38" t="s">
        <v>995</v>
      </c>
      <c r="E25" s="40" t="s">
        <v>996</v>
      </c>
      <c r="F25" s="38">
        <v>2430</v>
      </c>
      <c r="G25" s="38" t="s">
        <v>724</v>
      </c>
      <c r="H25" s="42">
        <v>17099843</v>
      </c>
      <c r="I25" s="153" t="s">
        <v>689</v>
      </c>
      <c r="J25" s="153"/>
      <c r="K25" s="159">
        <v>117.39</v>
      </c>
      <c r="L25" s="3">
        <f t="shared" si="0"/>
        <v>0</v>
      </c>
      <c r="M25" s="38"/>
      <c r="N25" s="38"/>
    </row>
    <row r="26" spans="1:14" s="44" customFormat="1" ht="30" outlineLevel="2" x14ac:dyDescent="0.25">
      <c r="A26" s="39" t="s">
        <v>347</v>
      </c>
      <c r="B26" s="47" t="s">
        <v>826</v>
      </c>
      <c r="C26" s="41" t="str">
        <f>VLOOKUP(B26,Tables!G$2:H$90,2,FALSE)</f>
        <v>Financial Aid Administration</v>
      </c>
      <c r="D26" s="38" t="s">
        <v>221</v>
      </c>
      <c r="E26" s="40">
        <v>302</v>
      </c>
      <c r="F26" s="38" t="s">
        <v>1010</v>
      </c>
      <c r="G26" s="41" t="s">
        <v>723</v>
      </c>
      <c r="H26" s="42">
        <v>17099742</v>
      </c>
      <c r="I26" s="43" t="s">
        <v>689</v>
      </c>
      <c r="J26" s="43"/>
      <c r="K26" s="3">
        <v>25.24</v>
      </c>
      <c r="L26" s="3">
        <f t="shared" si="0"/>
        <v>0</v>
      </c>
      <c r="M26" s="38" t="s">
        <v>1011</v>
      </c>
      <c r="N26" s="38" t="s">
        <v>1012</v>
      </c>
    </row>
    <row r="27" spans="1:14" s="44" customFormat="1" ht="15" outlineLevel="2" x14ac:dyDescent="0.25">
      <c r="A27" s="39" t="s">
        <v>203</v>
      </c>
      <c r="B27" s="39" t="s">
        <v>204</v>
      </c>
      <c r="C27" s="41" t="str">
        <f>VLOOKUP(B27,Tables!G$2:H$90,2,FALSE)</f>
        <v>Physical Education</v>
      </c>
      <c r="D27" s="38" t="s">
        <v>205</v>
      </c>
      <c r="E27" s="40" t="s">
        <v>1013</v>
      </c>
      <c r="F27" s="38" t="s">
        <v>700</v>
      </c>
      <c r="G27" s="41" t="s">
        <v>724</v>
      </c>
      <c r="H27" s="42">
        <v>17099746</v>
      </c>
      <c r="I27" s="43" t="s">
        <v>689</v>
      </c>
      <c r="J27" s="43"/>
      <c r="K27" s="3"/>
      <c r="L27" s="3">
        <f t="shared" si="0"/>
        <v>0</v>
      </c>
      <c r="M27" s="38" t="s">
        <v>1014</v>
      </c>
      <c r="N27" s="38" t="s">
        <v>1015</v>
      </c>
    </row>
    <row r="28" spans="1:14" s="44" customFormat="1" ht="15" outlineLevel="2" x14ac:dyDescent="0.25">
      <c r="A28" s="39" t="s">
        <v>799</v>
      </c>
      <c r="B28" s="39" t="s">
        <v>164</v>
      </c>
      <c r="C28" s="41" t="str">
        <f>VLOOKUP(B28,Tables!G$2:H$90,2,FALSE)</f>
        <v>Mathematics</v>
      </c>
      <c r="D28" s="38" t="s">
        <v>166</v>
      </c>
      <c r="E28" s="40">
        <v>310</v>
      </c>
      <c r="F28" s="38" t="s">
        <v>1016</v>
      </c>
      <c r="G28" s="41" t="s">
        <v>724</v>
      </c>
      <c r="H28" s="42">
        <v>17099747</v>
      </c>
      <c r="I28" s="43" t="s">
        <v>689</v>
      </c>
      <c r="J28" s="43">
        <v>1</v>
      </c>
      <c r="K28" s="3">
        <v>49.38</v>
      </c>
      <c r="L28" s="3">
        <f t="shared" si="0"/>
        <v>49.38</v>
      </c>
      <c r="M28" s="38" t="s">
        <v>1017</v>
      </c>
      <c r="N28" s="38" t="s">
        <v>1020</v>
      </c>
    </row>
    <row r="29" spans="1:14" s="44" customFormat="1" ht="15" outlineLevel="2" x14ac:dyDescent="0.25">
      <c r="A29" s="39" t="s">
        <v>799</v>
      </c>
      <c r="B29" s="39" t="s">
        <v>164</v>
      </c>
      <c r="C29" s="41" t="str">
        <f>VLOOKUP(B29,Tables!G$2:H$90,2,FALSE)</f>
        <v>Mathematics</v>
      </c>
      <c r="D29" s="38" t="s">
        <v>166</v>
      </c>
      <c r="E29" s="40">
        <v>314</v>
      </c>
      <c r="F29" s="38" t="s">
        <v>1016</v>
      </c>
      <c r="G29" s="41" t="s">
        <v>724</v>
      </c>
      <c r="H29" s="42">
        <v>17099748</v>
      </c>
      <c r="I29" s="43" t="s">
        <v>689</v>
      </c>
      <c r="J29" s="43"/>
      <c r="K29" s="3">
        <v>49.38</v>
      </c>
      <c r="L29" s="3">
        <f t="shared" si="0"/>
        <v>0</v>
      </c>
      <c r="M29" s="38" t="s">
        <v>1018</v>
      </c>
      <c r="N29" s="38" t="s">
        <v>1021</v>
      </c>
    </row>
    <row r="30" spans="1:14" s="44" customFormat="1" ht="15" outlineLevel="2" x14ac:dyDescent="0.25">
      <c r="A30" s="39" t="s">
        <v>799</v>
      </c>
      <c r="B30" s="39" t="s">
        <v>164</v>
      </c>
      <c r="C30" s="41" t="str">
        <f>VLOOKUP(B30,Tables!G$2:H$90,2,FALSE)</f>
        <v>Mathematics</v>
      </c>
      <c r="D30" s="38" t="s">
        <v>166</v>
      </c>
      <c r="E30" s="40">
        <v>316</v>
      </c>
      <c r="F30" s="38" t="s">
        <v>1016</v>
      </c>
      <c r="G30" s="41" t="s">
        <v>724</v>
      </c>
      <c r="H30" s="42">
        <v>17099748</v>
      </c>
      <c r="I30" s="43" t="s">
        <v>689</v>
      </c>
      <c r="J30" s="43"/>
      <c r="K30" s="3">
        <v>49.38</v>
      </c>
      <c r="L30" s="3">
        <f t="shared" si="0"/>
        <v>0</v>
      </c>
      <c r="M30" s="38" t="s">
        <v>1019</v>
      </c>
      <c r="N30" s="38" t="s">
        <v>1022</v>
      </c>
    </row>
    <row r="31" spans="1:14" s="44" customFormat="1" ht="15" outlineLevel="2" x14ac:dyDescent="0.3">
      <c r="A31" s="39" t="s">
        <v>69</v>
      </c>
      <c r="B31" s="39" t="s">
        <v>70</v>
      </c>
      <c r="C31" s="41" t="str">
        <f>VLOOKUP(B31,Tables!G$2:H$90,2,FALSE)</f>
        <v>Chemistry</v>
      </c>
      <c r="D31" s="38" t="s">
        <v>53</v>
      </c>
      <c r="E31" s="40">
        <v>303</v>
      </c>
      <c r="F31" s="38" t="s">
        <v>710</v>
      </c>
      <c r="G31" s="41" t="s">
        <v>724</v>
      </c>
      <c r="H31" s="42">
        <v>17099751</v>
      </c>
      <c r="I31" s="43" t="s">
        <v>689</v>
      </c>
      <c r="J31" s="43"/>
      <c r="K31" s="3">
        <v>102.01</v>
      </c>
      <c r="L31" s="3">
        <f t="shared" si="0"/>
        <v>0</v>
      </c>
      <c r="M31" s="38" t="s">
        <v>1023</v>
      </c>
      <c r="N31" s="38" t="s">
        <v>1024</v>
      </c>
    </row>
    <row r="32" spans="1:14" s="44" customFormat="1" ht="15" outlineLevel="2" x14ac:dyDescent="0.3">
      <c r="A32" s="39" t="s">
        <v>69</v>
      </c>
      <c r="B32" s="39" t="s">
        <v>70</v>
      </c>
      <c r="C32" s="41" t="str">
        <f>VLOOKUP(B32,Tables!G$2:H$90,2,FALSE)</f>
        <v>Chemistry</v>
      </c>
      <c r="D32" s="38" t="s">
        <v>53</v>
      </c>
      <c r="E32" s="40">
        <v>303</v>
      </c>
      <c r="F32" s="38" t="s">
        <v>710</v>
      </c>
      <c r="G32" s="41" t="s">
        <v>724</v>
      </c>
      <c r="H32" s="42">
        <v>17099751</v>
      </c>
      <c r="I32" s="43" t="s">
        <v>696</v>
      </c>
      <c r="J32" s="43"/>
      <c r="K32" s="3">
        <v>102.01</v>
      </c>
      <c r="L32" s="3">
        <f t="shared" si="0"/>
        <v>0</v>
      </c>
      <c r="M32" s="38" t="s">
        <v>1025</v>
      </c>
      <c r="N32" s="38" t="s">
        <v>1028</v>
      </c>
    </row>
    <row r="33" spans="1:14" s="44" customFormat="1" ht="15" outlineLevel="2" x14ac:dyDescent="0.3">
      <c r="A33" s="39" t="s">
        <v>69</v>
      </c>
      <c r="B33" s="39" t="s">
        <v>70</v>
      </c>
      <c r="C33" s="41" t="str">
        <f>VLOOKUP(B33,Tables!G$2:H$90,2,FALSE)</f>
        <v>Chemistry</v>
      </c>
      <c r="D33" s="38" t="s">
        <v>53</v>
      </c>
      <c r="E33" s="40">
        <v>303</v>
      </c>
      <c r="F33" s="38" t="s">
        <v>710</v>
      </c>
      <c r="G33" s="41" t="s">
        <v>724</v>
      </c>
      <c r="H33" s="42">
        <v>17099751</v>
      </c>
      <c r="I33" s="43" t="s">
        <v>697</v>
      </c>
      <c r="J33" s="43"/>
      <c r="K33" s="3">
        <v>102.01</v>
      </c>
      <c r="L33" s="3">
        <f t="shared" si="0"/>
        <v>0</v>
      </c>
      <c r="M33" s="38" t="s">
        <v>1026</v>
      </c>
      <c r="N33" s="38" t="s">
        <v>1029</v>
      </c>
    </row>
    <row r="34" spans="1:14" s="44" customFormat="1" ht="15" outlineLevel="2" x14ac:dyDescent="0.3">
      <c r="A34" s="39" t="s">
        <v>69</v>
      </c>
      <c r="B34" s="39" t="s">
        <v>70</v>
      </c>
      <c r="C34" s="41" t="str">
        <f>VLOOKUP(B34,Tables!G$2:H$90,2,FALSE)</f>
        <v>Chemistry</v>
      </c>
      <c r="D34" s="38" t="s">
        <v>53</v>
      </c>
      <c r="E34" s="40">
        <v>303</v>
      </c>
      <c r="F34" s="38" t="s">
        <v>710</v>
      </c>
      <c r="G34" s="41" t="s">
        <v>724</v>
      </c>
      <c r="H34" s="42">
        <v>17099751</v>
      </c>
      <c r="I34" s="43" t="s">
        <v>698</v>
      </c>
      <c r="J34" s="43"/>
      <c r="K34" s="3">
        <v>102.01</v>
      </c>
      <c r="L34" s="3">
        <f t="shared" si="0"/>
        <v>0</v>
      </c>
      <c r="M34" s="38" t="s">
        <v>1027</v>
      </c>
      <c r="N34" s="38" t="s">
        <v>1030</v>
      </c>
    </row>
    <row r="35" spans="1:14" s="44" customFormat="1" ht="30" outlineLevel="2" x14ac:dyDescent="0.25">
      <c r="A35" s="39" t="s">
        <v>1032</v>
      </c>
      <c r="B35" s="39" t="s">
        <v>498</v>
      </c>
      <c r="C35" s="41" t="str">
        <f>VLOOKUP(B35,Tables!G$2:H$90,2,FALSE)</f>
        <v>Physical Plant Administration</v>
      </c>
      <c r="D35" s="38" t="s">
        <v>665</v>
      </c>
      <c r="E35" s="40" t="s">
        <v>784</v>
      </c>
      <c r="F35" s="38" t="s">
        <v>1033</v>
      </c>
      <c r="G35" s="41" t="s">
        <v>724</v>
      </c>
      <c r="H35" s="42">
        <v>17099855</v>
      </c>
      <c r="I35" s="43" t="s">
        <v>689</v>
      </c>
      <c r="J35" s="43">
        <v>1</v>
      </c>
      <c r="K35" s="3">
        <v>49.37</v>
      </c>
      <c r="L35" s="3">
        <f t="shared" si="0"/>
        <v>49.37</v>
      </c>
      <c r="M35" s="38" t="s">
        <v>1034</v>
      </c>
      <c r="N35" s="38" t="s">
        <v>1035</v>
      </c>
    </row>
    <row r="36" spans="1:14" s="44" customFormat="1" ht="15" outlineLevel="2" x14ac:dyDescent="0.3">
      <c r="A36" s="39" t="s">
        <v>376</v>
      </c>
      <c r="B36" s="39" t="s">
        <v>374</v>
      </c>
      <c r="C36" s="41" t="str">
        <f>VLOOKUP(B36,Tables!G$2:H$90,2,FALSE)</f>
        <v>Business Executive</v>
      </c>
      <c r="D36" s="38" t="s">
        <v>276</v>
      </c>
      <c r="E36" s="40">
        <v>303</v>
      </c>
      <c r="F36" s="38" t="s">
        <v>710</v>
      </c>
      <c r="G36" s="41" t="s">
        <v>724</v>
      </c>
      <c r="H36" s="42">
        <v>17099854</v>
      </c>
      <c r="I36" s="43" t="s">
        <v>689</v>
      </c>
      <c r="J36" s="43"/>
      <c r="K36" s="3">
        <v>102.01</v>
      </c>
      <c r="L36" s="3">
        <f t="shared" si="0"/>
        <v>0</v>
      </c>
      <c r="M36" s="38" t="s">
        <v>1036</v>
      </c>
      <c r="N36" s="38" t="s">
        <v>801</v>
      </c>
    </row>
    <row r="37" spans="1:14" s="44" customFormat="1" ht="15" outlineLevel="2" x14ac:dyDescent="0.3">
      <c r="A37" s="39" t="s">
        <v>376</v>
      </c>
      <c r="B37" s="39" t="s">
        <v>374</v>
      </c>
      <c r="C37" s="41" t="str">
        <f>VLOOKUP(B37,Tables!G$2:H$90,2,FALSE)</f>
        <v>Business Executive</v>
      </c>
      <c r="D37" s="38" t="s">
        <v>276</v>
      </c>
      <c r="E37" s="40">
        <v>303</v>
      </c>
      <c r="F37" s="38" t="s">
        <v>710</v>
      </c>
      <c r="G37" s="41" t="s">
        <v>724</v>
      </c>
      <c r="H37" s="42">
        <v>17099854</v>
      </c>
      <c r="I37" s="43" t="s">
        <v>696</v>
      </c>
      <c r="J37" s="43"/>
      <c r="K37" s="3">
        <v>102.01</v>
      </c>
      <c r="L37" s="3">
        <f t="shared" si="0"/>
        <v>0</v>
      </c>
      <c r="M37" s="38" t="s">
        <v>1036</v>
      </c>
      <c r="N37" s="38" t="s">
        <v>801</v>
      </c>
    </row>
    <row r="38" spans="1:14" s="44" customFormat="1" ht="15" outlineLevel="1" x14ac:dyDescent="0.3">
      <c r="A38" s="39" t="s">
        <v>376</v>
      </c>
      <c r="B38" s="39" t="s">
        <v>374</v>
      </c>
      <c r="C38" s="41" t="str">
        <f>VLOOKUP(B38,Tables!G$2:H$90,2,FALSE)</f>
        <v>Business Executive</v>
      </c>
      <c r="D38" s="38" t="s">
        <v>276</v>
      </c>
      <c r="E38" s="40">
        <v>303</v>
      </c>
      <c r="F38" s="38" t="s">
        <v>710</v>
      </c>
      <c r="G38" s="41" t="s">
        <v>724</v>
      </c>
      <c r="H38" s="42">
        <v>17099854</v>
      </c>
      <c r="I38" s="43" t="s">
        <v>697</v>
      </c>
      <c r="J38" s="43"/>
      <c r="K38" s="3">
        <v>102.01</v>
      </c>
      <c r="L38" s="3">
        <f t="shared" si="0"/>
        <v>0</v>
      </c>
      <c r="M38" s="38" t="s">
        <v>1036</v>
      </c>
      <c r="N38" s="38" t="s">
        <v>801</v>
      </c>
    </row>
    <row r="39" spans="1:14" s="44" customFormat="1" ht="15" outlineLevel="2" x14ac:dyDescent="0.3">
      <c r="A39" s="39" t="s">
        <v>376</v>
      </c>
      <c r="B39" s="39" t="s">
        <v>374</v>
      </c>
      <c r="C39" s="41" t="str">
        <f>VLOOKUP(B39,Tables!G$2:H$90,2,FALSE)</f>
        <v>Business Executive</v>
      </c>
      <c r="D39" s="38" t="s">
        <v>276</v>
      </c>
      <c r="E39" s="40">
        <v>303</v>
      </c>
      <c r="F39" s="38" t="s">
        <v>710</v>
      </c>
      <c r="G39" s="41" t="s">
        <v>724</v>
      </c>
      <c r="H39" s="42">
        <v>17099854</v>
      </c>
      <c r="I39" s="43" t="s">
        <v>698</v>
      </c>
      <c r="J39" s="43"/>
      <c r="K39" s="3">
        <v>102.01</v>
      </c>
      <c r="L39" s="3">
        <f t="shared" si="0"/>
        <v>0</v>
      </c>
      <c r="M39" s="38" t="s">
        <v>1036</v>
      </c>
      <c r="N39" s="38" t="s">
        <v>801</v>
      </c>
    </row>
    <row r="40" spans="1:14" s="48" customFormat="1" ht="15" outlineLevel="1" x14ac:dyDescent="0.2">
      <c r="A40" s="39" t="s">
        <v>810</v>
      </c>
      <c r="B40" s="39" t="s">
        <v>483</v>
      </c>
      <c r="C40" s="41" t="str">
        <f>VLOOKUP(B40,Tables!G$2:H$90,2,FALSE)</f>
        <v>Institutional Analysis</v>
      </c>
      <c r="D40" s="38" t="s">
        <v>276</v>
      </c>
      <c r="E40" s="40">
        <v>101</v>
      </c>
      <c r="F40" s="38" t="s">
        <v>1037</v>
      </c>
      <c r="G40" s="41" t="s">
        <v>724</v>
      </c>
      <c r="H40" s="42">
        <v>17099854</v>
      </c>
      <c r="I40" s="43" t="s">
        <v>689</v>
      </c>
      <c r="J40" s="43"/>
      <c r="K40" s="3">
        <v>127.24</v>
      </c>
      <c r="L40" s="3">
        <f t="shared" si="0"/>
        <v>0</v>
      </c>
      <c r="M40" s="38" t="s">
        <v>1038</v>
      </c>
      <c r="N40" s="38" t="s">
        <v>1039</v>
      </c>
    </row>
    <row r="41" spans="1:14" s="48" customFormat="1" ht="15" outlineLevel="2" x14ac:dyDescent="0.2">
      <c r="A41" s="39" t="s">
        <v>810</v>
      </c>
      <c r="B41" s="39" t="s">
        <v>483</v>
      </c>
      <c r="C41" s="41" t="str">
        <f>VLOOKUP(B41,Tables!G$2:H$90,2,FALSE)</f>
        <v>Institutional Analysis</v>
      </c>
      <c r="D41" s="38" t="s">
        <v>276</v>
      </c>
      <c r="E41" s="40">
        <v>101</v>
      </c>
      <c r="F41" s="38" t="s">
        <v>1037</v>
      </c>
      <c r="G41" s="41" t="s">
        <v>724</v>
      </c>
      <c r="H41" s="42">
        <v>17099854</v>
      </c>
      <c r="I41" s="43" t="s">
        <v>696</v>
      </c>
      <c r="J41" s="43"/>
      <c r="K41" s="3">
        <v>127.24</v>
      </c>
      <c r="L41" s="3">
        <f t="shared" si="0"/>
        <v>0</v>
      </c>
      <c r="M41" s="38" t="s">
        <v>1038</v>
      </c>
      <c r="N41" s="38" t="s">
        <v>1039</v>
      </c>
    </row>
    <row r="42" spans="1:14" s="48" customFormat="1" ht="15" outlineLevel="1" x14ac:dyDescent="0.2">
      <c r="A42" s="39" t="s">
        <v>810</v>
      </c>
      <c r="B42" s="39" t="s">
        <v>483</v>
      </c>
      <c r="C42" s="41" t="str">
        <f>VLOOKUP(B42,Tables!G$2:H$90,2,FALSE)</f>
        <v>Institutional Analysis</v>
      </c>
      <c r="D42" s="38" t="s">
        <v>276</v>
      </c>
      <c r="E42" s="40">
        <v>101</v>
      </c>
      <c r="F42" s="38" t="s">
        <v>1037</v>
      </c>
      <c r="G42" s="41" t="s">
        <v>724</v>
      </c>
      <c r="H42" s="42">
        <v>17099854</v>
      </c>
      <c r="I42" s="43" t="s">
        <v>697</v>
      </c>
      <c r="J42" s="43"/>
      <c r="K42" s="3">
        <v>127.24</v>
      </c>
      <c r="L42" s="3">
        <f t="shared" si="0"/>
        <v>0</v>
      </c>
      <c r="M42" s="38" t="s">
        <v>1038</v>
      </c>
      <c r="N42" s="38" t="s">
        <v>1039</v>
      </c>
    </row>
    <row r="43" spans="1:14" s="48" customFormat="1" ht="15" outlineLevel="2" x14ac:dyDescent="0.2">
      <c r="A43" s="39" t="s">
        <v>810</v>
      </c>
      <c r="B43" s="39" t="s">
        <v>483</v>
      </c>
      <c r="C43" s="41" t="str">
        <f>VLOOKUP(B43,Tables!G$2:H$90,2,FALSE)</f>
        <v>Institutional Analysis</v>
      </c>
      <c r="D43" s="38" t="s">
        <v>276</v>
      </c>
      <c r="E43" s="40">
        <v>101</v>
      </c>
      <c r="F43" s="38" t="s">
        <v>1037</v>
      </c>
      <c r="G43" s="41" t="s">
        <v>724</v>
      </c>
      <c r="H43" s="42">
        <v>17099854</v>
      </c>
      <c r="I43" s="43" t="s">
        <v>698</v>
      </c>
      <c r="J43" s="43"/>
      <c r="K43" s="3">
        <v>127.24</v>
      </c>
      <c r="L43" s="3">
        <f t="shared" si="0"/>
        <v>0</v>
      </c>
      <c r="M43" s="38" t="s">
        <v>1038</v>
      </c>
      <c r="N43" s="38" t="s">
        <v>1039</v>
      </c>
    </row>
    <row r="44" spans="1:14" s="48" customFormat="1" ht="15" outlineLevel="1" x14ac:dyDescent="0.2">
      <c r="A44" s="39" t="s">
        <v>1040</v>
      </c>
      <c r="B44" s="39" t="s">
        <v>1042</v>
      </c>
      <c r="C44" s="41" t="str">
        <f>VLOOKUP(B44,Tables!G$2:H$90,2,FALSE)</f>
        <v>New Market Battle Field</v>
      </c>
      <c r="D44" s="38" t="s">
        <v>1040</v>
      </c>
      <c r="E44" s="40" t="s">
        <v>1047</v>
      </c>
      <c r="F44" s="38" t="s">
        <v>1041</v>
      </c>
      <c r="G44" s="41" t="s">
        <v>724</v>
      </c>
      <c r="H44" s="42"/>
      <c r="I44" s="43" t="s">
        <v>689</v>
      </c>
      <c r="J44" s="43"/>
      <c r="K44" s="3">
        <v>70.91</v>
      </c>
      <c r="L44" s="3">
        <f t="shared" si="0"/>
        <v>0</v>
      </c>
      <c r="M44" s="38" t="s">
        <v>1045</v>
      </c>
      <c r="N44" s="38" t="s">
        <v>739</v>
      </c>
    </row>
    <row r="45" spans="1:14" s="48" customFormat="1" ht="15" outlineLevel="2" x14ac:dyDescent="0.2">
      <c r="A45" s="39" t="s">
        <v>1040</v>
      </c>
      <c r="B45" s="39" t="s">
        <v>1042</v>
      </c>
      <c r="C45" s="41" t="str">
        <f>VLOOKUP(B45,Tables!G$2:H$90,2,FALSE)</f>
        <v>New Market Battle Field</v>
      </c>
      <c r="D45" s="38" t="s">
        <v>1040</v>
      </c>
      <c r="E45" s="40" t="s">
        <v>1047</v>
      </c>
      <c r="F45" s="38" t="s">
        <v>1044</v>
      </c>
      <c r="G45" s="41" t="s">
        <v>724</v>
      </c>
      <c r="H45" s="42"/>
      <c r="I45" s="43" t="s">
        <v>689</v>
      </c>
      <c r="J45" s="43"/>
      <c r="K45" s="3">
        <v>72.959999999999994</v>
      </c>
      <c r="L45" s="3">
        <f t="shared" si="0"/>
        <v>0</v>
      </c>
      <c r="M45" s="38" t="s">
        <v>1046</v>
      </c>
      <c r="N45" s="38" t="s">
        <v>739</v>
      </c>
    </row>
    <row r="46" spans="1:14" s="48" customFormat="1" ht="30" outlineLevel="1" x14ac:dyDescent="0.2">
      <c r="A46" s="39" t="s">
        <v>497</v>
      </c>
      <c r="B46" s="39" t="s">
        <v>498</v>
      </c>
      <c r="C46" s="41" t="str">
        <f>VLOOKUP(B46,Tables!G$2:H$90,2,FALSE)</f>
        <v>Physical Plant Administration</v>
      </c>
      <c r="D46" s="38" t="s">
        <v>1048</v>
      </c>
      <c r="E46" s="40" t="s">
        <v>1049</v>
      </c>
      <c r="F46" s="38" t="s">
        <v>1050</v>
      </c>
      <c r="G46" s="41" t="s">
        <v>724</v>
      </c>
      <c r="H46" s="42"/>
      <c r="I46" s="43" t="s">
        <v>689</v>
      </c>
      <c r="J46" s="43">
        <v>1</v>
      </c>
      <c r="K46" s="3">
        <v>58.53</v>
      </c>
      <c r="L46" s="3">
        <f t="shared" si="0"/>
        <v>58.53</v>
      </c>
      <c r="M46" s="38"/>
      <c r="N46" s="38"/>
    </row>
    <row r="47" spans="1:14" s="48" customFormat="1" ht="30" outlineLevel="2" x14ac:dyDescent="0.2">
      <c r="A47" s="39" t="s">
        <v>497</v>
      </c>
      <c r="B47" s="39" t="s">
        <v>498</v>
      </c>
      <c r="C47" s="41" t="str">
        <f>VLOOKUP(B47,Tables!G$2:H$90,2,FALSE)</f>
        <v>Physical Plant Administration</v>
      </c>
      <c r="D47" s="38" t="s">
        <v>1048</v>
      </c>
      <c r="E47" s="40" t="s">
        <v>1049</v>
      </c>
      <c r="F47" s="38" t="s">
        <v>1050</v>
      </c>
      <c r="G47" s="41" t="s">
        <v>724</v>
      </c>
      <c r="H47" s="42"/>
      <c r="I47" s="43" t="s">
        <v>696</v>
      </c>
      <c r="J47" s="43"/>
      <c r="K47" s="3">
        <v>58.53</v>
      </c>
      <c r="L47" s="3">
        <f t="shared" si="0"/>
        <v>0</v>
      </c>
      <c r="M47" s="38"/>
      <c r="N47" s="38"/>
    </row>
    <row r="48" spans="1:14" s="48" customFormat="1" ht="30" outlineLevel="1" x14ac:dyDescent="0.2">
      <c r="A48" s="39" t="s">
        <v>497</v>
      </c>
      <c r="B48" s="39" t="s">
        <v>498</v>
      </c>
      <c r="C48" s="41" t="str">
        <f>VLOOKUP(B48,Tables!G$2:H$90,2,FALSE)</f>
        <v>Physical Plant Administration</v>
      </c>
      <c r="D48" s="38" t="s">
        <v>1048</v>
      </c>
      <c r="E48" s="40" t="s">
        <v>1049</v>
      </c>
      <c r="F48" s="38" t="s">
        <v>1050</v>
      </c>
      <c r="G48" s="41" t="s">
        <v>724</v>
      </c>
      <c r="H48" s="42"/>
      <c r="I48" s="43" t="s">
        <v>697</v>
      </c>
      <c r="J48" s="43"/>
      <c r="K48" s="3">
        <v>58.53</v>
      </c>
      <c r="L48" s="3">
        <f t="shared" si="0"/>
        <v>0</v>
      </c>
      <c r="M48" s="38"/>
      <c r="N48" s="38"/>
    </row>
    <row r="49" spans="1:14" s="48" customFormat="1" ht="30" outlineLevel="2" x14ac:dyDescent="0.2">
      <c r="A49" s="39" t="s">
        <v>497</v>
      </c>
      <c r="B49" s="39" t="s">
        <v>498</v>
      </c>
      <c r="C49" s="41" t="str">
        <f>VLOOKUP(B49,Tables!G$2:H$90,2,FALSE)</f>
        <v>Physical Plant Administration</v>
      </c>
      <c r="D49" s="38" t="s">
        <v>1048</v>
      </c>
      <c r="E49" s="40" t="s">
        <v>1049</v>
      </c>
      <c r="F49" s="38" t="s">
        <v>1050</v>
      </c>
      <c r="G49" s="41" t="s">
        <v>724</v>
      </c>
      <c r="H49" s="42"/>
      <c r="I49" s="43" t="s">
        <v>698</v>
      </c>
      <c r="J49" s="43"/>
      <c r="K49" s="3">
        <v>58.53</v>
      </c>
      <c r="L49" s="3">
        <f t="shared" si="0"/>
        <v>0</v>
      </c>
      <c r="M49" s="38"/>
      <c r="N49" s="38"/>
    </row>
    <row r="50" spans="1:14" s="48" customFormat="1" ht="15" outlineLevel="1" x14ac:dyDescent="0.25">
      <c r="A50" s="39"/>
      <c r="B50" s="39"/>
      <c r="C50" s="41"/>
      <c r="D50" s="38"/>
      <c r="E50" s="40"/>
      <c r="F50" s="38"/>
      <c r="G50" s="41"/>
      <c r="H50" s="42"/>
      <c r="I50" s="43"/>
      <c r="J50" s="43"/>
      <c r="K50" s="3"/>
      <c r="L50" s="3">
        <f t="shared" si="0"/>
        <v>0</v>
      </c>
      <c r="M50" s="38"/>
      <c r="N50" s="38"/>
    </row>
    <row r="51" spans="1:14" s="48" customFormat="1" ht="29.25" customHeight="1" outlineLevel="2" x14ac:dyDescent="0.2">
      <c r="A51" s="39"/>
      <c r="B51" s="39"/>
      <c r="C51" s="39"/>
      <c r="D51" s="38"/>
      <c r="E51" s="40"/>
      <c r="F51" s="38"/>
      <c r="G51" s="41"/>
      <c r="H51" s="42"/>
      <c r="I51" s="43"/>
      <c r="J51" s="43">
        <f>SUM(J2:J50)</f>
        <v>3</v>
      </c>
      <c r="K51" s="3" t="s">
        <v>1031</v>
      </c>
      <c r="L51" s="3">
        <f>SUM(L2:L50)</f>
        <v>157.28</v>
      </c>
      <c r="M51" s="38"/>
      <c r="N51" s="38"/>
    </row>
    <row r="52" spans="1:14" s="48" customFormat="1" ht="29.25" customHeight="1" outlineLevel="2" x14ac:dyDescent="0.2">
      <c r="A52" s="39"/>
      <c r="B52" s="39"/>
      <c r="C52" s="39"/>
      <c r="D52" s="38"/>
      <c r="E52" s="40"/>
      <c r="F52" s="38"/>
      <c r="G52" s="41"/>
      <c r="H52" s="42"/>
      <c r="I52" s="43"/>
      <c r="J52" s="43"/>
      <c r="K52" s="3"/>
      <c r="L52" s="3"/>
      <c r="M52" s="38"/>
      <c r="N52" s="38"/>
    </row>
    <row r="53" spans="1:14" s="48" customFormat="1" ht="29.25" customHeight="1" outlineLevel="2" x14ac:dyDescent="0.2">
      <c r="A53" s="39"/>
      <c r="B53" s="39"/>
      <c r="C53" s="39"/>
      <c r="D53" s="38"/>
      <c r="E53" s="40"/>
      <c r="F53" s="38"/>
      <c r="G53" s="41"/>
      <c r="H53" s="42"/>
      <c r="I53" s="43"/>
      <c r="J53" s="43"/>
      <c r="K53" s="3"/>
      <c r="L53" s="3"/>
      <c r="M53" s="38"/>
      <c r="N53" s="38"/>
    </row>
    <row r="54" spans="1:14" s="48" customFormat="1" ht="29.25" customHeight="1" outlineLevel="2" x14ac:dyDescent="0.2">
      <c r="A54" s="39"/>
      <c r="B54" s="39"/>
      <c r="C54" s="39"/>
      <c r="D54" s="38"/>
      <c r="E54" s="40"/>
      <c r="F54" s="38"/>
      <c r="G54" s="41"/>
      <c r="H54" s="42"/>
      <c r="I54" s="43"/>
      <c r="J54" s="43"/>
      <c r="K54" s="3"/>
      <c r="L54" s="3"/>
      <c r="M54" s="38"/>
      <c r="N54" s="38"/>
    </row>
    <row r="55" spans="1:14" s="48" customFormat="1" ht="29.25" customHeight="1" outlineLevel="2" x14ac:dyDescent="0.2">
      <c r="A55" s="39"/>
      <c r="B55" s="39"/>
      <c r="C55" s="39"/>
      <c r="D55" s="38"/>
      <c r="E55" s="40"/>
      <c r="F55" s="38"/>
      <c r="G55" s="41"/>
      <c r="H55" s="42"/>
      <c r="I55" s="43"/>
      <c r="J55" s="43"/>
      <c r="K55" s="3"/>
      <c r="L55" s="3"/>
      <c r="M55" s="38"/>
      <c r="N55" s="38"/>
    </row>
    <row r="56" spans="1:14" s="48" customFormat="1" ht="29.25" customHeight="1" outlineLevel="2" x14ac:dyDescent="0.2">
      <c r="A56" s="39"/>
      <c r="B56" s="39"/>
      <c r="C56" s="39"/>
      <c r="D56" s="38"/>
      <c r="E56" s="40"/>
      <c r="F56" s="38"/>
      <c r="G56" s="41"/>
      <c r="H56" s="42"/>
      <c r="I56" s="43"/>
      <c r="J56" s="43"/>
      <c r="K56" s="3"/>
      <c r="L56" s="3"/>
      <c r="M56" s="38"/>
      <c r="N56" s="38"/>
    </row>
    <row r="57" spans="1:14" s="48" customFormat="1" ht="29.25" customHeight="1" outlineLevel="2" x14ac:dyDescent="0.2">
      <c r="A57" s="39"/>
      <c r="B57" s="39"/>
      <c r="C57" s="39"/>
      <c r="D57" s="38"/>
      <c r="E57" s="40"/>
      <c r="F57" s="38"/>
      <c r="G57" s="41"/>
      <c r="H57" s="42"/>
      <c r="I57" s="43"/>
      <c r="J57" s="43"/>
      <c r="K57" s="3"/>
      <c r="L57" s="3"/>
      <c r="M57" s="38"/>
      <c r="N57" s="38"/>
    </row>
    <row r="58" spans="1:14" s="48" customFormat="1" ht="29.25" customHeight="1" outlineLevel="1" x14ac:dyDescent="0.25">
      <c r="A58" s="39"/>
      <c r="B58" s="39"/>
      <c r="C58" s="39"/>
      <c r="D58" s="38"/>
      <c r="E58" s="40"/>
      <c r="F58" s="38"/>
      <c r="G58" s="41"/>
      <c r="H58" s="42"/>
      <c r="I58" s="43"/>
      <c r="J58" s="43"/>
      <c r="K58" s="3"/>
      <c r="L58" s="3"/>
      <c r="M58" s="38"/>
      <c r="N58" s="38"/>
    </row>
    <row r="59" spans="1:14" s="48" customFormat="1" ht="29.25" customHeight="1" outlineLevel="2" x14ac:dyDescent="0.25">
      <c r="A59" s="39"/>
      <c r="B59" s="39"/>
      <c r="C59" s="39"/>
      <c r="D59" s="38"/>
      <c r="E59" s="40"/>
      <c r="F59" s="38"/>
      <c r="G59" s="41"/>
      <c r="H59" s="42"/>
      <c r="I59" s="43"/>
      <c r="J59" s="43"/>
      <c r="K59" s="3"/>
      <c r="L59" s="3"/>
      <c r="M59" s="38"/>
      <c r="N59" s="38"/>
    </row>
    <row r="60" spans="1:14" s="48" customFormat="1" ht="29.25" customHeight="1" outlineLevel="1" x14ac:dyDescent="0.25">
      <c r="A60" s="39"/>
      <c r="B60" s="39"/>
      <c r="C60" s="39"/>
      <c r="D60" s="38"/>
      <c r="E60" s="40"/>
      <c r="F60" s="38"/>
      <c r="G60" s="41"/>
      <c r="H60" s="42"/>
      <c r="I60" s="43"/>
      <c r="J60" s="43"/>
      <c r="K60" s="3"/>
      <c r="L60" s="3"/>
      <c r="M60" s="38"/>
      <c r="N60" s="38"/>
    </row>
    <row r="61" spans="1:14" s="48" customFormat="1" ht="29.25" customHeight="1" outlineLevel="2" x14ac:dyDescent="0.25">
      <c r="A61" s="39"/>
      <c r="B61" s="39"/>
      <c r="C61" s="39"/>
      <c r="D61" s="38"/>
      <c r="E61" s="40"/>
      <c r="F61" s="38"/>
      <c r="G61" s="41"/>
      <c r="H61" s="42"/>
      <c r="I61" s="43"/>
      <c r="J61" s="43"/>
      <c r="K61" s="3"/>
      <c r="L61" s="3"/>
      <c r="M61" s="38"/>
      <c r="N61" s="38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K12" sqref="K12:K14"/>
    </sheetView>
  </sheetViews>
  <sheetFormatPr defaultColWidth="9.109375" defaultRowHeight="13.2" x14ac:dyDescent="0.25"/>
  <cols>
    <col min="1" max="2" width="9.109375" style="28"/>
    <col min="3" max="3" width="7.109375" style="28" bestFit="1" customWidth="1"/>
    <col min="4" max="4" width="10.109375" style="28" bestFit="1" customWidth="1"/>
    <col min="5" max="5" width="7.5546875" style="28" bestFit="1" customWidth="1"/>
    <col min="6" max="6" width="13.44140625" style="28" bestFit="1" customWidth="1"/>
    <col min="7" max="7" width="14" style="28" bestFit="1" customWidth="1"/>
    <col min="8" max="9" width="9.109375" style="28"/>
    <col min="10" max="10" width="11.88671875" style="28" customWidth="1"/>
    <col min="11" max="11" width="11.33203125" style="28" bestFit="1" customWidth="1"/>
    <col min="12" max="16384" width="9.109375" style="28"/>
  </cols>
  <sheetData>
    <row r="1" spans="1:11" ht="13.95" thickBot="1" x14ac:dyDescent="0.3">
      <c r="A1" s="4"/>
      <c r="B1" s="4"/>
      <c r="C1" s="4"/>
      <c r="D1" s="5"/>
      <c r="E1" s="5"/>
      <c r="F1" s="5"/>
      <c r="G1" s="5"/>
      <c r="H1" s="5"/>
      <c r="I1" s="5"/>
      <c r="J1" s="6"/>
      <c r="K1" s="6"/>
    </row>
    <row r="2" spans="1:11" ht="25.5" x14ac:dyDescent="0.2">
      <c r="A2" s="7"/>
      <c r="B2" s="8"/>
      <c r="C2" s="8"/>
      <c r="D2" s="9" t="s">
        <v>633</v>
      </c>
      <c r="E2" s="10" t="s">
        <v>634</v>
      </c>
      <c r="F2" s="11" t="s">
        <v>635</v>
      </c>
      <c r="G2" s="12" t="s">
        <v>636</v>
      </c>
      <c r="H2" s="5"/>
      <c r="I2" s="5"/>
      <c r="J2" s="13" t="s">
        <v>637</v>
      </c>
      <c r="K2" s="14" t="s">
        <v>638</v>
      </c>
    </row>
    <row r="3" spans="1:11" ht="13.5" thickBot="1" x14ac:dyDescent="0.25">
      <c r="A3" s="8"/>
      <c r="B3" s="8"/>
      <c r="C3" s="15" t="s">
        <v>639</v>
      </c>
      <c r="D3" s="16">
        <f>SUMIF('April 2013 - Data'!G$2:$G$384,"MFP",'April 2013 - Data'!I$2:I$384)</f>
        <v>443547</v>
      </c>
      <c r="E3" s="17">
        <f>SUMIF('April 2013 - Data'!G$2:$G$384,"MFP",'April 2013 - Data'!J$2:J$384)</f>
        <v>75530</v>
      </c>
      <c r="F3" s="18">
        <f>SUM(D3)*D14</f>
        <v>9181.4228999999996</v>
      </c>
      <c r="G3" s="19">
        <f>SUM(E3)*E14</f>
        <v>6571.11</v>
      </c>
      <c r="H3" s="5"/>
      <c r="I3" s="5"/>
      <c r="J3" s="20">
        <f>SUMIF('April 2013 - Data'!$G$2:G$384,"MFP",'April 2013 - Data'!K$2:K$384)</f>
        <v>9181.4228999999978</v>
      </c>
      <c r="K3" s="21">
        <f>SUMIF('April 2013 - Data'!$G$2:$G$384,"MFP",'April 2013 - Data'!L$2:L$384)</f>
        <v>6571.1099999999979</v>
      </c>
    </row>
    <row r="4" spans="1:11" ht="13.5" thickBot="1" x14ac:dyDescent="0.25">
      <c r="A4" s="8"/>
      <c r="B4" s="8"/>
      <c r="C4" s="22"/>
      <c r="D4" s="22"/>
      <c r="E4" s="23"/>
      <c r="F4" s="4"/>
      <c r="G4" s="4"/>
      <c r="H4" s="5"/>
      <c r="I4" s="5"/>
      <c r="J4" s="5"/>
      <c r="K4" s="5"/>
    </row>
    <row r="5" spans="1:11" ht="25.5" x14ac:dyDescent="0.2">
      <c r="A5" s="8"/>
      <c r="B5" s="8"/>
      <c r="C5" s="24"/>
      <c r="D5" s="9" t="s">
        <v>640</v>
      </c>
      <c r="E5" s="10" t="s">
        <v>641</v>
      </c>
      <c r="F5" s="11" t="s">
        <v>642</v>
      </c>
      <c r="G5" s="12" t="s">
        <v>643</v>
      </c>
      <c r="H5" s="5"/>
      <c r="I5" s="5"/>
      <c r="J5" s="13" t="s">
        <v>640</v>
      </c>
      <c r="K5" s="14" t="s">
        <v>641</v>
      </c>
    </row>
    <row r="6" spans="1:11" ht="13.5" thickBot="1" x14ac:dyDescent="0.25">
      <c r="A6" s="8"/>
      <c r="B6" s="8"/>
      <c r="C6" s="15" t="s">
        <v>644</v>
      </c>
      <c r="D6" s="16">
        <f>SUMIF('April 2013 - Data'!$G$2:$G$384,"PTR",'April 2013 - Data'!I2:I384)</f>
        <v>223033</v>
      </c>
      <c r="E6" s="17">
        <f>SUMIF('April 2013 - Data'!$G2:$G$384,"PTR",'April 2013 - Data'!J$2:J$384)</f>
        <v>4731</v>
      </c>
      <c r="F6" s="18">
        <f>SUM(D6)*D15</f>
        <v>5843.4646000000002</v>
      </c>
      <c r="G6" s="19">
        <f>SUM(E6)*E15</f>
        <v>558.25799999999992</v>
      </c>
      <c r="H6" s="5"/>
      <c r="I6" s="5"/>
      <c r="J6" s="20">
        <f>SUMIF('April 2013 - Data'!$G$2:$G$384,"PTR",'April 2013 - Data'!K$2:K$384)</f>
        <v>5843.4646000000021</v>
      </c>
      <c r="K6" s="21">
        <f>SUMIF('April 2013 - Data'!$G$2:$G$384,"PTR",'April 2013 - Data'!L$2:L$384)</f>
        <v>558.25800000000015</v>
      </c>
    </row>
    <row r="7" spans="1:11" ht="13.5" thickBot="1" x14ac:dyDescent="0.25">
      <c r="A7" s="8"/>
      <c r="B7" s="8"/>
      <c r="C7" s="22"/>
      <c r="D7" s="22"/>
      <c r="E7" s="25"/>
      <c r="F7" s="26"/>
      <c r="G7" s="4"/>
      <c r="H7" s="5"/>
      <c r="I7" s="5"/>
      <c r="J7" s="5"/>
      <c r="K7" s="5"/>
    </row>
    <row r="8" spans="1:11" ht="26.4" x14ac:dyDescent="0.25">
      <c r="A8" s="8"/>
      <c r="B8" s="8"/>
      <c r="C8" s="24"/>
      <c r="D8" s="13" t="s">
        <v>645</v>
      </c>
      <c r="E8" s="27" t="s">
        <v>646</v>
      </c>
      <c r="F8" s="11" t="s">
        <v>645</v>
      </c>
      <c r="G8" s="12" t="s">
        <v>646</v>
      </c>
      <c r="H8" s="5"/>
      <c r="I8" s="5"/>
      <c r="J8" s="13" t="s">
        <v>645</v>
      </c>
      <c r="K8" s="14" t="s">
        <v>646</v>
      </c>
    </row>
    <row r="9" spans="1:11" ht="13.5" thickBot="1" x14ac:dyDescent="0.25">
      <c r="A9" s="8"/>
      <c r="B9" s="8"/>
      <c r="C9" s="15" t="s">
        <v>647</v>
      </c>
      <c r="D9" s="16">
        <f>SUM(D3,D6)</f>
        <v>666580</v>
      </c>
      <c r="E9" s="17">
        <f>SUM(E3,E6)</f>
        <v>80261</v>
      </c>
      <c r="F9" s="19">
        <f>ROUNDUP(F3+F6,2)</f>
        <v>15024.89</v>
      </c>
      <c r="G9" s="19">
        <f>ROUNDUP(G3+G6,2)</f>
        <v>7129.37</v>
      </c>
      <c r="H9" s="5"/>
      <c r="I9" s="5"/>
      <c r="J9" s="20">
        <f>ROUNDUP(J3+J6,2)</f>
        <v>15024.89</v>
      </c>
      <c r="K9" s="21">
        <f>ROUNDUP(K3+K6,2)</f>
        <v>7129.37</v>
      </c>
    </row>
    <row r="10" spans="1:11" ht="13.5" thickBot="1" x14ac:dyDescent="0.25">
      <c r="A10" s="8"/>
      <c r="B10" s="8"/>
      <c r="C10" s="8"/>
      <c r="D10" s="22"/>
      <c r="E10" s="22"/>
      <c r="F10" s="22"/>
      <c r="G10" s="22"/>
      <c r="H10" s="5"/>
      <c r="I10" s="5"/>
      <c r="J10" s="5"/>
      <c r="K10" s="5"/>
    </row>
    <row r="11" spans="1:11" ht="26.25" thickBot="1" x14ac:dyDescent="0.25">
      <c r="A11" s="8"/>
      <c r="B11" s="8"/>
      <c r="C11" s="8"/>
      <c r="D11" s="22"/>
      <c r="E11" s="22"/>
      <c r="F11" s="13" t="s">
        <v>648</v>
      </c>
      <c r="G11" s="127">
        <f>(F9+G9)</f>
        <v>22154.26</v>
      </c>
      <c r="H11" s="5"/>
      <c r="I11" s="5"/>
      <c r="J11" s="36" t="s">
        <v>648</v>
      </c>
      <c r="K11" s="37">
        <f>SUM(J9+K9)</f>
        <v>22154.26</v>
      </c>
    </row>
    <row r="12" spans="1:11" ht="12.75" customHeight="1" x14ac:dyDescent="0.25">
      <c r="A12" s="8"/>
      <c r="B12" s="8"/>
      <c r="C12" s="8"/>
      <c r="F12" s="60" t="s">
        <v>782</v>
      </c>
      <c r="G12" s="29">
        <f>'April 2013 - HP Toner'!L51</f>
        <v>157.28</v>
      </c>
      <c r="J12" s="167" t="s">
        <v>783</v>
      </c>
      <c r="K12" s="170">
        <f>G13</f>
        <v>22311.539999999997</v>
      </c>
    </row>
    <row r="13" spans="1:11" ht="15.75" customHeight="1" thickBot="1" x14ac:dyDescent="0.3">
      <c r="A13" s="8"/>
      <c r="B13" s="8"/>
      <c r="C13" s="8"/>
      <c r="F13" s="30" t="s">
        <v>657</v>
      </c>
      <c r="G13" s="31">
        <f>SUM(G11:G12)</f>
        <v>22311.539999999997</v>
      </c>
      <c r="J13" s="168"/>
      <c r="K13" s="171"/>
    </row>
    <row r="14" spans="1:11" ht="15" customHeight="1" thickBot="1" x14ac:dyDescent="0.3">
      <c r="A14" s="8"/>
      <c r="B14" s="8"/>
      <c r="C14" s="32" t="s">
        <v>27</v>
      </c>
      <c r="D14" s="33">
        <f>Tables!B2</f>
        <v>2.07E-2</v>
      </c>
      <c r="E14" s="61">
        <f>Tables!B3</f>
        <v>8.6999999999999994E-2</v>
      </c>
      <c r="G14" s="67"/>
      <c r="J14" s="169"/>
      <c r="K14" s="172"/>
    </row>
    <row r="15" spans="1:11" ht="13.95" thickBot="1" x14ac:dyDescent="0.3">
      <c r="A15" s="8"/>
      <c r="B15" s="8"/>
      <c r="C15" s="34" t="s">
        <v>18</v>
      </c>
      <c r="D15" s="35">
        <f>Tables!B5</f>
        <v>2.6200000000000001E-2</v>
      </c>
      <c r="E15" s="62">
        <f>Tables!B6</f>
        <v>0.11799999999999999</v>
      </c>
    </row>
    <row r="17" spans="6:7" ht="13.5" thickBot="1" x14ac:dyDescent="0.25"/>
    <row r="18" spans="6:7" ht="12.75" x14ac:dyDescent="0.2">
      <c r="F18" s="128" t="s">
        <v>677</v>
      </c>
      <c r="G18" s="28">
        <f>COUNTIF('April 2013 - Data'!G2:G384,"PTR")</f>
        <v>231</v>
      </c>
    </row>
    <row r="19" spans="6:7" ht="12.75" x14ac:dyDescent="0.2">
      <c r="F19" s="129" t="s">
        <v>678</v>
      </c>
      <c r="G19" s="28">
        <f>COUNTIF('April 2013 - Data'!G2:G384,"MFP")</f>
        <v>68</v>
      </c>
    </row>
    <row r="20" spans="6:7" ht="13.5" thickBot="1" x14ac:dyDescent="0.25">
      <c r="F20" s="130" t="s">
        <v>679</v>
      </c>
      <c r="G20" s="28">
        <f>SUM(G18:G19)</f>
        <v>299</v>
      </c>
    </row>
  </sheetData>
  <mergeCells count="2">
    <mergeCell ref="J12:J14"/>
    <mergeCell ref="K12:K14"/>
  </mergeCells>
  <pageMargins left="0.7" right="0.7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0" operator="equal" id="{EBF384B6-41A0-47D0-B782-E878837656B6}">
            <xm:f>'April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F9:G9</xm:sqref>
        </x14:conditionalFormatting>
        <x14:conditionalFormatting xmlns:xm="http://schemas.microsoft.com/office/excel/2006/main">
          <x14:cfRule type="cellIs" priority="10" operator="equal" id="{7343C23D-9CCD-426F-BB96-53F19DBA29B9}">
            <xm:f>'April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F9:G9</xm:sqref>
        </x14:conditionalFormatting>
        <x14:conditionalFormatting xmlns:xm="http://schemas.microsoft.com/office/excel/2006/main">
          <x14:cfRule type="cellIs" priority="43" operator="equal" id="{822F40CB-8DD6-45CC-AF4D-8F8CBA9479C9}">
            <xm:f>'April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J9:K9</xm:sqref>
        </x14:conditionalFormatting>
        <x14:conditionalFormatting xmlns:xm="http://schemas.microsoft.com/office/excel/2006/main">
          <x14:cfRule type="cellIs" priority="50" operator="equal" id="{314766D2-E8F7-4E9E-88F7-2AEB8291A8A2}">
            <xm:f>'April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K11</xm:sqref>
        </x14:conditionalFormatting>
        <x14:conditionalFormatting xmlns:xm="http://schemas.microsoft.com/office/excel/2006/main">
          <x14:cfRule type="cellIs" priority="51" operator="equal" id="{9AA01DD0-BCC8-40DF-BD94-775BC278F280}">
            <xm:f>'April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D9:E9</xm:sqref>
        </x14:conditionalFormatting>
        <x14:conditionalFormatting xmlns:xm="http://schemas.microsoft.com/office/excel/2006/main">
          <x14:cfRule type="cellIs" priority="56" operator="equal" id="{7E49F3A8-220B-45F4-B85A-B40A548ECA6C}">
            <xm:f>'April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7" operator="equal" id="{FB61B81E-6FDE-4302-B5BB-42F476FFD6AA}">
            <xm:f>'April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D9</xm:sqref>
        </x14:conditionalFormatting>
        <x14:conditionalFormatting xmlns:xm="http://schemas.microsoft.com/office/excel/2006/main">
          <x14:cfRule type="cellIs" priority="58" operator="equal" id="{C59D27DF-EE26-46ED-AC6F-91F300135E75}">
            <xm:f>'April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9" operator="equal" id="{792F373A-3030-4912-B960-C41134F6FCF5}">
            <xm:f>'April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"/>
  <sheetViews>
    <sheetView workbookViewId="0">
      <selection sqref="A1:B1"/>
    </sheetView>
  </sheetViews>
  <sheetFormatPr defaultRowHeight="14.4" x14ac:dyDescent="0.3"/>
  <cols>
    <col min="1" max="1" width="11.5546875" bestFit="1" customWidth="1"/>
    <col min="2" max="2" width="12" bestFit="1" customWidth="1"/>
    <col min="3" max="3" width="2.88671875" customWidth="1"/>
    <col min="4" max="4" width="15.88671875" customWidth="1"/>
    <col min="6" max="6" width="3.33203125" customWidth="1"/>
    <col min="7" max="7" width="21.33203125" bestFit="1" customWidth="1"/>
    <col min="8" max="8" width="27.88671875" bestFit="1" customWidth="1"/>
  </cols>
  <sheetData>
    <row r="1" spans="1:8" x14ac:dyDescent="0.3">
      <c r="A1" s="173" t="s">
        <v>649</v>
      </c>
      <c r="B1" s="173"/>
      <c r="D1" s="81" t="s">
        <v>654</v>
      </c>
      <c r="E1" s="81" t="s">
        <v>655</v>
      </c>
      <c r="F1" s="82"/>
      <c r="G1" s="83" t="s">
        <v>850</v>
      </c>
      <c r="H1" s="83" t="s">
        <v>851</v>
      </c>
    </row>
    <row r="2" spans="1:8" x14ac:dyDescent="0.3">
      <c r="A2" s="78" t="s">
        <v>650</v>
      </c>
      <c r="B2" s="79">
        <v>2.07E-2</v>
      </c>
      <c r="D2" s="1" t="s">
        <v>157</v>
      </c>
      <c r="E2" s="2" t="s">
        <v>27</v>
      </c>
      <c r="G2" t="s">
        <v>324</v>
      </c>
      <c r="H2" t="s">
        <v>325</v>
      </c>
    </row>
    <row r="3" spans="1:8" x14ac:dyDescent="0.3">
      <c r="A3" s="78" t="s">
        <v>651</v>
      </c>
      <c r="B3" s="79">
        <v>8.6999999999999994E-2</v>
      </c>
      <c r="D3" s="1" t="s">
        <v>407</v>
      </c>
      <c r="E3" s="2" t="s">
        <v>27</v>
      </c>
      <c r="G3" t="s">
        <v>305</v>
      </c>
      <c r="H3" t="s">
        <v>855</v>
      </c>
    </row>
    <row r="4" spans="1:8" x14ac:dyDescent="0.3">
      <c r="A4" s="80"/>
      <c r="B4" s="80"/>
      <c r="D4" s="1" t="s">
        <v>411</v>
      </c>
      <c r="E4" s="2" t="s">
        <v>27</v>
      </c>
      <c r="G4" t="s">
        <v>12</v>
      </c>
      <c r="H4" t="s">
        <v>13</v>
      </c>
    </row>
    <row r="5" spans="1:8" x14ac:dyDescent="0.3">
      <c r="A5" s="78" t="s">
        <v>652</v>
      </c>
      <c r="B5" s="80">
        <v>2.6200000000000001E-2</v>
      </c>
      <c r="D5" s="1" t="s">
        <v>54</v>
      </c>
      <c r="E5" s="2" t="s">
        <v>27</v>
      </c>
      <c r="G5" t="s">
        <v>22</v>
      </c>
      <c r="H5" t="s">
        <v>23</v>
      </c>
    </row>
    <row r="6" spans="1:8" x14ac:dyDescent="0.3">
      <c r="A6" s="78" t="s">
        <v>653</v>
      </c>
      <c r="B6" s="79">
        <v>0.11799999999999999</v>
      </c>
      <c r="D6" s="1" t="s">
        <v>24</v>
      </c>
      <c r="E6" s="2" t="s">
        <v>27</v>
      </c>
      <c r="G6" t="s">
        <v>494</v>
      </c>
      <c r="H6" t="s">
        <v>856</v>
      </c>
    </row>
    <row r="7" spans="1:8" x14ac:dyDescent="0.3">
      <c r="D7" s="1" t="s">
        <v>83</v>
      </c>
      <c r="E7" s="2" t="s">
        <v>27</v>
      </c>
      <c r="G7" t="s">
        <v>613</v>
      </c>
      <c r="H7" t="s">
        <v>614</v>
      </c>
    </row>
    <row r="8" spans="1:8" x14ac:dyDescent="0.3">
      <c r="D8" s="1" t="s">
        <v>415</v>
      </c>
      <c r="E8" s="2" t="s">
        <v>27</v>
      </c>
      <c r="G8" t="s">
        <v>601</v>
      </c>
      <c r="H8" t="s">
        <v>602</v>
      </c>
    </row>
    <row r="9" spans="1:8" x14ac:dyDescent="0.3">
      <c r="D9" s="1" t="s">
        <v>15</v>
      </c>
      <c r="E9" s="2" t="s">
        <v>656</v>
      </c>
      <c r="G9" t="s">
        <v>589</v>
      </c>
      <c r="H9" t="s">
        <v>811</v>
      </c>
    </row>
    <row r="10" spans="1:8" x14ac:dyDescent="0.3">
      <c r="D10" s="1" t="s">
        <v>90</v>
      </c>
      <c r="E10" s="2" t="s">
        <v>656</v>
      </c>
      <c r="G10" t="s">
        <v>812</v>
      </c>
      <c r="H10" t="s">
        <v>813</v>
      </c>
    </row>
    <row r="11" spans="1:8" x14ac:dyDescent="0.3">
      <c r="D11" s="2" t="s">
        <v>732</v>
      </c>
      <c r="E11" s="2" t="s">
        <v>656</v>
      </c>
      <c r="G11" t="s">
        <v>609</v>
      </c>
      <c r="H11" t="s">
        <v>610</v>
      </c>
    </row>
    <row r="12" spans="1:8" x14ac:dyDescent="0.3">
      <c r="D12" s="2" t="s">
        <v>764</v>
      </c>
      <c r="E12" s="2" t="s">
        <v>27</v>
      </c>
      <c r="G12" t="s">
        <v>617</v>
      </c>
      <c r="H12" t="s">
        <v>618</v>
      </c>
    </row>
    <row r="13" spans="1:8" x14ac:dyDescent="0.3">
      <c r="G13" t="s">
        <v>681</v>
      </c>
      <c r="H13" t="s">
        <v>814</v>
      </c>
    </row>
    <row r="14" spans="1:8" x14ac:dyDescent="0.3">
      <c r="G14" t="s">
        <v>578</v>
      </c>
      <c r="H14" t="s">
        <v>579</v>
      </c>
    </row>
    <row r="15" spans="1:8" x14ac:dyDescent="0.3">
      <c r="G15" t="s">
        <v>557</v>
      </c>
      <c r="H15" t="s">
        <v>558</v>
      </c>
    </row>
    <row r="16" spans="1:8" x14ac:dyDescent="0.3">
      <c r="G16" t="s">
        <v>779</v>
      </c>
      <c r="H16" t="s">
        <v>815</v>
      </c>
    </row>
    <row r="17" spans="7:8" x14ac:dyDescent="0.3">
      <c r="G17" t="s">
        <v>474</v>
      </c>
      <c r="H17" t="s">
        <v>475</v>
      </c>
    </row>
    <row r="18" spans="7:8" x14ac:dyDescent="0.3">
      <c r="G18" t="s">
        <v>548</v>
      </c>
      <c r="H18" t="s">
        <v>549</v>
      </c>
    </row>
    <row r="19" spans="7:8" x14ac:dyDescent="0.3">
      <c r="G19" t="s">
        <v>726</v>
      </c>
      <c r="H19" t="s">
        <v>816</v>
      </c>
    </row>
    <row r="20" spans="7:8" x14ac:dyDescent="0.3">
      <c r="G20" t="s">
        <v>817</v>
      </c>
      <c r="H20" t="s">
        <v>52</v>
      </c>
    </row>
    <row r="21" spans="7:8" x14ac:dyDescent="0.3">
      <c r="G21" t="s">
        <v>374</v>
      </c>
      <c r="H21" t="s">
        <v>375</v>
      </c>
    </row>
    <row r="22" spans="7:8" x14ac:dyDescent="0.3">
      <c r="G22" t="s">
        <v>807</v>
      </c>
      <c r="H22" t="s">
        <v>808</v>
      </c>
    </row>
    <row r="23" spans="7:8" x14ac:dyDescent="0.3">
      <c r="G23" t="s">
        <v>573</v>
      </c>
      <c r="H23" t="s">
        <v>574</v>
      </c>
    </row>
    <row r="24" spans="7:8" x14ac:dyDescent="0.3">
      <c r="G24" t="s">
        <v>294</v>
      </c>
      <c r="H24" t="s">
        <v>818</v>
      </c>
    </row>
    <row r="25" spans="7:8" x14ac:dyDescent="0.3">
      <c r="G25" t="s">
        <v>519</v>
      </c>
      <c r="H25" t="s">
        <v>520</v>
      </c>
    </row>
    <row r="26" spans="7:8" x14ac:dyDescent="0.3">
      <c r="G26" t="s">
        <v>70</v>
      </c>
      <c r="H26" t="s">
        <v>69</v>
      </c>
    </row>
    <row r="27" spans="7:8" ht="15" x14ac:dyDescent="0.25">
      <c r="G27" t="s">
        <v>80</v>
      </c>
      <c r="H27" t="s">
        <v>81</v>
      </c>
    </row>
    <row r="28" spans="7:8" ht="15" x14ac:dyDescent="0.25">
      <c r="G28" t="s">
        <v>540</v>
      </c>
      <c r="H28" t="s">
        <v>541</v>
      </c>
    </row>
    <row r="29" spans="7:8" x14ac:dyDescent="0.3">
      <c r="G29" t="s">
        <v>524</v>
      </c>
      <c r="H29" t="s">
        <v>525</v>
      </c>
    </row>
    <row r="30" spans="7:8" x14ac:dyDescent="0.3">
      <c r="G30" t="s">
        <v>488</v>
      </c>
      <c r="H30" t="s">
        <v>484</v>
      </c>
    </row>
    <row r="31" spans="7:8" x14ac:dyDescent="0.3">
      <c r="G31" t="s">
        <v>819</v>
      </c>
      <c r="H31" t="s">
        <v>820</v>
      </c>
    </row>
    <row r="32" spans="7:8" x14ac:dyDescent="0.3">
      <c r="G32" t="s">
        <v>410</v>
      </c>
      <c r="H32" t="s">
        <v>414</v>
      </c>
    </row>
    <row r="33" spans="7:8" x14ac:dyDescent="0.3">
      <c r="G33" t="s">
        <v>386</v>
      </c>
      <c r="H33" t="s">
        <v>387</v>
      </c>
    </row>
    <row r="34" spans="7:8" x14ac:dyDescent="0.3">
      <c r="G34" t="s">
        <v>405</v>
      </c>
      <c r="H34" t="s">
        <v>406</v>
      </c>
    </row>
    <row r="35" spans="7:8" x14ac:dyDescent="0.3">
      <c r="G35" t="s">
        <v>821</v>
      </c>
      <c r="H35" t="s">
        <v>822</v>
      </c>
    </row>
    <row r="36" spans="7:8" x14ac:dyDescent="0.3">
      <c r="G36" t="s">
        <v>275</v>
      </c>
      <c r="H36" t="s">
        <v>823</v>
      </c>
    </row>
    <row r="37" spans="7:8" x14ac:dyDescent="0.3">
      <c r="G37" t="s">
        <v>236</v>
      </c>
      <c r="H37" t="s">
        <v>824</v>
      </c>
    </row>
    <row r="38" spans="7:8" x14ac:dyDescent="0.3">
      <c r="G38" t="s">
        <v>94</v>
      </c>
      <c r="H38" t="s">
        <v>95</v>
      </c>
    </row>
    <row r="39" spans="7:8" x14ac:dyDescent="0.3">
      <c r="G39" t="s">
        <v>105</v>
      </c>
      <c r="H39" t="s">
        <v>106</v>
      </c>
    </row>
    <row r="40" spans="7:8" x14ac:dyDescent="0.3">
      <c r="G40" t="s">
        <v>99</v>
      </c>
      <c r="H40" t="s">
        <v>825</v>
      </c>
    </row>
    <row r="41" spans="7:8" x14ac:dyDescent="0.3">
      <c r="G41" t="s">
        <v>826</v>
      </c>
      <c r="H41" t="s">
        <v>295</v>
      </c>
    </row>
    <row r="42" spans="7:8" x14ac:dyDescent="0.3">
      <c r="G42" t="s">
        <v>142</v>
      </c>
      <c r="H42" t="s">
        <v>141</v>
      </c>
    </row>
    <row r="43" spans="7:8" x14ac:dyDescent="0.3">
      <c r="G43" t="s">
        <v>392</v>
      </c>
      <c r="H43" t="s">
        <v>393</v>
      </c>
    </row>
    <row r="44" spans="7:8" x14ac:dyDescent="0.3">
      <c r="G44" t="s">
        <v>422</v>
      </c>
      <c r="H44" t="s">
        <v>423</v>
      </c>
    </row>
    <row r="45" spans="7:8" x14ac:dyDescent="0.3">
      <c r="G45" t="s">
        <v>268</v>
      </c>
      <c r="H45" t="s">
        <v>269</v>
      </c>
    </row>
    <row r="46" spans="7:8" x14ac:dyDescent="0.3">
      <c r="G46" t="s">
        <v>751</v>
      </c>
      <c r="H46" t="s">
        <v>827</v>
      </c>
    </row>
    <row r="47" spans="7:8" x14ac:dyDescent="0.3">
      <c r="G47" t="s">
        <v>828</v>
      </c>
      <c r="H47" t="s">
        <v>829</v>
      </c>
    </row>
    <row r="48" spans="7:8" x14ac:dyDescent="0.3">
      <c r="G48" t="s">
        <v>483</v>
      </c>
      <c r="H48" t="s">
        <v>830</v>
      </c>
    </row>
    <row r="49" spans="7:8" x14ac:dyDescent="0.3">
      <c r="G49" t="s">
        <v>728</v>
      </c>
      <c r="H49" t="s">
        <v>155</v>
      </c>
    </row>
    <row r="50" spans="7:8" x14ac:dyDescent="0.3">
      <c r="G50" t="s">
        <v>727</v>
      </c>
      <c r="H50" t="s">
        <v>831</v>
      </c>
    </row>
    <row r="51" spans="7:8" x14ac:dyDescent="0.3">
      <c r="G51" t="s">
        <v>832</v>
      </c>
      <c r="H51" t="s">
        <v>153</v>
      </c>
    </row>
    <row r="52" spans="7:8" x14ac:dyDescent="0.3">
      <c r="G52" t="s">
        <v>593</v>
      </c>
      <c r="H52" t="s">
        <v>592</v>
      </c>
    </row>
    <row r="53" spans="7:8" x14ac:dyDescent="0.3">
      <c r="G53" t="s">
        <v>833</v>
      </c>
      <c r="H53" t="s">
        <v>834</v>
      </c>
    </row>
    <row r="54" spans="7:8" x14ac:dyDescent="0.3">
      <c r="G54" t="s">
        <v>835</v>
      </c>
      <c r="H54" t="s">
        <v>836</v>
      </c>
    </row>
    <row r="55" spans="7:8" x14ac:dyDescent="0.3">
      <c r="G55" t="s">
        <v>837</v>
      </c>
      <c r="H55" t="s">
        <v>838</v>
      </c>
    </row>
    <row r="56" spans="7:8" x14ac:dyDescent="0.3">
      <c r="G56" t="s">
        <v>240</v>
      </c>
      <c r="H56" t="s">
        <v>237</v>
      </c>
    </row>
    <row r="57" spans="7:8" x14ac:dyDescent="0.3">
      <c r="G57" t="s">
        <v>173</v>
      </c>
      <c r="H57" t="s">
        <v>174</v>
      </c>
    </row>
    <row r="58" spans="7:8" x14ac:dyDescent="0.3">
      <c r="G58" t="s">
        <v>164</v>
      </c>
      <c r="H58" t="s">
        <v>165</v>
      </c>
    </row>
    <row r="59" spans="7:8" x14ac:dyDescent="0.3">
      <c r="G59" t="s">
        <v>179</v>
      </c>
      <c r="H59" t="s">
        <v>178</v>
      </c>
    </row>
    <row r="60" spans="7:8" x14ac:dyDescent="0.3">
      <c r="G60" t="s">
        <v>187</v>
      </c>
      <c r="H60" t="s">
        <v>186</v>
      </c>
    </row>
    <row r="61" spans="7:8" x14ac:dyDescent="0.3">
      <c r="G61" t="s">
        <v>231</v>
      </c>
      <c r="H61" t="s">
        <v>232</v>
      </c>
    </row>
    <row r="62" spans="7:8" x14ac:dyDescent="0.3">
      <c r="G62" t="s">
        <v>196</v>
      </c>
      <c r="H62" t="s">
        <v>197</v>
      </c>
    </row>
    <row r="63" spans="7:8" x14ac:dyDescent="0.3">
      <c r="G63" t="s">
        <v>204</v>
      </c>
      <c r="H63" t="s">
        <v>203</v>
      </c>
    </row>
    <row r="64" spans="7:8" x14ac:dyDescent="0.3">
      <c r="G64" t="s">
        <v>498</v>
      </c>
      <c r="H64" t="s">
        <v>499</v>
      </c>
    </row>
    <row r="65" spans="7:8" x14ac:dyDescent="0.3">
      <c r="G65" t="s">
        <v>839</v>
      </c>
      <c r="H65" t="s">
        <v>840</v>
      </c>
    </row>
    <row r="66" spans="7:8" x14ac:dyDescent="0.3">
      <c r="G66" t="s">
        <v>682</v>
      </c>
      <c r="H66" t="s">
        <v>510</v>
      </c>
    </row>
    <row r="67" spans="7:8" x14ac:dyDescent="0.3">
      <c r="G67" t="s">
        <v>725</v>
      </c>
      <c r="H67" t="s">
        <v>841</v>
      </c>
    </row>
    <row r="68" spans="7:8" x14ac:dyDescent="0.3">
      <c r="G68" t="s">
        <v>842</v>
      </c>
      <c r="H68" t="s">
        <v>214</v>
      </c>
    </row>
    <row r="69" spans="7:8" x14ac:dyDescent="0.3">
      <c r="G69" t="s">
        <v>843</v>
      </c>
      <c r="H69" t="s">
        <v>844</v>
      </c>
    </row>
    <row r="70" spans="7:8" x14ac:dyDescent="0.3">
      <c r="G70" t="s">
        <v>564</v>
      </c>
      <c r="H70" t="s">
        <v>565</v>
      </c>
    </row>
    <row r="71" spans="7:8" x14ac:dyDescent="0.3">
      <c r="G71" t="s">
        <v>845</v>
      </c>
      <c r="H71" t="s">
        <v>846</v>
      </c>
    </row>
    <row r="72" spans="7:8" x14ac:dyDescent="0.3">
      <c r="G72" t="s">
        <v>480</v>
      </c>
      <c r="H72" t="s">
        <v>479</v>
      </c>
    </row>
    <row r="73" spans="7:8" x14ac:dyDescent="0.3">
      <c r="G73" t="s">
        <v>219</v>
      </c>
      <c r="H73" t="s">
        <v>847</v>
      </c>
    </row>
    <row r="74" spans="7:8" x14ac:dyDescent="0.3">
      <c r="G74" t="s">
        <v>342</v>
      </c>
      <c r="H74" t="s">
        <v>544</v>
      </c>
    </row>
    <row r="75" spans="7:8" x14ac:dyDescent="0.3">
      <c r="G75" t="s">
        <v>333</v>
      </c>
      <c r="H75" t="s">
        <v>334</v>
      </c>
    </row>
    <row r="76" spans="7:8" x14ac:dyDescent="0.3">
      <c r="G76" t="s">
        <v>362</v>
      </c>
      <c r="H76" t="s">
        <v>361</v>
      </c>
    </row>
    <row r="77" spans="7:8" x14ac:dyDescent="0.3">
      <c r="G77" t="s">
        <v>741</v>
      </c>
      <c r="H77" t="s">
        <v>740</v>
      </c>
    </row>
    <row r="78" spans="7:8" x14ac:dyDescent="0.3">
      <c r="G78" t="s">
        <v>809</v>
      </c>
      <c r="H78" t="s">
        <v>848</v>
      </c>
    </row>
    <row r="79" spans="7:8" x14ac:dyDescent="0.3">
      <c r="G79" t="s">
        <v>286</v>
      </c>
      <c r="H79" t="s">
        <v>849</v>
      </c>
    </row>
    <row r="80" spans="7:8" x14ac:dyDescent="0.3">
      <c r="G80" t="s">
        <v>984</v>
      </c>
      <c r="H80" t="s">
        <v>980</v>
      </c>
    </row>
    <row r="81" spans="7:8" x14ac:dyDescent="0.3">
      <c r="G81" t="s">
        <v>998</v>
      </c>
      <c r="H81" t="s">
        <v>999</v>
      </c>
    </row>
    <row r="82" spans="7:8" x14ac:dyDescent="0.3">
      <c r="G82" t="s">
        <v>1042</v>
      </c>
      <c r="H82" t="s">
        <v>1043</v>
      </c>
    </row>
  </sheetData>
  <sortState ref="G2:H74">
    <sortCondition ref="G2"/>
  </sortState>
  <mergeCells count="1">
    <mergeCell ref="A1:B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3"/>
  <sheetViews>
    <sheetView workbookViewId="0">
      <pane ySplit="1" topLeftCell="A2" activePane="bottomLeft" state="frozen"/>
      <selection pane="bottomLeft" activeCell="E203" sqref="E203"/>
    </sheetView>
  </sheetViews>
  <sheetFormatPr defaultColWidth="9.109375" defaultRowHeight="13.8" x14ac:dyDescent="0.3"/>
  <cols>
    <col min="1" max="1" width="9.109375" style="138"/>
    <col min="2" max="2" width="16.33203125" style="138" bestFit="1" customWidth="1"/>
    <col min="3" max="3" width="14.33203125" style="132" bestFit="1" customWidth="1"/>
    <col min="4" max="7" width="9.33203125" style="138" bestFit="1" customWidth="1"/>
    <col min="8" max="9" width="18" style="138" bestFit="1" customWidth="1"/>
    <col min="10" max="10" width="13.33203125" style="138" bestFit="1" customWidth="1"/>
    <col min="11" max="11" width="9.109375" style="138"/>
    <col min="12" max="12" width="10.6640625" style="138" bestFit="1" customWidth="1"/>
    <col min="13" max="16384" width="9.109375" style="138"/>
  </cols>
  <sheetData>
    <row r="1" spans="1:10" ht="51" x14ac:dyDescent="0.2">
      <c r="A1" s="134" t="s">
        <v>859</v>
      </c>
      <c r="B1" s="135" t="s">
        <v>3</v>
      </c>
      <c r="C1" s="136" t="s">
        <v>4</v>
      </c>
      <c r="D1" s="137" t="s">
        <v>860</v>
      </c>
      <c r="E1" s="137" t="s">
        <v>862</v>
      </c>
      <c r="F1" s="137" t="s">
        <v>861</v>
      </c>
      <c r="G1" s="137" t="s">
        <v>863</v>
      </c>
      <c r="H1" s="136" t="s">
        <v>1004</v>
      </c>
      <c r="I1" s="137" t="s">
        <v>1005</v>
      </c>
      <c r="J1" s="135" t="s">
        <v>4</v>
      </c>
    </row>
    <row r="2" spans="1:10" ht="12.75" x14ac:dyDescent="0.2">
      <c r="A2" s="96" t="s">
        <v>864</v>
      </c>
      <c r="B2" s="96" t="s">
        <v>865</v>
      </c>
      <c r="C2" s="139" t="s">
        <v>736</v>
      </c>
      <c r="D2" s="133">
        <v>871</v>
      </c>
      <c r="E2" s="133">
        <v>873</v>
      </c>
      <c r="F2" s="133">
        <v>87</v>
      </c>
      <c r="G2" s="133">
        <v>87</v>
      </c>
      <c r="H2" s="140"/>
      <c r="I2" s="140"/>
      <c r="J2" s="96" t="s">
        <v>736</v>
      </c>
    </row>
    <row r="3" spans="1:10" ht="12.75" x14ac:dyDescent="0.2">
      <c r="A3" s="96" t="s">
        <v>864</v>
      </c>
      <c r="B3" s="96" t="s">
        <v>865</v>
      </c>
      <c r="C3" s="139" t="s">
        <v>733</v>
      </c>
      <c r="D3" s="133">
        <v>1512</v>
      </c>
      <c r="E3" s="133">
        <v>1774</v>
      </c>
      <c r="F3" s="133">
        <v>3151</v>
      </c>
      <c r="G3" s="133">
        <v>3833</v>
      </c>
      <c r="H3" s="140"/>
      <c r="I3" s="140"/>
      <c r="J3" s="96" t="s">
        <v>733</v>
      </c>
    </row>
    <row r="4" spans="1:10" ht="12.75" x14ac:dyDescent="0.2">
      <c r="A4" s="96" t="s">
        <v>864</v>
      </c>
      <c r="B4" s="96" t="s">
        <v>866</v>
      </c>
      <c r="C4" s="139" t="s">
        <v>257</v>
      </c>
      <c r="D4" s="133">
        <v>14950</v>
      </c>
      <c r="E4" s="133">
        <v>17598</v>
      </c>
      <c r="F4" s="133">
        <v>0</v>
      </c>
      <c r="G4" s="133">
        <v>0</v>
      </c>
      <c r="H4" s="140"/>
      <c r="I4" s="140"/>
      <c r="J4" s="96" t="s">
        <v>257</v>
      </c>
    </row>
    <row r="5" spans="1:10" ht="12.75" x14ac:dyDescent="0.2">
      <c r="A5" s="96" t="s">
        <v>864</v>
      </c>
      <c r="B5" s="96" t="s">
        <v>866</v>
      </c>
      <c r="C5" s="139" t="s">
        <v>570</v>
      </c>
      <c r="D5" s="133">
        <v>5850</v>
      </c>
      <c r="E5" s="133">
        <v>6833</v>
      </c>
      <c r="F5" s="133">
        <v>0</v>
      </c>
      <c r="G5" s="133">
        <v>0</v>
      </c>
      <c r="H5" s="140"/>
      <c r="I5" s="140"/>
      <c r="J5" s="96" t="s">
        <v>570</v>
      </c>
    </row>
    <row r="6" spans="1:10" ht="12.75" x14ac:dyDescent="0.2">
      <c r="A6" s="96" t="s">
        <v>864</v>
      </c>
      <c r="B6" s="96" t="s">
        <v>866</v>
      </c>
      <c r="C6" s="139" t="s">
        <v>443</v>
      </c>
      <c r="D6" s="133">
        <v>2296</v>
      </c>
      <c r="E6" s="133">
        <v>2859</v>
      </c>
      <c r="F6" s="133">
        <v>0</v>
      </c>
      <c r="G6" s="133">
        <v>0</v>
      </c>
      <c r="H6" s="140"/>
      <c r="I6" s="140"/>
      <c r="J6" s="96" t="s">
        <v>443</v>
      </c>
    </row>
    <row r="7" spans="1:10" ht="12.75" x14ac:dyDescent="0.2">
      <c r="A7" s="96" t="s">
        <v>864</v>
      </c>
      <c r="B7" s="96" t="s">
        <v>866</v>
      </c>
      <c r="C7" s="139" t="s">
        <v>867</v>
      </c>
      <c r="D7" s="133">
        <v>3599</v>
      </c>
      <c r="E7" s="133">
        <v>4324</v>
      </c>
      <c r="F7" s="133">
        <v>0</v>
      </c>
      <c r="G7" s="133">
        <v>0</v>
      </c>
      <c r="H7" s="140"/>
      <c r="I7" s="140"/>
      <c r="J7" s="96" t="s">
        <v>867</v>
      </c>
    </row>
    <row r="8" spans="1:10" ht="12.75" x14ac:dyDescent="0.2">
      <c r="A8" s="96" t="s">
        <v>864</v>
      </c>
      <c r="B8" s="96" t="s">
        <v>866</v>
      </c>
      <c r="C8" s="139" t="s">
        <v>754</v>
      </c>
      <c r="D8" s="133">
        <v>2758</v>
      </c>
      <c r="E8" s="133">
        <v>4419</v>
      </c>
      <c r="F8" s="133">
        <v>0</v>
      </c>
      <c r="G8" s="133">
        <v>0</v>
      </c>
      <c r="H8" s="140"/>
      <c r="I8" s="140"/>
      <c r="J8" s="96" t="s">
        <v>754</v>
      </c>
    </row>
    <row r="9" spans="1:10" ht="12.75" x14ac:dyDescent="0.2">
      <c r="A9" s="96" t="s">
        <v>864</v>
      </c>
      <c r="B9" s="96" t="s">
        <v>866</v>
      </c>
      <c r="C9" s="139" t="s">
        <v>254</v>
      </c>
      <c r="D9" s="133">
        <v>55883</v>
      </c>
      <c r="E9" s="133">
        <v>64629</v>
      </c>
      <c r="F9" s="133">
        <v>0</v>
      </c>
      <c r="G9" s="133">
        <v>0</v>
      </c>
      <c r="H9" s="140"/>
      <c r="I9" s="140"/>
      <c r="J9" s="96" t="s">
        <v>254</v>
      </c>
    </row>
    <row r="10" spans="1:10" ht="12.75" x14ac:dyDescent="0.2">
      <c r="A10" s="96" t="s">
        <v>864</v>
      </c>
      <c r="B10" s="96" t="s">
        <v>866</v>
      </c>
      <c r="C10" s="139" t="s">
        <v>102</v>
      </c>
      <c r="D10" s="133">
        <v>55960</v>
      </c>
      <c r="E10" s="133">
        <v>66853</v>
      </c>
      <c r="F10" s="133">
        <v>0</v>
      </c>
      <c r="G10" s="133">
        <v>0</v>
      </c>
      <c r="H10" s="140"/>
      <c r="I10" s="140"/>
      <c r="J10" s="96" t="s">
        <v>102</v>
      </c>
    </row>
    <row r="11" spans="1:10" ht="12.75" x14ac:dyDescent="0.2">
      <c r="A11" s="96" t="s">
        <v>864</v>
      </c>
      <c r="B11" s="96" t="s">
        <v>866</v>
      </c>
      <c r="C11" s="139" t="s">
        <v>211</v>
      </c>
      <c r="D11" s="133">
        <v>2373</v>
      </c>
      <c r="E11" s="133">
        <v>2608</v>
      </c>
      <c r="F11" s="133">
        <v>0</v>
      </c>
      <c r="G11" s="133">
        <v>0</v>
      </c>
      <c r="H11" s="140"/>
      <c r="I11" s="140"/>
      <c r="J11" s="96" t="s">
        <v>211</v>
      </c>
    </row>
    <row r="12" spans="1:10" ht="12.75" x14ac:dyDescent="0.2">
      <c r="A12" s="96" t="s">
        <v>864</v>
      </c>
      <c r="B12" s="96" t="s">
        <v>866</v>
      </c>
      <c r="C12" s="139" t="s">
        <v>327</v>
      </c>
      <c r="D12" s="133">
        <v>4781</v>
      </c>
      <c r="E12" s="133">
        <v>5958</v>
      </c>
      <c r="F12" s="133">
        <v>0</v>
      </c>
      <c r="G12" s="133">
        <v>0</v>
      </c>
      <c r="H12" s="140"/>
      <c r="I12" s="140"/>
      <c r="J12" s="96" t="s">
        <v>327</v>
      </c>
    </row>
    <row r="13" spans="1:10" ht="12.75" x14ac:dyDescent="0.2">
      <c r="A13" s="96" t="s">
        <v>864</v>
      </c>
      <c r="B13" s="96" t="s">
        <v>866</v>
      </c>
      <c r="C13" s="139" t="s">
        <v>366</v>
      </c>
      <c r="D13" s="133">
        <v>1527</v>
      </c>
      <c r="E13" s="133">
        <v>1918</v>
      </c>
      <c r="F13" s="133">
        <v>0</v>
      </c>
      <c r="G13" s="133">
        <v>0</v>
      </c>
      <c r="H13" s="140"/>
      <c r="I13" s="140"/>
      <c r="J13" s="96" t="s">
        <v>366</v>
      </c>
    </row>
    <row r="14" spans="1:10" ht="12.75" x14ac:dyDescent="0.2">
      <c r="A14" s="96" t="s">
        <v>864</v>
      </c>
      <c r="B14" s="96" t="s">
        <v>866</v>
      </c>
      <c r="C14" s="139" t="s">
        <v>252</v>
      </c>
      <c r="D14" s="133">
        <v>6057</v>
      </c>
      <c r="E14" s="133">
        <v>6636</v>
      </c>
      <c r="F14" s="133">
        <v>0</v>
      </c>
      <c r="G14" s="133">
        <v>0</v>
      </c>
      <c r="H14" s="140"/>
      <c r="I14" s="140"/>
      <c r="J14" s="96" t="s">
        <v>252</v>
      </c>
    </row>
    <row r="15" spans="1:10" ht="12.75" x14ac:dyDescent="0.2">
      <c r="A15" s="96" t="s">
        <v>864</v>
      </c>
      <c r="B15" s="96" t="s">
        <v>866</v>
      </c>
      <c r="C15" s="139" t="s">
        <v>459</v>
      </c>
      <c r="D15" s="133">
        <v>26000</v>
      </c>
      <c r="E15" s="133">
        <v>33634</v>
      </c>
      <c r="F15" s="133">
        <v>0</v>
      </c>
      <c r="G15" s="133">
        <v>0</v>
      </c>
      <c r="H15" s="140"/>
      <c r="I15" s="140"/>
      <c r="J15" s="96" t="s">
        <v>459</v>
      </c>
    </row>
    <row r="16" spans="1:10" ht="12.75" x14ac:dyDescent="0.2">
      <c r="A16" s="96" t="s">
        <v>864</v>
      </c>
      <c r="B16" s="96" t="s">
        <v>866</v>
      </c>
      <c r="C16" s="139" t="s">
        <v>261</v>
      </c>
      <c r="D16" s="133">
        <v>6698</v>
      </c>
      <c r="E16" s="133">
        <v>8722</v>
      </c>
      <c r="F16" s="133">
        <v>0</v>
      </c>
      <c r="G16" s="133">
        <v>0</v>
      </c>
      <c r="H16" s="140"/>
      <c r="I16" s="140"/>
      <c r="J16" s="96" t="s">
        <v>261</v>
      </c>
    </row>
    <row r="17" spans="1:10" ht="12.75" x14ac:dyDescent="0.2">
      <c r="A17" s="96" t="s">
        <v>864</v>
      </c>
      <c r="B17" s="96" t="s">
        <v>866</v>
      </c>
      <c r="C17" s="139" t="s">
        <v>441</v>
      </c>
      <c r="D17" s="133">
        <v>70469</v>
      </c>
      <c r="E17" s="133">
        <v>87274</v>
      </c>
      <c r="F17" s="133">
        <v>0</v>
      </c>
      <c r="G17" s="133">
        <v>0</v>
      </c>
      <c r="H17" s="140"/>
      <c r="I17" s="140"/>
      <c r="J17" s="96" t="s">
        <v>441</v>
      </c>
    </row>
    <row r="18" spans="1:10" ht="12.75" x14ac:dyDescent="0.2">
      <c r="A18" s="96" t="s">
        <v>864</v>
      </c>
      <c r="B18" s="96" t="s">
        <v>866</v>
      </c>
      <c r="C18" s="139" t="s">
        <v>445</v>
      </c>
      <c r="D18" s="133">
        <v>1885</v>
      </c>
      <c r="E18" s="133">
        <v>2238</v>
      </c>
      <c r="F18" s="133">
        <v>0</v>
      </c>
      <c r="G18" s="133">
        <v>0</v>
      </c>
      <c r="H18" s="140"/>
      <c r="I18" s="140"/>
      <c r="J18" s="96" t="s">
        <v>445</v>
      </c>
    </row>
    <row r="19" spans="1:10" ht="12.75" x14ac:dyDescent="0.2">
      <c r="A19" s="96" t="s">
        <v>864</v>
      </c>
      <c r="B19" s="96" t="s">
        <v>866</v>
      </c>
      <c r="C19" s="139" t="s">
        <v>259</v>
      </c>
      <c r="D19" s="133">
        <v>7563</v>
      </c>
      <c r="E19" s="133">
        <v>8908</v>
      </c>
      <c r="F19" s="133">
        <v>0</v>
      </c>
      <c r="G19" s="133">
        <v>0</v>
      </c>
      <c r="H19" s="140"/>
      <c r="I19" s="140"/>
      <c r="J19" s="96" t="s">
        <v>259</v>
      </c>
    </row>
    <row r="20" spans="1:10" ht="12.75" x14ac:dyDescent="0.2">
      <c r="A20" s="96" t="s">
        <v>864</v>
      </c>
      <c r="B20" s="96" t="s">
        <v>866</v>
      </c>
      <c r="C20" s="139" t="s">
        <v>453</v>
      </c>
      <c r="D20" s="133">
        <v>12093</v>
      </c>
      <c r="E20" s="133">
        <v>14759</v>
      </c>
      <c r="F20" s="133">
        <v>0</v>
      </c>
      <c r="G20" s="133">
        <v>0</v>
      </c>
      <c r="H20" s="140"/>
      <c r="I20" s="140"/>
      <c r="J20" s="96" t="s">
        <v>453</v>
      </c>
    </row>
    <row r="21" spans="1:10" ht="12.75" x14ac:dyDescent="0.2">
      <c r="A21" s="96" t="s">
        <v>864</v>
      </c>
      <c r="B21" s="96" t="s">
        <v>866</v>
      </c>
      <c r="C21" s="139" t="s">
        <v>449</v>
      </c>
      <c r="D21" s="133">
        <v>1344</v>
      </c>
      <c r="E21" s="133">
        <v>1699</v>
      </c>
      <c r="F21" s="133">
        <v>0</v>
      </c>
      <c r="G21" s="133">
        <v>0</v>
      </c>
      <c r="H21" s="140"/>
      <c r="I21" s="140"/>
      <c r="J21" s="96" t="s">
        <v>449</v>
      </c>
    </row>
    <row r="22" spans="1:10" ht="12.75" x14ac:dyDescent="0.2">
      <c r="A22" s="96" t="s">
        <v>864</v>
      </c>
      <c r="B22" s="96" t="s">
        <v>866</v>
      </c>
      <c r="C22" s="139" t="s">
        <v>451</v>
      </c>
      <c r="D22" s="133">
        <v>3494</v>
      </c>
      <c r="E22" s="133">
        <v>3734</v>
      </c>
      <c r="F22" s="133">
        <v>0</v>
      </c>
      <c r="G22" s="133">
        <v>0</v>
      </c>
      <c r="H22" s="140"/>
      <c r="I22" s="140"/>
      <c r="J22" s="96" t="s">
        <v>451</v>
      </c>
    </row>
    <row r="23" spans="1:10" ht="12.75" x14ac:dyDescent="0.2">
      <c r="A23" s="96" t="s">
        <v>864</v>
      </c>
      <c r="B23" s="96" t="s">
        <v>866</v>
      </c>
      <c r="C23" s="139" t="s">
        <v>533</v>
      </c>
      <c r="D23" s="133">
        <v>6657</v>
      </c>
      <c r="E23" s="133">
        <v>7639</v>
      </c>
      <c r="F23" s="133">
        <v>0</v>
      </c>
      <c r="G23" s="133">
        <v>0</v>
      </c>
      <c r="H23" s="140"/>
      <c r="I23" s="140"/>
      <c r="J23" s="96" t="s">
        <v>533</v>
      </c>
    </row>
    <row r="24" spans="1:10" ht="12.75" x14ac:dyDescent="0.2">
      <c r="A24" s="96" t="s">
        <v>864</v>
      </c>
      <c r="B24" s="96" t="s">
        <v>866</v>
      </c>
      <c r="C24" s="139" t="s">
        <v>768</v>
      </c>
      <c r="D24" s="133">
        <v>87830</v>
      </c>
      <c r="E24" s="133">
        <v>101919</v>
      </c>
      <c r="F24" s="133">
        <v>0</v>
      </c>
      <c r="G24" s="133">
        <v>0</v>
      </c>
      <c r="H24" s="140"/>
      <c r="I24" s="140"/>
      <c r="J24" s="96" t="s">
        <v>768</v>
      </c>
    </row>
    <row r="25" spans="1:10" ht="12.75" x14ac:dyDescent="0.2">
      <c r="A25" s="96" t="s">
        <v>864</v>
      </c>
      <c r="B25" s="96" t="s">
        <v>866</v>
      </c>
      <c r="C25" s="139" t="s">
        <v>868</v>
      </c>
      <c r="D25" s="133">
        <v>9216</v>
      </c>
      <c r="E25" s="133">
        <v>10624</v>
      </c>
      <c r="F25" s="133">
        <v>0</v>
      </c>
      <c r="G25" s="133">
        <v>0</v>
      </c>
      <c r="H25" s="140"/>
      <c r="I25" s="140"/>
      <c r="J25" s="96" t="s">
        <v>868</v>
      </c>
    </row>
    <row r="26" spans="1:10" ht="12.75" x14ac:dyDescent="0.2">
      <c r="A26" s="96" t="s">
        <v>864</v>
      </c>
      <c r="B26" s="96" t="s">
        <v>866</v>
      </c>
      <c r="C26" s="139" t="s">
        <v>357</v>
      </c>
      <c r="D26" s="133">
        <v>6744</v>
      </c>
      <c r="E26" s="133">
        <v>7524</v>
      </c>
      <c r="F26" s="133">
        <v>0</v>
      </c>
      <c r="G26" s="133">
        <v>0</v>
      </c>
      <c r="H26" s="140"/>
      <c r="I26" s="140"/>
      <c r="J26" s="96" t="s">
        <v>357</v>
      </c>
    </row>
    <row r="27" spans="1:10" ht="12.75" x14ac:dyDescent="0.2">
      <c r="A27" s="96" t="s">
        <v>864</v>
      </c>
      <c r="B27" s="96" t="s">
        <v>866</v>
      </c>
      <c r="C27" s="139" t="s">
        <v>88</v>
      </c>
      <c r="D27" s="133">
        <v>728</v>
      </c>
      <c r="E27" s="133">
        <v>817</v>
      </c>
      <c r="F27" s="133">
        <v>0</v>
      </c>
      <c r="G27" s="133">
        <v>0</v>
      </c>
      <c r="H27" s="140"/>
      <c r="I27" s="140"/>
      <c r="J27" s="96" t="s">
        <v>88</v>
      </c>
    </row>
    <row r="28" spans="1:10" ht="12.75" x14ac:dyDescent="0.2">
      <c r="A28" s="96" t="s">
        <v>864</v>
      </c>
      <c r="B28" s="96" t="s">
        <v>866</v>
      </c>
      <c r="C28" s="133" t="s">
        <v>354</v>
      </c>
      <c r="D28" s="147">
        <v>2284</v>
      </c>
      <c r="E28" s="148">
        <v>2583</v>
      </c>
      <c r="F28" s="146">
        <v>0</v>
      </c>
      <c r="G28" s="146">
        <v>0</v>
      </c>
      <c r="H28" s="140"/>
      <c r="I28" s="140"/>
      <c r="J28" s="96" t="s">
        <v>354</v>
      </c>
    </row>
    <row r="29" spans="1:10" ht="12.75" x14ac:dyDescent="0.2">
      <c r="A29" s="96" t="s">
        <v>864</v>
      </c>
      <c r="B29" s="96" t="s">
        <v>866</v>
      </c>
      <c r="C29" s="139" t="s">
        <v>298</v>
      </c>
      <c r="D29" s="133">
        <v>2373</v>
      </c>
      <c r="E29" s="133">
        <v>2814</v>
      </c>
      <c r="F29" s="133">
        <v>0</v>
      </c>
      <c r="G29" s="133">
        <v>0</v>
      </c>
      <c r="H29" s="140"/>
      <c r="I29" s="140"/>
      <c r="J29" s="96" t="s">
        <v>298</v>
      </c>
    </row>
    <row r="30" spans="1:10" ht="12.75" x14ac:dyDescent="0.2">
      <c r="A30" s="96" t="s">
        <v>864</v>
      </c>
      <c r="B30" s="96" t="s">
        <v>866</v>
      </c>
      <c r="C30" s="139" t="s">
        <v>122</v>
      </c>
      <c r="D30" s="133">
        <v>2265</v>
      </c>
      <c r="E30" s="133">
        <v>2505</v>
      </c>
      <c r="F30" s="133">
        <v>0</v>
      </c>
      <c r="G30" s="133">
        <v>0</v>
      </c>
      <c r="H30" s="140"/>
      <c r="I30" s="140"/>
      <c r="J30" s="96" t="s">
        <v>122</v>
      </c>
    </row>
    <row r="31" spans="1:10" ht="12.75" x14ac:dyDescent="0.2">
      <c r="A31" s="96" t="s">
        <v>864</v>
      </c>
      <c r="B31" s="96" t="s">
        <v>866</v>
      </c>
      <c r="C31" s="139" t="s">
        <v>132</v>
      </c>
      <c r="D31" s="133">
        <v>5793</v>
      </c>
      <c r="E31" s="133">
        <v>6962</v>
      </c>
      <c r="F31" s="133">
        <v>0</v>
      </c>
      <c r="G31" s="133">
        <v>0</v>
      </c>
      <c r="H31" s="140"/>
      <c r="I31" s="140"/>
      <c r="J31" s="96" t="s">
        <v>132</v>
      </c>
    </row>
    <row r="32" spans="1:10" ht="12.75" x14ac:dyDescent="0.2">
      <c r="A32" s="96" t="s">
        <v>864</v>
      </c>
      <c r="B32" s="96" t="s">
        <v>866</v>
      </c>
      <c r="C32" s="139" t="s">
        <v>124</v>
      </c>
      <c r="D32" s="133">
        <v>2497</v>
      </c>
      <c r="E32" s="133">
        <v>2782</v>
      </c>
      <c r="F32" s="133">
        <v>0</v>
      </c>
      <c r="G32" s="133">
        <v>0</v>
      </c>
      <c r="H32" s="140"/>
      <c r="I32" s="140"/>
      <c r="J32" s="96" t="s">
        <v>124</v>
      </c>
    </row>
    <row r="33" spans="1:10" ht="12.75" x14ac:dyDescent="0.2">
      <c r="A33" s="96" t="s">
        <v>864</v>
      </c>
      <c r="B33" s="96" t="s">
        <v>866</v>
      </c>
      <c r="C33" s="139" t="s">
        <v>192</v>
      </c>
      <c r="D33" s="133">
        <v>7892</v>
      </c>
      <c r="E33" s="133">
        <v>10647</v>
      </c>
      <c r="F33" s="133">
        <v>0</v>
      </c>
      <c r="G33" s="133">
        <v>0</v>
      </c>
      <c r="H33" s="140"/>
      <c r="I33" s="140"/>
      <c r="J33" s="96" t="s">
        <v>192</v>
      </c>
    </row>
    <row r="34" spans="1:10" ht="12.75" x14ac:dyDescent="0.2">
      <c r="A34" s="96" t="s">
        <v>864</v>
      </c>
      <c r="B34" s="96" t="s">
        <v>866</v>
      </c>
      <c r="C34" s="139" t="s">
        <v>160</v>
      </c>
      <c r="D34" s="133">
        <v>4623</v>
      </c>
      <c r="E34" s="133">
        <v>5311</v>
      </c>
      <c r="F34" s="133">
        <v>0</v>
      </c>
      <c r="G34" s="133">
        <v>0</v>
      </c>
      <c r="H34" s="140"/>
      <c r="I34" s="140"/>
      <c r="J34" s="96" t="s">
        <v>160</v>
      </c>
    </row>
    <row r="35" spans="1:10" x14ac:dyDescent="0.3">
      <c r="A35" s="96" t="s">
        <v>864</v>
      </c>
      <c r="B35" s="96" t="s">
        <v>866</v>
      </c>
      <c r="C35" s="139" t="s">
        <v>791</v>
      </c>
      <c r="D35" s="133">
        <v>2845</v>
      </c>
      <c r="E35" s="133">
        <v>3529</v>
      </c>
      <c r="F35" s="133">
        <v>0</v>
      </c>
      <c r="G35" s="133">
        <v>0</v>
      </c>
      <c r="H35" s="140"/>
      <c r="I35" s="140"/>
      <c r="J35" s="96" t="s">
        <v>791</v>
      </c>
    </row>
    <row r="36" spans="1:10" x14ac:dyDescent="0.3">
      <c r="A36" s="96" t="s">
        <v>864</v>
      </c>
      <c r="B36" s="96" t="s">
        <v>866</v>
      </c>
      <c r="C36" s="139" t="s">
        <v>291</v>
      </c>
      <c r="D36" s="133">
        <v>7938</v>
      </c>
      <c r="E36" s="133">
        <v>10327</v>
      </c>
      <c r="F36" s="133">
        <v>0</v>
      </c>
      <c r="G36" s="133">
        <v>0</v>
      </c>
      <c r="H36" s="140"/>
      <c r="I36" s="140"/>
      <c r="J36" s="96" t="s">
        <v>291</v>
      </c>
    </row>
    <row r="37" spans="1:10" x14ac:dyDescent="0.3">
      <c r="A37" s="96" t="s">
        <v>864</v>
      </c>
      <c r="B37" s="96" t="s">
        <v>866</v>
      </c>
      <c r="C37" s="139" t="s">
        <v>289</v>
      </c>
      <c r="D37" s="133">
        <v>23</v>
      </c>
      <c r="E37" s="133">
        <v>23</v>
      </c>
      <c r="F37" s="133">
        <v>0</v>
      </c>
      <c r="G37" s="133">
        <v>0</v>
      </c>
      <c r="H37" s="140"/>
      <c r="I37" s="140"/>
      <c r="J37" s="96" t="s">
        <v>289</v>
      </c>
    </row>
    <row r="38" spans="1:10" x14ac:dyDescent="0.3">
      <c r="A38" s="96" t="s">
        <v>864</v>
      </c>
      <c r="B38" s="96" t="s">
        <v>866</v>
      </c>
      <c r="C38" s="139" t="s">
        <v>465</v>
      </c>
      <c r="D38" s="133">
        <v>75306</v>
      </c>
      <c r="E38" s="133">
        <v>95310</v>
      </c>
      <c r="F38" s="133">
        <v>0</v>
      </c>
      <c r="G38" s="133">
        <v>0</v>
      </c>
      <c r="H38" s="140"/>
      <c r="I38" s="140"/>
      <c r="J38" s="96" t="s">
        <v>465</v>
      </c>
    </row>
    <row r="39" spans="1:10" x14ac:dyDescent="0.3">
      <c r="A39" s="96" t="s">
        <v>864</v>
      </c>
      <c r="B39" s="96" t="s">
        <v>866</v>
      </c>
      <c r="C39" s="139" t="s">
        <v>128</v>
      </c>
      <c r="D39" s="133">
        <v>3928</v>
      </c>
      <c r="E39" s="133">
        <v>4373</v>
      </c>
      <c r="F39" s="133">
        <v>0</v>
      </c>
      <c r="G39" s="133">
        <v>0</v>
      </c>
      <c r="H39" s="140"/>
      <c r="I39" s="140"/>
      <c r="J39" s="96" t="s">
        <v>128</v>
      </c>
    </row>
    <row r="40" spans="1:10" x14ac:dyDescent="0.3">
      <c r="A40" s="96" t="s">
        <v>864</v>
      </c>
      <c r="B40" s="96" t="s">
        <v>866</v>
      </c>
      <c r="C40" s="139" t="s">
        <v>795</v>
      </c>
      <c r="D40" s="133">
        <v>3226</v>
      </c>
      <c r="E40" s="133">
        <v>3747</v>
      </c>
      <c r="F40" s="133">
        <v>0</v>
      </c>
      <c r="G40" s="133">
        <v>0</v>
      </c>
      <c r="H40" s="140"/>
      <c r="I40" s="140"/>
      <c r="J40" s="96" t="s">
        <v>795</v>
      </c>
    </row>
    <row r="41" spans="1:10" x14ac:dyDescent="0.3">
      <c r="A41" s="96" t="s">
        <v>864</v>
      </c>
      <c r="B41" s="96" t="s">
        <v>866</v>
      </c>
      <c r="C41" s="139" t="s">
        <v>134</v>
      </c>
      <c r="D41" s="133">
        <v>2008</v>
      </c>
      <c r="E41" s="133">
        <v>2406</v>
      </c>
      <c r="F41" s="133">
        <v>0</v>
      </c>
      <c r="G41" s="133">
        <v>0</v>
      </c>
      <c r="H41" s="140"/>
      <c r="I41" s="140"/>
      <c r="J41" s="96" t="s">
        <v>134</v>
      </c>
    </row>
    <row r="42" spans="1:10" x14ac:dyDescent="0.3">
      <c r="A42" s="96" t="s">
        <v>864</v>
      </c>
      <c r="B42" s="96" t="s">
        <v>866</v>
      </c>
      <c r="C42" s="139" t="s">
        <v>138</v>
      </c>
      <c r="D42" s="133">
        <v>3089</v>
      </c>
      <c r="E42" s="133">
        <v>3836</v>
      </c>
      <c r="F42" s="133">
        <v>0</v>
      </c>
      <c r="G42" s="133">
        <v>0</v>
      </c>
      <c r="H42" s="140"/>
      <c r="I42" s="140"/>
      <c r="J42" s="96" t="s">
        <v>138</v>
      </c>
    </row>
    <row r="43" spans="1:10" x14ac:dyDescent="0.3">
      <c r="A43" s="96" t="s">
        <v>864</v>
      </c>
      <c r="B43" s="96" t="s">
        <v>866</v>
      </c>
      <c r="C43" s="139" t="s">
        <v>126</v>
      </c>
      <c r="D43" s="133">
        <v>2940</v>
      </c>
      <c r="E43" s="133">
        <v>3486</v>
      </c>
      <c r="F43" s="133">
        <v>0</v>
      </c>
      <c r="G43" s="133">
        <v>0</v>
      </c>
      <c r="H43" s="140"/>
      <c r="I43" s="140"/>
      <c r="J43" s="96" t="s">
        <v>126</v>
      </c>
    </row>
    <row r="44" spans="1:10" x14ac:dyDescent="0.3">
      <c r="A44" s="96" t="s">
        <v>864</v>
      </c>
      <c r="B44" s="96" t="s">
        <v>866</v>
      </c>
      <c r="C44" s="139" t="s">
        <v>100</v>
      </c>
      <c r="D44" s="133">
        <v>5140</v>
      </c>
      <c r="E44" s="133">
        <v>6446</v>
      </c>
      <c r="F44" s="133">
        <v>0</v>
      </c>
      <c r="G44" s="133">
        <v>0</v>
      </c>
      <c r="H44" s="140"/>
      <c r="I44" s="140"/>
      <c r="J44" s="96" t="s">
        <v>100</v>
      </c>
    </row>
    <row r="45" spans="1:10" x14ac:dyDescent="0.3">
      <c r="A45" s="96" t="s">
        <v>864</v>
      </c>
      <c r="B45" s="96" t="s">
        <v>866</v>
      </c>
      <c r="C45" s="139" t="s">
        <v>130</v>
      </c>
      <c r="D45" s="133">
        <v>2590</v>
      </c>
      <c r="E45" s="133">
        <v>2879</v>
      </c>
      <c r="F45" s="133">
        <v>0</v>
      </c>
      <c r="G45" s="133">
        <v>0</v>
      </c>
      <c r="H45" s="140"/>
      <c r="I45" s="140"/>
      <c r="J45" s="96" t="s">
        <v>130</v>
      </c>
    </row>
    <row r="46" spans="1:10" x14ac:dyDescent="0.3">
      <c r="A46" s="96" t="s">
        <v>864</v>
      </c>
      <c r="B46" s="96" t="s">
        <v>866</v>
      </c>
      <c r="C46" s="139" t="s">
        <v>368</v>
      </c>
      <c r="D46" s="133">
        <v>3135</v>
      </c>
      <c r="E46" s="133">
        <v>3833</v>
      </c>
      <c r="F46" s="133">
        <v>0</v>
      </c>
      <c r="G46" s="133">
        <v>0</v>
      </c>
      <c r="H46" s="140"/>
      <c r="I46" s="140"/>
      <c r="J46" s="96" t="s">
        <v>368</v>
      </c>
    </row>
    <row r="47" spans="1:10" x14ac:dyDescent="0.3">
      <c r="A47" s="96" t="s">
        <v>864</v>
      </c>
      <c r="B47" s="96" t="s">
        <v>866</v>
      </c>
      <c r="C47" s="139" t="s">
        <v>869</v>
      </c>
      <c r="D47" s="133">
        <v>386</v>
      </c>
      <c r="E47" s="133">
        <v>387</v>
      </c>
      <c r="F47" s="133">
        <v>0</v>
      </c>
      <c r="G47" s="133">
        <v>0</v>
      </c>
      <c r="H47" s="140"/>
      <c r="I47" s="140"/>
      <c r="J47" s="96" t="s">
        <v>869</v>
      </c>
    </row>
    <row r="48" spans="1:10" x14ac:dyDescent="0.3">
      <c r="A48" s="96" t="s">
        <v>864</v>
      </c>
      <c r="B48" s="96" t="s">
        <v>866</v>
      </c>
      <c r="C48" s="139" t="s">
        <v>870</v>
      </c>
      <c r="D48" s="133">
        <v>1575</v>
      </c>
      <c r="E48" s="133">
        <v>2399</v>
      </c>
      <c r="F48" s="133">
        <v>0</v>
      </c>
      <c r="G48" s="133">
        <v>0</v>
      </c>
      <c r="H48" s="140"/>
      <c r="I48" s="140"/>
      <c r="J48" s="96" t="s">
        <v>870</v>
      </c>
    </row>
    <row r="49" spans="1:10" x14ac:dyDescent="0.3">
      <c r="A49" s="96" t="s">
        <v>864</v>
      </c>
      <c r="B49" s="96" t="s">
        <v>866</v>
      </c>
      <c r="C49" s="139" t="s">
        <v>756</v>
      </c>
      <c r="D49" s="133">
        <v>2990</v>
      </c>
      <c r="E49" s="133">
        <v>3805</v>
      </c>
      <c r="F49" s="133">
        <v>0</v>
      </c>
      <c r="G49" s="133">
        <v>0</v>
      </c>
      <c r="H49" s="140"/>
      <c r="I49" s="140"/>
      <c r="J49" s="96" t="s">
        <v>756</v>
      </c>
    </row>
    <row r="50" spans="1:10" x14ac:dyDescent="0.3">
      <c r="A50" s="96" t="s">
        <v>864</v>
      </c>
      <c r="B50" s="96" t="s">
        <v>866</v>
      </c>
      <c r="C50" s="133" t="s">
        <v>789</v>
      </c>
      <c r="D50" s="147">
        <v>1968</v>
      </c>
      <c r="E50" s="147">
        <v>2347</v>
      </c>
      <c r="F50" s="146">
        <v>0</v>
      </c>
      <c r="G50" s="146">
        <v>0</v>
      </c>
      <c r="H50" s="140"/>
      <c r="I50" s="140"/>
      <c r="J50" s="96" t="s">
        <v>789</v>
      </c>
    </row>
    <row r="51" spans="1:10" x14ac:dyDescent="0.3">
      <c r="A51" s="96" t="s">
        <v>864</v>
      </c>
      <c r="B51" s="96" t="s">
        <v>866</v>
      </c>
      <c r="C51" s="139" t="s">
        <v>752</v>
      </c>
      <c r="D51" s="133">
        <v>955</v>
      </c>
      <c r="E51" s="133">
        <v>1239</v>
      </c>
      <c r="F51" s="133">
        <v>0</v>
      </c>
      <c r="G51" s="133">
        <v>0</v>
      </c>
      <c r="H51" s="140"/>
      <c r="I51" s="140"/>
      <c r="J51" s="96" t="s">
        <v>752</v>
      </c>
    </row>
    <row r="52" spans="1:10" x14ac:dyDescent="0.3">
      <c r="A52" s="96" t="s">
        <v>864</v>
      </c>
      <c r="B52" s="96" t="s">
        <v>866</v>
      </c>
      <c r="C52" s="139" t="s">
        <v>208</v>
      </c>
      <c r="D52" s="133">
        <v>3492</v>
      </c>
      <c r="E52" s="133">
        <v>4029</v>
      </c>
      <c r="F52" s="133">
        <v>0</v>
      </c>
      <c r="G52" s="133">
        <v>0</v>
      </c>
      <c r="H52" s="140"/>
      <c r="I52" s="140"/>
      <c r="J52" s="96" t="s">
        <v>208</v>
      </c>
    </row>
    <row r="53" spans="1:10" x14ac:dyDescent="0.3">
      <c r="A53" s="96" t="s">
        <v>864</v>
      </c>
      <c r="B53" s="96" t="s">
        <v>866</v>
      </c>
      <c r="C53" s="139" t="s">
        <v>377</v>
      </c>
      <c r="D53" s="133">
        <v>1591</v>
      </c>
      <c r="E53" s="133">
        <v>2368</v>
      </c>
      <c r="F53" s="133">
        <v>0</v>
      </c>
      <c r="G53" s="133">
        <v>0</v>
      </c>
      <c r="H53" s="140"/>
      <c r="I53" s="140"/>
      <c r="J53" s="96" t="s">
        <v>377</v>
      </c>
    </row>
    <row r="54" spans="1:10" x14ac:dyDescent="0.3">
      <c r="A54" s="96" t="s">
        <v>864</v>
      </c>
      <c r="B54" s="96" t="s">
        <v>866</v>
      </c>
      <c r="C54" s="139" t="s">
        <v>379</v>
      </c>
      <c r="D54" s="133">
        <v>11038</v>
      </c>
      <c r="E54" s="133">
        <v>13537</v>
      </c>
      <c r="F54" s="133">
        <v>0</v>
      </c>
      <c r="G54" s="133">
        <v>0</v>
      </c>
      <c r="H54" s="140"/>
      <c r="I54" s="140"/>
      <c r="J54" s="96" t="s">
        <v>379</v>
      </c>
    </row>
    <row r="55" spans="1:10" x14ac:dyDescent="0.3">
      <c r="A55" s="96" t="s">
        <v>864</v>
      </c>
      <c r="B55" s="96" t="s">
        <v>866</v>
      </c>
      <c r="C55" s="139" t="s">
        <v>490</v>
      </c>
      <c r="D55" s="133">
        <v>1005</v>
      </c>
      <c r="E55" s="133">
        <v>1217</v>
      </c>
      <c r="F55" s="133">
        <v>0</v>
      </c>
      <c r="G55" s="133">
        <v>0</v>
      </c>
      <c r="H55" s="140"/>
      <c r="I55" s="140"/>
      <c r="J55" s="96" t="s">
        <v>490</v>
      </c>
    </row>
    <row r="56" spans="1:10" x14ac:dyDescent="0.3">
      <c r="A56" s="96" t="s">
        <v>864</v>
      </c>
      <c r="B56" s="96" t="s">
        <v>866</v>
      </c>
      <c r="C56" s="139" t="s">
        <v>318</v>
      </c>
      <c r="D56" s="133">
        <v>948</v>
      </c>
      <c r="E56" s="133">
        <v>1416</v>
      </c>
      <c r="F56" s="133">
        <v>0</v>
      </c>
      <c r="G56" s="133">
        <v>0</v>
      </c>
      <c r="H56" s="140"/>
      <c r="I56" s="140"/>
      <c r="J56" s="96" t="s">
        <v>318</v>
      </c>
    </row>
    <row r="57" spans="1:10" x14ac:dyDescent="0.3">
      <c r="A57" s="97" t="s">
        <v>864</v>
      </c>
      <c r="B57" s="96" t="s">
        <v>866</v>
      </c>
      <c r="C57" s="139" t="s">
        <v>922</v>
      </c>
      <c r="D57" s="133">
        <v>119</v>
      </c>
      <c r="E57" s="133">
        <v>119</v>
      </c>
      <c r="F57" s="133">
        <v>0</v>
      </c>
      <c r="G57" s="133">
        <v>0</v>
      </c>
      <c r="H57" s="140"/>
      <c r="I57" s="140"/>
      <c r="J57" s="98" t="s">
        <v>922</v>
      </c>
    </row>
    <row r="58" spans="1:10" x14ac:dyDescent="0.3">
      <c r="A58" s="96" t="s">
        <v>864</v>
      </c>
      <c r="B58" s="96" t="s">
        <v>866</v>
      </c>
      <c r="C58" s="139" t="s">
        <v>370</v>
      </c>
      <c r="D58" s="133">
        <v>7413</v>
      </c>
      <c r="E58" s="133">
        <v>8921</v>
      </c>
      <c r="F58" s="133">
        <v>0</v>
      </c>
      <c r="G58" s="133">
        <v>0</v>
      </c>
      <c r="H58" s="140"/>
      <c r="I58" s="140"/>
      <c r="J58" s="96" t="s">
        <v>370</v>
      </c>
    </row>
    <row r="59" spans="1:10" x14ac:dyDescent="0.3">
      <c r="A59" s="96" t="s">
        <v>864</v>
      </c>
      <c r="B59" s="96" t="s">
        <v>866</v>
      </c>
      <c r="C59" s="139" t="s">
        <v>372</v>
      </c>
      <c r="D59" s="133">
        <v>1318</v>
      </c>
      <c r="E59" s="133">
        <v>1690</v>
      </c>
      <c r="F59" s="133">
        <v>0</v>
      </c>
      <c r="G59" s="133">
        <v>0</v>
      </c>
      <c r="H59" s="140"/>
      <c r="I59" s="140"/>
      <c r="J59" s="96" t="s">
        <v>372</v>
      </c>
    </row>
    <row r="60" spans="1:10" x14ac:dyDescent="0.3">
      <c r="A60" s="96" t="s">
        <v>864</v>
      </c>
      <c r="B60" s="96" t="s">
        <v>866</v>
      </c>
      <c r="C60" s="139" t="s">
        <v>279</v>
      </c>
      <c r="D60" s="133">
        <v>1929</v>
      </c>
      <c r="E60" s="133">
        <v>2263</v>
      </c>
      <c r="F60" s="133">
        <v>0</v>
      </c>
      <c r="G60" s="133">
        <v>0</v>
      </c>
      <c r="H60" s="140"/>
      <c r="I60" s="140"/>
      <c r="J60" s="96" t="s">
        <v>279</v>
      </c>
    </row>
    <row r="61" spans="1:10" x14ac:dyDescent="0.3">
      <c r="A61" s="96" t="s">
        <v>864</v>
      </c>
      <c r="B61" s="96" t="s">
        <v>866</v>
      </c>
      <c r="C61" s="139" t="s">
        <v>281</v>
      </c>
      <c r="D61" s="133">
        <v>759</v>
      </c>
      <c r="E61" s="133">
        <v>872</v>
      </c>
      <c r="F61" s="133">
        <v>0</v>
      </c>
      <c r="G61" s="133">
        <v>0</v>
      </c>
      <c r="H61" s="140"/>
      <c r="I61" s="140"/>
      <c r="J61" s="96" t="s">
        <v>281</v>
      </c>
    </row>
    <row r="62" spans="1:10" x14ac:dyDescent="0.3">
      <c r="A62" s="96" t="s">
        <v>864</v>
      </c>
      <c r="B62" s="96" t="s">
        <v>866</v>
      </c>
      <c r="C62" s="139" t="s">
        <v>359</v>
      </c>
      <c r="D62" s="133">
        <v>3309</v>
      </c>
      <c r="E62" s="133">
        <v>5599</v>
      </c>
      <c r="F62" s="133">
        <v>0</v>
      </c>
      <c r="G62" s="133">
        <v>0</v>
      </c>
      <c r="H62" s="140"/>
      <c r="I62" s="140"/>
      <c r="J62" s="96" t="s">
        <v>359</v>
      </c>
    </row>
    <row r="63" spans="1:10" x14ac:dyDescent="0.3">
      <c r="A63" s="96" t="s">
        <v>864</v>
      </c>
      <c r="B63" s="96" t="s">
        <v>866</v>
      </c>
      <c r="C63" s="139" t="s">
        <v>434</v>
      </c>
      <c r="D63" s="133">
        <v>3771</v>
      </c>
      <c r="E63" s="133">
        <v>3919</v>
      </c>
      <c r="F63" s="133">
        <v>0</v>
      </c>
      <c r="G63" s="133">
        <v>0</v>
      </c>
      <c r="H63" s="140"/>
      <c r="I63" s="140"/>
      <c r="J63" s="96" t="s">
        <v>434</v>
      </c>
    </row>
    <row r="64" spans="1:10" x14ac:dyDescent="0.3">
      <c r="A64" s="96" t="s">
        <v>864</v>
      </c>
      <c r="B64" s="96" t="s">
        <v>866</v>
      </c>
      <c r="C64" s="139" t="s">
        <v>60</v>
      </c>
      <c r="D64" s="133">
        <v>3967</v>
      </c>
      <c r="E64" s="133">
        <v>5292</v>
      </c>
      <c r="F64" s="133">
        <v>0</v>
      </c>
      <c r="G64" s="133">
        <v>0</v>
      </c>
      <c r="H64" s="140"/>
      <c r="I64" s="140"/>
      <c r="J64" s="96" t="s">
        <v>60</v>
      </c>
    </row>
    <row r="65" spans="1:10" x14ac:dyDescent="0.3">
      <c r="A65" s="96" t="s">
        <v>864</v>
      </c>
      <c r="B65" s="96" t="s">
        <v>866</v>
      </c>
      <c r="C65" s="139" t="s">
        <v>871</v>
      </c>
      <c r="D65" s="133">
        <v>169</v>
      </c>
      <c r="E65" s="133">
        <v>237</v>
      </c>
      <c r="F65" s="133">
        <v>0</v>
      </c>
      <c r="G65" s="133">
        <v>0</v>
      </c>
      <c r="H65" s="140"/>
      <c r="I65" s="140"/>
      <c r="J65" s="96" t="s">
        <v>871</v>
      </c>
    </row>
    <row r="66" spans="1:10" x14ac:dyDescent="0.3">
      <c r="A66" s="96" t="s">
        <v>864</v>
      </c>
      <c r="B66" s="96" t="s">
        <v>866</v>
      </c>
      <c r="C66" s="139" t="s">
        <v>226</v>
      </c>
      <c r="D66" s="133">
        <v>2574</v>
      </c>
      <c r="E66" s="133">
        <v>2956</v>
      </c>
      <c r="F66" s="133">
        <v>0</v>
      </c>
      <c r="G66" s="133">
        <v>0</v>
      </c>
      <c r="H66" s="140"/>
      <c r="I66" s="140"/>
      <c r="J66" s="96" t="s">
        <v>226</v>
      </c>
    </row>
    <row r="67" spans="1:10" x14ac:dyDescent="0.3">
      <c r="A67" s="96" t="s">
        <v>864</v>
      </c>
      <c r="B67" s="96" t="s">
        <v>866</v>
      </c>
      <c r="C67" s="139" t="s">
        <v>296</v>
      </c>
      <c r="D67" s="133">
        <v>806</v>
      </c>
      <c r="E67" s="133">
        <v>1226</v>
      </c>
      <c r="F67" s="133">
        <v>0</v>
      </c>
      <c r="G67" s="133">
        <v>0</v>
      </c>
      <c r="H67" s="140"/>
      <c r="I67" s="140"/>
      <c r="J67" s="96" t="s">
        <v>296</v>
      </c>
    </row>
    <row r="68" spans="1:10" x14ac:dyDescent="0.3">
      <c r="A68" s="96" t="s">
        <v>864</v>
      </c>
      <c r="B68" s="96" t="s">
        <v>866</v>
      </c>
      <c r="C68" s="139" t="s">
        <v>302</v>
      </c>
      <c r="D68" s="133">
        <v>31</v>
      </c>
      <c r="E68" s="133">
        <v>31</v>
      </c>
      <c r="F68" s="133">
        <v>0</v>
      </c>
      <c r="G68" s="133">
        <v>0</v>
      </c>
      <c r="H68" s="140"/>
      <c r="I68" s="140"/>
      <c r="J68" s="96" t="s">
        <v>302</v>
      </c>
    </row>
    <row r="69" spans="1:10" x14ac:dyDescent="0.3">
      <c r="A69" s="96" t="s">
        <v>864</v>
      </c>
      <c r="B69" s="96" t="s">
        <v>866</v>
      </c>
      <c r="C69" s="139" t="s">
        <v>224</v>
      </c>
      <c r="D69" s="133">
        <v>681</v>
      </c>
      <c r="E69" s="133">
        <v>1084</v>
      </c>
      <c r="F69" s="133">
        <v>0</v>
      </c>
      <c r="G69" s="133">
        <v>0</v>
      </c>
      <c r="H69" s="140"/>
      <c r="I69" s="140"/>
      <c r="J69" s="96" t="s">
        <v>224</v>
      </c>
    </row>
    <row r="70" spans="1:10" x14ac:dyDescent="0.3">
      <c r="A70" s="96" t="s">
        <v>864</v>
      </c>
      <c r="B70" s="96" t="s">
        <v>866</v>
      </c>
      <c r="C70" s="139" t="s">
        <v>67</v>
      </c>
      <c r="D70" s="133">
        <v>588</v>
      </c>
      <c r="E70" s="133">
        <v>651</v>
      </c>
      <c r="F70" s="133">
        <v>0</v>
      </c>
      <c r="G70" s="133">
        <v>0</v>
      </c>
      <c r="H70" s="140"/>
      <c r="I70" s="140"/>
      <c r="J70" s="96" t="s">
        <v>67</v>
      </c>
    </row>
    <row r="71" spans="1:10" x14ac:dyDescent="0.3">
      <c r="A71" s="96" t="s">
        <v>864</v>
      </c>
      <c r="B71" s="96" t="s">
        <v>866</v>
      </c>
      <c r="C71" s="139" t="s">
        <v>351</v>
      </c>
      <c r="D71" s="133">
        <v>4357</v>
      </c>
      <c r="E71" s="133">
        <v>5457</v>
      </c>
      <c r="F71" s="133">
        <v>0</v>
      </c>
      <c r="G71" s="133">
        <v>0</v>
      </c>
      <c r="H71" s="140"/>
      <c r="I71" s="140"/>
      <c r="J71" s="96" t="s">
        <v>351</v>
      </c>
    </row>
    <row r="72" spans="1:10" x14ac:dyDescent="0.3">
      <c r="A72" s="96" t="s">
        <v>864</v>
      </c>
      <c r="B72" s="96" t="s">
        <v>866</v>
      </c>
      <c r="C72" s="139" t="s">
        <v>228</v>
      </c>
      <c r="D72" s="133">
        <v>4603</v>
      </c>
      <c r="E72" s="133">
        <v>5743</v>
      </c>
      <c r="F72" s="133">
        <v>0</v>
      </c>
      <c r="G72" s="133">
        <v>0</v>
      </c>
      <c r="H72" s="140"/>
      <c r="I72" s="140"/>
      <c r="J72" s="96" t="s">
        <v>228</v>
      </c>
    </row>
    <row r="73" spans="1:10" x14ac:dyDescent="0.3">
      <c r="A73" s="96" t="s">
        <v>864</v>
      </c>
      <c r="B73" s="96" t="s">
        <v>866</v>
      </c>
      <c r="C73" s="139" t="s">
        <v>300</v>
      </c>
      <c r="D73" s="133">
        <v>7918</v>
      </c>
      <c r="E73" s="133">
        <v>9481</v>
      </c>
      <c r="F73" s="133">
        <v>0</v>
      </c>
      <c r="G73" s="133">
        <v>0</v>
      </c>
      <c r="H73" s="140"/>
      <c r="I73" s="140"/>
      <c r="J73" s="96" t="s">
        <v>300</v>
      </c>
    </row>
    <row r="74" spans="1:10" x14ac:dyDescent="0.3">
      <c r="A74" s="96" t="s">
        <v>864</v>
      </c>
      <c r="B74" s="96" t="s">
        <v>866</v>
      </c>
      <c r="C74" s="139" t="s">
        <v>330</v>
      </c>
      <c r="D74" s="133">
        <v>1469</v>
      </c>
      <c r="E74" s="133">
        <v>1690</v>
      </c>
      <c r="F74" s="133">
        <v>0</v>
      </c>
      <c r="G74" s="133">
        <v>0</v>
      </c>
      <c r="H74" s="140"/>
      <c r="I74" s="140"/>
      <c r="J74" s="96" t="s">
        <v>330</v>
      </c>
    </row>
    <row r="75" spans="1:10" x14ac:dyDescent="0.3">
      <c r="A75" s="96" t="s">
        <v>864</v>
      </c>
      <c r="B75" s="96" t="s">
        <v>866</v>
      </c>
      <c r="C75" s="139" t="s">
        <v>348</v>
      </c>
      <c r="D75" s="133">
        <v>7208</v>
      </c>
      <c r="E75" s="133">
        <v>9501</v>
      </c>
      <c r="F75" s="133">
        <v>0</v>
      </c>
      <c r="G75" s="133">
        <v>0</v>
      </c>
      <c r="H75" s="140"/>
      <c r="I75" s="140"/>
      <c r="J75" s="96" t="s">
        <v>348</v>
      </c>
    </row>
    <row r="76" spans="1:10" x14ac:dyDescent="0.3">
      <c r="A76" s="97" t="s">
        <v>864</v>
      </c>
      <c r="B76" s="96" t="s">
        <v>866</v>
      </c>
      <c r="C76" s="139" t="s">
        <v>920</v>
      </c>
      <c r="D76" s="133">
        <v>8</v>
      </c>
      <c r="E76" s="133">
        <v>8</v>
      </c>
      <c r="F76" s="133">
        <v>0</v>
      </c>
      <c r="G76" s="133">
        <v>0</v>
      </c>
      <c r="H76" s="140"/>
      <c r="I76" s="140"/>
      <c r="J76" s="96" t="s">
        <v>920</v>
      </c>
    </row>
    <row r="77" spans="1:10" x14ac:dyDescent="0.3">
      <c r="A77" s="96" t="s">
        <v>864</v>
      </c>
      <c r="B77" s="96" t="s">
        <v>866</v>
      </c>
      <c r="C77" s="139" t="s">
        <v>250</v>
      </c>
      <c r="D77" s="133">
        <v>9466</v>
      </c>
      <c r="E77" s="133">
        <v>10495</v>
      </c>
      <c r="F77" s="133">
        <v>0</v>
      </c>
      <c r="G77" s="133">
        <v>0</v>
      </c>
      <c r="H77" s="140"/>
      <c r="I77" s="140"/>
      <c r="J77" s="96" t="s">
        <v>250</v>
      </c>
    </row>
    <row r="78" spans="1:10" x14ac:dyDescent="0.3">
      <c r="A78" s="96" t="s">
        <v>864</v>
      </c>
      <c r="B78" s="96" t="s">
        <v>866</v>
      </c>
      <c r="C78" s="139" t="s">
        <v>770</v>
      </c>
      <c r="D78" s="133">
        <v>12304</v>
      </c>
      <c r="E78" s="133">
        <v>14568</v>
      </c>
      <c r="F78" s="133">
        <v>0</v>
      </c>
      <c r="G78" s="133">
        <v>0</v>
      </c>
      <c r="H78" s="140"/>
      <c r="I78" s="140"/>
      <c r="J78" s="96" t="s">
        <v>770</v>
      </c>
    </row>
    <row r="79" spans="1:10" x14ac:dyDescent="0.3">
      <c r="A79" s="96" t="s">
        <v>864</v>
      </c>
      <c r="B79" s="96" t="s">
        <v>866</v>
      </c>
      <c r="C79" s="139" t="s">
        <v>872</v>
      </c>
      <c r="D79" s="133">
        <v>4164</v>
      </c>
      <c r="E79" s="133">
        <v>4992</v>
      </c>
      <c r="F79" s="133">
        <v>0</v>
      </c>
      <c r="G79" s="133">
        <v>0</v>
      </c>
      <c r="H79" s="140"/>
      <c r="I79" s="140"/>
      <c r="J79" s="96" t="s">
        <v>872</v>
      </c>
    </row>
    <row r="80" spans="1:10" x14ac:dyDescent="0.3">
      <c r="A80" s="96" t="s">
        <v>864</v>
      </c>
      <c r="B80" s="96" t="s">
        <v>866</v>
      </c>
      <c r="C80" s="139" t="s">
        <v>873</v>
      </c>
      <c r="D80" s="133">
        <v>13163</v>
      </c>
      <c r="E80" s="133">
        <v>15781</v>
      </c>
      <c r="F80" s="133">
        <v>0</v>
      </c>
      <c r="G80" s="133">
        <v>0</v>
      </c>
      <c r="H80" s="140"/>
      <c r="I80" s="140"/>
      <c r="J80" s="96" t="s">
        <v>873</v>
      </c>
    </row>
    <row r="81" spans="1:10" x14ac:dyDescent="0.3">
      <c r="A81" s="96" t="s">
        <v>864</v>
      </c>
      <c r="B81" s="96" t="s">
        <v>866</v>
      </c>
      <c r="C81" s="139" t="s">
        <v>760</v>
      </c>
      <c r="D81" s="133">
        <v>34719</v>
      </c>
      <c r="E81" s="133">
        <v>36554</v>
      </c>
      <c r="F81" s="133">
        <v>0</v>
      </c>
      <c r="G81" s="133">
        <v>0</v>
      </c>
      <c r="H81" s="140"/>
      <c r="I81" s="140"/>
      <c r="J81" s="96" t="s">
        <v>760</v>
      </c>
    </row>
    <row r="82" spans="1:10" x14ac:dyDescent="0.3">
      <c r="A82" s="96" t="s">
        <v>864</v>
      </c>
      <c r="B82" s="96" t="s">
        <v>866</v>
      </c>
      <c r="C82" s="139" t="s">
        <v>874</v>
      </c>
      <c r="D82" s="133">
        <v>6021</v>
      </c>
      <c r="E82" s="133">
        <v>7542</v>
      </c>
      <c r="F82" s="133">
        <v>0</v>
      </c>
      <c r="G82" s="133">
        <v>0</v>
      </c>
      <c r="H82" s="140"/>
      <c r="I82" s="140"/>
      <c r="J82" s="96" t="s">
        <v>874</v>
      </c>
    </row>
    <row r="83" spans="1:10" x14ac:dyDescent="0.3">
      <c r="A83" s="96" t="s">
        <v>864</v>
      </c>
      <c r="B83" s="96" t="s">
        <v>866</v>
      </c>
      <c r="C83" s="139" t="s">
        <v>265</v>
      </c>
      <c r="D83" s="133">
        <v>7328</v>
      </c>
      <c r="E83" s="133">
        <v>8740</v>
      </c>
      <c r="F83" s="133">
        <v>0</v>
      </c>
      <c r="G83" s="133">
        <v>0</v>
      </c>
      <c r="H83" s="140"/>
      <c r="I83" s="140"/>
      <c r="J83" s="96" t="s">
        <v>265</v>
      </c>
    </row>
    <row r="84" spans="1:10" x14ac:dyDescent="0.3">
      <c r="A84" s="96" t="s">
        <v>864</v>
      </c>
      <c r="B84" s="96" t="s">
        <v>866</v>
      </c>
      <c r="C84" s="139" t="s">
        <v>1006</v>
      </c>
      <c r="D84" s="133">
        <v>439</v>
      </c>
      <c r="E84" s="133">
        <v>1862</v>
      </c>
      <c r="F84" s="133">
        <v>0</v>
      </c>
      <c r="G84" s="133">
        <v>0</v>
      </c>
      <c r="H84" s="140"/>
      <c r="I84" s="140"/>
      <c r="J84" s="96" t="s">
        <v>1006</v>
      </c>
    </row>
    <row r="85" spans="1:10" x14ac:dyDescent="0.3">
      <c r="A85" s="96" t="s">
        <v>864</v>
      </c>
      <c r="B85" s="96" t="s">
        <v>866</v>
      </c>
      <c r="C85" s="139" t="s">
        <v>469</v>
      </c>
      <c r="D85" s="133">
        <v>18328</v>
      </c>
      <c r="E85" s="133">
        <v>24954</v>
      </c>
      <c r="F85" s="133">
        <v>0</v>
      </c>
      <c r="G85" s="133">
        <v>0</v>
      </c>
      <c r="H85" s="140"/>
      <c r="I85" s="140"/>
      <c r="J85" s="96" t="s">
        <v>469</v>
      </c>
    </row>
    <row r="86" spans="1:10" x14ac:dyDescent="0.3">
      <c r="A86" s="96" t="s">
        <v>864</v>
      </c>
      <c r="B86" s="96" t="s">
        <v>866</v>
      </c>
      <c r="C86" s="139" t="s">
        <v>584</v>
      </c>
      <c r="D86" s="133">
        <v>694</v>
      </c>
      <c r="E86" s="133">
        <v>903</v>
      </c>
      <c r="F86" s="133">
        <v>0</v>
      </c>
      <c r="G86" s="133">
        <v>0</v>
      </c>
      <c r="H86" s="140"/>
      <c r="I86" s="140"/>
      <c r="J86" s="96" t="s">
        <v>584</v>
      </c>
    </row>
    <row r="87" spans="1:10" x14ac:dyDescent="0.3">
      <c r="A87" s="96" t="s">
        <v>864</v>
      </c>
      <c r="B87" s="96" t="s">
        <v>866</v>
      </c>
      <c r="C87" s="139" t="s">
        <v>162</v>
      </c>
      <c r="D87" s="133">
        <v>1064</v>
      </c>
      <c r="E87" s="133">
        <v>1228</v>
      </c>
      <c r="F87" s="133">
        <v>0</v>
      </c>
      <c r="G87" s="133">
        <v>0</v>
      </c>
      <c r="H87" s="140"/>
      <c r="I87" s="140"/>
      <c r="J87" s="96" t="s">
        <v>162</v>
      </c>
    </row>
    <row r="88" spans="1:10" x14ac:dyDescent="0.3">
      <c r="A88" s="96" t="s">
        <v>864</v>
      </c>
      <c r="B88" s="96" t="s">
        <v>866</v>
      </c>
      <c r="C88" s="139" t="s">
        <v>615</v>
      </c>
      <c r="D88" s="133">
        <v>777</v>
      </c>
      <c r="E88" s="133">
        <v>1118</v>
      </c>
      <c r="F88" s="133">
        <v>0</v>
      </c>
      <c r="G88" s="133">
        <v>0</v>
      </c>
      <c r="H88" s="140"/>
      <c r="I88" s="140"/>
      <c r="J88" s="96" t="s">
        <v>615</v>
      </c>
    </row>
    <row r="89" spans="1:10" x14ac:dyDescent="0.3">
      <c r="A89" s="96" t="s">
        <v>864</v>
      </c>
      <c r="B89" s="96" t="s">
        <v>866</v>
      </c>
      <c r="C89" s="139" t="s">
        <v>627</v>
      </c>
      <c r="D89" s="133">
        <v>1332</v>
      </c>
      <c r="E89" s="133">
        <v>1576</v>
      </c>
      <c r="F89" s="133">
        <v>0</v>
      </c>
      <c r="G89" s="133">
        <v>0</v>
      </c>
      <c r="H89" s="140"/>
      <c r="I89" s="140"/>
      <c r="J89" s="96" t="s">
        <v>627</v>
      </c>
    </row>
    <row r="90" spans="1:10" x14ac:dyDescent="0.3">
      <c r="A90" s="96" t="s">
        <v>864</v>
      </c>
      <c r="B90" s="96" t="s">
        <v>866</v>
      </c>
      <c r="C90" s="139" t="s">
        <v>631</v>
      </c>
      <c r="D90" s="133">
        <v>2100</v>
      </c>
      <c r="E90" s="133">
        <v>2329</v>
      </c>
      <c r="F90" s="133">
        <v>0</v>
      </c>
      <c r="G90" s="133">
        <v>0</v>
      </c>
      <c r="H90" s="140"/>
      <c r="I90" s="140"/>
      <c r="J90" s="96" t="s">
        <v>631</v>
      </c>
    </row>
    <row r="91" spans="1:10" x14ac:dyDescent="0.3">
      <c r="A91" s="96" t="s">
        <v>864</v>
      </c>
      <c r="B91" s="96" t="s">
        <v>866</v>
      </c>
      <c r="C91" s="139" t="s">
        <v>151</v>
      </c>
      <c r="D91" s="133">
        <v>226</v>
      </c>
      <c r="E91" s="133">
        <v>253</v>
      </c>
      <c r="F91" s="133">
        <v>0</v>
      </c>
      <c r="G91" s="133">
        <v>0</v>
      </c>
      <c r="H91" s="140"/>
      <c r="I91" s="140"/>
      <c r="J91" s="96" t="s">
        <v>151</v>
      </c>
    </row>
    <row r="92" spans="1:10" x14ac:dyDescent="0.3">
      <c r="A92" s="96" t="s">
        <v>864</v>
      </c>
      <c r="B92" s="96" t="s">
        <v>866</v>
      </c>
      <c r="C92" s="139" t="s">
        <v>587</v>
      </c>
      <c r="D92" s="133">
        <v>1227</v>
      </c>
      <c r="E92" s="133">
        <v>1627</v>
      </c>
      <c r="F92" s="133">
        <v>0</v>
      </c>
      <c r="G92" s="133">
        <v>0</v>
      </c>
      <c r="H92" s="140"/>
      <c r="I92" s="140"/>
      <c r="J92" s="96" t="s">
        <v>587</v>
      </c>
    </row>
    <row r="93" spans="1:10" x14ac:dyDescent="0.3">
      <c r="A93" s="96" t="s">
        <v>864</v>
      </c>
      <c r="B93" s="96" t="s">
        <v>866</v>
      </c>
      <c r="C93" s="139" t="s">
        <v>149</v>
      </c>
      <c r="D93" s="133">
        <v>6484</v>
      </c>
      <c r="E93" s="133">
        <v>7007</v>
      </c>
      <c r="F93" s="133">
        <v>0</v>
      </c>
      <c r="G93" s="133">
        <v>0</v>
      </c>
      <c r="H93" s="140"/>
      <c r="I93" s="140"/>
      <c r="J93" s="96" t="s">
        <v>149</v>
      </c>
    </row>
    <row r="94" spans="1:10" x14ac:dyDescent="0.3">
      <c r="A94" s="96" t="s">
        <v>864</v>
      </c>
      <c r="B94" s="96" t="s">
        <v>866</v>
      </c>
      <c r="C94" s="139" t="s">
        <v>766</v>
      </c>
      <c r="D94" s="133">
        <v>6360</v>
      </c>
      <c r="E94" s="133">
        <v>9705</v>
      </c>
      <c r="F94" s="133">
        <v>0</v>
      </c>
      <c r="G94" s="133">
        <v>0</v>
      </c>
      <c r="H94" s="140"/>
      <c r="I94" s="140"/>
      <c r="J94" s="96" t="s">
        <v>766</v>
      </c>
    </row>
    <row r="95" spans="1:10" x14ac:dyDescent="0.3">
      <c r="A95" s="96" t="s">
        <v>864</v>
      </c>
      <c r="B95" s="96" t="s">
        <v>866</v>
      </c>
      <c r="C95" s="139" t="s">
        <v>611</v>
      </c>
      <c r="D95" s="133">
        <v>3600</v>
      </c>
      <c r="E95" s="133">
        <v>4120</v>
      </c>
      <c r="F95" s="133">
        <v>0</v>
      </c>
      <c r="G95" s="133">
        <v>0</v>
      </c>
      <c r="H95" s="140"/>
      <c r="I95" s="140"/>
      <c r="J95" s="96" t="s">
        <v>611</v>
      </c>
    </row>
    <row r="96" spans="1:10" x14ac:dyDescent="0.3">
      <c r="A96" s="96" t="s">
        <v>864</v>
      </c>
      <c r="B96" s="96" t="s">
        <v>866</v>
      </c>
      <c r="C96" s="139" t="s">
        <v>625</v>
      </c>
      <c r="D96" s="133">
        <v>4560</v>
      </c>
      <c r="E96" s="133">
        <v>5343</v>
      </c>
      <c r="F96" s="133">
        <v>0</v>
      </c>
      <c r="G96" s="133">
        <v>0</v>
      </c>
      <c r="H96" s="140"/>
      <c r="I96" s="140"/>
      <c r="J96" s="96" t="s">
        <v>625</v>
      </c>
    </row>
    <row r="97" spans="1:10" x14ac:dyDescent="0.3">
      <c r="A97" s="96" t="s">
        <v>864</v>
      </c>
      <c r="B97" s="96" t="s">
        <v>866</v>
      </c>
      <c r="C97" s="139" t="s">
        <v>629</v>
      </c>
      <c r="D97" s="133">
        <v>1861</v>
      </c>
      <c r="E97" s="133">
        <v>2105</v>
      </c>
      <c r="F97" s="133">
        <v>0</v>
      </c>
      <c r="G97" s="133">
        <v>0</v>
      </c>
      <c r="H97" s="140"/>
      <c r="I97" s="140"/>
      <c r="J97" s="96" t="s">
        <v>629</v>
      </c>
    </row>
    <row r="98" spans="1:10" x14ac:dyDescent="0.3">
      <c r="A98" s="96" t="s">
        <v>864</v>
      </c>
      <c r="B98" s="96" t="s">
        <v>866</v>
      </c>
      <c r="C98" s="139" t="s">
        <v>590</v>
      </c>
      <c r="D98" s="133">
        <v>948</v>
      </c>
      <c r="E98" s="133">
        <v>1041</v>
      </c>
      <c r="F98" s="133">
        <v>0</v>
      </c>
      <c r="G98" s="133">
        <v>0</v>
      </c>
      <c r="H98" s="140"/>
      <c r="I98" s="140"/>
      <c r="J98" s="96" t="s">
        <v>590</v>
      </c>
    </row>
    <row r="99" spans="1:10" x14ac:dyDescent="0.3">
      <c r="A99" s="96" t="s">
        <v>864</v>
      </c>
      <c r="B99" s="96" t="s">
        <v>866</v>
      </c>
      <c r="C99" s="139" t="s">
        <v>147</v>
      </c>
      <c r="D99" s="133">
        <v>1928</v>
      </c>
      <c r="E99" s="133">
        <v>2375</v>
      </c>
      <c r="F99" s="133">
        <v>0</v>
      </c>
      <c r="G99" s="133">
        <v>0</v>
      </c>
      <c r="H99" s="140"/>
      <c r="I99" s="140"/>
      <c r="J99" s="96" t="s">
        <v>147</v>
      </c>
    </row>
    <row r="100" spans="1:10" x14ac:dyDescent="0.3">
      <c r="A100" s="96" t="s">
        <v>864</v>
      </c>
      <c r="B100" s="96" t="s">
        <v>866</v>
      </c>
      <c r="C100" s="139" t="s">
        <v>145</v>
      </c>
      <c r="D100" s="133">
        <v>802</v>
      </c>
      <c r="E100" s="133">
        <v>936</v>
      </c>
      <c r="F100" s="133">
        <v>0</v>
      </c>
      <c r="G100" s="133">
        <v>0</v>
      </c>
      <c r="H100" s="140"/>
      <c r="I100" s="140"/>
      <c r="J100" s="96" t="s">
        <v>145</v>
      </c>
    </row>
    <row r="101" spans="1:10" x14ac:dyDescent="0.3">
      <c r="A101" s="96" t="s">
        <v>864</v>
      </c>
      <c r="B101" s="96" t="s">
        <v>866</v>
      </c>
      <c r="C101" s="139" t="s">
        <v>792</v>
      </c>
      <c r="D101" s="133">
        <v>11273</v>
      </c>
      <c r="E101" s="133">
        <v>14673</v>
      </c>
      <c r="F101" s="133">
        <v>0</v>
      </c>
      <c r="G101" s="133">
        <v>0</v>
      </c>
      <c r="H101" s="140"/>
      <c r="I101" s="140"/>
      <c r="J101" s="96" t="s">
        <v>792</v>
      </c>
    </row>
    <row r="102" spans="1:10" x14ac:dyDescent="0.3">
      <c r="A102" s="96" t="s">
        <v>864</v>
      </c>
      <c r="B102" s="96" t="s">
        <v>866</v>
      </c>
      <c r="C102" s="133" t="s">
        <v>916</v>
      </c>
      <c r="D102" s="146">
        <v>548</v>
      </c>
      <c r="E102" s="146">
        <v>656</v>
      </c>
      <c r="F102" s="146"/>
      <c r="G102" s="146"/>
      <c r="H102" s="140"/>
      <c r="I102" s="140"/>
      <c r="J102" s="96" t="s">
        <v>916</v>
      </c>
    </row>
    <row r="103" spans="1:10" x14ac:dyDescent="0.3">
      <c r="A103" s="96" t="s">
        <v>864</v>
      </c>
      <c r="B103" s="96" t="s">
        <v>866</v>
      </c>
      <c r="C103" s="139" t="s">
        <v>875</v>
      </c>
      <c r="D103" s="133">
        <v>1195</v>
      </c>
      <c r="E103" s="133">
        <v>1852</v>
      </c>
      <c r="F103" s="133">
        <v>0</v>
      </c>
      <c r="G103" s="133">
        <v>0</v>
      </c>
      <c r="H103" s="140"/>
      <c r="I103" s="140"/>
      <c r="J103" s="96" t="s">
        <v>875</v>
      </c>
    </row>
    <row r="104" spans="1:10" x14ac:dyDescent="0.3">
      <c r="A104" s="96" t="s">
        <v>864</v>
      </c>
      <c r="B104" s="96" t="s">
        <v>866</v>
      </c>
      <c r="C104" s="139" t="s">
        <v>876</v>
      </c>
      <c r="D104" s="133">
        <v>148</v>
      </c>
      <c r="E104" s="133">
        <v>297</v>
      </c>
      <c r="F104" s="133">
        <v>0</v>
      </c>
      <c r="G104" s="133">
        <v>0</v>
      </c>
      <c r="H104" s="140"/>
      <c r="I104" s="140"/>
      <c r="J104" s="96" t="s">
        <v>876</v>
      </c>
    </row>
    <row r="105" spans="1:10" x14ac:dyDescent="0.3">
      <c r="A105" s="96" t="s">
        <v>864</v>
      </c>
      <c r="B105" s="96" t="s">
        <v>866</v>
      </c>
      <c r="C105" s="139" t="s">
        <v>877</v>
      </c>
      <c r="D105" s="133">
        <v>204</v>
      </c>
      <c r="E105" s="133">
        <v>204</v>
      </c>
      <c r="F105" s="133">
        <v>0</v>
      </c>
      <c r="G105" s="133">
        <v>0</v>
      </c>
      <c r="H105" s="140"/>
      <c r="I105" s="140"/>
      <c r="J105" s="96" t="s">
        <v>877</v>
      </c>
    </row>
    <row r="106" spans="1:10" x14ac:dyDescent="0.3">
      <c r="A106" s="96" t="s">
        <v>864</v>
      </c>
      <c r="B106" s="96" t="s">
        <v>866</v>
      </c>
      <c r="C106" s="139" t="s">
        <v>878</v>
      </c>
      <c r="D106" s="133">
        <v>734</v>
      </c>
      <c r="E106" s="133">
        <v>1293</v>
      </c>
      <c r="F106" s="133">
        <v>0</v>
      </c>
      <c r="G106" s="133">
        <v>0</v>
      </c>
      <c r="H106" s="140"/>
      <c r="I106" s="140"/>
      <c r="J106" s="96" t="s">
        <v>878</v>
      </c>
    </row>
    <row r="107" spans="1:10" x14ac:dyDescent="0.3">
      <c r="A107" s="97" t="s">
        <v>864</v>
      </c>
      <c r="B107" s="96" t="s">
        <v>866</v>
      </c>
      <c r="C107" s="139" t="s">
        <v>798</v>
      </c>
      <c r="D107" s="133">
        <v>122</v>
      </c>
      <c r="E107" s="133">
        <v>240</v>
      </c>
      <c r="F107" s="133">
        <v>0</v>
      </c>
      <c r="G107" s="133">
        <v>0</v>
      </c>
      <c r="H107" s="140"/>
      <c r="I107" s="140"/>
      <c r="J107" s="96" t="s">
        <v>798</v>
      </c>
    </row>
    <row r="108" spans="1:10" x14ac:dyDescent="0.3">
      <c r="A108" s="96" t="s">
        <v>864</v>
      </c>
      <c r="B108" s="96" t="s">
        <v>866</v>
      </c>
      <c r="C108" s="133" t="s">
        <v>921</v>
      </c>
      <c r="D108" s="146">
        <v>8</v>
      </c>
      <c r="E108" s="146">
        <v>92</v>
      </c>
      <c r="F108" s="146"/>
      <c r="G108" s="146"/>
      <c r="H108" s="140"/>
      <c r="I108" s="140"/>
      <c r="J108" s="96" t="s">
        <v>921</v>
      </c>
    </row>
    <row r="109" spans="1:10" x14ac:dyDescent="0.3">
      <c r="A109" s="96" t="s">
        <v>864</v>
      </c>
      <c r="B109" s="96" t="s">
        <v>866</v>
      </c>
      <c r="C109" s="139" t="s">
        <v>879</v>
      </c>
      <c r="D109" s="133">
        <v>505</v>
      </c>
      <c r="E109" s="133">
        <v>548</v>
      </c>
      <c r="F109" s="133">
        <v>0</v>
      </c>
      <c r="G109" s="133">
        <v>0</v>
      </c>
      <c r="H109" s="140"/>
      <c r="I109" s="140"/>
      <c r="J109" s="96" t="s">
        <v>879</v>
      </c>
    </row>
    <row r="110" spans="1:10" x14ac:dyDescent="0.3">
      <c r="A110" s="96" t="s">
        <v>864</v>
      </c>
      <c r="B110" s="96" t="s">
        <v>866</v>
      </c>
      <c r="C110" s="139" t="s">
        <v>28</v>
      </c>
      <c r="D110" s="133">
        <v>3865</v>
      </c>
      <c r="E110" s="133">
        <v>4735</v>
      </c>
      <c r="F110" s="133">
        <v>0</v>
      </c>
      <c r="G110" s="133">
        <v>0</v>
      </c>
      <c r="H110" s="140"/>
      <c r="I110" s="140"/>
      <c r="J110" s="96" t="s">
        <v>28</v>
      </c>
    </row>
    <row r="111" spans="1:10" x14ac:dyDescent="0.3">
      <c r="A111" s="96" t="s">
        <v>864</v>
      </c>
      <c r="B111" s="96" t="s">
        <v>866</v>
      </c>
      <c r="C111" s="139" t="s">
        <v>34</v>
      </c>
      <c r="D111" s="133">
        <v>1133</v>
      </c>
      <c r="E111" s="133">
        <v>1332</v>
      </c>
      <c r="F111" s="133">
        <v>0</v>
      </c>
      <c r="G111" s="133">
        <v>0</v>
      </c>
      <c r="H111" s="140"/>
      <c r="I111" s="140"/>
      <c r="J111" s="96" t="s">
        <v>34</v>
      </c>
    </row>
    <row r="112" spans="1:10" x14ac:dyDescent="0.3">
      <c r="A112" s="96" t="s">
        <v>864</v>
      </c>
      <c r="B112" s="96" t="s">
        <v>866</v>
      </c>
      <c r="C112" s="139" t="s">
        <v>198</v>
      </c>
      <c r="D112" s="133">
        <v>1394</v>
      </c>
      <c r="E112" s="133">
        <v>1678</v>
      </c>
      <c r="F112" s="133">
        <v>0</v>
      </c>
      <c r="G112" s="133">
        <v>0</v>
      </c>
      <c r="H112" s="140"/>
      <c r="I112" s="140"/>
      <c r="J112" s="96" t="s">
        <v>198</v>
      </c>
    </row>
    <row r="113" spans="1:10" x14ac:dyDescent="0.3">
      <c r="A113" s="96" t="s">
        <v>864</v>
      </c>
      <c r="B113" s="96" t="s">
        <v>866</v>
      </c>
      <c r="C113" s="139" t="s">
        <v>44</v>
      </c>
      <c r="D113" s="133">
        <v>1512</v>
      </c>
      <c r="E113" s="133">
        <v>1666</v>
      </c>
      <c r="F113" s="133">
        <v>0</v>
      </c>
      <c r="G113" s="133">
        <v>0</v>
      </c>
      <c r="H113" s="140"/>
      <c r="I113" s="140"/>
      <c r="J113" s="96" t="s">
        <v>44</v>
      </c>
    </row>
    <row r="114" spans="1:10" x14ac:dyDescent="0.3">
      <c r="A114" s="96" t="s">
        <v>864</v>
      </c>
      <c r="B114" s="96" t="s">
        <v>866</v>
      </c>
      <c r="C114" s="139" t="s">
        <v>40</v>
      </c>
      <c r="D114" s="133">
        <v>561</v>
      </c>
      <c r="E114" s="133">
        <v>719</v>
      </c>
      <c r="F114" s="133">
        <v>0</v>
      </c>
      <c r="G114" s="133">
        <v>0</v>
      </c>
      <c r="H114" s="140"/>
      <c r="I114" s="140"/>
      <c r="J114" s="96" t="s">
        <v>40</v>
      </c>
    </row>
    <row r="115" spans="1:10" x14ac:dyDescent="0.3">
      <c r="A115" s="96" t="s">
        <v>864</v>
      </c>
      <c r="B115" s="96" t="s">
        <v>866</v>
      </c>
      <c r="C115" s="139" t="s">
        <v>481</v>
      </c>
      <c r="D115" s="133">
        <v>3808</v>
      </c>
      <c r="E115" s="133">
        <v>4686</v>
      </c>
      <c r="F115" s="133">
        <v>0</v>
      </c>
      <c r="G115" s="133">
        <v>0</v>
      </c>
      <c r="H115" s="140"/>
      <c r="I115" s="140"/>
      <c r="J115" s="96" t="s">
        <v>481</v>
      </c>
    </row>
    <row r="116" spans="1:10" x14ac:dyDescent="0.3">
      <c r="A116" s="96" t="s">
        <v>864</v>
      </c>
      <c r="B116" s="96" t="s">
        <v>866</v>
      </c>
      <c r="C116" s="139" t="s">
        <v>38</v>
      </c>
      <c r="D116" s="133">
        <v>458</v>
      </c>
      <c r="E116" s="133">
        <v>589</v>
      </c>
      <c r="F116" s="133">
        <v>0</v>
      </c>
      <c r="G116" s="133">
        <v>0</v>
      </c>
      <c r="H116" s="140"/>
      <c r="I116" s="140"/>
      <c r="J116" s="96" t="s">
        <v>38</v>
      </c>
    </row>
    <row r="117" spans="1:10" x14ac:dyDescent="0.3">
      <c r="A117" s="96" t="s">
        <v>864</v>
      </c>
      <c r="B117" s="96" t="s">
        <v>866</v>
      </c>
      <c r="C117" s="139" t="s">
        <v>50</v>
      </c>
      <c r="D117" s="133">
        <v>979</v>
      </c>
      <c r="E117" s="133">
        <v>1176</v>
      </c>
      <c r="F117" s="133">
        <v>0</v>
      </c>
      <c r="G117" s="133">
        <v>0</v>
      </c>
      <c r="H117" s="140"/>
      <c r="I117" s="140"/>
      <c r="J117" s="96" t="s">
        <v>50</v>
      </c>
    </row>
    <row r="118" spans="1:10" x14ac:dyDescent="0.3">
      <c r="A118" s="96" t="s">
        <v>864</v>
      </c>
      <c r="B118" s="96" t="s">
        <v>866</v>
      </c>
      <c r="C118" s="133" t="s">
        <v>19</v>
      </c>
      <c r="D118" s="146">
        <v>844</v>
      </c>
      <c r="E118" s="149">
        <v>850</v>
      </c>
      <c r="F118" s="146">
        <v>0</v>
      </c>
      <c r="G118" s="146">
        <v>0</v>
      </c>
      <c r="H118" s="140"/>
      <c r="I118" s="140"/>
      <c r="J118" s="96" t="s">
        <v>19</v>
      </c>
    </row>
    <row r="119" spans="1:10" x14ac:dyDescent="0.3">
      <c r="A119" s="96" t="s">
        <v>864</v>
      </c>
      <c r="B119" s="96" t="s">
        <v>866</v>
      </c>
      <c r="C119" s="139" t="s">
        <v>400</v>
      </c>
      <c r="D119" s="133">
        <v>2654</v>
      </c>
      <c r="E119" s="133">
        <v>3155</v>
      </c>
      <c r="F119" s="133">
        <v>0</v>
      </c>
      <c r="G119" s="133">
        <v>0</v>
      </c>
      <c r="H119" s="140"/>
      <c r="I119" s="140"/>
      <c r="J119" s="96" t="s">
        <v>400</v>
      </c>
    </row>
    <row r="120" spans="1:10" x14ac:dyDescent="0.3">
      <c r="A120" s="96" t="s">
        <v>864</v>
      </c>
      <c r="B120" s="96" t="s">
        <v>866</v>
      </c>
      <c r="C120" s="139" t="s">
        <v>796</v>
      </c>
      <c r="D120" s="133">
        <v>1912</v>
      </c>
      <c r="E120" s="133">
        <v>1932</v>
      </c>
      <c r="F120" s="133">
        <v>0</v>
      </c>
      <c r="G120" s="133">
        <v>0</v>
      </c>
      <c r="H120" s="140"/>
      <c r="I120" s="140"/>
      <c r="J120" s="96" t="s">
        <v>796</v>
      </c>
    </row>
    <row r="121" spans="1:10" x14ac:dyDescent="0.3">
      <c r="A121" s="96" t="s">
        <v>864</v>
      </c>
      <c r="B121" s="96" t="s">
        <v>866</v>
      </c>
      <c r="C121" s="139" t="s">
        <v>36</v>
      </c>
      <c r="D121" s="133">
        <v>2029</v>
      </c>
      <c r="E121" s="133">
        <v>2414</v>
      </c>
      <c r="F121" s="133">
        <v>0</v>
      </c>
      <c r="G121" s="133">
        <v>0</v>
      </c>
      <c r="H121" s="140"/>
      <c r="I121" s="140"/>
      <c r="J121" s="96" t="s">
        <v>36</v>
      </c>
    </row>
    <row r="122" spans="1:10" x14ac:dyDescent="0.3">
      <c r="A122" s="97" t="s">
        <v>864</v>
      </c>
      <c r="B122" s="96" t="s">
        <v>866</v>
      </c>
      <c r="C122" s="139" t="s">
        <v>880</v>
      </c>
      <c r="D122" s="133">
        <v>9</v>
      </c>
      <c r="E122" s="133">
        <v>9</v>
      </c>
      <c r="F122" s="133">
        <v>0</v>
      </c>
      <c r="G122" s="133">
        <v>0</v>
      </c>
      <c r="H122" s="140"/>
      <c r="I122" s="140"/>
      <c r="J122" s="96" t="s">
        <v>880</v>
      </c>
    </row>
    <row r="123" spans="1:10" x14ac:dyDescent="0.3">
      <c r="A123" s="96" t="s">
        <v>864</v>
      </c>
      <c r="B123" s="96" t="s">
        <v>866</v>
      </c>
      <c r="C123" s="139" t="s">
        <v>1002</v>
      </c>
      <c r="D123" s="133">
        <v>5</v>
      </c>
      <c r="E123" s="133">
        <v>7</v>
      </c>
      <c r="F123" s="133">
        <v>0</v>
      </c>
      <c r="G123" s="133">
        <v>0</v>
      </c>
      <c r="H123" s="140"/>
      <c r="I123" s="140"/>
      <c r="J123" s="96" t="s">
        <v>1002</v>
      </c>
    </row>
    <row r="124" spans="1:10" x14ac:dyDescent="0.3">
      <c r="A124" s="96" t="s">
        <v>864</v>
      </c>
      <c r="B124" s="96" t="s">
        <v>866</v>
      </c>
      <c r="C124" s="139" t="s">
        <v>201</v>
      </c>
      <c r="D124" s="133">
        <v>529</v>
      </c>
      <c r="E124" s="133">
        <v>559</v>
      </c>
      <c r="F124" s="133">
        <v>0</v>
      </c>
      <c r="G124" s="133">
        <v>0</v>
      </c>
      <c r="H124" s="140"/>
      <c r="I124" s="140"/>
      <c r="J124" s="96" t="s">
        <v>201</v>
      </c>
    </row>
    <row r="125" spans="1:10" x14ac:dyDescent="0.3">
      <c r="A125" s="96" t="s">
        <v>864</v>
      </c>
      <c r="B125" s="96" t="s">
        <v>866</v>
      </c>
      <c r="C125" s="139" t="s">
        <v>30</v>
      </c>
      <c r="D125" s="133">
        <v>308</v>
      </c>
      <c r="E125" s="133">
        <v>337</v>
      </c>
      <c r="F125" s="133">
        <v>0</v>
      </c>
      <c r="G125" s="133">
        <v>0</v>
      </c>
      <c r="H125" s="140"/>
      <c r="I125" s="140"/>
      <c r="J125" s="96" t="s">
        <v>30</v>
      </c>
    </row>
    <row r="126" spans="1:10" x14ac:dyDescent="0.3">
      <c r="A126" s="96" t="s">
        <v>864</v>
      </c>
      <c r="B126" s="96" t="s">
        <v>866</v>
      </c>
      <c r="C126" s="139" t="s">
        <v>514</v>
      </c>
      <c r="D126" s="133">
        <v>1993</v>
      </c>
      <c r="E126" s="133">
        <v>2302</v>
      </c>
      <c r="F126" s="133">
        <v>0</v>
      </c>
      <c r="G126" s="133">
        <v>0</v>
      </c>
      <c r="H126" s="140"/>
      <c r="I126" s="140"/>
      <c r="J126" s="96" t="s">
        <v>514</v>
      </c>
    </row>
    <row r="127" spans="1:10" x14ac:dyDescent="0.3">
      <c r="A127" s="96" t="s">
        <v>864</v>
      </c>
      <c r="B127" s="96" t="s">
        <v>866</v>
      </c>
      <c r="C127" s="139" t="s">
        <v>16</v>
      </c>
      <c r="D127" s="133">
        <v>321</v>
      </c>
      <c r="E127" s="133">
        <v>321</v>
      </c>
      <c r="F127" s="133">
        <v>0</v>
      </c>
      <c r="G127" s="133">
        <v>0</v>
      </c>
      <c r="H127" s="140"/>
      <c r="I127" s="140"/>
      <c r="J127" s="96" t="s">
        <v>16</v>
      </c>
    </row>
    <row r="128" spans="1:10" x14ac:dyDescent="0.3">
      <c r="A128" s="96" t="s">
        <v>864</v>
      </c>
      <c r="B128" s="96" t="s">
        <v>866</v>
      </c>
      <c r="C128" s="139" t="s">
        <v>881</v>
      </c>
      <c r="D128" s="133">
        <v>112</v>
      </c>
      <c r="E128" s="133">
        <v>1955</v>
      </c>
      <c r="F128" s="133">
        <v>0</v>
      </c>
      <c r="G128" s="133">
        <v>0</v>
      </c>
      <c r="H128" s="140"/>
      <c r="I128" s="140"/>
      <c r="J128" s="96" t="s">
        <v>881</v>
      </c>
    </row>
    <row r="129" spans="1:10" x14ac:dyDescent="0.3">
      <c r="A129" s="96" t="s">
        <v>864</v>
      </c>
      <c r="B129" s="96" t="s">
        <v>866</v>
      </c>
      <c r="C129" s="139" t="s">
        <v>48</v>
      </c>
      <c r="D129" s="133">
        <v>1572</v>
      </c>
      <c r="E129" s="133">
        <v>1795</v>
      </c>
      <c r="F129" s="133">
        <v>0</v>
      </c>
      <c r="G129" s="133">
        <v>0</v>
      </c>
      <c r="H129" s="140"/>
      <c r="I129" s="140"/>
      <c r="J129" s="96" t="s">
        <v>48</v>
      </c>
    </row>
    <row r="130" spans="1:10" x14ac:dyDescent="0.3">
      <c r="A130" s="96" t="s">
        <v>864</v>
      </c>
      <c r="B130" s="96" t="s">
        <v>866</v>
      </c>
      <c r="C130" s="139" t="s">
        <v>321</v>
      </c>
      <c r="D130" s="133">
        <v>50</v>
      </c>
      <c r="E130" s="133">
        <v>52</v>
      </c>
      <c r="F130" s="133">
        <v>0</v>
      </c>
      <c r="G130" s="133">
        <v>0</v>
      </c>
      <c r="H130" s="140"/>
      <c r="I130" s="140"/>
      <c r="J130" s="96" t="s">
        <v>321</v>
      </c>
    </row>
    <row r="131" spans="1:10" x14ac:dyDescent="0.3">
      <c r="A131" s="96" t="s">
        <v>864</v>
      </c>
      <c r="B131" s="96" t="s">
        <v>866</v>
      </c>
      <c r="C131" s="139" t="s">
        <v>396</v>
      </c>
      <c r="D131" s="133">
        <v>2362</v>
      </c>
      <c r="E131" s="133">
        <v>2685</v>
      </c>
      <c r="F131" s="133">
        <v>0</v>
      </c>
      <c r="G131" s="133">
        <v>0</v>
      </c>
      <c r="H131" s="140"/>
      <c r="I131" s="140"/>
      <c r="J131" s="96" t="s">
        <v>396</v>
      </c>
    </row>
    <row r="132" spans="1:10" x14ac:dyDescent="0.3">
      <c r="A132" s="96" t="s">
        <v>864</v>
      </c>
      <c r="B132" s="96" t="s">
        <v>866</v>
      </c>
      <c r="C132" s="139" t="s">
        <v>32</v>
      </c>
      <c r="D132" s="133">
        <v>1172</v>
      </c>
      <c r="E132" s="133">
        <v>1380</v>
      </c>
      <c r="F132" s="133">
        <v>0</v>
      </c>
      <c r="G132" s="133">
        <v>0</v>
      </c>
      <c r="H132" s="140"/>
      <c r="I132" s="140"/>
      <c r="J132" s="96" t="s">
        <v>32</v>
      </c>
    </row>
    <row r="133" spans="1:10" x14ac:dyDescent="0.3">
      <c r="A133" s="96" t="s">
        <v>864</v>
      </c>
      <c r="B133" s="96" t="s">
        <v>866</v>
      </c>
      <c r="C133" s="139" t="s">
        <v>882</v>
      </c>
      <c r="D133" s="133">
        <v>794</v>
      </c>
      <c r="E133" s="133">
        <v>907</v>
      </c>
      <c r="F133" s="133">
        <v>0</v>
      </c>
      <c r="G133" s="133">
        <v>0</v>
      </c>
      <c r="H133" s="140"/>
      <c r="I133" s="140"/>
      <c r="J133" s="96" t="s">
        <v>882</v>
      </c>
    </row>
    <row r="134" spans="1:10" x14ac:dyDescent="0.3">
      <c r="A134" s="96" t="s">
        <v>864</v>
      </c>
      <c r="B134" s="96" t="s">
        <v>866</v>
      </c>
      <c r="C134" s="139" t="s">
        <v>402</v>
      </c>
      <c r="D134" s="133">
        <v>1929</v>
      </c>
      <c r="E134" s="133">
        <v>2347</v>
      </c>
      <c r="F134" s="133">
        <v>0</v>
      </c>
      <c r="G134" s="133">
        <v>0</v>
      </c>
      <c r="H134" s="140"/>
      <c r="I134" s="140"/>
      <c r="J134" s="96" t="s">
        <v>402</v>
      </c>
    </row>
    <row r="135" spans="1:10" x14ac:dyDescent="0.3">
      <c r="A135" s="96" t="s">
        <v>864</v>
      </c>
      <c r="B135" s="96" t="s">
        <v>866</v>
      </c>
      <c r="C135" s="139" t="s">
        <v>1007</v>
      </c>
      <c r="D135" s="133">
        <v>5</v>
      </c>
      <c r="E135" s="133">
        <v>22</v>
      </c>
      <c r="F135" s="133">
        <v>0</v>
      </c>
      <c r="G135" s="133">
        <v>0</v>
      </c>
      <c r="H135" s="140"/>
      <c r="I135" s="140"/>
      <c r="J135" s="96" t="s">
        <v>1007</v>
      </c>
    </row>
    <row r="136" spans="1:10" x14ac:dyDescent="0.3">
      <c r="A136" s="96" t="s">
        <v>864</v>
      </c>
      <c r="B136" s="96" t="s">
        <v>866</v>
      </c>
      <c r="C136" s="139" t="s">
        <v>310</v>
      </c>
      <c r="D136" s="133">
        <v>477</v>
      </c>
      <c r="E136" s="133">
        <v>477</v>
      </c>
      <c r="F136" s="133">
        <v>0</v>
      </c>
      <c r="G136" s="133">
        <v>0</v>
      </c>
      <c r="H136" s="140"/>
      <c r="I136" s="140"/>
      <c r="J136" s="96" t="s">
        <v>310</v>
      </c>
    </row>
    <row r="137" spans="1:10" x14ac:dyDescent="0.3">
      <c r="A137" s="96" t="s">
        <v>864</v>
      </c>
      <c r="B137" s="96" t="s">
        <v>866</v>
      </c>
      <c r="C137" s="139" t="s">
        <v>42</v>
      </c>
      <c r="D137" s="133">
        <v>1306</v>
      </c>
      <c r="E137" s="133">
        <v>1400</v>
      </c>
      <c r="F137" s="133">
        <v>0</v>
      </c>
      <c r="G137" s="133">
        <v>0</v>
      </c>
      <c r="H137" s="140"/>
      <c r="I137" s="140"/>
      <c r="J137" s="96" t="s">
        <v>42</v>
      </c>
    </row>
    <row r="138" spans="1:10" x14ac:dyDescent="0.3">
      <c r="A138" s="96" t="s">
        <v>864</v>
      </c>
      <c r="B138" s="96" t="s">
        <v>866</v>
      </c>
      <c r="C138" s="139" t="s">
        <v>516</v>
      </c>
      <c r="D138" s="133">
        <v>1771</v>
      </c>
      <c r="E138" s="133">
        <v>2751</v>
      </c>
      <c r="F138" s="133">
        <v>0</v>
      </c>
      <c r="G138" s="133">
        <v>0</v>
      </c>
      <c r="H138" s="140"/>
      <c r="I138" s="140"/>
      <c r="J138" s="96" t="s">
        <v>516</v>
      </c>
    </row>
    <row r="139" spans="1:10" x14ac:dyDescent="0.3">
      <c r="A139" s="96" t="s">
        <v>864</v>
      </c>
      <c r="B139" s="96" t="s">
        <v>866</v>
      </c>
      <c r="C139" s="139" t="s">
        <v>46</v>
      </c>
      <c r="D139" s="133">
        <v>616</v>
      </c>
      <c r="E139" s="133">
        <v>702</v>
      </c>
      <c r="F139" s="133">
        <v>0</v>
      </c>
      <c r="G139" s="133">
        <v>0</v>
      </c>
      <c r="H139" s="140"/>
      <c r="I139" s="140"/>
      <c r="J139" s="96" t="s">
        <v>46</v>
      </c>
    </row>
    <row r="140" spans="1:10" x14ac:dyDescent="0.3">
      <c r="A140" s="96" t="s">
        <v>864</v>
      </c>
      <c r="B140" s="96" t="s">
        <v>866</v>
      </c>
      <c r="C140" s="139" t="s">
        <v>398</v>
      </c>
      <c r="D140" s="133">
        <v>7743</v>
      </c>
      <c r="E140" s="133">
        <v>9197</v>
      </c>
      <c r="F140" s="133">
        <v>0</v>
      </c>
      <c r="G140" s="133">
        <v>0</v>
      </c>
      <c r="H140" s="140"/>
      <c r="I140" s="140"/>
      <c r="J140" s="96" t="s">
        <v>398</v>
      </c>
    </row>
    <row r="141" spans="1:10" x14ac:dyDescent="0.3">
      <c r="A141" s="97" t="s">
        <v>864</v>
      </c>
      <c r="B141" s="96" t="s">
        <v>866</v>
      </c>
      <c r="C141" s="139" t="s">
        <v>883</v>
      </c>
      <c r="D141" s="133">
        <v>182</v>
      </c>
      <c r="E141" s="133">
        <v>411</v>
      </c>
      <c r="F141" s="133">
        <v>0</v>
      </c>
      <c r="G141" s="133">
        <v>0</v>
      </c>
      <c r="H141" s="140"/>
      <c r="I141" s="140"/>
      <c r="J141" s="96" t="s">
        <v>883</v>
      </c>
    </row>
    <row r="142" spans="1:10" x14ac:dyDescent="0.3">
      <c r="A142" s="96" t="s">
        <v>864</v>
      </c>
      <c r="B142" s="96" t="s">
        <v>866</v>
      </c>
      <c r="C142" s="133" t="s">
        <v>915</v>
      </c>
      <c r="D142" s="146">
        <v>115</v>
      </c>
      <c r="E142" s="146">
        <v>119</v>
      </c>
      <c r="F142" s="146"/>
      <c r="G142" s="146"/>
      <c r="H142" s="140"/>
      <c r="I142" s="140"/>
      <c r="J142" s="96" t="s">
        <v>915</v>
      </c>
    </row>
    <row r="143" spans="1:10" x14ac:dyDescent="0.3">
      <c r="A143" s="96" t="s">
        <v>864</v>
      </c>
      <c r="B143" s="96" t="s">
        <v>866</v>
      </c>
      <c r="C143" s="133" t="s">
        <v>917</v>
      </c>
      <c r="D143" s="146">
        <v>5</v>
      </c>
      <c r="E143" s="146">
        <v>7</v>
      </c>
      <c r="F143" s="146"/>
      <c r="G143" s="146"/>
      <c r="H143" s="140"/>
      <c r="I143" s="140"/>
      <c r="J143" s="96" t="s">
        <v>917</v>
      </c>
    </row>
    <row r="144" spans="1:10" x14ac:dyDescent="0.3">
      <c r="A144" s="96" t="s">
        <v>864</v>
      </c>
      <c r="B144" s="96" t="s">
        <v>866</v>
      </c>
      <c r="C144" s="139" t="s">
        <v>884</v>
      </c>
      <c r="D144" s="133">
        <v>504</v>
      </c>
      <c r="E144" s="133">
        <v>511</v>
      </c>
      <c r="F144" s="133">
        <v>0</v>
      </c>
      <c r="G144" s="133">
        <v>0</v>
      </c>
      <c r="H144" s="140"/>
      <c r="I144" s="140"/>
      <c r="J144" s="96" t="s">
        <v>884</v>
      </c>
    </row>
    <row r="145" spans="1:10" x14ac:dyDescent="0.3">
      <c r="A145" s="97" t="s">
        <v>864</v>
      </c>
      <c r="B145" s="96" t="s">
        <v>866</v>
      </c>
      <c r="C145" s="139" t="s">
        <v>777</v>
      </c>
      <c r="D145" s="133">
        <v>148</v>
      </c>
      <c r="E145" s="133">
        <v>176</v>
      </c>
      <c r="F145" s="133">
        <v>0</v>
      </c>
      <c r="G145" s="133">
        <v>0</v>
      </c>
      <c r="H145" s="140"/>
      <c r="I145" s="140"/>
      <c r="J145" s="96" t="s">
        <v>777</v>
      </c>
    </row>
    <row r="146" spans="1:10" x14ac:dyDescent="0.3">
      <c r="A146" s="96" t="s">
        <v>864</v>
      </c>
      <c r="B146" s="96" t="s">
        <v>866</v>
      </c>
      <c r="C146" s="139" t="s">
        <v>787</v>
      </c>
      <c r="D146" s="133">
        <v>778</v>
      </c>
      <c r="E146" s="133">
        <v>1090</v>
      </c>
      <c r="F146" s="133">
        <v>0</v>
      </c>
      <c r="G146" s="133">
        <v>0</v>
      </c>
      <c r="H146" s="140"/>
      <c r="I146" s="140"/>
      <c r="J146" s="96" t="s">
        <v>787</v>
      </c>
    </row>
    <row r="147" spans="1:10" x14ac:dyDescent="0.3">
      <c r="A147" s="96" t="s">
        <v>864</v>
      </c>
      <c r="B147" s="96" t="s">
        <v>866</v>
      </c>
      <c r="C147" s="139" t="s">
        <v>923</v>
      </c>
      <c r="D147" s="133">
        <v>2399</v>
      </c>
      <c r="E147" s="133">
        <v>2588</v>
      </c>
      <c r="F147" s="133">
        <v>0</v>
      </c>
      <c r="G147" s="133">
        <v>0</v>
      </c>
      <c r="H147" s="140"/>
      <c r="I147" s="140"/>
      <c r="J147" s="99" t="s">
        <v>923</v>
      </c>
    </row>
    <row r="148" spans="1:10" x14ac:dyDescent="0.3">
      <c r="A148" s="96" t="s">
        <v>864</v>
      </c>
      <c r="B148" s="96" t="s">
        <v>866</v>
      </c>
      <c r="C148" s="139" t="s">
        <v>885</v>
      </c>
      <c r="D148" s="133">
        <v>333</v>
      </c>
      <c r="E148" s="133">
        <v>449</v>
      </c>
      <c r="F148" s="133">
        <v>0</v>
      </c>
      <c r="G148" s="133">
        <v>0</v>
      </c>
      <c r="H148" s="140"/>
      <c r="I148" s="140"/>
      <c r="J148" s="96" t="s">
        <v>885</v>
      </c>
    </row>
    <row r="149" spans="1:10" x14ac:dyDescent="0.3">
      <c r="A149" s="96" t="s">
        <v>864</v>
      </c>
      <c r="B149" s="96" t="s">
        <v>866</v>
      </c>
      <c r="C149" s="139" t="s">
        <v>248</v>
      </c>
      <c r="D149" s="133">
        <v>2469</v>
      </c>
      <c r="E149" s="133">
        <v>3057</v>
      </c>
      <c r="F149" s="133">
        <v>0</v>
      </c>
      <c r="G149" s="133">
        <v>0</v>
      </c>
      <c r="H149" s="140"/>
      <c r="I149" s="140"/>
      <c r="J149" s="96" t="s">
        <v>248</v>
      </c>
    </row>
    <row r="150" spans="1:10" x14ac:dyDescent="0.3">
      <c r="A150" s="96" t="s">
        <v>864</v>
      </c>
      <c r="B150" s="96" t="s">
        <v>866</v>
      </c>
      <c r="C150" s="139" t="s">
        <v>86</v>
      </c>
      <c r="D150" s="133">
        <v>1643</v>
      </c>
      <c r="E150" s="133">
        <v>2703</v>
      </c>
      <c r="F150" s="133">
        <v>0</v>
      </c>
      <c r="G150" s="133">
        <v>0</v>
      </c>
      <c r="H150" s="140"/>
      <c r="I150" s="140"/>
      <c r="J150" s="96" t="s">
        <v>86</v>
      </c>
    </row>
    <row r="151" spans="1:10" x14ac:dyDescent="0.3">
      <c r="A151" s="96" t="s">
        <v>864</v>
      </c>
      <c r="B151" s="96" t="s">
        <v>866</v>
      </c>
      <c r="C151" s="139" t="s">
        <v>111</v>
      </c>
      <c r="D151" s="133">
        <v>446</v>
      </c>
      <c r="E151" s="133">
        <v>509</v>
      </c>
      <c r="F151" s="133">
        <v>0</v>
      </c>
      <c r="G151" s="133">
        <v>0</v>
      </c>
      <c r="H151" s="140"/>
      <c r="I151" s="140"/>
      <c r="J151" s="96" t="s">
        <v>111</v>
      </c>
    </row>
    <row r="152" spans="1:10" x14ac:dyDescent="0.3">
      <c r="A152" s="96" t="s">
        <v>864</v>
      </c>
      <c r="B152" s="96" t="s">
        <v>866</v>
      </c>
      <c r="C152" s="139" t="s">
        <v>272</v>
      </c>
      <c r="D152" s="133">
        <v>1512</v>
      </c>
      <c r="E152" s="133">
        <v>1749</v>
      </c>
      <c r="F152" s="133">
        <v>0</v>
      </c>
      <c r="G152" s="133">
        <v>0</v>
      </c>
      <c r="H152" s="140"/>
      <c r="I152" s="140"/>
      <c r="J152" s="96" t="s">
        <v>272</v>
      </c>
    </row>
    <row r="153" spans="1:10" x14ac:dyDescent="0.3">
      <c r="A153" s="96" t="s">
        <v>864</v>
      </c>
      <c r="B153" s="96" t="s">
        <v>866</v>
      </c>
      <c r="C153" s="139" t="s">
        <v>182</v>
      </c>
      <c r="D153" s="133">
        <v>117</v>
      </c>
      <c r="E153" s="133">
        <v>144</v>
      </c>
      <c r="F153" s="133">
        <v>0</v>
      </c>
      <c r="G153" s="133">
        <v>0</v>
      </c>
      <c r="H153" s="140"/>
      <c r="I153" s="140"/>
      <c r="J153" s="96" t="s">
        <v>182</v>
      </c>
    </row>
    <row r="154" spans="1:10" x14ac:dyDescent="0.3">
      <c r="A154" s="96" t="s">
        <v>864</v>
      </c>
      <c r="B154" s="96" t="s">
        <v>866</v>
      </c>
      <c r="C154" s="139" t="s">
        <v>263</v>
      </c>
      <c r="D154" s="133">
        <v>694</v>
      </c>
      <c r="E154" s="133">
        <v>956</v>
      </c>
      <c r="F154" s="133">
        <v>0</v>
      </c>
      <c r="G154" s="133">
        <v>0</v>
      </c>
      <c r="H154" s="140"/>
      <c r="I154" s="140"/>
      <c r="J154" s="96" t="s">
        <v>263</v>
      </c>
    </row>
    <row r="155" spans="1:10" x14ac:dyDescent="0.3">
      <c r="A155" s="96" t="s">
        <v>864</v>
      </c>
      <c r="B155" s="96" t="s">
        <v>866</v>
      </c>
      <c r="C155" s="139" t="s">
        <v>117</v>
      </c>
      <c r="D155" s="133">
        <v>520</v>
      </c>
      <c r="E155" s="133">
        <v>537</v>
      </c>
      <c r="F155" s="133">
        <v>0</v>
      </c>
      <c r="G155" s="133">
        <v>0</v>
      </c>
      <c r="H155" s="140"/>
      <c r="I155" s="140"/>
      <c r="J155" s="96" t="s">
        <v>117</v>
      </c>
    </row>
    <row r="156" spans="1:10" x14ac:dyDescent="0.3">
      <c r="A156" s="96" t="s">
        <v>864</v>
      </c>
      <c r="B156" s="96" t="s">
        <v>866</v>
      </c>
      <c r="C156" s="139" t="s">
        <v>115</v>
      </c>
      <c r="D156" s="133">
        <v>264</v>
      </c>
      <c r="E156" s="133">
        <v>346</v>
      </c>
      <c r="F156" s="133">
        <v>0</v>
      </c>
      <c r="G156" s="133">
        <v>0</v>
      </c>
      <c r="H156" s="140"/>
      <c r="I156" s="140"/>
      <c r="J156" s="96" t="s">
        <v>115</v>
      </c>
    </row>
    <row r="157" spans="1:10" x14ac:dyDescent="0.3">
      <c r="A157" s="96" t="s">
        <v>864</v>
      </c>
      <c r="B157" s="96" t="s">
        <v>866</v>
      </c>
      <c r="C157" s="139" t="s">
        <v>113</v>
      </c>
      <c r="D157" s="133">
        <v>1027</v>
      </c>
      <c r="E157" s="133">
        <v>1246</v>
      </c>
      <c r="F157" s="133">
        <v>0</v>
      </c>
      <c r="G157" s="133">
        <v>0</v>
      </c>
      <c r="H157" s="140"/>
      <c r="I157" s="140"/>
      <c r="J157" s="96" t="s">
        <v>113</v>
      </c>
    </row>
    <row r="158" spans="1:10" x14ac:dyDescent="0.3">
      <c r="A158" s="96" t="s">
        <v>864</v>
      </c>
      <c r="B158" s="96" t="s">
        <v>866</v>
      </c>
      <c r="C158" s="139" t="s">
        <v>471</v>
      </c>
      <c r="D158" s="133">
        <v>61674</v>
      </c>
      <c r="E158" s="133">
        <v>70823</v>
      </c>
      <c r="F158" s="133">
        <v>0</v>
      </c>
      <c r="G158" s="133">
        <v>0</v>
      </c>
      <c r="H158" s="140"/>
      <c r="I158" s="140"/>
      <c r="J158" s="96" t="s">
        <v>471</v>
      </c>
    </row>
    <row r="159" spans="1:10" x14ac:dyDescent="0.3">
      <c r="A159" s="96" t="s">
        <v>864</v>
      </c>
      <c r="B159" s="96" t="s">
        <v>866</v>
      </c>
      <c r="C159" s="139" t="s">
        <v>455</v>
      </c>
      <c r="D159" s="133">
        <v>1140</v>
      </c>
      <c r="E159" s="133">
        <v>1543</v>
      </c>
      <c r="F159" s="133">
        <v>0</v>
      </c>
      <c r="G159" s="133">
        <v>0</v>
      </c>
      <c r="H159" s="140"/>
      <c r="I159" s="140"/>
      <c r="J159" s="96" t="s">
        <v>455</v>
      </c>
    </row>
    <row r="160" spans="1:10" x14ac:dyDescent="0.3">
      <c r="A160" s="96" t="s">
        <v>864</v>
      </c>
      <c r="B160" s="96" t="s">
        <v>866</v>
      </c>
      <c r="C160" s="139" t="s">
        <v>190</v>
      </c>
      <c r="D160" s="133">
        <v>3778</v>
      </c>
      <c r="E160" s="133">
        <v>4420</v>
      </c>
      <c r="F160" s="133">
        <v>0</v>
      </c>
      <c r="G160" s="133">
        <v>0</v>
      </c>
      <c r="H160" s="140"/>
      <c r="I160" s="140"/>
      <c r="J160" s="96" t="s">
        <v>190</v>
      </c>
    </row>
    <row r="161" spans="1:10" x14ac:dyDescent="0.3">
      <c r="A161" s="96" t="s">
        <v>864</v>
      </c>
      <c r="B161" s="96" t="s">
        <v>866</v>
      </c>
      <c r="C161" s="139" t="s">
        <v>447</v>
      </c>
      <c r="D161" s="133">
        <v>800</v>
      </c>
      <c r="E161" s="133">
        <v>887</v>
      </c>
      <c r="F161" s="133">
        <v>0</v>
      </c>
      <c r="G161" s="133">
        <v>0</v>
      </c>
      <c r="H161" s="140"/>
      <c r="I161" s="140"/>
      <c r="J161" s="96" t="s">
        <v>447</v>
      </c>
    </row>
    <row r="162" spans="1:10" x14ac:dyDescent="0.3">
      <c r="A162" s="96" t="s">
        <v>864</v>
      </c>
      <c r="B162" s="96" t="s">
        <v>866</v>
      </c>
      <c r="C162" s="139" t="s">
        <v>463</v>
      </c>
      <c r="D162" s="133">
        <v>10</v>
      </c>
      <c r="E162" s="133">
        <v>1518</v>
      </c>
      <c r="F162" s="133">
        <v>0</v>
      </c>
      <c r="G162" s="133">
        <v>0</v>
      </c>
      <c r="H162" s="140"/>
      <c r="I162" s="140"/>
      <c r="J162" s="96" t="s">
        <v>463</v>
      </c>
    </row>
    <row r="163" spans="1:10" x14ac:dyDescent="0.3">
      <c r="A163" s="96" t="s">
        <v>864</v>
      </c>
      <c r="B163" s="96" t="s">
        <v>866</v>
      </c>
      <c r="C163" s="139" t="s">
        <v>461</v>
      </c>
      <c r="D163" s="133">
        <v>1275</v>
      </c>
      <c r="E163" s="133">
        <v>1535</v>
      </c>
      <c r="F163" s="133">
        <v>0</v>
      </c>
      <c r="G163" s="133">
        <v>0</v>
      </c>
      <c r="H163" s="140"/>
      <c r="I163" s="140"/>
      <c r="J163" s="96" t="s">
        <v>461</v>
      </c>
    </row>
    <row r="164" spans="1:10" x14ac:dyDescent="0.3">
      <c r="A164" s="96" t="s">
        <v>864</v>
      </c>
      <c r="B164" s="96" t="s">
        <v>866</v>
      </c>
      <c r="C164" s="139" t="s">
        <v>109</v>
      </c>
      <c r="D164" s="133">
        <v>385</v>
      </c>
      <c r="E164" s="133">
        <v>492</v>
      </c>
      <c r="F164" s="133">
        <v>0</v>
      </c>
      <c r="G164" s="133">
        <v>0</v>
      </c>
      <c r="H164" s="140"/>
      <c r="I164" s="140"/>
      <c r="J164" s="96" t="s">
        <v>109</v>
      </c>
    </row>
    <row r="165" spans="1:10" x14ac:dyDescent="0.3">
      <c r="A165" s="96" t="s">
        <v>864</v>
      </c>
      <c r="B165" s="96" t="s">
        <v>866</v>
      </c>
      <c r="C165" s="139" t="s">
        <v>797</v>
      </c>
      <c r="D165" s="133">
        <v>468</v>
      </c>
      <c r="E165" s="133">
        <v>552</v>
      </c>
      <c r="F165" s="133">
        <v>0</v>
      </c>
      <c r="G165" s="133">
        <v>0</v>
      </c>
      <c r="H165" s="140"/>
      <c r="I165" s="140"/>
      <c r="J165" s="96" t="s">
        <v>797</v>
      </c>
    </row>
    <row r="166" spans="1:10" x14ac:dyDescent="0.3">
      <c r="A166" s="96" t="s">
        <v>864</v>
      </c>
      <c r="B166" s="96" t="s">
        <v>866</v>
      </c>
      <c r="C166" s="139" t="s">
        <v>436</v>
      </c>
      <c r="D166" s="133">
        <v>3083</v>
      </c>
      <c r="E166" s="133">
        <v>3105</v>
      </c>
      <c r="F166" s="133">
        <v>0</v>
      </c>
      <c r="G166" s="133">
        <v>0</v>
      </c>
      <c r="H166" s="140"/>
      <c r="I166" s="140"/>
      <c r="J166" s="96" t="s">
        <v>436</v>
      </c>
    </row>
    <row r="167" spans="1:10" x14ac:dyDescent="0.3">
      <c r="A167" s="96" t="s">
        <v>864</v>
      </c>
      <c r="B167" s="96" t="s">
        <v>866</v>
      </c>
      <c r="C167" s="139" t="s">
        <v>886</v>
      </c>
      <c r="D167" s="133">
        <v>906</v>
      </c>
      <c r="E167" s="133">
        <v>1212</v>
      </c>
      <c r="F167" s="133">
        <v>0</v>
      </c>
      <c r="G167" s="133">
        <v>0</v>
      </c>
      <c r="H167" s="140"/>
      <c r="I167" s="140"/>
      <c r="J167" s="96" t="s">
        <v>886</v>
      </c>
    </row>
    <row r="168" spans="1:10" x14ac:dyDescent="0.3">
      <c r="A168" s="96" t="s">
        <v>864</v>
      </c>
      <c r="B168" s="96" t="s">
        <v>866</v>
      </c>
      <c r="C168" s="139" t="s">
        <v>75</v>
      </c>
      <c r="D168" s="133">
        <v>8857</v>
      </c>
      <c r="E168" s="133">
        <v>10797</v>
      </c>
      <c r="F168" s="133">
        <v>0</v>
      </c>
      <c r="G168" s="133">
        <v>0</v>
      </c>
      <c r="H168" s="140"/>
      <c r="I168" s="140"/>
      <c r="J168" s="96" t="s">
        <v>75</v>
      </c>
    </row>
    <row r="169" spans="1:10" x14ac:dyDescent="0.3">
      <c r="A169" s="96" t="s">
        <v>864</v>
      </c>
      <c r="B169" s="96" t="s">
        <v>866</v>
      </c>
      <c r="C169" s="139" t="s">
        <v>598</v>
      </c>
      <c r="D169" s="133">
        <v>252</v>
      </c>
      <c r="E169" s="133">
        <v>362</v>
      </c>
      <c r="F169" s="133">
        <v>0</v>
      </c>
      <c r="G169" s="133">
        <v>0</v>
      </c>
      <c r="H169" s="140"/>
      <c r="I169" s="140"/>
      <c r="J169" s="96" t="s">
        <v>598</v>
      </c>
    </row>
    <row r="170" spans="1:10" x14ac:dyDescent="0.3">
      <c r="A170" s="96" t="s">
        <v>864</v>
      </c>
      <c r="B170" s="96" t="s">
        <v>866</v>
      </c>
      <c r="C170" s="139" t="s">
        <v>467</v>
      </c>
      <c r="D170" s="133">
        <v>1023</v>
      </c>
      <c r="E170" s="133">
        <v>1438</v>
      </c>
      <c r="F170" s="133">
        <v>0</v>
      </c>
      <c r="G170" s="133">
        <v>0</v>
      </c>
      <c r="H170" s="140"/>
      <c r="I170" s="140"/>
      <c r="J170" s="96" t="s">
        <v>467</v>
      </c>
    </row>
    <row r="171" spans="1:10" x14ac:dyDescent="0.3">
      <c r="A171" s="96" t="s">
        <v>864</v>
      </c>
      <c r="B171" s="96" t="s">
        <v>866</v>
      </c>
      <c r="C171" s="139" t="s">
        <v>887</v>
      </c>
      <c r="D171" s="133">
        <v>1821</v>
      </c>
      <c r="E171" s="133">
        <v>2048</v>
      </c>
      <c r="F171" s="133">
        <v>0</v>
      </c>
      <c r="G171" s="133">
        <v>0</v>
      </c>
      <c r="H171" s="140"/>
      <c r="I171" s="140"/>
      <c r="J171" s="96" t="s">
        <v>887</v>
      </c>
    </row>
    <row r="172" spans="1:10" x14ac:dyDescent="0.3">
      <c r="A172" s="96" t="s">
        <v>864</v>
      </c>
      <c r="B172" s="96" t="s">
        <v>866</v>
      </c>
      <c r="C172" s="139" t="s">
        <v>169</v>
      </c>
      <c r="D172" s="133">
        <v>3172</v>
      </c>
      <c r="E172" s="133">
        <v>4273</v>
      </c>
      <c r="F172" s="133">
        <v>0</v>
      </c>
      <c r="G172" s="133">
        <v>0</v>
      </c>
      <c r="H172" s="140"/>
      <c r="I172" s="140"/>
      <c r="J172" s="96" t="s">
        <v>169</v>
      </c>
    </row>
    <row r="173" spans="1:10" x14ac:dyDescent="0.3">
      <c r="A173" s="96" t="s">
        <v>864</v>
      </c>
      <c r="B173" s="96" t="s">
        <v>866</v>
      </c>
      <c r="C173" s="139" t="s">
        <v>171</v>
      </c>
      <c r="D173" s="133">
        <v>1822</v>
      </c>
      <c r="E173" s="133">
        <v>1954</v>
      </c>
      <c r="F173" s="133">
        <v>0</v>
      </c>
      <c r="G173" s="133">
        <v>0</v>
      </c>
      <c r="H173" s="140"/>
      <c r="I173" s="140"/>
      <c r="J173" s="96" t="s">
        <v>171</v>
      </c>
    </row>
    <row r="174" spans="1:10" x14ac:dyDescent="0.3">
      <c r="A174" s="96" t="s">
        <v>864</v>
      </c>
      <c r="B174" s="96" t="s">
        <v>866</v>
      </c>
      <c r="C174" s="139" t="s">
        <v>439</v>
      </c>
      <c r="D174" s="133">
        <v>472</v>
      </c>
      <c r="E174" s="133">
        <v>622</v>
      </c>
      <c r="F174" s="133">
        <v>0</v>
      </c>
      <c r="G174" s="133">
        <v>0</v>
      </c>
      <c r="H174" s="140"/>
      <c r="I174" s="140"/>
      <c r="J174" s="96" t="s">
        <v>439</v>
      </c>
    </row>
    <row r="175" spans="1:10" x14ac:dyDescent="0.3">
      <c r="A175" s="96" t="s">
        <v>864</v>
      </c>
      <c r="B175" s="96" t="s">
        <v>866</v>
      </c>
      <c r="C175" s="139" t="s">
        <v>217</v>
      </c>
      <c r="D175" s="133">
        <v>918</v>
      </c>
      <c r="E175" s="133">
        <v>1154</v>
      </c>
      <c r="F175" s="133">
        <v>0</v>
      </c>
      <c r="G175" s="133">
        <v>0</v>
      </c>
      <c r="H175" s="140"/>
      <c r="I175" s="140"/>
      <c r="J175" s="96" t="s">
        <v>217</v>
      </c>
    </row>
    <row r="176" spans="1:10" x14ac:dyDescent="0.3">
      <c r="A176" s="96" t="s">
        <v>864</v>
      </c>
      <c r="B176" s="96" t="s">
        <v>866</v>
      </c>
      <c r="C176" s="139" t="s">
        <v>888</v>
      </c>
      <c r="D176" s="133">
        <v>132</v>
      </c>
      <c r="E176" s="133">
        <v>297</v>
      </c>
      <c r="F176" s="133">
        <v>0</v>
      </c>
      <c r="G176" s="133">
        <v>0</v>
      </c>
      <c r="H176" s="140"/>
      <c r="I176" s="140"/>
      <c r="J176" s="96" t="s">
        <v>888</v>
      </c>
    </row>
    <row r="177" spans="1:10" x14ac:dyDescent="0.3">
      <c r="A177" s="96" t="s">
        <v>864</v>
      </c>
      <c r="B177" s="96" t="s">
        <v>866</v>
      </c>
      <c r="C177" s="139" t="s">
        <v>64</v>
      </c>
      <c r="D177" s="133">
        <v>548</v>
      </c>
      <c r="E177" s="133">
        <v>742</v>
      </c>
      <c r="F177" s="133">
        <v>0</v>
      </c>
      <c r="G177" s="133">
        <v>0</v>
      </c>
      <c r="H177" s="140"/>
      <c r="I177" s="140"/>
      <c r="J177" s="96" t="s">
        <v>64</v>
      </c>
    </row>
    <row r="178" spans="1:10" x14ac:dyDescent="0.3">
      <c r="A178" s="96" t="s">
        <v>864</v>
      </c>
      <c r="B178" s="96" t="s">
        <v>866</v>
      </c>
      <c r="C178" s="139" t="s">
        <v>57</v>
      </c>
      <c r="D178" s="133">
        <v>7117</v>
      </c>
      <c r="E178" s="133">
        <v>8924</v>
      </c>
      <c r="F178" s="133">
        <v>0</v>
      </c>
      <c r="G178" s="133">
        <v>0</v>
      </c>
      <c r="H178" s="140"/>
      <c r="I178" s="140"/>
      <c r="J178" s="96" t="s">
        <v>57</v>
      </c>
    </row>
    <row r="179" spans="1:10" x14ac:dyDescent="0.3">
      <c r="A179" s="96" t="s">
        <v>864</v>
      </c>
      <c r="B179" s="96" t="s">
        <v>866</v>
      </c>
      <c r="C179" s="139" t="s">
        <v>77</v>
      </c>
      <c r="D179" s="133">
        <v>9288</v>
      </c>
      <c r="E179" s="133">
        <v>9729</v>
      </c>
      <c r="F179" s="133">
        <v>0</v>
      </c>
      <c r="G179" s="133">
        <v>0</v>
      </c>
      <c r="H179" s="140"/>
      <c r="I179" s="140"/>
      <c r="J179" s="96" t="s">
        <v>77</v>
      </c>
    </row>
    <row r="180" spans="1:10" x14ac:dyDescent="0.3">
      <c r="A180" s="96" t="s">
        <v>864</v>
      </c>
      <c r="B180" s="96" t="s">
        <v>866</v>
      </c>
      <c r="C180" s="139" t="s">
        <v>504</v>
      </c>
      <c r="D180" s="133">
        <v>2448</v>
      </c>
      <c r="E180" s="133">
        <v>3274</v>
      </c>
      <c r="F180" s="133">
        <v>0</v>
      </c>
      <c r="G180" s="133">
        <v>0</v>
      </c>
      <c r="H180" s="140"/>
      <c r="I180" s="140"/>
      <c r="J180" s="96" t="s">
        <v>504</v>
      </c>
    </row>
    <row r="181" spans="1:10" x14ac:dyDescent="0.3">
      <c r="A181" s="96" t="s">
        <v>864</v>
      </c>
      <c r="B181" s="96" t="s">
        <v>866</v>
      </c>
      <c r="C181" s="139" t="s">
        <v>381</v>
      </c>
      <c r="D181" s="133">
        <v>2689</v>
      </c>
      <c r="E181" s="133">
        <v>3274</v>
      </c>
      <c r="F181" s="133">
        <v>0</v>
      </c>
      <c r="G181" s="133">
        <v>0</v>
      </c>
      <c r="H181" s="140"/>
      <c r="I181" s="140"/>
      <c r="J181" s="96" t="s">
        <v>381</v>
      </c>
    </row>
    <row r="182" spans="1:10" x14ac:dyDescent="0.3">
      <c r="A182" s="96" t="s">
        <v>864</v>
      </c>
      <c r="B182" s="96" t="s">
        <v>866</v>
      </c>
      <c r="C182" s="139" t="s">
        <v>607</v>
      </c>
      <c r="D182" s="133">
        <v>475</v>
      </c>
      <c r="E182" s="133">
        <v>639</v>
      </c>
      <c r="F182" s="133">
        <v>0</v>
      </c>
      <c r="G182" s="133">
        <v>0</v>
      </c>
      <c r="H182" s="140"/>
      <c r="I182" s="140"/>
      <c r="J182" s="96" t="s">
        <v>607</v>
      </c>
    </row>
    <row r="183" spans="1:10" x14ac:dyDescent="0.3">
      <c r="A183" s="96" t="s">
        <v>864</v>
      </c>
      <c r="B183" s="96" t="s">
        <v>866</v>
      </c>
      <c r="C183" s="139" t="s">
        <v>506</v>
      </c>
      <c r="D183" s="133">
        <v>1946</v>
      </c>
      <c r="E183" s="133">
        <v>2695</v>
      </c>
      <c r="F183" s="133">
        <v>0</v>
      </c>
      <c r="G183" s="133">
        <v>0</v>
      </c>
      <c r="H183" s="140"/>
      <c r="I183" s="140"/>
      <c r="J183" s="96" t="s">
        <v>506</v>
      </c>
    </row>
    <row r="184" spans="1:10" x14ac:dyDescent="0.3">
      <c r="A184" s="96" t="s">
        <v>864</v>
      </c>
      <c r="B184" s="96" t="s">
        <v>866</v>
      </c>
      <c r="C184" s="139" t="s">
        <v>889</v>
      </c>
      <c r="D184" s="133">
        <v>36</v>
      </c>
      <c r="E184" s="133">
        <v>60</v>
      </c>
      <c r="F184" s="133">
        <v>0</v>
      </c>
      <c r="G184" s="133">
        <v>0</v>
      </c>
      <c r="H184" s="140"/>
      <c r="I184" s="140"/>
      <c r="J184" s="96" t="s">
        <v>889</v>
      </c>
    </row>
    <row r="185" spans="1:10" x14ac:dyDescent="0.3">
      <c r="A185" s="96" t="s">
        <v>864</v>
      </c>
      <c r="B185" s="96" t="s">
        <v>866</v>
      </c>
      <c r="C185" s="139" t="s">
        <v>336</v>
      </c>
      <c r="D185" s="133">
        <v>5750</v>
      </c>
      <c r="E185" s="133">
        <v>6243</v>
      </c>
      <c r="F185" s="133">
        <v>0</v>
      </c>
      <c r="G185" s="133">
        <v>0</v>
      </c>
      <c r="H185" s="140"/>
      <c r="I185" s="140"/>
      <c r="J185" s="96" t="s">
        <v>336</v>
      </c>
    </row>
    <row r="186" spans="1:10" x14ac:dyDescent="0.3">
      <c r="A186" s="96" t="s">
        <v>864</v>
      </c>
      <c r="B186" s="96" t="s">
        <v>866</v>
      </c>
      <c r="C186" s="139" t="s">
        <v>389</v>
      </c>
      <c r="D186" s="133">
        <v>11383</v>
      </c>
      <c r="E186" s="133">
        <v>13772</v>
      </c>
      <c r="F186" s="133">
        <v>0</v>
      </c>
      <c r="G186" s="133">
        <v>0</v>
      </c>
      <c r="H186" s="140"/>
      <c r="I186" s="140"/>
      <c r="J186" s="96" t="s">
        <v>389</v>
      </c>
    </row>
    <row r="187" spans="1:10" x14ac:dyDescent="0.3">
      <c r="A187" s="96" t="s">
        <v>864</v>
      </c>
      <c r="B187" s="96" t="s">
        <v>866</v>
      </c>
      <c r="C187" s="139" t="s">
        <v>890</v>
      </c>
      <c r="D187" s="133">
        <v>771</v>
      </c>
      <c r="E187" s="133">
        <v>966</v>
      </c>
      <c r="F187" s="133">
        <v>0</v>
      </c>
      <c r="G187" s="133">
        <v>0</v>
      </c>
      <c r="H187" s="140"/>
      <c r="I187" s="140"/>
      <c r="J187" s="96" t="s">
        <v>890</v>
      </c>
    </row>
    <row r="188" spans="1:10" x14ac:dyDescent="0.3">
      <c r="A188" s="96" t="s">
        <v>864</v>
      </c>
      <c r="B188" s="96" t="s">
        <v>866</v>
      </c>
      <c r="C188" s="139" t="s">
        <v>530</v>
      </c>
      <c r="D188" s="133">
        <v>13992</v>
      </c>
      <c r="E188" s="133">
        <v>17954</v>
      </c>
      <c r="F188" s="133">
        <v>0</v>
      </c>
      <c r="G188" s="133">
        <v>0</v>
      </c>
      <c r="H188" s="140"/>
      <c r="I188" s="140"/>
      <c r="J188" s="96" t="s">
        <v>530</v>
      </c>
    </row>
    <row r="189" spans="1:10" x14ac:dyDescent="0.3">
      <c r="A189" s="96" t="s">
        <v>864</v>
      </c>
      <c r="B189" s="96" t="s">
        <v>866</v>
      </c>
      <c r="C189" s="139" t="s">
        <v>553</v>
      </c>
      <c r="D189" s="133">
        <v>463</v>
      </c>
      <c r="E189" s="133">
        <v>593</v>
      </c>
      <c r="F189" s="133">
        <v>0</v>
      </c>
      <c r="G189" s="133">
        <v>0</v>
      </c>
      <c r="H189" s="140"/>
      <c r="I189" s="140"/>
      <c r="J189" s="96" t="s">
        <v>553</v>
      </c>
    </row>
    <row r="190" spans="1:10" x14ac:dyDescent="0.3">
      <c r="A190" s="96" t="s">
        <v>864</v>
      </c>
      <c r="B190" s="96" t="s">
        <v>866</v>
      </c>
      <c r="C190" s="139" t="s">
        <v>555</v>
      </c>
      <c r="D190" s="133">
        <v>3603</v>
      </c>
      <c r="E190" s="133">
        <v>4294</v>
      </c>
      <c r="F190" s="133">
        <v>0</v>
      </c>
      <c r="G190" s="133">
        <v>0</v>
      </c>
      <c r="H190" s="140"/>
      <c r="I190" s="140"/>
      <c r="J190" s="96" t="s">
        <v>555</v>
      </c>
    </row>
    <row r="191" spans="1:10" x14ac:dyDescent="0.3">
      <c r="A191" s="96" t="s">
        <v>864</v>
      </c>
      <c r="B191" s="96" t="s">
        <v>866</v>
      </c>
      <c r="C191" s="139" t="s">
        <v>788</v>
      </c>
      <c r="D191" s="133">
        <v>4094</v>
      </c>
      <c r="E191" s="133">
        <v>4935</v>
      </c>
      <c r="F191" s="133">
        <v>0</v>
      </c>
      <c r="G191" s="133">
        <v>0</v>
      </c>
      <c r="H191" s="140"/>
      <c r="I191" s="140"/>
      <c r="J191" s="96" t="s">
        <v>788</v>
      </c>
    </row>
    <row r="192" spans="1:10" x14ac:dyDescent="0.3">
      <c r="A192" s="96" t="s">
        <v>864</v>
      </c>
      <c r="B192" s="96" t="s">
        <v>866</v>
      </c>
      <c r="C192" s="139" t="s">
        <v>508</v>
      </c>
      <c r="D192" s="133">
        <v>393</v>
      </c>
      <c r="E192" s="133">
        <v>523</v>
      </c>
      <c r="F192" s="133">
        <v>0</v>
      </c>
      <c r="G192" s="133">
        <v>0</v>
      </c>
      <c r="H192" s="140"/>
      <c r="I192" s="140"/>
      <c r="J192" s="96" t="s">
        <v>508</v>
      </c>
    </row>
    <row r="193" spans="1:10" x14ac:dyDescent="0.3">
      <c r="A193" s="96" t="s">
        <v>864</v>
      </c>
      <c r="B193" s="96" t="s">
        <v>866</v>
      </c>
      <c r="C193" s="139" t="s">
        <v>338</v>
      </c>
      <c r="D193" s="133">
        <v>6593</v>
      </c>
      <c r="E193" s="133">
        <v>9878</v>
      </c>
      <c r="F193" s="133">
        <v>0</v>
      </c>
      <c r="G193" s="133">
        <v>0</v>
      </c>
      <c r="H193" s="140"/>
      <c r="I193" s="140"/>
      <c r="J193" s="96" t="s">
        <v>338</v>
      </c>
    </row>
    <row r="194" spans="1:10" x14ac:dyDescent="0.3">
      <c r="A194" s="96" t="s">
        <v>864</v>
      </c>
      <c r="B194" s="96" t="s">
        <v>866</v>
      </c>
      <c r="C194" s="139" t="s">
        <v>383</v>
      </c>
      <c r="D194" s="133">
        <v>4542</v>
      </c>
      <c r="E194" s="133">
        <v>6308</v>
      </c>
      <c r="F194" s="133">
        <v>0</v>
      </c>
      <c r="G194" s="133">
        <v>0</v>
      </c>
      <c r="H194" s="140"/>
      <c r="I194" s="140"/>
      <c r="J194" s="96" t="s">
        <v>383</v>
      </c>
    </row>
    <row r="195" spans="1:10" x14ac:dyDescent="0.3">
      <c r="A195" s="96" t="s">
        <v>864</v>
      </c>
      <c r="B195" s="96" t="s">
        <v>866</v>
      </c>
      <c r="C195" s="139" t="s">
        <v>340</v>
      </c>
      <c r="D195" s="133">
        <v>11836</v>
      </c>
      <c r="E195" s="133">
        <v>13386</v>
      </c>
      <c r="F195" s="133">
        <v>0</v>
      </c>
      <c r="G195" s="133">
        <v>0</v>
      </c>
      <c r="H195" s="140"/>
      <c r="I195" s="140"/>
      <c r="J195" s="96" t="s">
        <v>340</v>
      </c>
    </row>
    <row r="196" spans="1:10" x14ac:dyDescent="0.3">
      <c r="A196" s="97" t="s">
        <v>864</v>
      </c>
      <c r="B196" s="96" t="s">
        <v>866</v>
      </c>
      <c r="C196" s="139" t="s">
        <v>891</v>
      </c>
      <c r="D196" s="133">
        <v>876</v>
      </c>
      <c r="E196" s="133">
        <v>1060</v>
      </c>
      <c r="F196" s="133">
        <v>0</v>
      </c>
      <c r="G196" s="133">
        <v>0</v>
      </c>
      <c r="H196" s="140"/>
      <c r="I196" s="140"/>
      <c r="J196" s="96" t="s">
        <v>891</v>
      </c>
    </row>
    <row r="197" spans="1:10" x14ac:dyDescent="0.3">
      <c r="A197" s="96" t="s">
        <v>864</v>
      </c>
      <c r="B197" s="96" t="s">
        <v>866</v>
      </c>
      <c r="C197" s="139" t="s">
        <v>596</v>
      </c>
      <c r="D197" s="133">
        <v>5142</v>
      </c>
      <c r="E197" s="133">
        <v>6050</v>
      </c>
      <c r="F197" s="133">
        <v>0</v>
      </c>
      <c r="G197" s="133">
        <v>0</v>
      </c>
      <c r="H197" s="140"/>
      <c r="I197" s="140"/>
      <c r="J197" s="96" t="s">
        <v>596</v>
      </c>
    </row>
    <row r="198" spans="1:10" x14ac:dyDescent="0.3">
      <c r="A198" s="96" t="s">
        <v>864</v>
      </c>
      <c r="B198" s="96" t="s">
        <v>866</v>
      </c>
      <c r="C198" s="139" t="s">
        <v>990</v>
      </c>
      <c r="D198" s="133">
        <v>17</v>
      </c>
      <c r="E198" s="133">
        <v>235</v>
      </c>
      <c r="F198" s="133">
        <v>0</v>
      </c>
      <c r="G198" s="133">
        <v>0</v>
      </c>
      <c r="H198" s="140"/>
      <c r="I198" s="140"/>
      <c r="J198" s="96" t="s">
        <v>990</v>
      </c>
    </row>
    <row r="199" spans="1:10" x14ac:dyDescent="0.3">
      <c r="A199" s="97" t="s">
        <v>864</v>
      </c>
      <c r="B199" s="96" t="s">
        <v>866</v>
      </c>
      <c r="C199" s="133" t="s">
        <v>919</v>
      </c>
      <c r="D199" s="146">
        <v>288</v>
      </c>
      <c r="E199" s="146">
        <v>333</v>
      </c>
      <c r="F199" s="146"/>
      <c r="G199" s="146"/>
      <c r="H199" s="140"/>
      <c r="I199" s="140"/>
      <c r="J199" s="96" t="s">
        <v>919</v>
      </c>
    </row>
    <row r="200" spans="1:10" x14ac:dyDescent="0.3">
      <c r="A200" s="96" t="s">
        <v>864</v>
      </c>
      <c r="B200" s="96" t="s">
        <v>866</v>
      </c>
      <c r="C200" s="139" t="s">
        <v>892</v>
      </c>
      <c r="D200" s="133">
        <v>839</v>
      </c>
      <c r="E200" s="133">
        <v>1190</v>
      </c>
      <c r="F200" s="133">
        <v>0</v>
      </c>
      <c r="G200" s="133">
        <v>0</v>
      </c>
      <c r="H200" s="140"/>
      <c r="I200" s="140"/>
      <c r="J200" s="96" t="s">
        <v>892</v>
      </c>
    </row>
    <row r="201" spans="1:10" x14ac:dyDescent="0.3">
      <c r="A201" s="96" t="s">
        <v>864</v>
      </c>
      <c r="B201" s="96" t="s">
        <v>866</v>
      </c>
      <c r="C201" s="139" t="s">
        <v>893</v>
      </c>
      <c r="D201" s="133">
        <v>320</v>
      </c>
      <c r="E201" s="133">
        <v>494</v>
      </c>
      <c r="F201" s="133">
        <v>0</v>
      </c>
      <c r="G201" s="133">
        <v>0</v>
      </c>
      <c r="H201" s="140"/>
      <c r="I201" s="140"/>
      <c r="J201" s="96" t="s">
        <v>893</v>
      </c>
    </row>
    <row r="202" spans="1:10" x14ac:dyDescent="0.3">
      <c r="A202" s="96" t="s">
        <v>864</v>
      </c>
      <c r="B202" s="96" t="s">
        <v>866</v>
      </c>
      <c r="C202" s="133" t="s">
        <v>918</v>
      </c>
      <c r="D202" s="146">
        <v>138</v>
      </c>
      <c r="E202" s="146">
        <v>149</v>
      </c>
      <c r="F202" s="146"/>
      <c r="G202" s="146"/>
      <c r="H202" s="140"/>
      <c r="I202" s="140"/>
      <c r="J202" s="96" t="s">
        <v>918</v>
      </c>
    </row>
    <row r="203" spans="1:10" x14ac:dyDescent="0.3">
      <c r="A203" s="96" t="s">
        <v>864</v>
      </c>
      <c r="B203" s="96" t="s">
        <v>866</v>
      </c>
      <c r="C203" s="139" t="s">
        <v>894</v>
      </c>
      <c r="D203" s="133">
        <v>297</v>
      </c>
      <c r="E203" s="133">
        <v>346</v>
      </c>
      <c r="F203" s="133">
        <v>0</v>
      </c>
      <c r="G203" s="133">
        <v>0</v>
      </c>
      <c r="H203" s="140"/>
      <c r="I203" s="140"/>
      <c r="J203" s="96" t="s">
        <v>894</v>
      </c>
    </row>
    <row r="204" spans="1:10" x14ac:dyDescent="0.3">
      <c r="A204" s="96" t="s">
        <v>864</v>
      </c>
      <c r="B204" s="96" t="s">
        <v>866</v>
      </c>
      <c r="C204" s="139" t="s">
        <v>895</v>
      </c>
      <c r="D204" s="133">
        <v>211</v>
      </c>
      <c r="E204" s="133">
        <v>354</v>
      </c>
      <c r="F204" s="133">
        <v>0</v>
      </c>
      <c r="G204" s="133">
        <v>0</v>
      </c>
      <c r="H204" s="140"/>
      <c r="I204" s="140"/>
      <c r="J204" s="96" t="s">
        <v>895</v>
      </c>
    </row>
    <row r="205" spans="1:10" x14ac:dyDescent="0.3">
      <c r="A205" s="96" t="s">
        <v>864</v>
      </c>
      <c r="B205" s="96" t="s">
        <v>866</v>
      </c>
      <c r="C205" s="139" t="s">
        <v>758</v>
      </c>
      <c r="D205" s="133">
        <v>570</v>
      </c>
      <c r="E205" s="133">
        <v>621</v>
      </c>
      <c r="F205" s="133">
        <v>241</v>
      </c>
      <c r="G205" s="133">
        <v>254</v>
      </c>
      <c r="H205" s="140"/>
      <c r="I205" s="140"/>
      <c r="J205" s="96" t="s">
        <v>758</v>
      </c>
    </row>
    <row r="206" spans="1:10" x14ac:dyDescent="0.3">
      <c r="A206" s="96" t="s">
        <v>864</v>
      </c>
      <c r="B206" s="96" t="s">
        <v>896</v>
      </c>
      <c r="C206" s="139" t="s">
        <v>897</v>
      </c>
      <c r="D206" s="133">
        <v>30</v>
      </c>
      <c r="E206" s="133">
        <v>30</v>
      </c>
      <c r="F206" s="133">
        <v>8</v>
      </c>
      <c r="G206" s="133">
        <v>8</v>
      </c>
      <c r="H206" s="140"/>
      <c r="I206" s="140"/>
      <c r="J206" s="96" t="s">
        <v>897</v>
      </c>
    </row>
    <row r="207" spans="1:10" x14ac:dyDescent="0.3">
      <c r="A207" s="96" t="s">
        <v>864</v>
      </c>
      <c r="B207" s="96" t="s">
        <v>896</v>
      </c>
      <c r="C207" s="133" t="s">
        <v>91</v>
      </c>
      <c r="D207" s="146">
        <v>0</v>
      </c>
      <c r="E207" s="146">
        <v>0</v>
      </c>
      <c r="F207" s="146">
        <v>0</v>
      </c>
      <c r="G207" s="146">
        <v>0</v>
      </c>
      <c r="H207" s="140"/>
      <c r="I207" s="140"/>
      <c r="J207" s="96" t="s">
        <v>91</v>
      </c>
    </row>
    <row r="208" spans="1:10" x14ac:dyDescent="0.3">
      <c r="A208" s="96" t="s">
        <v>864</v>
      </c>
      <c r="B208" s="96" t="s">
        <v>896</v>
      </c>
      <c r="C208" s="139" t="s">
        <v>320</v>
      </c>
      <c r="D208" s="133">
        <v>1730</v>
      </c>
      <c r="E208" s="133">
        <v>2009</v>
      </c>
      <c r="F208" s="133">
        <v>672</v>
      </c>
      <c r="G208" s="133">
        <v>783</v>
      </c>
      <c r="H208" s="140"/>
      <c r="I208" s="140"/>
      <c r="J208" s="96" t="s">
        <v>320</v>
      </c>
    </row>
    <row r="209" spans="1:10" x14ac:dyDescent="0.3">
      <c r="A209" s="96" t="s">
        <v>864</v>
      </c>
      <c r="B209" s="96" t="s">
        <v>896</v>
      </c>
      <c r="C209" s="139" t="s">
        <v>898</v>
      </c>
      <c r="D209" s="133">
        <v>587</v>
      </c>
      <c r="E209" s="133">
        <v>612</v>
      </c>
      <c r="F209" s="133">
        <v>1524</v>
      </c>
      <c r="G209" s="133">
        <v>1608</v>
      </c>
      <c r="H209" s="140"/>
      <c r="I209" s="140"/>
      <c r="J209" s="96" t="s">
        <v>898</v>
      </c>
    </row>
    <row r="210" spans="1:10" x14ac:dyDescent="0.3">
      <c r="A210" s="96" t="s">
        <v>864</v>
      </c>
      <c r="B210" s="96" t="s">
        <v>896</v>
      </c>
      <c r="C210" s="139" t="s">
        <v>184</v>
      </c>
      <c r="D210" s="133">
        <v>2674</v>
      </c>
      <c r="E210" s="133">
        <v>3412</v>
      </c>
      <c r="F210" s="133">
        <v>538</v>
      </c>
      <c r="G210" s="133">
        <v>663</v>
      </c>
      <c r="H210" s="140"/>
      <c r="I210" s="140"/>
      <c r="J210" s="96" t="s">
        <v>184</v>
      </c>
    </row>
    <row r="211" spans="1:10" x14ac:dyDescent="0.3">
      <c r="A211" s="96" t="s">
        <v>864</v>
      </c>
      <c r="B211" s="96" t="s">
        <v>896</v>
      </c>
      <c r="C211" s="139" t="s">
        <v>776</v>
      </c>
      <c r="D211" s="133">
        <v>753</v>
      </c>
      <c r="E211" s="133">
        <v>794</v>
      </c>
      <c r="F211" s="133">
        <v>381</v>
      </c>
      <c r="G211" s="133">
        <v>417</v>
      </c>
      <c r="H211" s="140"/>
      <c r="I211" s="140"/>
      <c r="J211" s="96" t="s">
        <v>776</v>
      </c>
    </row>
    <row r="212" spans="1:10" x14ac:dyDescent="0.3">
      <c r="A212" s="96" t="s">
        <v>864</v>
      </c>
      <c r="B212" s="96" t="s">
        <v>896</v>
      </c>
      <c r="C212" s="139" t="s">
        <v>561</v>
      </c>
      <c r="D212" s="133">
        <v>90</v>
      </c>
      <c r="E212" s="133">
        <v>92</v>
      </c>
      <c r="F212" s="133">
        <v>75</v>
      </c>
      <c r="G212" s="133">
        <v>117</v>
      </c>
      <c r="H212" s="140"/>
      <c r="I212" s="140"/>
      <c r="J212" s="96" t="s">
        <v>561</v>
      </c>
    </row>
    <row r="213" spans="1:10" x14ac:dyDescent="0.3">
      <c r="A213" s="96" t="s">
        <v>864</v>
      </c>
      <c r="B213" s="96" t="s">
        <v>896</v>
      </c>
      <c r="C213" s="139" t="s">
        <v>343</v>
      </c>
      <c r="D213" s="133">
        <v>2529</v>
      </c>
      <c r="E213" s="133">
        <v>2763</v>
      </c>
      <c r="F213" s="133">
        <v>834</v>
      </c>
      <c r="G213" s="133">
        <v>999</v>
      </c>
      <c r="H213" s="140"/>
      <c r="I213" s="140"/>
      <c r="J213" s="96" t="s">
        <v>343</v>
      </c>
    </row>
    <row r="214" spans="1:10" x14ac:dyDescent="0.3">
      <c r="A214" s="96" t="s">
        <v>864</v>
      </c>
      <c r="B214" s="96" t="s">
        <v>896</v>
      </c>
      <c r="C214" s="133" t="s">
        <v>312</v>
      </c>
      <c r="D214" s="146">
        <v>0</v>
      </c>
      <c r="E214" s="146">
        <v>0</v>
      </c>
      <c r="F214" s="146">
        <v>0</v>
      </c>
      <c r="G214" s="146">
        <v>0</v>
      </c>
      <c r="H214" s="140"/>
      <c r="I214" s="140"/>
      <c r="J214" s="96" t="s">
        <v>312</v>
      </c>
    </row>
    <row r="215" spans="1:10" x14ac:dyDescent="0.3">
      <c r="A215" s="96" t="s">
        <v>864</v>
      </c>
      <c r="B215" s="96" t="s">
        <v>896</v>
      </c>
      <c r="C215" s="139" t="s">
        <v>213</v>
      </c>
      <c r="D215" s="133">
        <v>800</v>
      </c>
      <c r="E215" s="133">
        <v>923</v>
      </c>
      <c r="F215" s="133">
        <v>1</v>
      </c>
      <c r="G215" s="133">
        <v>1</v>
      </c>
      <c r="H215" s="140"/>
      <c r="I215" s="140"/>
      <c r="J215" s="96" t="s">
        <v>213</v>
      </c>
    </row>
    <row r="216" spans="1:10" x14ac:dyDescent="0.3">
      <c r="A216" s="96" t="s">
        <v>864</v>
      </c>
      <c r="B216" s="96" t="s">
        <v>896</v>
      </c>
      <c r="C216" s="139" t="s">
        <v>345</v>
      </c>
      <c r="D216" s="133">
        <v>4568</v>
      </c>
      <c r="E216" s="133">
        <v>5202</v>
      </c>
      <c r="F216" s="133">
        <v>472</v>
      </c>
      <c r="G216" s="133">
        <v>488</v>
      </c>
      <c r="H216" s="140"/>
      <c r="I216" s="140"/>
      <c r="J216" s="96" t="s">
        <v>345</v>
      </c>
    </row>
    <row r="217" spans="1:10" x14ac:dyDescent="0.3">
      <c r="A217" s="96" t="s">
        <v>864</v>
      </c>
      <c r="B217" s="96" t="s">
        <v>896</v>
      </c>
      <c r="C217" s="139" t="s">
        <v>762</v>
      </c>
      <c r="D217" s="133">
        <v>1057</v>
      </c>
      <c r="E217" s="133">
        <v>1498</v>
      </c>
      <c r="F217" s="133">
        <v>295</v>
      </c>
      <c r="G217" s="133">
        <v>444</v>
      </c>
      <c r="H217" s="140"/>
      <c r="I217" s="140"/>
      <c r="J217" s="96" t="s">
        <v>762</v>
      </c>
    </row>
    <row r="218" spans="1:10" x14ac:dyDescent="0.3">
      <c r="A218" s="96" t="s">
        <v>864</v>
      </c>
      <c r="B218" s="96" t="s">
        <v>896</v>
      </c>
      <c r="C218" s="133" t="s">
        <v>309</v>
      </c>
      <c r="D218" s="146">
        <v>0</v>
      </c>
      <c r="E218" s="146">
        <v>0</v>
      </c>
      <c r="F218" s="146">
        <v>0</v>
      </c>
      <c r="G218" s="146">
        <v>0</v>
      </c>
      <c r="H218" s="140"/>
      <c r="I218" s="140"/>
      <c r="J218" s="96" t="s">
        <v>309</v>
      </c>
    </row>
    <row r="219" spans="1:10" x14ac:dyDescent="0.3">
      <c r="A219" s="97" t="s">
        <v>864</v>
      </c>
      <c r="B219" s="96" t="s">
        <v>896</v>
      </c>
      <c r="C219" s="139" t="s">
        <v>314</v>
      </c>
      <c r="D219" s="133">
        <v>255</v>
      </c>
      <c r="E219" s="133">
        <v>308</v>
      </c>
      <c r="F219" s="133">
        <v>766</v>
      </c>
      <c r="G219" s="133">
        <v>896</v>
      </c>
      <c r="H219" s="140"/>
      <c r="I219" s="140"/>
      <c r="J219" s="96" t="s">
        <v>314</v>
      </c>
    </row>
    <row r="220" spans="1:10" x14ac:dyDescent="0.3">
      <c r="A220" s="96" t="s">
        <v>864</v>
      </c>
      <c r="B220" s="96" t="s">
        <v>896</v>
      </c>
      <c r="C220" s="139" t="s">
        <v>316</v>
      </c>
      <c r="D220" s="133">
        <v>445</v>
      </c>
      <c r="E220" s="133">
        <v>476</v>
      </c>
      <c r="F220" s="133">
        <v>557</v>
      </c>
      <c r="G220" s="133">
        <v>615</v>
      </c>
      <c r="H220" s="140"/>
      <c r="I220" s="140"/>
      <c r="J220" s="96" t="s">
        <v>316</v>
      </c>
    </row>
    <row r="221" spans="1:10" x14ac:dyDescent="0.3">
      <c r="A221" s="96" t="s">
        <v>864</v>
      </c>
      <c r="B221" s="96" t="s">
        <v>896</v>
      </c>
      <c r="C221" s="139" t="s">
        <v>790</v>
      </c>
      <c r="D221" s="133">
        <v>218</v>
      </c>
      <c r="E221" s="133">
        <v>251</v>
      </c>
      <c r="F221" s="133">
        <v>271</v>
      </c>
      <c r="G221" s="133">
        <v>338</v>
      </c>
      <c r="H221" s="140"/>
      <c r="I221" s="140"/>
      <c r="J221" s="96" t="s">
        <v>790</v>
      </c>
    </row>
    <row r="222" spans="1:10" x14ac:dyDescent="0.3">
      <c r="A222" s="96" t="s">
        <v>864</v>
      </c>
      <c r="B222" s="96" t="s">
        <v>896</v>
      </c>
      <c r="C222" s="139" t="s">
        <v>986</v>
      </c>
      <c r="D222" s="133">
        <v>4</v>
      </c>
      <c r="E222" s="133">
        <v>6</v>
      </c>
      <c r="F222" s="133">
        <v>0</v>
      </c>
      <c r="G222" s="133">
        <v>1</v>
      </c>
      <c r="H222" s="140"/>
      <c r="I222" s="140"/>
      <c r="J222" s="98" t="s">
        <v>986</v>
      </c>
    </row>
    <row r="223" spans="1:10" x14ac:dyDescent="0.3">
      <c r="A223" s="96" t="s">
        <v>864</v>
      </c>
      <c r="B223" s="96" t="s">
        <v>896</v>
      </c>
      <c r="C223" s="139" t="s">
        <v>283</v>
      </c>
      <c r="D223" s="133">
        <v>2110</v>
      </c>
      <c r="E223" s="133">
        <v>2513</v>
      </c>
      <c r="F223" s="133">
        <v>1076</v>
      </c>
      <c r="G223" s="133">
        <v>1662</v>
      </c>
      <c r="H223" s="140"/>
      <c r="I223" s="140"/>
      <c r="J223" s="96" t="s">
        <v>283</v>
      </c>
    </row>
    <row r="224" spans="1:10" x14ac:dyDescent="0.3">
      <c r="A224" s="96" t="s">
        <v>864</v>
      </c>
      <c r="B224" s="96" t="s">
        <v>896</v>
      </c>
      <c r="C224" s="139" t="s">
        <v>420</v>
      </c>
      <c r="D224" s="133">
        <v>248</v>
      </c>
      <c r="E224" s="133">
        <v>348</v>
      </c>
      <c r="F224" s="133">
        <v>503</v>
      </c>
      <c r="G224" s="133">
        <v>689</v>
      </c>
      <c r="H224" s="140"/>
      <c r="I224" s="140"/>
      <c r="J224" s="96" t="s">
        <v>420</v>
      </c>
    </row>
    <row r="225" spans="1:10" x14ac:dyDescent="0.3">
      <c r="A225" s="96" t="s">
        <v>864</v>
      </c>
      <c r="B225" s="96" t="s">
        <v>896</v>
      </c>
      <c r="C225" s="139" t="s">
        <v>136</v>
      </c>
      <c r="D225" s="133">
        <v>1300</v>
      </c>
      <c r="E225" s="133">
        <v>1515</v>
      </c>
      <c r="F225" s="133">
        <v>921</v>
      </c>
      <c r="G225" s="133">
        <v>1003</v>
      </c>
      <c r="H225" s="140"/>
      <c r="I225" s="140"/>
      <c r="J225" s="96" t="s">
        <v>136</v>
      </c>
    </row>
    <row r="226" spans="1:10" x14ac:dyDescent="0.3">
      <c r="A226" s="96" t="s">
        <v>864</v>
      </c>
      <c r="B226" s="96" t="s">
        <v>896</v>
      </c>
      <c r="C226" s="139" t="s">
        <v>757</v>
      </c>
      <c r="D226" s="133">
        <v>3465</v>
      </c>
      <c r="E226" s="133">
        <v>3873</v>
      </c>
      <c r="F226" s="133">
        <v>48</v>
      </c>
      <c r="G226" s="133">
        <v>54</v>
      </c>
      <c r="H226" s="140"/>
      <c r="I226" s="140"/>
      <c r="J226" s="96" t="s">
        <v>757</v>
      </c>
    </row>
    <row r="227" spans="1:10" x14ac:dyDescent="0.3">
      <c r="A227" s="96" t="s">
        <v>864</v>
      </c>
      <c r="B227" s="96" t="s">
        <v>896</v>
      </c>
      <c r="C227" s="139" t="s">
        <v>899</v>
      </c>
      <c r="D227" s="133">
        <v>47</v>
      </c>
      <c r="E227" s="133">
        <v>136</v>
      </c>
      <c r="F227" s="133">
        <v>71</v>
      </c>
      <c r="G227" s="133">
        <v>190</v>
      </c>
      <c r="H227" s="140"/>
      <c r="I227" s="140"/>
      <c r="J227" s="96" t="s">
        <v>899</v>
      </c>
    </row>
    <row r="228" spans="1:10" x14ac:dyDescent="0.3">
      <c r="A228" s="96" t="s">
        <v>864</v>
      </c>
      <c r="B228" s="96" t="s">
        <v>896</v>
      </c>
      <c r="C228" s="139" t="s">
        <v>793</v>
      </c>
      <c r="D228" s="133">
        <v>1189</v>
      </c>
      <c r="E228" s="133">
        <v>1579</v>
      </c>
      <c r="F228" s="133">
        <v>316</v>
      </c>
      <c r="G228" s="133">
        <v>529</v>
      </c>
      <c r="H228" s="140"/>
      <c r="I228" s="140"/>
      <c r="J228" s="96" t="s">
        <v>793</v>
      </c>
    </row>
    <row r="229" spans="1:10" x14ac:dyDescent="0.3">
      <c r="A229" s="96" t="s">
        <v>864</v>
      </c>
      <c r="B229" s="96" t="s">
        <v>896</v>
      </c>
      <c r="C229" s="139" t="s">
        <v>900</v>
      </c>
      <c r="D229" s="133">
        <v>281</v>
      </c>
      <c r="E229" s="133">
        <v>1331</v>
      </c>
      <c r="F229" s="133">
        <v>549</v>
      </c>
      <c r="G229" s="133">
        <v>1914</v>
      </c>
      <c r="H229" s="140"/>
      <c r="I229" s="140"/>
      <c r="J229" s="96" t="s">
        <v>900</v>
      </c>
    </row>
    <row r="230" spans="1:10" x14ac:dyDescent="0.3">
      <c r="A230" s="96" t="s">
        <v>864</v>
      </c>
      <c r="B230" s="96" t="s">
        <v>896</v>
      </c>
      <c r="C230" s="139" t="s">
        <v>772</v>
      </c>
      <c r="D230" s="133">
        <v>233</v>
      </c>
      <c r="E230" s="133">
        <v>309</v>
      </c>
      <c r="F230" s="133">
        <v>485</v>
      </c>
      <c r="G230" s="133">
        <v>702</v>
      </c>
      <c r="H230" s="140"/>
      <c r="I230" s="140"/>
      <c r="J230" s="96" t="s">
        <v>772</v>
      </c>
    </row>
    <row r="231" spans="1:10" x14ac:dyDescent="0.3">
      <c r="A231" s="96" t="s">
        <v>864</v>
      </c>
      <c r="B231" s="96" t="s">
        <v>896</v>
      </c>
      <c r="C231" s="139" t="s">
        <v>901</v>
      </c>
      <c r="D231" s="133">
        <v>95</v>
      </c>
      <c r="E231" s="133">
        <v>139</v>
      </c>
      <c r="F231" s="133">
        <v>237</v>
      </c>
      <c r="G231" s="133">
        <v>455</v>
      </c>
      <c r="H231" s="140"/>
      <c r="I231" s="140"/>
      <c r="J231" s="96" t="s">
        <v>901</v>
      </c>
    </row>
    <row r="232" spans="1:10" x14ac:dyDescent="0.3">
      <c r="A232" s="96" t="s">
        <v>864</v>
      </c>
      <c r="B232" s="96" t="s">
        <v>896</v>
      </c>
      <c r="C232" s="139" t="s">
        <v>902</v>
      </c>
      <c r="D232" s="133">
        <v>687</v>
      </c>
      <c r="E232" s="133">
        <v>1098</v>
      </c>
      <c r="F232" s="133">
        <v>66</v>
      </c>
      <c r="G232" s="133">
        <v>126</v>
      </c>
      <c r="H232" s="140"/>
      <c r="I232" s="140"/>
      <c r="J232" s="96" t="s">
        <v>902</v>
      </c>
    </row>
    <row r="233" spans="1:10" x14ac:dyDescent="0.3">
      <c r="A233" s="96" t="s">
        <v>864</v>
      </c>
      <c r="B233" s="96" t="s">
        <v>903</v>
      </c>
      <c r="C233" s="139" t="s">
        <v>412</v>
      </c>
      <c r="D233" s="133">
        <v>37106</v>
      </c>
      <c r="E233" s="133">
        <v>50376</v>
      </c>
      <c r="F233" s="133">
        <v>0</v>
      </c>
      <c r="G233" s="133">
        <v>0</v>
      </c>
      <c r="H233" s="140"/>
      <c r="I233" s="140"/>
      <c r="J233" s="96" t="s">
        <v>412</v>
      </c>
    </row>
    <row r="234" spans="1:10" x14ac:dyDescent="0.3">
      <c r="A234" s="96" t="s">
        <v>864</v>
      </c>
      <c r="B234" s="96" t="s">
        <v>903</v>
      </c>
      <c r="C234" s="139" t="s">
        <v>904</v>
      </c>
      <c r="D234" s="133">
        <v>38714</v>
      </c>
      <c r="E234" s="133">
        <v>58313</v>
      </c>
      <c r="F234" s="133">
        <v>0</v>
      </c>
      <c r="G234" s="133">
        <v>0</v>
      </c>
      <c r="H234" s="140"/>
      <c r="I234" s="140"/>
      <c r="J234" s="96" t="s">
        <v>904</v>
      </c>
    </row>
    <row r="235" spans="1:10" x14ac:dyDescent="0.3">
      <c r="A235" s="96" t="s">
        <v>864</v>
      </c>
      <c r="B235" s="96" t="s">
        <v>905</v>
      </c>
      <c r="C235" s="139" t="s">
        <v>621</v>
      </c>
      <c r="D235" s="133">
        <v>44575</v>
      </c>
      <c r="E235" s="133">
        <v>53465</v>
      </c>
      <c r="F235" s="133">
        <v>16173</v>
      </c>
      <c r="G235" s="133">
        <v>18507</v>
      </c>
      <c r="H235" s="140"/>
      <c r="I235" s="140"/>
      <c r="J235" s="96" t="s">
        <v>621</v>
      </c>
    </row>
    <row r="236" spans="1:10" x14ac:dyDescent="0.3">
      <c r="A236" s="96" t="s">
        <v>864</v>
      </c>
      <c r="B236" s="96" t="s">
        <v>905</v>
      </c>
      <c r="C236" s="139" t="s">
        <v>430</v>
      </c>
      <c r="D236" s="133">
        <v>191062</v>
      </c>
      <c r="E236" s="133">
        <v>211740</v>
      </c>
      <c r="F236" s="133">
        <v>14613</v>
      </c>
      <c r="G236" s="133">
        <v>15490</v>
      </c>
      <c r="H236" s="140"/>
      <c r="I236" s="140"/>
      <c r="J236" s="96" t="s">
        <v>430</v>
      </c>
    </row>
    <row r="237" spans="1:10" x14ac:dyDescent="0.3">
      <c r="A237" s="96" t="s">
        <v>864</v>
      </c>
      <c r="B237" s="96" t="s">
        <v>905</v>
      </c>
      <c r="C237" s="139" t="s">
        <v>416</v>
      </c>
      <c r="D237" s="133">
        <v>49848</v>
      </c>
      <c r="E237" s="133">
        <v>61960</v>
      </c>
      <c r="F237" s="133">
        <v>77523</v>
      </c>
      <c r="G237" s="133">
        <v>95887</v>
      </c>
      <c r="H237" s="140"/>
      <c r="I237" s="140"/>
      <c r="J237" s="96" t="s">
        <v>416</v>
      </c>
    </row>
    <row r="238" spans="1:10" x14ac:dyDescent="0.3">
      <c r="A238" s="96" t="s">
        <v>864</v>
      </c>
      <c r="B238" s="96" t="s">
        <v>906</v>
      </c>
      <c r="C238" s="139" t="s">
        <v>594</v>
      </c>
      <c r="D238" s="133">
        <v>16774</v>
      </c>
      <c r="E238" s="133">
        <v>22676</v>
      </c>
      <c r="F238" s="133">
        <v>9576</v>
      </c>
      <c r="G238" s="133">
        <v>12148</v>
      </c>
      <c r="H238" s="140"/>
      <c r="I238" s="140"/>
      <c r="J238" s="96" t="s">
        <v>594</v>
      </c>
    </row>
    <row r="239" spans="1:10" x14ac:dyDescent="0.3">
      <c r="A239" s="96" t="s">
        <v>864</v>
      </c>
      <c r="B239" s="96" t="s">
        <v>906</v>
      </c>
      <c r="C239" s="139" t="s">
        <v>568</v>
      </c>
      <c r="D239" s="133">
        <v>15814</v>
      </c>
      <c r="E239" s="133">
        <v>18407</v>
      </c>
      <c r="F239" s="133">
        <v>1859</v>
      </c>
      <c r="G239" s="133">
        <v>2150</v>
      </c>
      <c r="H239" s="140"/>
      <c r="I239" s="140"/>
      <c r="J239" s="96" t="s">
        <v>568</v>
      </c>
    </row>
    <row r="240" spans="1:10" x14ac:dyDescent="0.3">
      <c r="A240" s="96" t="s">
        <v>864</v>
      </c>
      <c r="B240" s="96" t="s">
        <v>906</v>
      </c>
      <c r="C240" s="139" t="s">
        <v>566</v>
      </c>
      <c r="D240" s="133">
        <v>4459</v>
      </c>
      <c r="E240" s="133">
        <v>5124</v>
      </c>
      <c r="F240" s="133">
        <v>268</v>
      </c>
      <c r="G240" s="133">
        <v>278</v>
      </c>
      <c r="H240" s="140"/>
      <c r="I240" s="140"/>
      <c r="J240" s="96" t="s">
        <v>566</v>
      </c>
    </row>
    <row r="241" spans="1:16" x14ac:dyDescent="0.3">
      <c r="A241" s="96" t="s">
        <v>864</v>
      </c>
      <c r="B241" s="96" t="s">
        <v>906</v>
      </c>
      <c r="C241" s="139" t="s">
        <v>619</v>
      </c>
      <c r="D241" s="133">
        <v>6989</v>
      </c>
      <c r="E241" s="133">
        <v>8009</v>
      </c>
      <c r="F241" s="133">
        <v>15368</v>
      </c>
      <c r="G241" s="133">
        <v>17085</v>
      </c>
      <c r="H241" s="140"/>
      <c r="I241" s="140"/>
      <c r="J241" s="96" t="s">
        <v>619</v>
      </c>
    </row>
    <row r="242" spans="1:16" x14ac:dyDescent="0.3">
      <c r="A242" s="96" t="s">
        <v>864</v>
      </c>
      <c r="B242" s="96" t="s">
        <v>906</v>
      </c>
      <c r="C242" s="139" t="s">
        <v>120</v>
      </c>
      <c r="D242" s="133">
        <v>88937</v>
      </c>
      <c r="E242" s="133">
        <v>89095</v>
      </c>
      <c r="F242" s="133">
        <v>5149</v>
      </c>
      <c r="G242" s="133">
        <v>5149</v>
      </c>
      <c r="H242" s="140"/>
      <c r="I242" s="140"/>
      <c r="J242" s="96" t="s">
        <v>120</v>
      </c>
    </row>
    <row r="243" spans="1:16" x14ac:dyDescent="0.3">
      <c r="A243" s="96" t="s">
        <v>864</v>
      </c>
      <c r="B243" s="96" t="s">
        <v>906</v>
      </c>
      <c r="C243" s="139" t="s">
        <v>545</v>
      </c>
      <c r="D243" s="133">
        <v>41732</v>
      </c>
      <c r="E243" s="133">
        <v>49959</v>
      </c>
      <c r="F243" s="133">
        <v>3496</v>
      </c>
      <c r="G243" s="133">
        <v>3929</v>
      </c>
      <c r="H243" s="140"/>
      <c r="I243" s="140"/>
      <c r="J243" s="96" t="s">
        <v>545</v>
      </c>
    </row>
    <row r="244" spans="1:16" x14ac:dyDescent="0.3">
      <c r="A244" s="96" t="s">
        <v>864</v>
      </c>
      <c r="B244" s="96" t="s">
        <v>906</v>
      </c>
      <c r="C244" s="139" t="s">
        <v>242</v>
      </c>
      <c r="D244" s="133">
        <v>1948</v>
      </c>
      <c r="E244" s="133">
        <v>2526</v>
      </c>
      <c r="F244" s="133">
        <v>47</v>
      </c>
      <c r="G244" s="133">
        <v>63</v>
      </c>
      <c r="H244" s="140"/>
      <c r="I244" s="140"/>
      <c r="J244" s="96" t="s">
        <v>242</v>
      </c>
    </row>
    <row r="245" spans="1:16" x14ac:dyDescent="0.3">
      <c r="A245" s="96" t="s">
        <v>864</v>
      </c>
      <c r="B245" s="96" t="s">
        <v>906</v>
      </c>
      <c r="C245" s="139" t="s">
        <v>500</v>
      </c>
      <c r="D245" s="133">
        <v>23676</v>
      </c>
      <c r="E245" s="133">
        <v>27474</v>
      </c>
      <c r="F245" s="133">
        <v>7390</v>
      </c>
      <c r="G245" s="133">
        <v>8644</v>
      </c>
      <c r="H245" s="140"/>
      <c r="I245" s="140"/>
      <c r="J245" s="96" t="s">
        <v>500</v>
      </c>
    </row>
    <row r="246" spans="1:16" x14ac:dyDescent="0.3">
      <c r="A246" s="96" t="s">
        <v>864</v>
      </c>
      <c r="B246" s="96" t="s">
        <v>906</v>
      </c>
      <c r="C246" s="139" t="s">
        <v>394</v>
      </c>
      <c r="D246" s="133">
        <v>14716</v>
      </c>
      <c r="E246" s="133">
        <v>20375</v>
      </c>
      <c r="F246" s="133">
        <v>2033</v>
      </c>
      <c r="G246" s="133">
        <v>2583</v>
      </c>
      <c r="H246" s="140"/>
      <c r="I246" s="140"/>
      <c r="J246" s="96" t="s">
        <v>394</v>
      </c>
    </row>
    <row r="247" spans="1:16" x14ac:dyDescent="0.3">
      <c r="A247" s="96" t="s">
        <v>864</v>
      </c>
      <c r="B247" s="96" t="s">
        <v>906</v>
      </c>
      <c r="C247" s="139" t="s">
        <v>748</v>
      </c>
      <c r="D247" s="133">
        <v>20927</v>
      </c>
      <c r="E247" s="133">
        <v>22011</v>
      </c>
      <c r="F247" s="133">
        <v>809</v>
      </c>
      <c r="G247" s="133">
        <v>844</v>
      </c>
      <c r="H247" s="140"/>
      <c r="I247" s="140"/>
      <c r="J247" s="96" t="s">
        <v>748</v>
      </c>
    </row>
    <row r="248" spans="1:16" x14ac:dyDescent="0.3">
      <c r="A248" s="96" t="s">
        <v>864</v>
      </c>
      <c r="B248" s="96" t="s">
        <v>906</v>
      </c>
      <c r="C248" s="139" t="s">
        <v>234</v>
      </c>
      <c r="D248" s="133">
        <v>12197</v>
      </c>
      <c r="E248" s="133">
        <v>13309</v>
      </c>
      <c r="F248" s="133">
        <v>5526</v>
      </c>
      <c r="G248" s="133">
        <v>6116</v>
      </c>
      <c r="H248" s="140"/>
      <c r="I248" s="140"/>
      <c r="J248" s="96" t="s">
        <v>234</v>
      </c>
    </row>
    <row r="249" spans="1:16" x14ac:dyDescent="0.3">
      <c r="A249" s="96" t="s">
        <v>864</v>
      </c>
      <c r="B249" s="96" t="s">
        <v>906</v>
      </c>
      <c r="C249" s="139" t="s">
        <v>55</v>
      </c>
      <c r="D249" s="133">
        <v>16505</v>
      </c>
      <c r="E249" s="133">
        <v>19601</v>
      </c>
      <c r="F249" s="133">
        <v>2396</v>
      </c>
      <c r="G249" s="133">
        <v>3912</v>
      </c>
      <c r="H249" s="140"/>
      <c r="I249" s="140"/>
      <c r="J249" s="96" t="s">
        <v>55</v>
      </c>
    </row>
    <row r="250" spans="1:16" x14ac:dyDescent="0.3">
      <c r="A250" s="96" t="s">
        <v>864</v>
      </c>
      <c r="B250" s="96" t="s">
        <v>906</v>
      </c>
      <c r="C250" s="139" t="s">
        <v>277</v>
      </c>
      <c r="D250" s="133">
        <v>9619</v>
      </c>
      <c r="E250" s="133">
        <v>10547</v>
      </c>
      <c r="F250" s="133">
        <v>790</v>
      </c>
      <c r="G250" s="133">
        <v>808</v>
      </c>
      <c r="H250" s="140"/>
      <c r="I250" s="140"/>
      <c r="J250" s="96" t="s">
        <v>277</v>
      </c>
    </row>
    <row r="251" spans="1:16" x14ac:dyDescent="0.3">
      <c r="A251" s="96" t="s">
        <v>864</v>
      </c>
      <c r="B251" s="96" t="s">
        <v>906</v>
      </c>
      <c r="C251" s="139" t="s">
        <v>388</v>
      </c>
      <c r="D251" s="133">
        <v>29759</v>
      </c>
      <c r="E251" s="133">
        <v>29863</v>
      </c>
      <c r="F251" s="133">
        <v>220</v>
      </c>
      <c r="G251" s="133">
        <v>223</v>
      </c>
      <c r="H251" s="140"/>
      <c r="I251" s="140"/>
      <c r="J251" s="96" t="s">
        <v>388</v>
      </c>
    </row>
    <row r="252" spans="1:16" x14ac:dyDescent="0.3">
      <c r="A252" s="96" t="s">
        <v>864</v>
      </c>
      <c r="B252" s="96" t="s">
        <v>906</v>
      </c>
      <c r="C252" s="139" t="s">
        <v>580</v>
      </c>
      <c r="D252" s="133">
        <v>6728</v>
      </c>
      <c r="E252" s="133">
        <v>7745</v>
      </c>
      <c r="F252" s="133">
        <v>821</v>
      </c>
      <c r="G252" s="133">
        <v>857</v>
      </c>
      <c r="H252" s="140"/>
      <c r="I252" s="140"/>
      <c r="J252" s="96" t="s">
        <v>580</v>
      </c>
    </row>
    <row r="253" spans="1:16" x14ac:dyDescent="0.3">
      <c r="A253" s="96" t="s">
        <v>864</v>
      </c>
      <c r="B253" s="96" t="s">
        <v>906</v>
      </c>
      <c r="C253" s="139" t="s">
        <v>485</v>
      </c>
      <c r="D253" s="133">
        <v>1127</v>
      </c>
      <c r="E253" s="133">
        <v>1721</v>
      </c>
      <c r="F253" s="133">
        <v>13</v>
      </c>
      <c r="G253" s="133">
        <v>13</v>
      </c>
      <c r="H253" s="140"/>
      <c r="I253" s="140"/>
      <c r="J253" s="96" t="s">
        <v>485</v>
      </c>
      <c r="L253" s="150"/>
      <c r="M253" s="151"/>
      <c r="N253" s="151"/>
      <c r="O253" s="151"/>
      <c r="P253" s="151"/>
    </row>
    <row r="254" spans="1:16" x14ac:dyDescent="0.3">
      <c r="A254" s="96" t="s">
        <v>864</v>
      </c>
      <c r="B254" s="96" t="s">
        <v>906</v>
      </c>
      <c r="C254" s="139" t="s">
        <v>245</v>
      </c>
      <c r="D254" s="133">
        <v>23834</v>
      </c>
      <c r="E254" s="133">
        <v>27595</v>
      </c>
      <c r="F254" s="133">
        <v>5816</v>
      </c>
      <c r="G254" s="133">
        <v>6506</v>
      </c>
      <c r="H254" s="140"/>
      <c r="I254" s="140"/>
      <c r="J254" s="96" t="s">
        <v>245</v>
      </c>
    </row>
    <row r="255" spans="1:16" x14ac:dyDescent="0.3">
      <c r="A255" s="96" t="s">
        <v>864</v>
      </c>
      <c r="B255" s="96" t="s">
        <v>906</v>
      </c>
      <c r="C255" s="139" t="s">
        <v>188</v>
      </c>
      <c r="D255" s="133">
        <v>14826</v>
      </c>
      <c r="E255" s="133">
        <v>16637</v>
      </c>
      <c r="F255" s="133">
        <v>998</v>
      </c>
      <c r="G255" s="133">
        <v>1376</v>
      </c>
      <c r="H255" s="140"/>
      <c r="I255" s="140"/>
      <c r="J255" s="96" t="s">
        <v>188</v>
      </c>
    </row>
    <row r="256" spans="1:16" x14ac:dyDescent="0.3">
      <c r="A256" s="96" t="s">
        <v>864</v>
      </c>
      <c r="B256" s="96" t="s">
        <v>906</v>
      </c>
      <c r="C256" s="139" t="s">
        <v>143</v>
      </c>
      <c r="D256" s="133">
        <v>24424</v>
      </c>
      <c r="E256" s="133">
        <v>26596</v>
      </c>
      <c r="F256" s="133">
        <v>644</v>
      </c>
      <c r="G256" s="133">
        <v>700</v>
      </c>
      <c r="H256" s="140"/>
      <c r="I256" s="140"/>
      <c r="J256" s="96" t="s">
        <v>143</v>
      </c>
    </row>
    <row r="257" spans="1:10" x14ac:dyDescent="0.3">
      <c r="A257" s="96" t="s">
        <v>864</v>
      </c>
      <c r="B257" s="96" t="s">
        <v>906</v>
      </c>
      <c r="C257" s="139" t="s">
        <v>176</v>
      </c>
      <c r="D257" s="133">
        <v>2595</v>
      </c>
      <c r="E257" s="133">
        <v>3256</v>
      </c>
      <c r="F257" s="133">
        <v>794</v>
      </c>
      <c r="G257" s="133">
        <v>969</v>
      </c>
      <c r="H257" s="140"/>
      <c r="I257" s="140"/>
      <c r="J257" s="96" t="s">
        <v>176</v>
      </c>
    </row>
    <row r="258" spans="1:10" x14ac:dyDescent="0.3">
      <c r="A258" s="96" t="s">
        <v>864</v>
      </c>
      <c r="B258" s="96" t="s">
        <v>906</v>
      </c>
      <c r="C258" s="139" t="s">
        <v>107</v>
      </c>
      <c r="D258" s="133">
        <v>8636</v>
      </c>
      <c r="E258" s="133">
        <v>9869</v>
      </c>
      <c r="F258" s="133">
        <v>800</v>
      </c>
      <c r="G258" s="133">
        <v>1189</v>
      </c>
      <c r="H258" s="140"/>
      <c r="I258" s="140"/>
      <c r="J258" s="96" t="s">
        <v>107</v>
      </c>
    </row>
    <row r="259" spans="1:10" x14ac:dyDescent="0.3">
      <c r="A259" s="96" t="s">
        <v>864</v>
      </c>
      <c r="B259" s="96" t="s">
        <v>906</v>
      </c>
      <c r="C259" s="139" t="s">
        <v>551</v>
      </c>
      <c r="D259" s="133">
        <v>6916</v>
      </c>
      <c r="E259" s="133">
        <v>8390</v>
      </c>
      <c r="F259" s="133">
        <v>3743</v>
      </c>
      <c r="G259" s="133">
        <v>4559</v>
      </c>
      <c r="H259" s="140"/>
      <c r="I259" s="140"/>
      <c r="J259" s="96" t="s">
        <v>551</v>
      </c>
    </row>
    <row r="260" spans="1:10" x14ac:dyDescent="0.3">
      <c r="A260" s="96" t="s">
        <v>864</v>
      </c>
      <c r="B260" s="96" t="s">
        <v>906</v>
      </c>
      <c r="C260" s="139" t="s">
        <v>907</v>
      </c>
      <c r="D260" s="133">
        <v>2699</v>
      </c>
      <c r="E260" s="133">
        <v>4640</v>
      </c>
      <c r="F260" s="133">
        <v>97</v>
      </c>
      <c r="G260" s="133">
        <v>199</v>
      </c>
      <c r="H260" s="140"/>
      <c r="I260" s="140"/>
      <c r="J260" s="96" t="s">
        <v>907</v>
      </c>
    </row>
    <row r="261" spans="1:10" x14ac:dyDescent="0.3">
      <c r="A261" s="96" t="s">
        <v>864</v>
      </c>
      <c r="B261" s="96" t="s">
        <v>906</v>
      </c>
      <c r="C261" s="139" t="s">
        <v>908</v>
      </c>
      <c r="D261" s="133">
        <v>1740</v>
      </c>
      <c r="E261" s="133">
        <v>2148</v>
      </c>
      <c r="F261" s="133">
        <v>33</v>
      </c>
      <c r="G261" s="133">
        <v>56</v>
      </c>
      <c r="H261" s="140"/>
      <c r="I261" s="140"/>
      <c r="J261" s="96" t="s">
        <v>908</v>
      </c>
    </row>
    <row r="262" spans="1:10" x14ac:dyDescent="0.3">
      <c r="A262" s="96" t="s">
        <v>864</v>
      </c>
      <c r="B262" s="96" t="s">
        <v>906</v>
      </c>
      <c r="C262" s="139" t="s">
        <v>991</v>
      </c>
      <c r="D262" s="133">
        <v>5</v>
      </c>
      <c r="E262" s="133">
        <v>99</v>
      </c>
      <c r="F262" s="133">
        <v>0</v>
      </c>
      <c r="G262" s="133">
        <v>10</v>
      </c>
      <c r="H262" s="140"/>
      <c r="I262" s="140"/>
      <c r="J262" s="96" t="s">
        <v>991</v>
      </c>
    </row>
    <row r="263" spans="1:10" x14ac:dyDescent="0.3">
      <c r="A263" s="96" t="s">
        <v>864</v>
      </c>
      <c r="B263" s="96" t="s">
        <v>909</v>
      </c>
      <c r="C263" s="139" t="s">
        <v>786</v>
      </c>
      <c r="D263" s="133">
        <v>26054</v>
      </c>
      <c r="E263" s="133">
        <v>37154</v>
      </c>
      <c r="F263" s="133">
        <v>21767</v>
      </c>
      <c r="G263" s="133">
        <v>29509</v>
      </c>
      <c r="H263" s="140"/>
      <c r="I263" s="140"/>
      <c r="J263" s="96" t="s">
        <v>786</v>
      </c>
    </row>
    <row r="264" spans="1:10" x14ac:dyDescent="0.3">
      <c r="A264" s="96" t="s">
        <v>864</v>
      </c>
      <c r="B264" s="96" t="s">
        <v>909</v>
      </c>
      <c r="C264" s="139" t="s">
        <v>25</v>
      </c>
      <c r="D264" s="133">
        <v>85021</v>
      </c>
      <c r="E264" s="133">
        <v>95584</v>
      </c>
      <c r="F264" s="133">
        <v>8124</v>
      </c>
      <c r="G264" s="133">
        <v>9225</v>
      </c>
      <c r="H264" s="140"/>
      <c r="I264" s="140"/>
      <c r="J264" s="96" t="s">
        <v>25</v>
      </c>
    </row>
    <row r="265" spans="1:10" x14ac:dyDescent="0.3">
      <c r="A265" s="96" t="s">
        <v>864</v>
      </c>
      <c r="B265" s="96" t="s">
        <v>909</v>
      </c>
      <c r="C265" s="139" t="s">
        <v>307</v>
      </c>
      <c r="D265" s="133">
        <v>41492</v>
      </c>
      <c r="E265" s="133">
        <v>43537</v>
      </c>
      <c r="F265" s="133">
        <v>22039</v>
      </c>
      <c r="G265" s="133">
        <v>24716</v>
      </c>
      <c r="H265" s="140"/>
      <c r="I265" s="140"/>
      <c r="J265" s="96" t="s">
        <v>307</v>
      </c>
    </row>
    <row r="266" spans="1:10" x14ac:dyDescent="0.3">
      <c r="A266" s="96" t="s">
        <v>864</v>
      </c>
      <c r="B266" s="96" t="s">
        <v>909</v>
      </c>
      <c r="C266" s="139" t="s">
        <v>363</v>
      </c>
      <c r="D266" s="133">
        <v>13104</v>
      </c>
      <c r="E266" s="133">
        <v>16680</v>
      </c>
      <c r="F266" s="133">
        <v>11009</v>
      </c>
      <c r="G266" s="133">
        <v>14714</v>
      </c>
      <c r="H266" s="140"/>
      <c r="I266" s="140"/>
      <c r="J266" s="96" t="s">
        <v>363</v>
      </c>
    </row>
    <row r="267" spans="1:10" x14ac:dyDescent="0.3">
      <c r="A267" s="96" t="s">
        <v>864</v>
      </c>
      <c r="B267" s="96" t="s">
        <v>909</v>
      </c>
      <c r="C267" s="139" t="s">
        <v>604</v>
      </c>
      <c r="D267" s="133">
        <v>56026</v>
      </c>
      <c r="E267" s="133">
        <v>69274</v>
      </c>
      <c r="F267" s="133">
        <v>20027</v>
      </c>
      <c r="G267" s="133">
        <v>30998</v>
      </c>
      <c r="H267" s="140"/>
      <c r="I267" s="140"/>
      <c r="J267" s="96" t="s">
        <v>604</v>
      </c>
    </row>
    <row r="268" spans="1:10" x14ac:dyDescent="0.3">
      <c r="A268" s="96" t="s">
        <v>864</v>
      </c>
      <c r="B268" s="96" t="s">
        <v>909</v>
      </c>
      <c r="C268" s="139" t="s">
        <v>72</v>
      </c>
      <c r="D268" s="133">
        <v>56414</v>
      </c>
      <c r="E268" s="133">
        <v>67426</v>
      </c>
      <c r="F268" s="133">
        <v>2079</v>
      </c>
      <c r="G268" s="133">
        <v>2808</v>
      </c>
      <c r="H268" s="140"/>
      <c r="I268" s="140"/>
      <c r="J268" s="96" t="s">
        <v>72</v>
      </c>
    </row>
    <row r="269" spans="1:10" x14ac:dyDescent="0.3">
      <c r="A269" s="96" t="s">
        <v>864</v>
      </c>
      <c r="B269" s="96" t="s">
        <v>909</v>
      </c>
      <c r="C269" s="139" t="s">
        <v>215</v>
      </c>
      <c r="D269" s="133">
        <v>43464</v>
      </c>
      <c r="E269" s="133">
        <v>52918</v>
      </c>
      <c r="F269" s="133">
        <v>6439</v>
      </c>
      <c r="G269" s="133">
        <v>8893</v>
      </c>
      <c r="H269" s="140"/>
      <c r="I269" s="140"/>
      <c r="J269" s="96" t="s">
        <v>215</v>
      </c>
    </row>
    <row r="270" spans="1:10" x14ac:dyDescent="0.3">
      <c r="A270" s="96" t="s">
        <v>864</v>
      </c>
      <c r="B270" s="96" t="s">
        <v>909</v>
      </c>
      <c r="C270" s="139" t="s">
        <v>512</v>
      </c>
      <c r="D270" s="133">
        <v>11907</v>
      </c>
      <c r="E270" s="133">
        <v>13404</v>
      </c>
      <c r="F270" s="133">
        <v>9975</v>
      </c>
      <c r="G270" s="133">
        <v>11541</v>
      </c>
      <c r="H270" s="140"/>
      <c r="I270" s="140"/>
      <c r="J270" s="96" t="s">
        <v>512</v>
      </c>
    </row>
    <row r="271" spans="1:10" x14ac:dyDescent="0.3">
      <c r="A271" s="96" t="s">
        <v>864</v>
      </c>
      <c r="B271" s="96" t="s">
        <v>909</v>
      </c>
      <c r="C271" s="139" t="s">
        <v>287</v>
      </c>
      <c r="D271" s="133">
        <v>37378</v>
      </c>
      <c r="E271" s="133">
        <v>60147</v>
      </c>
      <c r="F271" s="133">
        <v>5801</v>
      </c>
      <c r="G271" s="133">
        <v>7189</v>
      </c>
      <c r="H271" s="140"/>
      <c r="I271" s="140"/>
      <c r="J271" s="96" t="s">
        <v>287</v>
      </c>
    </row>
    <row r="272" spans="1:10" x14ac:dyDescent="0.3">
      <c r="A272" s="96" t="s">
        <v>864</v>
      </c>
      <c r="B272" s="96" t="s">
        <v>909</v>
      </c>
      <c r="C272" s="139" t="s">
        <v>238</v>
      </c>
      <c r="D272" s="133">
        <v>5658</v>
      </c>
      <c r="E272" s="133">
        <v>6304</v>
      </c>
      <c r="F272" s="133">
        <v>135</v>
      </c>
      <c r="G272" s="133">
        <v>259</v>
      </c>
      <c r="H272" s="140"/>
      <c r="I272" s="140"/>
      <c r="J272" s="96" t="s">
        <v>238</v>
      </c>
    </row>
    <row r="273" spans="1:10" x14ac:dyDescent="0.3">
      <c r="A273" s="96" t="s">
        <v>864</v>
      </c>
      <c r="B273" s="96" t="s">
        <v>909</v>
      </c>
      <c r="C273" s="139" t="s">
        <v>206</v>
      </c>
      <c r="D273" s="133">
        <v>46663</v>
      </c>
      <c r="E273" s="133">
        <v>55960</v>
      </c>
      <c r="F273" s="133">
        <v>592</v>
      </c>
      <c r="G273" s="133">
        <v>633</v>
      </c>
      <c r="H273" s="140"/>
      <c r="I273" s="140"/>
      <c r="J273" s="96" t="s">
        <v>206</v>
      </c>
    </row>
    <row r="274" spans="1:10" x14ac:dyDescent="0.3">
      <c r="A274" s="96" t="s">
        <v>864</v>
      </c>
      <c r="B274" s="96" t="s">
        <v>909</v>
      </c>
      <c r="C274" s="139" t="s">
        <v>794</v>
      </c>
      <c r="D274" s="133">
        <v>35171</v>
      </c>
      <c r="E274" s="133">
        <v>43058</v>
      </c>
      <c r="F274" s="133">
        <v>1844</v>
      </c>
      <c r="G274" s="133">
        <v>2274</v>
      </c>
      <c r="H274" s="140"/>
      <c r="I274" s="140"/>
      <c r="J274" s="96" t="s">
        <v>794</v>
      </c>
    </row>
    <row r="275" spans="1:10" x14ac:dyDescent="0.3">
      <c r="A275" s="96" t="s">
        <v>864</v>
      </c>
      <c r="B275" s="96" t="s">
        <v>910</v>
      </c>
      <c r="C275" s="139" t="s">
        <v>180</v>
      </c>
      <c r="D275" s="133">
        <v>57669</v>
      </c>
      <c r="E275" s="133">
        <v>65952</v>
      </c>
      <c r="F275" s="133">
        <v>3341</v>
      </c>
      <c r="G275" s="133">
        <v>3843</v>
      </c>
      <c r="H275" s="140"/>
      <c r="I275" s="140"/>
      <c r="J275" s="96" t="s">
        <v>180</v>
      </c>
    </row>
    <row r="276" spans="1:10" x14ac:dyDescent="0.3">
      <c r="A276" s="96" t="s">
        <v>864</v>
      </c>
      <c r="B276" s="96" t="s">
        <v>910</v>
      </c>
      <c r="C276" s="139" t="s">
        <v>270</v>
      </c>
      <c r="D276" s="133">
        <v>32812</v>
      </c>
      <c r="E276" s="133">
        <v>37098</v>
      </c>
      <c r="F276" s="133">
        <v>3176</v>
      </c>
      <c r="G276" s="133">
        <v>3698</v>
      </c>
      <c r="H276" s="140"/>
      <c r="I276" s="140"/>
      <c r="J276" s="96" t="s">
        <v>270</v>
      </c>
    </row>
    <row r="277" spans="1:10" x14ac:dyDescent="0.3">
      <c r="A277" s="96" t="s">
        <v>864</v>
      </c>
      <c r="B277" s="96" t="s">
        <v>910</v>
      </c>
      <c r="C277" s="139" t="s">
        <v>167</v>
      </c>
      <c r="D277" s="133">
        <v>197082</v>
      </c>
      <c r="E277" s="133">
        <v>221891</v>
      </c>
      <c r="F277" s="133">
        <v>16750</v>
      </c>
      <c r="G277" s="133">
        <v>17745</v>
      </c>
      <c r="H277" s="140"/>
      <c r="I277" s="140"/>
      <c r="J277" s="96" t="s">
        <v>167</v>
      </c>
    </row>
    <row r="278" spans="1:10" x14ac:dyDescent="0.3">
      <c r="A278" s="96" t="s">
        <v>864</v>
      </c>
      <c r="B278" s="96" t="s">
        <v>910</v>
      </c>
      <c r="C278" s="139" t="s">
        <v>222</v>
      </c>
      <c r="D278" s="133">
        <v>83586</v>
      </c>
      <c r="E278" s="133">
        <v>94880</v>
      </c>
      <c r="F278" s="133">
        <v>2745</v>
      </c>
      <c r="G278" s="133">
        <v>3381</v>
      </c>
      <c r="H278" s="140"/>
      <c r="I278" s="140"/>
      <c r="J278" s="96" t="s">
        <v>222</v>
      </c>
    </row>
    <row r="279" spans="1:10" x14ac:dyDescent="0.3">
      <c r="A279" s="96" t="s">
        <v>864</v>
      </c>
      <c r="B279" s="96" t="s">
        <v>910</v>
      </c>
      <c r="C279" s="139" t="s">
        <v>97</v>
      </c>
      <c r="D279" s="133">
        <v>140366</v>
      </c>
      <c r="E279" s="133">
        <v>163060</v>
      </c>
      <c r="F279" s="133">
        <v>9366</v>
      </c>
      <c r="G279" s="133">
        <v>11586</v>
      </c>
      <c r="H279" s="140"/>
      <c r="I279" s="140"/>
      <c r="J279" s="96" t="s">
        <v>97</v>
      </c>
    </row>
    <row r="280" spans="1:10" x14ac:dyDescent="0.3">
      <c r="A280" s="96" t="s">
        <v>864</v>
      </c>
      <c r="B280" s="96" t="s">
        <v>910</v>
      </c>
      <c r="C280" s="139" t="s">
        <v>526</v>
      </c>
      <c r="D280" s="133">
        <v>33458</v>
      </c>
      <c r="E280" s="133">
        <v>41260</v>
      </c>
      <c r="F280" s="133">
        <v>6009</v>
      </c>
      <c r="G280" s="133">
        <v>9130</v>
      </c>
      <c r="H280" s="140"/>
      <c r="I280" s="140"/>
      <c r="J280" s="96" t="s">
        <v>526</v>
      </c>
    </row>
    <row r="281" spans="1:10" x14ac:dyDescent="0.3">
      <c r="A281" s="96" t="s">
        <v>864</v>
      </c>
      <c r="B281" s="96" t="s">
        <v>910</v>
      </c>
      <c r="C281" s="139" t="s">
        <v>84</v>
      </c>
      <c r="D281" s="133">
        <v>120811</v>
      </c>
      <c r="E281" s="133">
        <v>136568</v>
      </c>
      <c r="F281" s="133">
        <v>24544</v>
      </c>
      <c r="G281" s="133">
        <v>25739</v>
      </c>
      <c r="H281" s="140"/>
      <c r="I281" s="140"/>
      <c r="J281" s="96" t="s">
        <v>84</v>
      </c>
    </row>
    <row r="282" spans="1:10" x14ac:dyDescent="0.3">
      <c r="A282" s="96" t="s">
        <v>864</v>
      </c>
      <c r="B282" s="96" t="s">
        <v>911</v>
      </c>
      <c r="C282" s="139" t="s">
        <v>408</v>
      </c>
      <c r="D282" s="133">
        <v>12158</v>
      </c>
      <c r="E282" s="133">
        <v>15600</v>
      </c>
      <c r="F282" s="133">
        <v>0</v>
      </c>
      <c r="G282" s="133">
        <v>0</v>
      </c>
      <c r="H282" s="140"/>
      <c r="I282" s="140"/>
      <c r="J282" s="96" t="s">
        <v>408</v>
      </c>
    </row>
    <row r="283" spans="1:10" x14ac:dyDescent="0.3">
      <c r="A283" s="96" t="s">
        <v>864</v>
      </c>
      <c r="B283" s="96" t="s">
        <v>911</v>
      </c>
      <c r="C283" s="139" t="s">
        <v>428</v>
      </c>
      <c r="D283" s="133">
        <v>205159</v>
      </c>
      <c r="E283" s="133">
        <v>232606</v>
      </c>
      <c r="F283" s="133">
        <v>0</v>
      </c>
      <c r="G283" s="133">
        <v>0</v>
      </c>
      <c r="H283" s="140"/>
      <c r="I283" s="140"/>
      <c r="J283" s="96" t="s">
        <v>428</v>
      </c>
    </row>
    <row r="284" spans="1:10" x14ac:dyDescent="0.3">
      <c r="A284" s="96" t="s">
        <v>864</v>
      </c>
      <c r="B284" s="96" t="s">
        <v>911</v>
      </c>
      <c r="C284" s="139" t="s">
        <v>426</v>
      </c>
      <c r="D284" s="133">
        <v>257652</v>
      </c>
      <c r="E284" s="133">
        <v>317359</v>
      </c>
      <c r="F284" s="133">
        <v>0</v>
      </c>
      <c r="G284" s="133">
        <v>0</v>
      </c>
      <c r="H284" s="140"/>
      <c r="I284" s="140"/>
      <c r="J284" s="96" t="s">
        <v>426</v>
      </c>
    </row>
    <row r="285" spans="1:10" x14ac:dyDescent="0.3">
      <c r="A285" s="96" t="s">
        <v>864</v>
      </c>
      <c r="B285" s="96" t="s">
        <v>911</v>
      </c>
      <c r="C285" s="139" t="s">
        <v>912</v>
      </c>
      <c r="D285" s="133">
        <v>9327</v>
      </c>
      <c r="E285" s="133">
        <v>15295</v>
      </c>
      <c r="F285" s="133">
        <v>0</v>
      </c>
      <c r="G285" s="133">
        <v>0</v>
      </c>
      <c r="H285" s="140"/>
      <c r="I285" s="140"/>
      <c r="J285" s="96" t="s">
        <v>912</v>
      </c>
    </row>
    <row r="286" spans="1:10" x14ac:dyDescent="0.3">
      <c r="A286" s="96" t="s">
        <v>864</v>
      </c>
      <c r="B286" s="96" t="s">
        <v>913</v>
      </c>
      <c r="C286" s="139" t="s">
        <v>765</v>
      </c>
      <c r="D286" s="133">
        <v>53561</v>
      </c>
      <c r="E286" s="133">
        <v>62774</v>
      </c>
      <c r="F286" s="133">
        <v>1579</v>
      </c>
      <c r="G286" s="133">
        <v>1735</v>
      </c>
      <c r="H286" s="140"/>
      <c r="I286" s="140"/>
      <c r="J286" s="96" t="s">
        <v>765</v>
      </c>
    </row>
    <row r="287" spans="1:10" x14ac:dyDescent="0.3">
      <c r="A287" s="96" t="s">
        <v>864</v>
      </c>
      <c r="B287" s="96" t="s">
        <v>914</v>
      </c>
      <c r="C287" s="139" t="s">
        <v>521</v>
      </c>
      <c r="D287" s="133">
        <v>6561</v>
      </c>
      <c r="E287" s="133">
        <v>7563</v>
      </c>
      <c r="F287" s="133">
        <v>0</v>
      </c>
      <c r="G287" s="133">
        <v>0</v>
      </c>
      <c r="H287" s="140"/>
      <c r="I287" s="140"/>
      <c r="J287" s="96" t="s">
        <v>521</v>
      </c>
    </row>
    <row r="288" spans="1:10" x14ac:dyDescent="0.3">
      <c r="A288" s="96" t="s">
        <v>864</v>
      </c>
      <c r="B288" s="96" t="s">
        <v>914</v>
      </c>
      <c r="C288" s="139" t="s">
        <v>158</v>
      </c>
      <c r="D288" s="133">
        <v>2780</v>
      </c>
      <c r="E288" s="133">
        <v>3811</v>
      </c>
      <c r="F288" s="133">
        <v>0</v>
      </c>
      <c r="G288" s="133">
        <v>0</v>
      </c>
      <c r="H288" s="140"/>
      <c r="I288" s="140"/>
      <c r="J288" s="96" t="s">
        <v>158</v>
      </c>
    </row>
    <row r="289" spans="1:10" x14ac:dyDescent="0.3">
      <c r="A289" s="96" t="s">
        <v>864</v>
      </c>
      <c r="B289" s="96" t="s">
        <v>914</v>
      </c>
      <c r="C289" s="139" t="s">
        <v>502</v>
      </c>
      <c r="D289" s="133">
        <v>8062</v>
      </c>
      <c r="E289" s="133">
        <v>9447</v>
      </c>
      <c r="F289" s="133">
        <v>0</v>
      </c>
      <c r="G289" s="133">
        <v>0</v>
      </c>
      <c r="H289" s="140"/>
      <c r="I289" s="140"/>
      <c r="J289" s="96" t="s">
        <v>502</v>
      </c>
    </row>
    <row r="290" spans="1:10" x14ac:dyDescent="0.3">
      <c r="A290" s="96" t="s">
        <v>864</v>
      </c>
      <c r="B290" s="96" t="s">
        <v>914</v>
      </c>
      <c r="C290" s="139" t="s">
        <v>742</v>
      </c>
      <c r="D290" s="133">
        <v>8639</v>
      </c>
      <c r="E290" s="133">
        <v>11679</v>
      </c>
      <c r="F290" s="133">
        <v>0</v>
      </c>
      <c r="G290" s="133">
        <v>0</v>
      </c>
      <c r="H290" s="140"/>
      <c r="I290" s="140"/>
      <c r="J290" s="96" t="s">
        <v>742</v>
      </c>
    </row>
    <row r="291" spans="1:10" x14ac:dyDescent="0.3">
      <c r="A291" s="96" t="s">
        <v>864</v>
      </c>
      <c r="B291" s="96" t="s">
        <v>914</v>
      </c>
      <c r="C291" s="139" t="s">
        <v>542</v>
      </c>
      <c r="D291" s="133">
        <v>6616</v>
      </c>
      <c r="E291" s="133">
        <v>7390</v>
      </c>
      <c r="F291" s="133">
        <v>0</v>
      </c>
      <c r="G291" s="133">
        <v>0</v>
      </c>
      <c r="H291" s="140"/>
      <c r="I291" s="140"/>
      <c r="J291" s="96" t="s">
        <v>542</v>
      </c>
    </row>
    <row r="292" spans="1:10" x14ac:dyDescent="0.3">
      <c r="A292" s="96" t="s">
        <v>864</v>
      </c>
      <c r="B292" s="96" t="s">
        <v>914</v>
      </c>
      <c r="C292" s="139" t="s">
        <v>623</v>
      </c>
      <c r="D292" s="133">
        <v>13733</v>
      </c>
      <c r="E292" s="133">
        <v>15186</v>
      </c>
      <c r="F292" s="133">
        <v>0</v>
      </c>
      <c r="G292" s="133">
        <v>0</v>
      </c>
      <c r="H292" s="140"/>
      <c r="I292" s="140"/>
      <c r="J292" s="96" t="s">
        <v>623</v>
      </c>
    </row>
    <row r="293" spans="1:10" x14ac:dyDescent="0.3">
      <c r="A293" s="96" t="s">
        <v>864</v>
      </c>
      <c r="B293" s="96" t="s">
        <v>914</v>
      </c>
      <c r="C293" s="139" t="s">
        <v>492</v>
      </c>
      <c r="D293" s="133">
        <v>5950</v>
      </c>
      <c r="E293" s="133">
        <v>7137</v>
      </c>
      <c r="F293" s="133">
        <v>0</v>
      </c>
      <c r="G293" s="133">
        <v>0</v>
      </c>
      <c r="H293" s="140"/>
      <c r="I293" s="140"/>
      <c r="J293" s="96" t="s">
        <v>492</v>
      </c>
    </row>
    <row r="294" spans="1:10" x14ac:dyDescent="0.3">
      <c r="A294" s="96" t="s">
        <v>864</v>
      </c>
      <c r="B294" s="96" t="s">
        <v>914</v>
      </c>
      <c r="C294" s="139" t="s">
        <v>457</v>
      </c>
      <c r="D294" s="133">
        <v>435</v>
      </c>
      <c r="E294" s="133">
        <v>1201</v>
      </c>
      <c r="F294" s="133">
        <v>0</v>
      </c>
      <c r="G294" s="133">
        <v>0</v>
      </c>
      <c r="H294" s="140"/>
      <c r="I294" s="140"/>
      <c r="J294" s="96" t="s">
        <v>457</v>
      </c>
    </row>
    <row r="295" spans="1:10" x14ac:dyDescent="0.3">
      <c r="A295" s="96" t="s">
        <v>864</v>
      </c>
      <c r="B295" s="96" t="s">
        <v>914</v>
      </c>
      <c r="C295" s="139" t="s">
        <v>575</v>
      </c>
      <c r="D295" s="133">
        <v>62</v>
      </c>
      <c r="E295" s="133">
        <v>62</v>
      </c>
      <c r="F295" s="133">
        <v>0</v>
      </c>
      <c r="G295" s="133">
        <v>0</v>
      </c>
      <c r="H295" s="140"/>
      <c r="I295" s="140"/>
      <c r="J295" s="96" t="s">
        <v>575</v>
      </c>
    </row>
    <row r="296" spans="1:10" x14ac:dyDescent="0.3">
      <c r="A296" s="96" t="s">
        <v>864</v>
      </c>
      <c r="B296" s="96" t="s">
        <v>914</v>
      </c>
      <c r="C296" s="139" t="s">
        <v>495</v>
      </c>
      <c r="D296" s="133">
        <v>6785</v>
      </c>
      <c r="E296" s="133">
        <v>8036</v>
      </c>
      <c r="F296" s="133">
        <v>0</v>
      </c>
      <c r="G296" s="133">
        <v>0</v>
      </c>
      <c r="H296" s="140"/>
      <c r="I296" s="140"/>
      <c r="J296" s="96" t="s">
        <v>495</v>
      </c>
    </row>
    <row r="297" spans="1:10" x14ac:dyDescent="0.3">
      <c r="A297" s="97" t="s">
        <v>864</v>
      </c>
      <c r="B297" s="96" t="s">
        <v>914</v>
      </c>
      <c r="C297" s="139" t="s">
        <v>559</v>
      </c>
      <c r="D297" s="133">
        <v>7177</v>
      </c>
      <c r="E297" s="133">
        <v>8312</v>
      </c>
      <c r="F297" s="133">
        <v>0</v>
      </c>
      <c r="G297" s="133">
        <v>0</v>
      </c>
      <c r="H297" s="140"/>
      <c r="I297" s="140"/>
      <c r="J297" s="96" t="s">
        <v>559</v>
      </c>
    </row>
    <row r="298" spans="1:10" x14ac:dyDescent="0.3">
      <c r="A298" s="97" t="s">
        <v>864</v>
      </c>
      <c r="B298" s="96" t="s">
        <v>914</v>
      </c>
      <c r="C298" s="139" t="s">
        <v>537</v>
      </c>
      <c r="D298" s="133">
        <v>1131</v>
      </c>
      <c r="E298" s="133">
        <v>1365</v>
      </c>
      <c r="F298" s="133">
        <v>0</v>
      </c>
      <c r="G298" s="133">
        <v>0</v>
      </c>
      <c r="H298" s="140"/>
      <c r="I298" s="140"/>
      <c r="J298" s="96" t="s">
        <v>537</v>
      </c>
    </row>
    <row r="299" spans="1:10" x14ac:dyDescent="0.3">
      <c r="A299" s="97" t="s">
        <v>864</v>
      </c>
      <c r="B299" s="96" t="s">
        <v>914</v>
      </c>
      <c r="C299" s="139" t="s">
        <v>477</v>
      </c>
      <c r="D299" s="133">
        <v>8461</v>
      </c>
      <c r="E299" s="133">
        <v>9580</v>
      </c>
      <c r="F299" s="133">
        <v>0</v>
      </c>
      <c r="G299" s="133">
        <v>0</v>
      </c>
      <c r="H299" s="140"/>
      <c r="I299" s="140"/>
      <c r="J299" s="96" t="s">
        <v>477</v>
      </c>
    </row>
    <row r="300" spans="1:10" x14ac:dyDescent="0.3">
      <c r="A300" s="97" t="s">
        <v>864</v>
      </c>
      <c r="B300" s="96" t="s">
        <v>914</v>
      </c>
      <c r="C300" s="139" t="s">
        <v>744</v>
      </c>
      <c r="D300" s="133">
        <v>3159</v>
      </c>
      <c r="E300" s="133">
        <v>3894</v>
      </c>
      <c r="F300" s="133">
        <v>0</v>
      </c>
      <c r="G300" s="133">
        <v>0</v>
      </c>
      <c r="H300" s="140"/>
      <c r="I300" s="140"/>
      <c r="J300" s="96" t="s">
        <v>744</v>
      </c>
    </row>
    <row r="301" spans="1:10" x14ac:dyDescent="0.3">
      <c r="A301" s="97" t="s">
        <v>864</v>
      </c>
      <c r="B301" s="96"/>
      <c r="C301" s="133"/>
      <c r="D301" s="96"/>
      <c r="E301" s="96"/>
      <c r="F301" s="96"/>
      <c r="G301" s="96"/>
      <c r="H301" s="96"/>
      <c r="I301" s="96"/>
      <c r="J301" s="96"/>
    </row>
    <row r="302" spans="1:10" x14ac:dyDescent="0.3">
      <c r="A302" s="97" t="s">
        <v>864</v>
      </c>
      <c r="B302" s="96"/>
      <c r="C302" s="133"/>
      <c r="D302" s="96"/>
      <c r="E302" s="96"/>
      <c r="F302" s="96"/>
      <c r="G302" s="96"/>
      <c r="H302" s="96"/>
      <c r="I302" s="96"/>
      <c r="J302" s="96"/>
    </row>
    <row r="303" spans="1:10" x14ac:dyDescent="0.3">
      <c r="A303" s="97" t="s">
        <v>864</v>
      </c>
      <c r="B303" s="96"/>
      <c r="C303" s="133"/>
      <c r="D303" s="96"/>
      <c r="E303" s="96"/>
      <c r="F303" s="96"/>
      <c r="G303" s="96"/>
      <c r="H303" s="96"/>
      <c r="I303" s="96"/>
      <c r="J303" s="96"/>
    </row>
    <row r="304" spans="1:10" x14ac:dyDescent="0.3">
      <c r="A304" s="97" t="s">
        <v>864</v>
      </c>
      <c r="B304" s="96"/>
      <c r="C304" s="133"/>
      <c r="D304" s="96"/>
      <c r="E304" s="96"/>
      <c r="F304" s="96"/>
      <c r="G304" s="96"/>
      <c r="H304" s="96"/>
      <c r="I304" s="96"/>
      <c r="J304" s="96"/>
    </row>
    <row r="305" spans="1:10" x14ac:dyDescent="0.3">
      <c r="A305" s="97" t="s">
        <v>864</v>
      </c>
      <c r="B305" s="96"/>
      <c r="C305" s="133"/>
      <c r="D305" s="96"/>
      <c r="E305" s="96"/>
      <c r="F305" s="96"/>
      <c r="G305" s="96"/>
      <c r="H305" s="96"/>
      <c r="I305" s="96"/>
      <c r="J305" s="96"/>
    </row>
    <row r="306" spans="1:10" x14ac:dyDescent="0.3">
      <c r="A306" s="97" t="s">
        <v>864</v>
      </c>
      <c r="B306" s="96"/>
      <c r="C306" s="133"/>
      <c r="D306" s="96"/>
      <c r="E306" s="96"/>
      <c r="F306" s="96"/>
      <c r="G306" s="96"/>
      <c r="H306" s="96"/>
      <c r="I306" s="96"/>
      <c r="J306" s="96"/>
    </row>
    <row r="307" spans="1:10" x14ac:dyDescent="0.3">
      <c r="A307" s="97" t="s">
        <v>864</v>
      </c>
      <c r="B307" s="96"/>
      <c r="C307" s="133"/>
      <c r="D307" s="96"/>
      <c r="E307" s="96"/>
      <c r="F307" s="96"/>
      <c r="G307" s="96"/>
      <c r="H307" s="96"/>
      <c r="I307" s="96"/>
      <c r="J307" s="96"/>
    </row>
    <row r="308" spans="1:10" x14ac:dyDescent="0.3">
      <c r="A308" s="97" t="s">
        <v>864</v>
      </c>
      <c r="B308" s="96"/>
      <c r="C308" s="133"/>
      <c r="D308" s="96"/>
      <c r="E308" s="96"/>
      <c r="F308" s="96"/>
      <c r="G308" s="96"/>
      <c r="H308" s="96"/>
      <c r="I308" s="96"/>
      <c r="J308" s="96"/>
    </row>
    <row r="309" spans="1:10" x14ac:dyDescent="0.3">
      <c r="A309" s="97" t="s">
        <v>864</v>
      </c>
      <c r="B309" s="96"/>
      <c r="C309" s="133"/>
      <c r="D309" s="96"/>
      <c r="E309" s="96"/>
      <c r="F309" s="96"/>
      <c r="G309" s="96"/>
      <c r="H309" s="96"/>
      <c r="I309" s="96"/>
      <c r="J309" s="96"/>
    </row>
    <row r="310" spans="1:10" x14ac:dyDescent="0.3">
      <c r="A310" s="97" t="s">
        <v>864</v>
      </c>
      <c r="B310" s="96"/>
      <c r="C310" s="133"/>
      <c r="D310" s="96"/>
      <c r="E310" s="96"/>
      <c r="F310" s="96"/>
      <c r="G310" s="96"/>
      <c r="H310" s="96"/>
      <c r="I310" s="96"/>
      <c r="J310" s="96"/>
    </row>
    <row r="311" spans="1:10" x14ac:dyDescent="0.3">
      <c r="A311" s="97" t="s">
        <v>864</v>
      </c>
      <c r="B311" s="96"/>
      <c r="C311" s="133"/>
      <c r="D311" s="96"/>
      <c r="E311" s="96"/>
      <c r="F311" s="96"/>
      <c r="G311" s="96"/>
      <c r="H311" s="96"/>
      <c r="I311" s="96"/>
      <c r="J311" s="96"/>
    </row>
    <row r="312" spans="1:10" x14ac:dyDescent="0.3">
      <c r="A312" s="97" t="s">
        <v>864</v>
      </c>
      <c r="B312" s="96"/>
      <c r="C312" s="133"/>
      <c r="D312" s="96"/>
      <c r="E312" s="96"/>
      <c r="F312" s="96"/>
      <c r="G312" s="96"/>
      <c r="H312" s="96"/>
      <c r="I312" s="96"/>
      <c r="J312" s="96"/>
    </row>
    <row r="313" spans="1:10" x14ac:dyDescent="0.3">
      <c r="A313" s="97" t="s">
        <v>864</v>
      </c>
      <c r="B313" s="96"/>
      <c r="C313" s="133"/>
      <c r="D313" s="96"/>
      <c r="E313" s="96"/>
      <c r="F313" s="96"/>
      <c r="G313" s="96"/>
      <c r="H313" s="96"/>
      <c r="I313" s="96"/>
      <c r="J313" s="96"/>
    </row>
    <row r="314" spans="1:10" x14ac:dyDescent="0.3">
      <c r="A314" s="97" t="s">
        <v>864</v>
      </c>
      <c r="B314" s="96"/>
      <c r="C314" s="133"/>
      <c r="D314" s="96"/>
      <c r="E314" s="96"/>
      <c r="F314" s="96"/>
      <c r="G314" s="96"/>
      <c r="H314" s="96"/>
      <c r="I314" s="96"/>
      <c r="J314" s="96"/>
    </row>
    <row r="315" spans="1:10" x14ac:dyDescent="0.3">
      <c r="A315" s="141" t="s">
        <v>924</v>
      </c>
      <c r="B315" s="142"/>
      <c r="D315" s="143"/>
      <c r="E315" s="143"/>
      <c r="F315" s="143"/>
      <c r="G315" s="143"/>
      <c r="H315" s="143"/>
      <c r="I315" s="143"/>
      <c r="J315" s="96"/>
    </row>
    <row r="316" spans="1:10" x14ac:dyDescent="0.3">
      <c r="A316" s="141" t="s">
        <v>925</v>
      </c>
      <c r="B316" s="142" t="s">
        <v>926</v>
      </c>
      <c r="D316" s="143"/>
      <c r="E316" s="143"/>
      <c r="F316" s="143"/>
      <c r="G316" s="143"/>
      <c r="H316" s="143"/>
      <c r="I316" s="143"/>
      <c r="J316" s="96"/>
    </row>
    <row r="317" spans="1:10" x14ac:dyDescent="0.3">
      <c r="A317" s="141" t="s">
        <v>927</v>
      </c>
      <c r="B317" s="142" t="s">
        <v>928</v>
      </c>
      <c r="D317" s="143"/>
      <c r="E317" s="143"/>
      <c r="F317" s="143"/>
      <c r="G317" s="143"/>
      <c r="H317" s="143"/>
      <c r="I317" s="143"/>
      <c r="J317" s="96"/>
    </row>
    <row r="318" spans="1:10" x14ac:dyDescent="0.3">
      <c r="A318" s="144" t="s">
        <v>929</v>
      </c>
      <c r="B318" s="145"/>
      <c r="D318" s="143"/>
      <c r="E318" s="143"/>
      <c r="F318" s="143"/>
      <c r="G318" s="143"/>
      <c r="H318" s="143"/>
      <c r="I318" s="143"/>
      <c r="J318" s="96"/>
    </row>
    <row r="320" spans="1:10" x14ac:dyDescent="0.3">
      <c r="C320" s="131"/>
    </row>
    <row r="321" spans="3:3" x14ac:dyDescent="0.3">
      <c r="C321" s="131"/>
    </row>
    <row r="322" spans="3:3" x14ac:dyDescent="0.3">
      <c r="C322" s="131"/>
    </row>
    <row r="323" spans="3:3" x14ac:dyDescent="0.3">
      <c r="C323" s="131"/>
    </row>
  </sheetData>
  <autoFilter ref="C1:J323"/>
  <conditionalFormatting sqref="L253">
    <cfRule type="duplicateValues" dxfId="1" priority="79"/>
  </conditionalFormatting>
  <conditionalFormatting sqref="C1:C1048576 J1:J1048576">
    <cfRule type="duplicateValues" dxfId="0" priority="1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April 2013 - Data</vt:lpstr>
      <vt:lpstr>Sheet2</vt:lpstr>
      <vt:lpstr>GL Summary</vt:lpstr>
      <vt:lpstr>April 2013 - HP Toner</vt:lpstr>
      <vt:lpstr>Totals</vt:lpstr>
      <vt:lpstr>Tables</vt:lpstr>
      <vt:lpstr>Meter Comparison</vt:lpstr>
      <vt:lpstr>'April 2013 - Data'!Print_Area</vt:lpstr>
    </vt:vector>
  </TitlesOfParts>
  <Company>MWV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Hopkins, Thomas F., “Thomas”</dc:creator>
  <cp:lastModifiedBy>Col. Hopkins</cp:lastModifiedBy>
  <cp:lastPrinted>2013-05-01T14:26:20Z</cp:lastPrinted>
  <dcterms:created xsi:type="dcterms:W3CDTF">2013-02-07T14:46:16Z</dcterms:created>
  <dcterms:modified xsi:type="dcterms:W3CDTF">2013-05-15T13:24:12Z</dcterms:modified>
</cp:coreProperties>
</file>