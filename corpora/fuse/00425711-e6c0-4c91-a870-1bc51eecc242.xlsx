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R8" i="1" l="1"/>
  <c r="S8" i="1"/>
  <c r="T8" i="1"/>
  <c r="U8" i="1"/>
  <c r="Q8" i="1"/>
  <c r="Q26" i="1"/>
  <c r="K9" i="1" l="1"/>
  <c r="O5" i="1"/>
  <c r="P5" i="1"/>
  <c r="O6" i="1"/>
  <c r="P6" i="1"/>
  <c r="O7" i="1"/>
  <c r="P7" i="1"/>
  <c r="O8" i="1"/>
  <c r="P8" i="1"/>
  <c r="P17" i="1" l="1"/>
  <c r="P16" i="1"/>
  <c r="P15" i="1"/>
  <c r="N8" i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H9" i="1"/>
  <c r="E9" i="1"/>
  <c r="B9" i="1"/>
  <c r="B12" i="1" l="1"/>
  <c r="B20" i="1" s="1"/>
</calcChain>
</file>

<file path=xl/sharedStrings.xml><?xml version="1.0" encoding="utf-8"?>
<sst xmlns="http://schemas.openxmlformats.org/spreadsheetml/2006/main" count="107" uniqueCount="42">
  <si>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</si>
  <si>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</si>
  <si>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</si>
  <si>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</si>
  <si>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</si>
  <si>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</si>
  <si>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</si>
  <si>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</si>
  <si>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</si>
  <si>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</si>
  <si>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</si>
  <si>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</si>
  <si>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</si>
  <si>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</si>
  <si>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</si>
  <si>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</si>
  <si>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</si>
  <si>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</si>
  <si>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</si>
  <si>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</si>
  <si>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</si>
  <si>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</si>
  <si>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</si>
  <si>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</si>
  <si>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</si>
  <si>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</si>
  <si>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</si>
  <si>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</si>
  <si>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</si>
  <si>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</si>
  <si>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</si>
  <si>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</si>
  <si>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</si>
  <si>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I-15 Corridor / TEM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</si>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</sst>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28" fillId="0" borderId="0" xfId="0" applyFont="1" applyAlignment="1">
      <alignment vertical="center"/>
    </xf>
    <xf numFmtId="0" fontId="30" fillId="0" borderId="0" xfId="57" applyFont="1"/>
    <xf numFmtId="0" fontId="25" fillId="0" borderId="13" xfId="47" applyFont="1" applyBorder="1" applyAlignment="1" applyProtection="1"/>
    <xf numFmtId="0" fontId="25" fillId="0" borderId="49" xfId="47" applyFont="1" applyBorder="1" applyAlignment="1" applyProtection="1"/>
    <xf numFmtId="9" fontId="23" fillId="0" borderId="45" xfId="1" applyNumberFormat="1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19" xfId="1" applyNumberFormat="1" applyFont="1" applyBorder="1" applyAlignment="1" applyProtection="1">
      <alignment horizontal="center" vertical="center"/>
    </xf>
    <xf numFmtId="0" fontId="16" fillId="0" borderId="43" xfId="45" applyFont="1" applyBorder="1" applyAlignment="1">
      <alignment horizontal="center" vertical="center"/>
    </xf>
    <xf numFmtId="0" fontId="25" fillId="0" borderId="22" xfId="47" applyFont="1" applyBorder="1" applyAlignment="1" applyProtection="1"/>
    <xf numFmtId="0" fontId="25" fillId="0" borderId="27" xfId="47" applyFont="1" applyBorder="1" applyAlignment="1" applyProtection="1"/>
    <xf numFmtId="0" fontId="25" fillId="0" borderId="21" xfId="47" applyFont="1" applyBorder="1" applyAlignment="1" applyProtection="1"/>
    <xf numFmtId="0" fontId="27" fillId="0" borderId="21" xfId="47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18" xfId="1" applyNumberFormat="1" applyFont="1" applyBorder="1" applyAlignment="1" applyProtection="1">
      <alignment horizontal="center" vertical="center"/>
    </xf>
    <xf numFmtId="164" fontId="23" fillId="0" borderId="34" xfId="1" applyNumberFormat="1" applyFont="1" applyBorder="1" applyAlignment="1" applyProtection="1">
      <alignment horizontal="center" vertical="center"/>
    </xf>
    <xf numFmtId="164" fontId="23" fillId="0" borderId="32" xfId="1" applyNumberFormat="1" applyFont="1" applyBorder="1" applyAlignment="1" applyProtection="1">
      <alignment horizontal="center" vertical="center"/>
    </xf>
    <xf numFmtId="164" fontId="23" fillId="0" borderId="33" xfId="1" applyNumberFormat="1" applyFont="1" applyBorder="1" applyAlignment="1" applyProtection="1">
      <alignment horizontal="center" vertical="center"/>
    </xf>
    <xf numFmtId="164" fontId="23" fillId="0" borderId="31" xfId="1" applyNumberFormat="1" applyFont="1" applyBorder="1" applyAlignment="1" applyProtection="1">
      <alignment horizontal="center" vertical="center"/>
    </xf>
    <xf numFmtId="164" fontId="25" fillId="0" borderId="26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8" xfId="1" applyNumberFormat="1" applyFont="1" applyBorder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/>
    </xf>
    <xf numFmtId="0" fontId="22" fillId="35" borderId="45" xfId="45" applyFont="1" applyFill="1" applyBorder="1" applyAlignment="1">
      <alignment horizontal="center" vertical="center"/>
    </xf>
    <xf numFmtId="0" fontId="22" fillId="35" borderId="46" xfId="45" applyFont="1" applyFill="1" applyBorder="1" applyAlignment="1">
      <alignment horizontal="center" vertical="center"/>
    </xf>
    <xf numFmtId="0" fontId="22" fillId="35" borderId="44" xfId="45" applyFont="1" applyFill="1" applyBorder="1" applyAlignment="1">
      <alignment horizontal="center" vertical="center"/>
    </xf>
    <xf numFmtId="0" fontId="22" fillId="0" borderId="45" xfId="45" applyFont="1" applyFill="1" applyBorder="1" applyAlignment="1">
      <alignment horizontal="center" vertical="center"/>
    </xf>
    <xf numFmtId="0" fontId="22" fillId="0" borderId="46" xfId="45" applyFont="1" applyFill="1" applyBorder="1" applyAlignment="1">
      <alignment horizontal="center" vertical="center"/>
    </xf>
    <xf numFmtId="0" fontId="22" fillId="0" borderId="44" xfId="45" applyFont="1" applyFill="1" applyBorder="1" applyAlignment="1">
      <alignment horizontal="center" vertical="center"/>
    </xf>
    <xf numFmtId="164" fontId="23" fillId="0" borderId="48" xfId="1" applyNumberFormat="1" applyFont="1" applyBorder="1" applyAlignment="1" applyProtection="1">
      <alignment horizontal="center" vertical="center"/>
    </xf>
    <xf numFmtId="0" fontId="22" fillId="35" borderId="47" xfId="45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6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0" fontId="25" fillId="0" borderId="42" xfId="47" applyFont="1" applyBorder="1" applyAlignment="1" applyProtection="1"/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34" xfId="1" applyNumberFormat="1" applyFont="1" applyBorder="1" applyAlignment="1" applyProtection="1">
      <alignment horizontal="center" vertical="center"/>
    </xf>
    <xf numFmtId="165" fontId="23" fillId="0" borderId="32" xfId="1" applyNumberFormat="1" applyFont="1" applyBorder="1" applyAlignment="1" applyProtection="1">
      <alignment horizontal="center" vertical="center"/>
    </xf>
    <xf numFmtId="165" fontId="23" fillId="0" borderId="33" xfId="1" applyNumberFormat="1" applyFont="1" applyBorder="1" applyAlignment="1" applyProtection="1">
      <alignment horizontal="center" vertical="center"/>
    </xf>
    <xf numFmtId="165" fontId="23" fillId="0" borderId="31" xfId="1" applyNumberFormat="1" applyFont="1" applyBorder="1" applyAlignment="1" applyProtection="1">
      <alignment horizontal="center" vertical="center"/>
    </xf>
    <xf numFmtId="165" fontId="23" fillId="0" borderId="48" xfId="1" applyNumberFormat="1" applyFont="1" applyBorder="1" applyAlignment="1" applyProtection="1">
      <alignment horizontal="center" vertical="center"/>
    </xf>
    <xf numFmtId="0" fontId="16" fillId="0" borderId="21" xfId="45" applyFont="1" applyBorder="1" applyAlignment="1">
      <alignment horizontal="center" vertical="center"/>
    </xf>
    <xf numFmtId="9" fontId="23" fillId="0" borderId="18" xfId="2" applyFont="1" applyBorder="1" applyAlignment="1" applyProtection="1">
      <alignment horizontal="center" vertical="center"/>
    </xf>
    <xf numFmtId="9" fontId="23" fillId="0" borderId="10" xfId="2" applyFont="1" applyBorder="1" applyAlignment="1" applyProtection="1">
      <alignment horizontal="center" vertical="center"/>
    </xf>
    <xf numFmtId="9" fontId="23" fillId="0" borderId="19" xfId="2" applyFont="1" applyBorder="1" applyAlignment="1" applyProtection="1">
      <alignment horizontal="center" vertical="center"/>
    </xf>
    <xf numFmtId="9" fontId="23" fillId="0" borderId="23" xfId="2" applyFont="1" applyBorder="1" applyAlignment="1" applyProtection="1">
      <alignment horizontal="center" vertical="center"/>
    </xf>
    <xf numFmtId="9" fontId="23" fillId="0" borderId="24" xfId="2" applyFont="1" applyBorder="1" applyAlignment="1" applyProtection="1">
      <alignment horizontal="center" vertical="center"/>
    </xf>
    <xf numFmtId="9" fontId="23" fillId="0" borderId="25" xfId="2" applyFont="1" applyBorder="1" applyAlignment="1" applyProtection="1">
      <alignment horizontal="center" vertical="center"/>
    </xf>
    <xf numFmtId="0" fontId="19" fillId="34" borderId="20" xfId="45" applyFont="1" applyFill="1" applyBorder="1" applyAlignment="1">
      <alignment horizontal="center"/>
    </xf>
    <xf numFmtId="0" fontId="19" fillId="34" borderId="0" xfId="45" applyFont="1" applyFill="1" applyBorder="1" applyAlignment="1">
      <alignment horizontal="center"/>
    </xf>
    <xf numFmtId="0" fontId="19" fillId="34" borderId="13" xfId="45" applyFont="1" applyFill="1" applyBorder="1" applyAlignment="1">
      <alignment horizontal="center"/>
    </xf>
    <xf numFmtId="0" fontId="19" fillId="34" borderId="14" xfId="45" applyFont="1" applyFill="1" applyBorder="1" applyAlignment="1">
      <alignment horizontal="center"/>
    </xf>
    <xf numFmtId="0" fontId="22" fillId="35" borderId="21" xfId="45" applyFont="1" applyFill="1" applyBorder="1" applyAlignment="1">
      <alignment horizontal="center" vertical="center"/>
    </xf>
    <xf numFmtId="0" fontId="22" fillId="35" borderId="50" xfId="45" applyFont="1" applyFill="1" applyBorder="1" applyAlignment="1">
      <alignment horizontal="center" vertical="center"/>
    </xf>
    <xf numFmtId="0" fontId="22" fillId="0" borderId="28" xfId="45" applyFont="1" applyFill="1" applyBorder="1" applyAlignment="1">
      <alignment horizontal="center" vertical="center"/>
    </xf>
    <xf numFmtId="0" fontId="22" fillId="0" borderId="29" xfId="45" applyFont="1" applyFill="1" applyBorder="1" applyAlignment="1">
      <alignment horizontal="center" vertical="center"/>
    </xf>
    <xf numFmtId="0" fontId="22" fillId="0" borderId="30" xfId="45" applyFont="1" applyFill="1" applyBorder="1" applyAlignment="1">
      <alignment horizontal="center" vertical="center"/>
    </xf>
    <xf numFmtId="0" fontId="22" fillId="35" borderId="28" xfId="45" applyFont="1" applyFill="1" applyBorder="1" applyAlignment="1">
      <alignment horizontal="center" vertical="center"/>
    </xf>
    <xf numFmtId="0" fontId="22" fillId="35" borderId="29" xfId="45" applyFont="1" applyFill="1" applyBorder="1" applyAlignment="1">
      <alignment horizontal="center" vertical="center"/>
    </xf>
    <xf numFmtId="0" fontId="22" fillId="35" borderId="48" xfId="45" applyFont="1" applyFill="1" applyBorder="1" applyAlignment="1">
      <alignment horizontal="center" vertical="center"/>
    </xf>
    <xf numFmtId="3" fontId="27" fillId="0" borderId="39" xfId="1" applyNumberFormat="1" applyFont="1" applyFill="1" applyBorder="1" applyAlignment="1" applyProtection="1">
      <alignment horizontal="center" vertical="center"/>
    </xf>
    <xf numFmtId="3" fontId="27" fillId="0" borderId="40" xfId="1" applyNumberFormat="1" applyFont="1" applyFill="1" applyBorder="1" applyAlignment="1" applyProtection="1">
      <alignment horizontal="center" vertical="center"/>
    </xf>
    <xf numFmtId="3" fontId="27" fillId="0" borderId="41" xfId="1" applyNumberFormat="1" applyFont="1" applyFill="1" applyBorder="1" applyAlignment="1" applyProtection="1">
      <alignment horizontal="center" vertical="center"/>
    </xf>
    <xf numFmtId="0" fontId="26" fillId="33" borderId="11" xfId="10" applyFont="1" applyFill="1" applyBorder="1" applyAlignment="1">
      <alignment horizontal="center" vertical="center" wrapText="1"/>
    </xf>
    <xf numFmtId="0" fontId="26" fillId="33" borderId="12" xfId="10" applyFont="1" applyFill="1" applyBorder="1" applyAlignment="1">
      <alignment horizontal="center" vertical="center" wrapText="1"/>
    </xf>
    <xf numFmtId="0" fontId="26" fillId="33" borderId="13" xfId="10" applyFont="1" applyFill="1" applyBorder="1" applyAlignment="1">
      <alignment horizontal="center" vertical="center" wrapText="1"/>
    </xf>
    <xf numFmtId="0" fontId="22" fillId="33" borderId="11" xfId="10" applyFont="1" applyFill="1" applyBorder="1" applyAlignment="1">
      <alignment horizontal="center" vertical="center" wrapText="1"/>
    </xf>
    <xf numFmtId="0" fontId="22" fillId="33" borderId="12" xfId="10" applyFont="1" applyFill="1" applyBorder="1" applyAlignment="1">
      <alignment horizontal="center" vertical="center" wrapText="1"/>
    </xf>
    <xf numFmtId="0" fontId="22" fillId="33" borderId="13" xfId="10" applyFont="1" applyFill="1" applyBorder="1" applyAlignment="1">
      <alignment horizontal="center" vertical="center" wrapText="1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7"/>
    <cellStyle name="Normal 5" xfId="103"/>
    <cellStyle name="Normal 6" xfId="104"/>
    <cellStyle name="Normal 7" xfId="110"/>
    <cellStyle name="Normal 8" xfId="112"/>
    <cellStyle name="Normal 9" xfId="58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I-15%20Corridor%20-%20TEM%20Service%20Area\Demographics\All%20Students\Unduplicated%20Headcount\edit\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I-15%20Corridor%20-%20TEM%20Service%20Area\Demographics\All%20Students\Ethnicity\edit.tem.ethni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8</v>
          </cell>
          <cell r="C4">
            <v>525</v>
          </cell>
          <cell r="D4">
            <v>509</v>
          </cell>
          <cell r="E4">
            <v>173</v>
          </cell>
          <cell r="F4">
            <v>765</v>
          </cell>
          <cell r="G4">
            <v>944</v>
          </cell>
          <cell r="H4">
            <v>251</v>
          </cell>
          <cell r="I4">
            <v>1036</v>
          </cell>
          <cell r="J4">
            <v>1024</v>
          </cell>
          <cell r="K4">
            <v>160</v>
          </cell>
          <cell r="L4">
            <v>955</v>
          </cell>
          <cell r="M4">
            <v>923</v>
          </cell>
          <cell r="N4">
            <v>0</v>
          </cell>
          <cell r="O4">
            <v>880</v>
          </cell>
          <cell r="P4">
            <v>875</v>
          </cell>
        </row>
        <row r="5">
          <cell r="A5" t="str">
            <v>Female</v>
          </cell>
          <cell r="B5">
            <v>11</v>
          </cell>
          <cell r="C5">
            <v>882</v>
          </cell>
          <cell r="D5">
            <v>942</v>
          </cell>
          <cell r="E5">
            <v>309</v>
          </cell>
          <cell r="F5">
            <v>1195</v>
          </cell>
          <cell r="G5">
            <v>1608</v>
          </cell>
          <cell r="H5">
            <v>441</v>
          </cell>
          <cell r="I5">
            <v>1476</v>
          </cell>
          <cell r="J5">
            <v>1397</v>
          </cell>
          <cell r="K5">
            <v>222</v>
          </cell>
          <cell r="L5">
            <v>1251</v>
          </cell>
          <cell r="M5">
            <v>1227</v>
          </cell>
          <cell r="N5">
            <v>0</v>
          </cell>
          <cell r="O5">
            <v>1150</v>
          </cell>
          <cell r="P5">
            <v>1119</v>
          </cell>
        </row>
        <row r="6">
          <cell r="A6" t="str">
            <v>Undeclared</v>
          </cell>
          <cell r="B6">
            <v>0</v>
          </cell>
          <cell r="C6">
            <v>12</v>
          </cell>
          <cell r="D6">
            <v>17</v>
          </cell>
          <cell r="E6">
            <v>8</v>
          </cell>
          <cell r="F6">
            <v>26</v>
          </cell>
          <cell r="G6">
            <v>29</v>
          </cell>
          <cell r="H6">
            <v>11</v>
          </cell>
          <cell r="I6">
            <v>27</v>
          </cell>
          <cell r="J6">
            <v>24</v>
          </cell>
          <cell r="K6">
            <v>4</v>
          </cell>
          <cell r="L6">
            <v>17</v>
          </cell>
          <cell r="M6">
            <v>23</v>
          </cell>
          <cell r="N6">
            <v>0</v>
          </cell>
          <cell r="O6">
            <v>13</v>
          </cell>
          <cell r="P6">
            <v>11</v>
          </cell>
        </row>
        <row r="7">
          <cell r="A7" t="str">
            <v>Term Total</v>
          </cell>
          <cell r="B7">
            <v>19</v>
          </cell>
          <cell r="C7">
            <v>1419</v>
          </cell>
          <cell r="D7">
            <v>1468</v>
          </cell>
          <cell r="E7">
            <v>490</v>
          </cell>
          <cell r="F7">
            <v>1986</v>
          </cell>
          <cell r="G7">
            <v>2581</v>
          </cell>
          <cell r="H7">
            <v>703</v>
          </cell>
          <cell r="I7">
            <v>2539</v>
          </cell>
          <cell r="J7">
            <v>2445</v>
          </cell>
          <cell r="K7">
            <v>386</v>
          </cell>
          <cell r="L7">
            <v>2223</v>
          </cell>
          <cell r="M7">
            <v>2173</v>
          </cell>
          <cell r="N7">
            <v>0</v>
          </cell>
          <cell r="O7">
            <v>2043</v>
          </cell>
          <cell r="P7">
            <v>2005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tem.ethnicity"/>
    </sheetNames>
    <sheetDataSet>
      <sheetData sheetId="0">
        <row r="15">
          <cell r="B15">
            <v>2678</v>
          </cell>
          <cell r="E15">
            <v>4486</v>
          </cell>
          <cell r="H15">
            <v>4739</v>
          </cell>
          <cell r="K15">
            <v>3891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sqref="A1:A3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22" ht="15.75" x14ac:dyDescent="0.25">
      <c r="A1" s="74"/>
      <c r="B1" s="56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22" ht="16.5" thickBot="1" x14ac:dyDescent="0.3">
      <c r="A2" s="75"/>
      <c r="B2" s="58" t="s">
        <v>33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ht="15.75" thickBot="1" x14ac:dyDescent="0.3">
      <c r="A3" s="76"/>
      <c r="B3" s="65" t="s">
        <v>1</v>
      </c>
      <c r="C3" s="66"/>
      <c r="D3" s="67"/>
      <c r="E3" s="62" t="s">
        <v>2</v>
      </c>
      <c r="F3" s="63"/>
      <c r="G3" s="64"/>
      <c r="H3" s="65" t="s">
        <v>3</v>
      </c>
      <c r="I3" s="66"/>
      <c r="J3" s="67"/>
      <c r="K3" s="62" t="s">
        <v>4</v>
      </c>
      <c r="L3" s="63"/>
      <c r="M3" s="64"/>
      <c r="N3" s="65" t="s">
        <v>5</v>
      </c>
      <c r="O3" s="66"/>
      <c r="P3" s="67"/>
      <c r="Q3" s="62" t="s">
        <v>34</v>
      </c>
      <c r="R3" s="63"/>
      <c r="S3" s="64"/>
      <c r="T3" s="65" t="s">
        <v>35</v>
      </c>
      <c r="U3" s="66"/>
      <c r="V3" s="67"/>
    </row>
    <row r="4" spans="1:22" ht="15.75" thickBot="1" x14ac:dyDescent="0.3">
      <c r="A4" s="11" t="s">
        <v>7</v>
      </c>
      <c r="B4" s="29" t="s">
        <v>8</v>
      </c>
      <c r="C4" s="30" t="s">
        <v>9</v>
      </c>
      <c r="D4" s="31" t="s">
        <v>10</v>
      </c>
      <c r="E4" s="32" t="s">
        <v>11</v>
      </c>
      <c r="F4" s="33" t="s">
        <v>12</v>
      </c>
      <c r="G4" s="34" t="s">
        <v>13</v>
      </c>
      <c r="H4" s="29" t="s">
        <v>14</v>
      </c>
      <c r="I4" s="30" t="s">
        <v>15</v>
      </c>
      <c r="J4" s="31" t="s">
        <v>16</v>
      </c>
      <c r="K4" s="32" t="s">
        <v>17</v>
      </c>
      <c r="L4" s="33" t="s">
        <v>18</v>
      </c>
      <c r="M4" s="34" t="s">
        <v>19</v>
      </c>
      <c r="N4" s="29" t="s">
        <v>20</v>
      </c>
      <c r="O4" s="30" t="s">
        <v>21</v>
      </c>
      <c r="P4" s="36" t="s">
        <v>22</v>
      </c>
      <c r="Q4" s="32" t="s">
        <v>36</v>
      </c>
      <c r="R4" s="33" t="s">
        <v>37</v>
      </c>
      <c r="S4" s="34" t="s">
        <v>38</v>
      </c>
      <c r="T4" s="29" t="s">
        <v>39</v>
      </c>
      <c r="U4" s="30" t="s">
        <v>40</v>
      </c>
      <c r="V4" s="36" t="s">
        <v>41</v>
      </c>
    </row>
    <row r="5" spans="1:22" x14ac:dyDescent="0.25">
      <c r="A5" s="13" t="s">
        <v>23</v>
      </c>
      <c r="B5" s="9">
        <f>VLOOKUP($A5,'[1]credit ethnic graded seats'!$A:$P,HLOOKUP(B$4,'[1]credit ethnic graded seats'!$1:$2,2,FALSE),FALSE)</f>
        <v>8</v>
      </c>
      <c r="C5" s="17">
        <f>VLOOKUP($A5,'[1]credit ethnic graded seats'!$A:$P,HLOOKUP(C$4,'[1]credit ethnic graded seats'!$1:$2,2,FALSE),FALSE)</f>
        <v>525</v>
      </c>
      <c r="D5" s="20">
        <f>VLOOKUP($A5,'[1]credit ethnic graded seats'!$A:$P,HLOOKUP(D$4,'[1]credit ethnic graded seats'!$1:$2,2,FALSE),FALSE)</f>
        <v>509</v>
      </c>
      <c r="E5" s="9">
        <f>VLOOKUP($A5,'[1]credit ethnic graded seats'!$A:$P,HLOOKUP(E$4,'[1]credit ethnic graded seats'!$1:$2,2,FALSE),FALSE)</f>
        <v>173</v>
      </c>
      <c r="F5" s="17">
        <f>VLOOKUP($A5,'[1]credit ethnic graded seats'!$A:$P,HLOOKUP(F$4,'[1]credit ethnic graded seats'!$1:$2,2,FALSE),FALSE)</f>
        <v>765</v>
      </c>
      <c r="G5" s="17">
        <f>VLOOKUP($A5,'[1]credit ethnic graded seats'!$A:$P,HLOOKUP(G$4,'[1]credit ethnic graded seats'!$1:$2,2,FALSE),FALSE)</f>
        <v>944</v>
      </c>
      <c r="H5" s="17">
        <f>VLOOKUP($A5,'[1]credit ethnic graded seats'!$A:$P,HLOOKUP(H$4,'[1]credit ethnic graded seats'!$1:$2,2,FALSE),FALSE)</f>
        <v>251</v>
      </c>
      <c r="I5" s="17">
        <f>VLOOKUP($A5,'[1]credit ethnic graded seats'!$A:$P,HLOOKUP(I$4,'[1]credit ethnic graded seats'!$1:$2,2,FALSE),FALSE)</f>
        <v>1036</v>
      </c>
      <c r="J5" s="18">
        <f>VLOOKUP($A5,'[1]credit ethnic graded seats'!$A:$P,HLOOKUP(J$4,'[1]credit ethnic graded seats'!$1:$2,2,FALSE),FALSE)</f>
        <v>1024</v>
      </c>
      <c r="K5" s="9">
        <f>VLOOKUP($A5,'[1]credit ethnic graded seats'!$A:$P,HLOOKUP(K$4,'[1]credit ethnic graded seats'!$1:$2,2,FALSE),FALSE)</f>
        <v>160</v>
      </c>
      <c r="L5" s="17">
        <f>VLOOKUP($A5,'[1]credit ethnic graded seats'!$A:$P,HLOOKUP(L$4,'[1]credit ethnic graded seats'!$1:$2,2,FALSE),FALSE)</f>
        <v>955</v>
      </c>
      <c r="M5" s="18">
        <f>VLOOKUP($A5,'[1]credit ethnic graded seats'!$A:$P,HLOOKUP(M$4,'[1]credit ethnic graded seats'!$1:$2,2,FALSE),FALSE)</f>
        <v>923</v>
      </c>
      <c r="N5" s="22">
        <f>VLOOKUP($A5,'[1]credit ethnic graded seats'!$A:$P,HLOOKUP(N$4,'[1]credit ethnic graded seats'!$1:$2,2,FALSE),FALSE)</f>
        <v>0</v>
      </c>
      <c r="O5" s="17">
        <f>VLOOKUP($A5,'[1]credit ethnic graded seats'!$A:$P,HLOOKUP(O$4,'[1]credit ethnic graded seats'!$1:$2,2,FALSE),FALSE)</f>
        <v>880</v>
      </c>
      <c r="P5" s="35">
        <f>VLOOKUP($A5,'[1]credit ethnic graded seats'!$A:$P,HLOOKUP(P$4,'[1]credit ethnic graded seats'!$1:$2,2,FALSE),FALSE)</f>
        <v>875</v>
      </c>
      <c r="Q5" s="9">
        <v>1</v>
      </c>
      <c r="R5" s="17">
        <v>888</v>
      </c>
      <c r="S5" s="18">
        <v>806</v>
      </c>
      <c r="T5" s="22">
        <v>0</v>
      </c>
      <c r="U5" s="17">
        <v>781</v>
      </c>
      <c r="V5" s="35">
        <v>723</v>
      </c>
    </row>
    <row r="6" spans="1:22" x14ac:dyDescent="0.25">
      <c r="A6" s="12" t="s">
        <v>24</v>
      </c>
      <c r="B6" s="19">
        <f>VLOOKUP($A6,'[1]credit ethnic graded seats'!$A:$P,HLOOKUP(B$4,'[1]credit ethnic graded seats'!$1:$2,2,FALSE),FALSE)</f>
        <v>11</v>
      </c>
      <c r="C6" s="16">
        <f>VLOOKUP($A6,'[1]credit ethnic graded seats'!$A:$P,HLOOKUP(C$4,'[1]credit ethnic graded seats'!$1:$2,2,FALSE),FALSE)</f>
        <v>882</v>
      </c>
      <c r="D6" s="21">
        <f>VLOOKUP($A6,'[1]credit ethnic graded seats'!$A:$P,HLOOKUP(D$4,'[1]credit ethnic graded seats'!$1:$2,2,FALSE),FALSE)</f>
        <v>942</v>
      </c>
      <c r="E6" s="19">
        <f>VLOOKUP($A6,'[1]credit ethnic graded seats'!$A:$P,HLOOKUP(E$4,'[1]credit ethnic graded seats'!$1:$2,2,FALSE),FALSE)</f>
        <v>309</v>
      </c>
      <c r="F6" s="16">
        <f>VLOOKUP($A6,'[1]credit ethnic graded seats'!$A:$P,HLOOKUP(F$4,'[1]credit ethnic graded seats'!$1:$2,2,FALSE),FALSE)</f>
        <v>1195</v>
      </c>
      <c r="G6" s="16">
        <f>VLOOKUP($A6,'[1]credit ethnic graded seats'!$A:$P,HLOOKUP(G$4,'[1]credit ethnic graded seats'!$1:$2,2,FALSE),FALSE)</f>
        <v>1608</v>
      </c>
      <c r="H6" s="16">
        <f>VLOOKUP($A6,'[1]credit ethnic graded seats'!$A:$P,HLOOKUP(H$4,'[1]credit ethnic graded seats'!$1:$2,2,FALSE),FALSE)</f>
        <v>441</v>
      </c>
      <c r="I6" s="16">
        <f>VLOOKUP($A6,'[1]credit ethnic graded seats'!$A:$P,HLOOKUP(I$4,'[1]credit ethnic graded seats'!$1:$2,2,FALSE),FALSE)</f>
        <v>1476</v>
      </c>
      <c r="J6" s="10">
        <f>VLOOKUP($A6,'[1]credit ethnic graded seats'!$A:$P,HLOOKUP(J$4,'[1]credit ethnic graded seats'!$1:$2,2,FALSE),FALSE)</f>
        <v>1397</v>
      </c>
      <c r="K6" s="19">
        <f>VLOOKUP($A6,'[1]credit ethnic graded seats'!$A:$P,HLOOKUP(K$4,'[1]credit ethnic graded seats'!$1:$2,2,FALSE),FALSE)</f>
        <v>222</v>
      </c>
      <c r="L6" s="16">
        <f>VLOOKUP($A6,'[1]credit ethnic graded seats'!$A:$P,HLOOKUP(L$4,'[1]credit ethnic graded seats'!$1:$2,2,FALSE),FALSE)</f>
        <v>1251</v>
      </c>
      <c r="M6" s="10">
        <f>VLOOKUP($A6,'[1]credit ethnic graded seats'!$A:$P,HLOOKUP(M$4,'[1]credit ethnic graded seats'!$1:$2,2,FALSE),FALSE)</f>
        <v>1227</v>
      </c>
      <c r="N6" s="23">
        <f>VLOOKUP($A6,'[1]credit ethnic graded seats'!$A:$P,HLOOKUP(N$4,'[1]credit ethnic graded seats'!$1:$2,2,FALSE),FALSE)</f>
        <v>0</v>
      </c>
      <c r="O6" s="16">
        <f>VLOOKUP($A6,'[1]credit ethnic graded seats'!$A:$P,HLOOKUP(O$4,'[1]credit ethnic graded seats'!$1:$2,2,FALSE),FALSE)</f>
        <v>1150</v>
      </c>
      <c r="P6" s="21">
        <f>VLOOKUP($A6,'[1]credit ethnic graded seats'!$A:$P,HLOOKUP(P$4,'[1]credit ethnic graded seats'!$1:$2,2,FALSE),FALSE)</f>
        <v>1119</v>
      </c>
      <c r="Q6" s="19">
        <v>0</v>
      </c>
      <c r="R6" s="16">
        <v>1148</v>
      </c>
      <c r="S6" s="10">
        <v>1108</v>
      </c>
      <c r="T6" s="23">
        <v>0</v>
      </c>
      <c r="U6" s="16">
        <v>1063</v>
      </c>
      <c r="V6" s="21">
        <v>1081</v>
      </c>
    </row>
    <row r="7" spans="1:22" ht="15.75" thickBot="1" x14ac:dyDescent="0.3">
      <c r="A7" s="12" t="s">
        <v>25</v>
      </c>
      <c r="B7" s="19">
        <f>VLOOKUP($A7,'[1]credit ethnic graded seats'!$A:$P,HLOOKUP(B$4,'[1]credit ethnic graded seats'!$1:$2,2,FALSE),FALSE)</f>
        <v>0</v>
      </c>
      <c r="C7" s="16">
        <f>VLOOKUP($A7,'[1]credit ethnic graded seats'!$A:$P,HLOOKUP(C$4,'[1]credit ethnic graded seats'!$1:$2,2,FALSE),FALSE)</f>
        <v>12</v>
      </c>
      <c r="D7" s="21">
        <f>VLOOKUP($A7,'[1]credit ethnic graded seats'!$A:$P,HLOOKUP(D$4,'[1]credit ethnic graded seats'!$1:$2,2,FALSE),FALSE)</f>
        <v>17</v>
      </c>
      <c r="E7" s="19">
        <f>VLOOKUP($A7,'[1]credit ethnic graded seats'!$A:$P,HLOOKUP(E$4,'[1]credit ethnic graded seats'!$1:$2,2,FALSE),FALSE)</f>
        <v>8</v>
      </c>
      <c r="F7" s="16">
        <f>VLOOKUP($A7,'[1]credit ethnic graded seats'!$A:$P,HLOOKUP(F$4,'[1]credit ethnic graded seats'!$1:$2,2,FALSE),FALSE)</f>
        <v>26</v>
      </c>
      <c r="G7" s="16">
        <f>VLOOKUP($A7,'[1]credit ethnic graded seats'!$A:$P,HLOOKUP(G$4,'[1]credit ethnic graded seats'!$1:$2,2,FALSE),FALSE)</f>
        <v>29</v>
      </c>
      <c r="H7" s="16">
        <f>VLOOKUP($A7,'[1]credit ethnic graded seats'!$A:$P,HLOOKUP(H$4,'[1]credit ethnic graded seats'!$1:$2,2,FALSE),FALSE)</f>
        <v>11</v>
      </c>
      <c r="I7" s="16">
        <f>VLOOKUP($A7,'[1]credit ethnic graded seats'!$A:$P,HLOOKUP(I$4,'[1]credit ethnic graded seats'!$1:$2,2,FALSE),FALSE)</f>
        <v>27</v>
      </c>
      <c r="J7" s="10">
        <f>VLOOKUP($A7,'[1]credit ethnic graded seats'!$A:$P,HLOOKUP(J$4,'[1]credit ethnic graded seats'!$1:$2,2,FALSE),FALSE)</f>
        <v>24</v>
      </c>
      <c r="K7" s="19">
        <f>VLOOKUP($A7,'[1]credit ethnic graded seats'!$A:$P,HLOOKUP(K$4,'[1]credit ethnic graded seats'!$1:$2,2,FALSE),FALSE)</f>
        <v>4</v>
      </c>
      <c r="L7" s="16">
        <f>VLOOKUP($A7,'[1]credit ethnic graded seats'!$A:$P,HLOOKUP(L$4,'[1]credit ethnic graded seats'!$1:$2,2,FALSE),FALSE)</f>
        <v>17</v>
      </c>
      <c r="M7" s="10">
        <f>VLOOKUP($A7,'[1]credit ethnic graded seats'!$A:$P,HLOOKUP(M$4,'[1]credit ethnic graded seats'!$1:$2,2,FALSE),FALSE)</f>
        <v>23</v>
      </c>
      <c r="N7" s="23">
        <f>VLOOKUP($A7,'[1]credit ethnic graded seats'!$A:$P,HLOOKUP(N$4,'[1]credit ethnic graded seats'!$1:$2,2,FALSE),FALSE)</f>
        <v>0</v>
      </c>
      <c r="O7" s="16">
        <f>VLOOKUP($A7,'[1]credit ethnic graded seats'!$A:$P,HLOOKUP(O$4,'[1]credit ethnic graded seats'!$1:$2,2,FALSE),FALSE)</f>
        <v>13</v>
      </c>
      <c r="P7" s="21">
        <f>VLOOKUP($A7,'[1]credit ethnic graded seats'!$A:$P,HLOOKUP(P$4,'[1]credit ethnic graded seats'!$1:$2,2,FALSE),FALSE)</f>
        <v>11</v>
      </c>
      <c r="Q7" s="19">
        <v>0</v>
      </c>
      <c r="R7" s="16">
        <v>13</v>
      </c>
      <c r="S7" s="10">
        <v>13</v>
      </c>
      <c r="T7" s="23">
        <v>0</v>
      </c>
      <c r="U7" s="16">
        <v>14</v>
      </c>
      <c r="V7" s="21">
        <v>14</v>
      </c>
    </row>
    <row r="8" spans="1:22" ht="15.75" thickBot="1" x14ac:dyDescent="0.3">
      <c r="A8" s="6" t="s">
        <v>26</v>
      </c>
      <c r="B8" s="25">
        <f>VLOOKUP($A8,'[1]credit ethnic graded seats'!$A:$P,HLOOKUP(B$4,'[1]credit ethnic graded seats'!$1:$2,2,FALSE),FALSE)</f>
        <v>19</v>
      </c>
      <c r="C8" s="26">
        <f>VLOOKUP($A8,'[1]credit ethnic graded seats'!$A:$P,HLOOKUP(C$4,'[1]credit ethnic graded seats'!$1:$2,2,FALSE),FALSE)</f>
        <v>1419</v>
      </c>
      <c r="D8" s="24">
        <f>VLOOKUP($A8,'[1]credit ethnic graded seats'!$A:$P,HLOOKUP(D$4,'[1]credit ethnic graded seats'!$1:$2,2,FALSE),FALSE)</f>
        <v>1468</v>
      </c>
      <c r="E8" s="28">
        <f>VLOOKUP($A8,'[1]credit ethnic graded seats'!$A:$P,HLOOKUP(E$4,'[1]credit ethnic graded seats'!$1:$2,2,FALSE),FALSE)</f>
        <v>490</v>
      </c>
      <c r="F8" s="26">
        <f>VLOOKUP($A8,'[1]credit ethnic graded seats'!$A:$P,HLOOKUP(F$4,'[1]credit ethnic graded seats'!$1:$2,2,FALSE),FALSE)</f>
        <v>1986</v>
      </c>
      <c r="G8" s="27">
        <f>VLOOKUP($A8,'[1]credit ethnic graded seats'!$A:$P,HLOOKUP(G$4,'[1]credit ethnic graded seats'!$1:$2,2,FALSE),FALSE)</f>
        <v>2581</v>
      </c>
      <c r="H8" s="25">
        <f>VLOOKUP($A8,'[1]credit ethnic graded seats'!$A:$P,HLOOKUP(H$4,'[1]credit ethnic graded seats'!$1:$2,2,FALSE),FALSE)</f>
        <v>703</v>
      </c>
      <c r="I8" s="26">
        <f>VLOOKUP($A8,'[1]credit ethnic graded seats'!$A:$P,HLOOKUP(I$4,'[1]credit ethnic graded seats'!$1:$2,2,FALSE),FALSE)</f>
        <v>2539</v>
      </c>
      <c r="J8" s="24">
        <f>VLOOKUP($A8,'[1]credit ethnic graded seats'!$A:$P,HLOOKUP(J$4,'[1]credit ethnic graded seats'!$1:$2,2,FALSE),FALSE)</f>
        <v>2445</v>
      </c>
      <c r="K8" s="28">
        <f>VLOOKUP($A8,'[1]credit ethnic graded seats'!$A:$P,HLOOKUP(K$4,'[1]credit ethnic graded seats'!$1:$2,2,FALSE),FALSE)</f>
        <v>386</v>
      </c>
      <c r="L8" s="26">
        <f>VLOOKUP($A8,'[1]credit ethnic graded seats'!$A:$P,HLOOKUP(L$4,'[1]credit ethnic graded seats'!$1:$2,2,FALSE),FALSE)</f>
        <v>2223</v>
      </c>
      <c r="M8" s="27">
        <f>VLOOKUP($A8,'[1]credit ethnic graded seats'!$A:$P,HLOOKUP(M$4,'[1]credit ethnic graded seats'!$1:$2,2,FALSE),FALSE)</f>
        <v>2173</v>
      </c>
      <c r="N8" s="25">
        <f>VLOOKUP($A8,'[1]credit ethnic graded seats'!$A:$P,HLOOKUP(N$4,'[1]credit ethnic graded seats'!$1:$2,2,FALSE),FALSE)</f>
        <v>0</v>
      </c>
      <c r="O8" s="25">
        <f>VLOOKUP($A8,'[1]credit ethnic graded seats'!$A:$P,HLOOKUP(O$4,'[1]credit ethnic graded seats'!$1:$2,2,FALSE),FALSE)</f>
        <v>2043</v>
      </c>
      <c r="P8" s="25">
        <f>VLOOKUP($A8,'[1]credit ethnic graded seats'!$A:$P,HLOOKUP(P$4,'[1]credit ethnic graded seats'!$1:$2,2,FALSE),FALSE)</f>
        <v>2005</v>
      </c>
      <c r="Q8" s="28">
        <f>SUM(Q5:Q7)</f>
        <v>1</v>
      </c>
      <c r="R8" s="28">
        <f t="shared" ref="R8:U8" si="0">SUM(R5:R7)</f>
        <v>2049</v>
      </c>
      <c r="S8" s="28">
        <f t="shared" si="0"/>
        <v>1927</v>
      </c>
      <c r="T8" s="28">
        <f t="shared" si="0"/>
        <v>0</v>
      </c>
      <c r="U8" s="28">
        <f t="shared" si="0"/>
        <v>1858</v>
      </c>
      <c r="V8" s="28">
        <v>1818</v>
      </c>
    </row>
    <row r="9" spans="1:22" s="1" customFormat="1" ht="16.5" thickTop="1" thickBot="1" x14ac:dyDescent="0.3">
      <c r="A9" s="15" t="s">
        <v>6</v>
      </c>
      <c r="B9" s="68">
        <f>[2]Totals!B$15</f>
        <v>2678</v>
      </c>
      <c r="C9" s="69"/>
      <c r="D9" s="70"/>
      <c r="E9" s="68">
        <f>[2]Totals!E$15</f>
        <v>4486</v>
      </c>
      <c r="F9" s="69"/>
      <c r="G9" s="70"/>
      <c r="H9" s="68">
        <f>[2]Totals!H$15</f>
        <v>4739</v>
      </c>
      <c r="I9" s="69"/>
      <c r="J9" s="70"/>
      <c r="K9" s="68">
        <f>[2]Totals!K$15</f>
        <v>3891</v>
      </c>
      <c r="L9" s="69"/>
      <c r="M9" s="70"/>
      <c r="N9" s="68">
        <v>3265</v>
      </c>
      <c r="O9" s="69"/>
      <c r="P9" s="70"/>
      <c r="Q9" s="68">
        <v>3230</v>
      </c>
      <c r="R9" s="69"/>
      <c r="S9" s="70"/>
      <c r="T9" s="68">
        <v>2958</v>
      </c>
      <c r="U9" s="69"/>
      <c r="V9" s="70"/>
    </row>
    <row r="10" spans="1:2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5.75" x14ac:dyDescent="0.25">
      <c r="A11" s="71" t="s">
        <v>27</v>
      </c>
      <c r="B11" s="56" t="s">
        <v>28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spans="1:22" ht="16.5" thickBot="1" x14ac:dyDescent="0.3">
      <c r="A12" s="72"/>
      <c r="B12" s="58" t="str">
        <f>B2</f>
        <v>MSJC I-15 Corridor / TEM Total by Gender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</row>
    <row r="13" spans="1:22" ht="15.75" thickBot="1" x14ac:dyDescent="0.3">
      <c r="A13" s="73"/>
      <c r="B13" s="65" t="s">
        <v>1</v>
      </c>
      <c r="C13" s="66"/>
      <c r="D13" s="67"/>
      <c r="E13" s="62" t="s">
        <v>2</v>
      </c>
      <c r="F13" s="63"/>
      <c r="G13" s="64"/>
      <c r="H13" s="65" t="s">
        <v>3</v>
      </c>
      <c r="I13" s="66"/>
      <c r="J13" s="67"/>
      <c r="K13" s="62" t="s">
        <v>4</v>
      </c>
      <c r="L13" s="63"/>
      <c r="M13" s="64"/>
      <c r="N13" s="65" t="s">
        <v>5</v>
      </c>
      <c r="O13" s="66"/>
      <c r="P13" s="67"/>
      <c r="Q13" s="62" t="s">
        <v>34</v>
      </c>
      <c r="R13" s="63"/>
      <c r="S13" s="64"/>
      <c r="T13" s="65" t="s">
        <v>35</v>
      </c>
      <c r="U13" s="66"/>
      <c r="V13" s="67"/>
    </row>
    <row r="14" spans="1:22" ht="15.75" thickBot="1" x14ac:dyDescent="0.3">
      <c r="A14" s="11" t="s">
        <v>7</v>
      </c>
      <c r="B14" s="29" t="s">
        <v>8</v>
      </c>
      <c r="C14" s="30" t="s">
        <v>9</v>
      </c>
      <c r="D14" s="31" t="s">
        <v>10</v>
      </c>
      <c r="E14" s="32" t="s">
        <v>11</v>
      </c>
      <c r="F14" s="33" t="s">
        <v>12</v>
      </c>
      <c r="G14" s="34" t="s">
        <v>13</v>
      </c>
      <c r="H14" s="29" t="s">
        <v>14</v>
      </c>
      <c r="I14" s="30" t="s">
        <v>15</v>
      </c>
      <c r="J14" s="31" t="s">
        <v>16</v>
      </c>
      <c r="K14" s="32" t="s">
        <v>17</v>
      </c>
      <c r="L14" s="33" t="s">
        <v>18</v>
      </c>
      <c r="M14" s="34" t="s">
        <v>19</v>
      </c>
      <c r="N14" s="29" t="s">
        <v>20</v>
      </c>
      <c r="O14" s="30" t="s">
        <v>21</v>
      </c>
      <c r="P14" s="31" t="s">
        <v>22</v>
      </c>
      <c r="Q14" s="32" t="s">
        <v>36</v>
      </c>
      <c r="R14" s="33" t="s">
        <v>37</v>
      </c>
      <c r="S14" s="34" t="s">
        <v>38</v>
      </c>
      <c r="T14" s="29" t="s">
        <v>39</v>
      </c>
      <c r="U14" s="30" t="s">
        <v>40</v>
      </c>
      <c r="V14" s="36" t="s">
        <v>41</v>
      </c>
    </row>
    <row r="15" spans="1:22" x14ac:dyDescent="0.25">
      <c r="A15" s="40" t="s">
        <v>23</v>
      </c>
      <c r="B15" s="37">
        <f t="shared" ref="B15:M15" si="1">IFERROR((B5/B$8),0)</f>
        <v>0.42105263157894735</v>
      </c>
      <c r="C15" s="41">
        <f t="shared" si="1"/>
        <v>0.3699788583509514</v>
      </c>
      <c r="D15" s="44">
        <f t="shared" si="1"/>
        <v>0.34673024523160761</v>
      </c>
      <c r="E15" s="37">
        <f t="shared" si="1"/>
        <v>0.35306122448979593</v>
      </c>
      <c r="F15" s="41">
        <f t="shared" si="1"/>
        <v>0.38519637462235651</v>
      </c>
      <c r="G15" s="38">
        <f t="shared" si="1"/>
        <v>0.36574970941495544</v>
      </c>
      <c r="H15" s="46">
        <f t="shared" si="1"/>
        <v>0.35704125177809387</v>
      </c>
      <c r="I15" s="41">
        <f t="shared" si="1"/>
        <v>0.40803465931469085</v>
      </c>
      <c r="J15" s="44">
        <f t="shared" si="1"/>
        <v>0.41881390593047035</v>
      </c>
      <c r="K15" s="37">
        <f t="shared" si="1"/>
        <v>0.41450777202072536</v>
      </c>
      <c r="L15" s="41">
        <f t="shared" si="1"/>
        <v>0.42959964012595592</v>
      </c>
      <c r="M15" s="38">
        <f t="shared" si="1"/>
        <v>0.42475839852738151</v>
      </c>
      <c r="N15" s="46">
        <f>IFERROR((N5/N$8),0)</f>
        <v>0</v>
      </c>
      <c r="O15" s="41">
        <f t="shared" ref="O15:P15" si="2">IFERROR((O5/O$8),0)</f>
        <v>0.43073910915320607</v>
      </c>
      <c r="P15" s="48">
        <f t="shared" si="2"/>
        <v>0.43640897755610975</v>
      </c>
      <c r="Q15" s="37">
        <v>1</v>
      </c>
      <c r="R15" s="41">
        <v>0.43459999999999999</v>
      </c>
      <c r="S15" s="38">
        <v>0.41799999999999998</v>
      </c>
      <c r="T15" s="46">
        <v>0</v>
      </c>
      <c r="U15" s="41">
        <v>0.4199</v>
      </c>
      <c r="V15" s="48">
        <v>0.3977</v>
      </c>
    </row>
    <row r="16" spans="1:22" x14ac:dyDescent="0.25">
      <c r="A16" s="12" t="s">
        <v>24</v>
      </c>
      <c r="B16" s="43">
        <f t="shared" ref="B16:O16" si="3">IFERROR((B6/B$8),0)</f>
        <v>0.57894736842105265</v>
      </c>
      <c r="C16" s="42">
        <f t="shared" si="3"/>
        <v>0.62156448202959835</v>
      </c>
      <c r="D16" s="45">
        <f t="shared" si="3"/>
        <v>0.64168937329700271</v>
      </c>
      <c r="E16" s="43">
        <f t="shared" si="3"/>
        <v>0.6306122448979592</v>
      </c>
      <c r="F16" s="42">
        <f t="shared" si="3"/>
        <v>0.60171198388721048</v>
      </c>
      <c r="G16" s="39">
        <f t="shared" si="3"/>
        <v>0.62301433552886476</v>
      </c>
      <c r="H16" s="47">
        <f t="shared" si="3"/>
        <v>0.62731152204836416</v>
      </c>
      <c r="I16" s="42">
        <f t="shared" si="3"/>
        <v>0.58133123276880661</v>
      </c>
      <c r="J16" s="45">
        <f t="shared" si="3"/>
        <v>0.57137014314928425</v>
      </c>
      <c r="K16" s="43">
        <f t="shared" si="3"/>
        <v>0.57512953367875652</v>
      </c>
      <c r="L16" s="42">
        <f t="shared" si="3"/>
        <v>0.56275303643724695</v>
      </c>
      <c r="M16" s="39">
        <f t="shared" si="3"/>
        <v>0.56465715600552235</v>
      </c>
      <c r="N16" s="47">
        <f t="shared" si="3"/>
        <v>0</v>
      </c>
      <c r="O16" s="42">
        <f t="shared" si="3"/>
        <v>0.56289769946157608</v>
      </c>
      <c r="P16" s="45">
        <f t="shared" ref="P16" si="4">IFERROR((P6/P$8),0)</f>
        <v>0.55810473815461348</v>
      </c>
      <c r="Q16" s="43">
        <v>0</v>
      </c>
      <c r="R16" s="42">
        <v>0.56010000000000004</v>
      </c>
      <c r="S16" s="39">
        <v>0.5756</v>
      </c>
      <c r="T16" s="47">
        <v>0</v>
      </c>
      <c r="U16" s="42">
        <v>0.5726</v>
      </c>
      <c r="V16" s="45">
        <v>0.59460000000000002</v>
      </c>
    </row>
    <row r="17" spans="1:22" x14ac:dyDescent="0.25">
      <c r="A17" s="12" t="s">
        <v>25</v>
      </c>
      <c r="B17" s="43">
        <f t="shared" ref="B17:O17" si="5">IFERROR((B7/B$8),0)</f>
        <v>0</v>
      </c>
      <c r="C17" s="42">
        <f t="shared" si="5"/>
        <v>8.4566596194503175E-3</v>
      </c>
      <c r="D17" s="45">
        <f t="shared" si="5"/>
        <v>1.1580381471389645E-2</v>
      </c>
      <c r="E17" s="43">
        <f t="shared" si="5"/>
        <v>1.6326530612244899E-2</v>
      </c>
      <c r="F17" s="42">
        <f t="shared" si="5"/>
        <v>1.3091641490433032E-2</v>
      </c>
      <c r="G17" s="39">
        <f t="shared" si="5"/>
        <v>1.1235955056179775E-2</v>
      </c>
      <c r="H17" s="47">
        <f t="shared" si="5"/>
        <v>1.5647226173541962E-2</v>
      </c>
      <c r="I17" s="42">
        <f t="shared" si="5"/>
        <v>1.063410791650256E-2</v>
      </c>
      <c r="J17" s="45">
        <f t="shared" si="5"/>
        <v>9.8159509202453993E-3</v>
      </c>
      <c r="K17" s="43">
        <f t="shared" si="5"/>
        <v>1.0362694300518135E-2</v>
      </c>
      <c r="L17" s="42">
        <f t="shared" si="5"/>
        <v>7.6473234367971212E-3</v>
      </c>
      <c r="M17" s="39">
        <f t="shared" si="5"/>
        <v>1.0584445467096181E-2</v>
      </c>
      <c r="N17" s="47">
        <f t="shared" si="5"/>
        <v>0</v>
      </c>
      <c r="O17" s="42">
        <f t="shared" si="5"/>
        <v>6.3631913852178167E-3</v>
      </c>
      <c r="P17" s="45">
        <f t="shared" ref="P17" si="6">IFERROR((P7/P$8),0)</f>
        <v>5.4862842892768084E-3</v>
      </c>
      <c r="Q17" s="43">
        <v>0</v>
      </c>
      <c r="R17" s="42">
        <v>6.3E-3</v>
      </c>
      <c r="S17" s="39">
        <v>6.7000000000000002E-3</v>
      </c>
      <c r="T17" s="47">
        <v>0</v>
      </c>
      <c r="U17" s="42">
        <v>7.4999999999999997E-3</v>
      </c>
      <c r="V17" s="45">
        <v>7.7000000000000002E-3</v>
      </c>
    </row>
    <row r="18" spans="1:22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2" ht="15.75" x14ac:dyDescent="0.25">
      <c r="A19" s="71" t="s">
        <v>29</v>
      </c>
      <c r="B19" s="56" t="s">
        <v>29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spans="1:22" ht="16.5" thickBot="1" x14ac:dyDescent="0.3">
      <c r="A20" s="72"/>
      <c r="B20" s="58" t="str">
        <f>B12</f>
        <v>MSJC I-15 Corridor / TEM Total by Gender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</row>
    <row r="21" spans="1:22" ht="15.75" thickBot="1" x14ac:dyDescent="0.3">
      <c r="A21" s="73"/>
      <c r="B21" s="65" t="s">
        <v>1</v>
      </c>
      <c r="C21" s="66"/>
      <c r="D21" s="67"/>
      <c r="E21" s="62" t="s">
        <v>2</v>
      </c>
      <c r="F21" s="63"/>
      <c r="G21" s="64"/>
      <c r="H21" s="65" t="s">
        <v>3</v>
      </c>
      <c r="I21" s="66"/>
      <c r="J21" s="67"/>
      <c r="K21" s="62" t="s">
        <v>4</v>
      </c>
      <c r="L21" s="63"/>
      <c r="M21" s="64"/>
      <c r="N21" s="60" t="s">
        <v>5</v>
      </c>
      <c r="O21" s="61"/>
      <c r="P21" s="61"/>
      <c r="Q21" s="62" t="s">
        <v>34</v>
      </c>
      <c r="R21" s="63"/>
      <c r="S21" s="64"/>
      <c r="T21" s="65" t="s">
        <v>35</v>
      </c>
      <c r="U21" s="66"/>
      <c r="V21" s="67"/>
    </row>
    <row r="22" spans="1:22" ht="15.75" thickBot="1" x14ac:dyDescent="0.3">
      <c r="A22" s="49" t="s">
        <v>7</v>
      </c>
      <c r="B22" s="29" t="s">
        <v>8</v>
      </c>
      <c r="C22" s="30" t="s">
        <v>9</v>
      </c>
      <c r="D22" s="31" t="s">
        <v>10</v>
      </c>
      <c r="E22" s="32" t="s">
        <v>11</v>
      </c>
      <c r="F22" s="33" t="s">
        <v>12</v>
      </c>
      <c r="G22" s="34" t="s">
        <v>13</v>
      </c>
      <c r="H22" s="29" t="s">
        <v>14</v>
      </c>
      <c r="I22" s="30" t="s">
        <v>15</v>
      </c>
      <c r="J22" s="31" t="s">
        <v>16</v>
      </c>
      <c r="K22" s="32" t="s">
        <v>17</v>
      </c>
      <c r="L22" s="33" t="s">
        <v>18</v>
      </c>
      <c r="M22" s="34" t="s">
        <v>19</v>
      </c>
      <c r="N22" s="29" t="s">
        <v>20</v>
      </c>
      <c r="O22" s="30" t="s">
        <v>21</v>
      </c>
      <c r="P22" s="31" t="s">
        <v>22</v>
      </c>
      <c r="Q22" s="32" t="s">
        <v>36</v>
      </c>
      <c r="R22" s="33" t="s">
        <v>37</v>
      </c>
      <c r="S22" s="34" t="s">
        <v>38</v>
      </c>
      <c r="T22" s="29" t="s">
        <v>39</v>
      </c>
      <c r="U22" s="30" t="s">
        <v>40</v>
      </c>
      <c r="V22" s="36" t="s">
        <v>41</v>
      </c>
    </row>
    <row r="23" spans="1:22" x14ac:dyDescent="0.25">
      <c r="A23" s="40" t="s">
        <v>23</v>
      </c>
      <c r="B23" s="50">
        <v>1</v>
      </c>
      <c r="C23" s="51">
        <v>0.64</v>
      </c>
      <c r="D23" s="52">
        <v>0.67</v>
      </c>
      <c r="E23" s="50">
        <v>0.85</v>
      </c>
      <c r="F23" s="51">
        <v>0.69</v>
      </c>
      <c r="G23" s="52">
        <v>0.7</v>
      </c>
      <c r="H23" s="50">
        <v>0.78</v>
      </c>
      <c r="I23" s="51">
        <v>0.71</v>
      </c>
      <c r="J23" s="52">
        <v>0.67</v>
      </c>
      <c r="K23" s="50">
        <v>0.87</v>
      </c>
      <c r="L23" s="51">
        <v>0.7</v>
      </c>
      <c r="M23" s="52">
        <v>0.68</v>
      </c>
      <c r="N23" s="50"/>
      <c r="O23" s="50">
        <v>0.74</v>
      </c>
      <c r="P23" s="50">
        <v>0.73</v>
      </c>
      <c r="Q23" s="50">
        <v>1</v>
      </c>
      <c r="R23" s="51">
        <v>0.75</v>
      </c>
      <c r="S23" s="52">
        <v>0.72</v>
      </c>
      <c r="T23" s="50"/>
      <c r="U23" s="50">
        <v>0.73</v>
      </c>
      <c r="V23" s="50">
        <v>0.71</v>
      </c>
    </row>
    <row r="24" spans="1:22" x14ac:dyDescent="0.25">
      <c r="A24" s="12" t="s">
        <v>24</v>
      </c>
      <c r="B24" s="50">
        <v>1</v>
      </c>
      <c r="C24" s="51">
        <v>0.68</v>
      </c>
      <c r="D24" s="52">
        <v>0.76</v>
      </c>
      <c r="E24" s="50">
        <v>0.89</v>
      </c>
      <c r="F24" s="51">
        <v>0.7</v>
      </c>
      <c r="G24" s="52">
        <v>0.75</v>
      </c>
      <c r="H24" s="50">
        <v>0.86</v>
      </c>
      <c r="I24" s="51">
        <v>0.77</v>
      </c>
      <c r="J24" s="52">
        <v>0.73</v>
      </c>
      <c r="K24" s="50">
        <v>0.88</v>
      </c>
      <c r="L24" s="51">
        <v>0.77</v>
      </c>
      <c r="M24" s="52">
        <v>0.75</v>
      </c>
      <c r="N24" s="50"/>
      <c r="O24" s="50">
        <v>0.78</v>
      </c>
      <c r="P24" s="50">
        <v>0.75</v>
      </c>
      <c r="Q24" s="50"/>
      <c r="R24" s="51">
        <v>0.77</v>
      </c>
      <c r="S24" s="52">
        <v>0.77</v>
      </c>
      <c r="T24" s="50"/>
      <c r="U24" s="50">
        <v>0.78</v>
      </c>
      <c r="V24" s="50">
        <v>0.76</v>
      </c>
    </row>
    <row r="25" spans="1:22" ht="15.75" thickBot="1" x14ac:dyDescent="0.3">
      <c r="A25" s="7" t="s">
        <v>25</v>
      </c>
      <c r="B25" s="53"/>
      <c r="C25" s="54">
        <v>0.71</v>
      </c>
      <c r="D25" s="55">
        <v>0.76</v>
      </c>
      <c r="E25" s="53">
        <v>0.89</v>
      </c>
      <c r="F25" s="54">
        <v>0.84</v>
      </c>
      <c r="G25" s="55">
        <v>0.79</v>
      </c>
      <c r="H25" s="53">
        <v>1</v>
      </c>
      <c r="I25" s="54">
        <v>0.63</v>
      </c>
      <c r="J25" s="55">
        <v>0.7</v>
      </c>
      <c r="K25" s="53">
        <v>0.5</v>
      </c>
      <c r="L25" s="54">
        <v>0.82</v>
      </c>
      <c r="M25" s="55">
        <v>0.67</v>
      </c>
      <c r="N25" s="53"/>
      <c r="O25" s="53">
        <v>0.9</v>
      </c>
      <c r="P25" s="53">
        <v>0.79</v>
      </c>
      <c r="Q25" s="53"/>
      <c r="R25" s="54">
        <v>0.88</v>
      </c>
      <c r="S25" s="55">
        <v>0.91</v>
      </c>
      <c r="T25" s="53"/>
      <c r="U25" s="53">
        <v>0.74</v>
      </c>
      <c r="V25" s="53">
        <v>0.65</v>
      </c>
    </row>
    <row r="26" spans="1:22" s="1" customFormat="1" ht="15.75" thickBot="1" x14ac:dyDescent="0.3">
      <c r="A26" s="14" t="s">
        <v>30</v>
      </c>
      <c r="B26" s="8">
        <v>1</v>
      </c>
      <c r="C26" s="8">
        <v>0.66</v>
      </c>
      <c r="D26" s="8">
        <v>0.73</v>
      </c>
      <c r="E26" s="8">
        <v>0.87</v>
      </c>
      <c r="F26" s="8">
        <v>0.7</v>
      </c>
      <c r="G26" s="8">
        <v>0.73</v>
      </c>
      <c r="H26" s="8">
        <v>0.83</v>
      </c>
      <c r="I26" s="8">
        <v>0.74</v>
      </c>
      <c r="J26" s="8">
        <v>0.7</v>
      </c>
      <c r="K26" s="8">
        <v>0.88</v>
      </c>
      <c r="L26" s="8">
        <v>0.74</v>
      </c>
      <c r="M26" s="8">
        <v>0.72</v>
      </c>
      <c r="N26" s="8"/>
      <c r="O26" s="8">
        <v>0.76</v>
      </c>
      <c r="P26" s="8">
        <v>0.74</v>
      </c>
      <c r="Q26" s="8">
        <f>AVERAGE(Q23:Q25)</f>
        <v>1</v>
      </c>
      <c r="R26" s="8">
        <v>0.76</v>
      </c>
      <c r="S26" s="8">
        <v>0.75</v>
      </c>
      <c r="T26" s="8"/>
      <c r="U26" s="8">
        <v>0.76</v>
      </c>
      <c r="V26" s="8">
        <v>0.74</v>
      </c>
    </row>
    <row r="27" spans="1:22" x14ac:dyDescent="0.25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2" x14ac:dyDescent="0.25">
      <c r="A28" s="5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2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</row>
  </sheetData>
  <mergeCells count="37">
    <mergeCell ref="B1:V1"/>
    <mergeCell ref="B2:V2"/>
    <mergeCell ref="A11:A13"/>
    <mergeCell ref="B13:D13"/>
    <mergeCell ref="E13:G13"/>
    <mergeCell ref="H13:J13"/>
    <mergeCell ref="K13:M13"/>
    <mergeCell ref="N13:P13"/>
    <mergeCell ref="A1:A3"/>
    <mergeCell ref="B3:D3"/>
    <mergeCell ref="E3:G3"/>
    <mergeCell ref="H3:J3"/>
    <mergeCell ref="K3:M3"/>
    <mergeCell ref="B9:D9"/>
    <mergeCell ref="E9:G9"/>
    <mergeCell ref="H9:J9"/>
    <mergeCell ref="A19:A21"/>
    <mergeCell ref="B21:D21"/>
    <mergeCell ref="E21:G21"/>
    <mergeCell ref="H21:J21"/>
    <mergeCell ref="K21:M21"/>
    <mergeCell ref="K9:M9"/>
    <mergeCell ref="N9:P9"/>
    <mergeCell ref="Q3:S3"/>
    <mergeCell ref="T3:V3"/>
    <mergeCell ref="Q9:S9"/>
    <mergeCell ref="T9:V9"/>
    <mergeCell ref="N3:P3"/>
    <mergeCell ref="B11:V11"/>
    <mergeCell ref="B12:V12"/>
    <mergeCell ref="N21:P21"/>
    <mergeCell ref="Q13:S13"/>
    <mergeCell ref="T13:V13"/>
    <mergeCell ref="Q21:S21"/>
    <mergeCell ref="T21:V21"/>
    <mergeCell ref="B19:V19"/>
    <mergeCell ref="B20:V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9F01B-2AE3-4290-B467-280D79BF1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663A8E-C7BC-4AEA-B400-F416D916A27F}">
  <ds:schemaRefs>
    <ds:schemaRef ds:uri="http://www.w3.org/XML/1998/namespace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DC1232-2562-492C-AC0C-88AD046BE2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LIVE.tem.gender</dc:title>
  <dc:creator>nmesaris</dc:creator>
  <cp:lastModifiedBy>Wesley Klein</cp:lastModifiedBy>
  <dcterms:created xsi:type="dcterms:W3CDTF">2012-03-22T21:49:41Z</dcterms:created>
  <dcterms:modified xsi:type="dcterms:W3CDTF">2014-07-22T16:59:55Z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