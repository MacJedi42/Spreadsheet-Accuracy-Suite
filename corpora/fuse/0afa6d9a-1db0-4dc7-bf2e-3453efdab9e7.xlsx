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workbookPr showInkAnnotation="0" autoCompressPictures="0"/>
  <bookViews>
    <workbookView xWindow="0" yWindow="0" windowWidth="25600" windowHeight="16060"/>
  </bookViews>
  <sheets>
    <sheet name="ALvl Passes 1960 - 2008" sheetId="7" r:id="rId1"/>
    <sheet name="Population" sheetId="10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1" i="10" l="1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10" i="10"/>
  <c r="E22" i="7"/>
  <c r="D30" i="7"/>
</calcChain>
</file>

<file path=xl/sharedStrings.xml><?xml version="1.0" encoding="utf-8"?>
<sst xmlns="http://schemas.openxmlformats.org/spreadsheetml/2006/main" count="13" uniqueCount="13">
  <si>
    <t>Statistics of Education School Leavers, CSE &amp; GCSE 1982 - 1987</t>
    <phoneticPr fontId="3" type="noConversion"/>
  </si>
  <si>
    <t>MALES</t>
  </si>
  <si>
    <t>FEMALES</t>
  </si>
  <si>
    <t>Mid-year Population Estimates 1961 to 2008, and 2008-based population projections 2009 to 2083, by single year of age and sex in England and Wales</t>
  </si>
  <si>
    <t>1.  Data only available rounded to the nearest hundred</t>
  </si>
  <si>
    <t>Source: Office for National Statistics, Centre for Demography</t>
  </si>
  <si>
    <t>Statistics of Education Volume 2 GCE, CSE &amp; School Leavers 1966-1979</t>
    <phoneticPr fontId="3" type="noConversion"/>
  </si>
  <si>
    <t>Population 18 year olds</t>
  </si>
  <si>
    <t>Data rounded to nearest hundred</t>
  </si>
  <si>
    <t>Mathematics Passes</t>
  </si>
  <si>
    <t>Mathematics Entries</t>
  </si>
  <si>
    <t>Total Passes - All A Level Subjects</t>
  </si>
  <si>
    <t>Total Entries - All A Level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</si>
</sst>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Verdana"/>
    </font>
    <font>
      <sz val="12"/>
      <name val="Times New Roman"/>
      <family val="1"/>
    </font>
    <font>
      <b/>
      <sz val="12"/>
      <name val="Times New Roman"/>
      <family val="1"/>
    </font>
    <font>
      <u/>
      <sz val="10"/>
      <color theme="10"/>
      <name val="Arial"/>
    </font>
    <font>
      <u/>
      <sz val="10"/>
      <color theme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1" xfId="0" applyFont="1" applyBorder="1"/>
    <xf numFmtId="3" fontId="5" fillId="0" borderId="0" xfId="0" applyNumberFormat="1" applyFont="1" applyFill="1" applyBorder="1" applyAlignment="1">
      <alignment horizontal="center"/>
    </xf>
    <xf numFmtId="0" fontId="4" fillId="0" borderId="2" xfId="0" applyFont="1" applyBorder="1"/>
    <xf numFmtId="3" fontId="5" fillId="0" borderId="0" xfId="0" applyNumberFormat="1" applyFont="1" applyFill="1" applyAlignment="1">
      <alignment horizontal="right"/>
    </xf>
    <xf numFmtId="3" fontId="4" fillId="0" borderId="0" xfId="0" quotePrefix="1" applyNumberFormat="1" applyFont="1"/>
    <xf numFmtId="3" fontId="4" fillId="0" borderId="0" xfId="0" applyNumberFormat="1" applyFont="1"/>
    <xf numFmtId="0" fontId="4" fillId="0" borderId="0" xfId="0" applyFont="1" applyBorder="1"/>
    <xf numFmtId="0" fontId="5" fillId="0" borderId="0" xfId="0" applyFont="1"/>
    <xf numFmtId="3" fontId="5" fillId="0" borderId="0" xfId="0" applyNumberFormat="1" applyFont="1" applyFill="1" applyBorder="1" applyAlignment="1">
      <alignment horizontal="left"/>
    </xf>
    <xf numFmtId="1" fontId="5" fillId="0" borderId="0" xfId="0" applyNumberFormat="1" applyFont="1" applyAlignment="1">
      <alignment horizontal="left"/>
    </xf>
    <xf numFmtId="1" fontId="5" fillId="0" borderId="0" xfId="0" quotePrefix="1" applyNumberFormat="1" applyFont="1" applyAlignment="1">
      <alignment horizontal="left"/>
    </xf>
    <xf numFmtId="49" fontId="4" fillId="0" borderId="0" xfId="0" applyNumberFormat="1" applyFont="1"/>
    <xf numFmtId="0" fontId="2" fillId="0" borderId="0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textRotation="90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5"/>
  <sheetViews>
    <sheetView tabSelected="1" topLeftCell="A2" workbookViewId="0">
      <selection activeCell="F3" sqref="F3"/>
    </sheetView>
  </sheetViews>
  <sheetFormatPr baseColWidth="10" defaultRowHeight="12" x14ac:dyDescent="0"/>
  <cols>
    <col min="4" max="4" width="10.83203125" style="5"/>
  </cols>
  <sheetData>
    <row r="1" spans="2:6" s="1" customFormat="1" ht="15" customHeight="1">
      <c r="D1" s="4"/>
    </row>
    <row r="2" spans="2:6" s="2" customFormat="1" ht="48">
      <c r="C2" s="2" t="s">
        <v>9</v>
      </c>
      <c r="D2" s="2" t="s">
        <v>11</v>
      </c>
      <c r="E2" s="2" t="s">
        <v>10</v>
      </c>
      <c r="F2" s="2" t="s">
        <v>12</v>
      </c>
    </row>
    <row r="3" spans="2:6" s="2" customFormat="1">
      <c r="B3" s="19">
        <v>1960</v>
      </c>
      <c r="C3" s="3">
        <v>26858</v>
      </c>
      <c r="D3" s="3">
        <v>146362</v>
      </c>
    </row>
    <row r="4" spans="2:6" s="2" customFormat="1">
      <c r="B4" s="19">
        <v>1961</v>
      </c>
      <c r="C4" s="3">
        <v>29675</v>
      </c>
      <c r="D4" s="3">
        <v>167894</v>
      </c>
    </row>
    <row r="5" spans="2:6" s="2" customFormat="1">
      <c r="B5" s="19">
        <v>1962</v>
      </c>
      <c r="C5" s="3">
        <v>31955</v>
      </c>
      <c r="D5" s="3">
        <v>182236</v>
      </c>
    </row>
    <row r="6" spans="2:6" s="2" customFormat="1">
      <c r="B6" s="19">
        <v>1963</v>
      </c>
      <c r="C6" s="3">
        <v>32670</v>
      </c>
      <c r="D6" s="3">
        <v>194253</v>
      </c>
    </row>
    <row r="7" spans="2:6" s="2" customFormat="1">
      <c r="B7" s="19">
        <v>1964</v>
      </c>
      <c r="C7" s="3">
        <v>34991</v>
      </c>
      <c r="D7" s="3">
        <v>215598</v>
      </c>
    </row>
    <row r="8" spans="2:6" s="2" customFormat="1">
      <c r="B8" s="19">
        <v>1965</v>
      </c>
      <c r="C8" s="3">
        <v>41894</v>
      </c>
      <c r="D8" s="3">
        <v>254788</v>
      </c>
    </row>
    <row r="9" spans="2:6">
      <c r="B9" s="19">
        <v>1966</v>
      </c>
      <c r="C9" s="3">
        <v>40772</v>
      </c>
      <c r="D9" s="3">
        <v>261496</v>
      </c>
      <c r="E9" s="5"/>
      <c r="F9" s="5"/>
    </row>
    <row r="10" spans="2:6">
      <c r="B10" s="19">
        <v>1967</v>
      </c>
      <c r="C10" s="3">
        <v>41412</v>
      </c>
      <c r="D10" s="3">
        <v>273299</v>
      </c>
      <c r="E10" s="5"/>
      <c r="F10" s="5"/>
    </row>
    <row r="11" spans="2:6">
      <c r="B11" s="19">
        <v>1968</v>
      </c>
      <c r="C11" s="3">
        <v>41005</v>
      </c>
      <c r="D11" s="3">
        <v>286633</v>
      </c>
      <c r="E11" s="5"/>
      <c r="F11" s="5"/>
    </row>
    <row r="12" spans="2:6">
      <c r="B12" s="19">
        <v>1969</v>
      </c>
      <c r="C12" s="3">
        <v>40724</v>
      </c>
      <c r="D12" s="3">
        <v>291038</v>
      </c>
      <c r="E12" s="5"/>
      <c r="F12" s="5"/>
    </row>
    <row r="13" spans="2:6">
      <c r="B13" s="19">
        <v>1970</v>
      </c>
      <c r="C13" s="3">
        <v>43469</v>
      </c>
      <c r="D13" s="3">
        <v>303326</v>
      </c>
      <c r="E13" s="5"/>
      <c r="F13" s="5"/>
    </row>
    <row r="14" spans="2:6">
      <c r="B14" s="19">
        <v>1971</v>
      </c>
      <c r="C14" s="3">
        <v>45909</v>
      </c>
      <c r="D14" s="3">
        <v>315240</v>
      </c>
      <c r="E14" s="5"/>
      <c r="F14" s="5"/>
    </row>
    <row r="15" spans="2:6">
      <c r="B15" s="19">
        <v>1972</v>
      </c>
      <c r="C15" s="3">
        <v>47152</v>
      </c>
      <c r="D15" s="3">
        <v>325003</v>
      </c>
      <c r="E15" s="5"/>
      <c r="F15" s="5"/>
    </row>
    <row r="16" spans="2:6">
      <c r="B16" s="19">
        <v>1973</v>
      </c>
      <c r="C16" s="3">
        <v>46179</v>
      </c>
      <c r="D16" s="3">
        <v>328239</v>
      </c>
      <c r="E16" s="5"/>
      <c r="F16" s="5"/>
    </row>
    <row r="17" spans="2:6">
      <c r="B17" s="19">
        <v>1974</v>
      </c>
      <c r="C17" s="3">
        <v>44162</v>
      </c>
      <c r="D17" s="3">
        <v>330339</v>
      </c>
      <c r="E17" s="5"/>
      <c r="F17" s="5"/>
    </row>
    <row r="18" spans="2:6">
      <c r="B18" s="19">
        <v>1975</v>
      </c>
      <c r="C18" s="3">
        <v>46103</v>
      </c>
      <c r="D18" s="3">
        <v>341297</v>
      </c>
      <c r="E18" s="5"/>
      <c r="F18" s="5"/>
    </row>
    <row r="19" spans="2:6">
      <c r="B19" s="19">
        <v>1976</v>
      </c>
      <c r="C19" s="3">
        <v>49996</v>
      </c>
      <c r="D19" s="3">
        <v>362852</v>
      </c>
      <c r="E19" s="5"/>
      <c r="F19" s="5"/>
    </row>
    <row r="20" spans="2:6">
      <c r="B20" s="19">
        <v>1977</v>
      </c>
      <c r="C20" s="3">
        <v>48269</v>
      </c>
      <c r="D20" s="3">
        <v>361323</v>
      </c>
      <c r="E20" s="5"/>
      <c r="F20" s="5"/>
    </row>
    <row r="21" spans="2:6">
      <c r="B21" s="19">
        <v>1978</v>
      </c>
      <c r="C21" s="3">
        <v>51652</v>
      </c>
      <c r="D21" s="3">
        <v>368847</v>
      </c>
      <c r="E21" s="5"/>
      <c r="F21" s="5"/>
    </row>
    <row r="22" spans="2:6">
      <c r="B22" s="19">
        <v>1979</v>
      </c>
      <c r="C22" s="3">
        <v>55940</v>
      </c>
      <c r="D22" s="3">
        <v>377468</v>
      </c>
      <c r="E22" s="5">
        <f>6135+3468+58+45959+5729</f>
        <v>61349</v>
      </c>
      <c r="F22" s="5"/>
    </row>
    <row r="23" spans="2:6">
      <c r="B23" s="19">
        <v>1980</v>
      </c>
      <c r="C23" s="3">
        <v>57390</v>
      </c>
      <c r="D23" s="3">
        <v>384140</v>
      </c>
      <c r="E23" s="5"/>
      <c r="F23" s="5"/>
    </row>
    <row r="24" spans="2:6">
      <c r="B24" s="19">
        <v>1981</v>
      </c>
      <c r="C24" s="3">
        <v>62319</v>
      </c>
      <c r="D24" s="3">
        <v>400338</v>
      </c>
      <c r="E24" s="5"/>
      <c r="F24" s="5"/>
    </row>
    <row r="25" spans="2:6">
      <c r="B25" s="19">
        <v>1982</v>
      </c>
      <c r="C25" s="3">
        <v>64833</v>
      </c>
      <c r="D25" s="3">
        <v>416361</v>
      </c>
      <c r="E25" s="5"/>
      <c r="F25" s="5"/>
    </row>
    <row r="26" spans="2:6">
      <c r="B26" s="19">
        <v>1983</v>
      </c>
      <c r="C26" s="3">
        <v>68061</v>
      </c>
      <c r="D26" s="3">
        <v>437037</v>
      </c>
      <c r="E26" s="5"/>
      <c r="F26" s="5"/>
    </row>
    <row r="27" spans="2:6">
      <c r="B27" s="19">
        <v>1984</v>
      </c>
      <c r="C27" s="3">
        <v>69320</v>
      </c>
      <c r="D27" s="3">
        <v>438283</v>
      </c>
      <c r="E27" s="5"/>
      <c r="F27" s="5"/>
    </row>
    <row r="28" spans="2:6">
      <c r="B28" s="19">
        <v>1985</v>
      </c>
      <c r="C28" s="3">
        <v>67903</v>
      </c>
      <c r="D28" s="3">
        <v>427619</v>
      </c>
      <c r="E28" s="5"/>
      <c r="F28" s="5"/>
    </row>
    <row r="29" spans="2:6">
      <c r="B29" s="19">
        <v>1986</v>
      </c>
      <c r="C29" s="5"/>
      <c r="E29" s="5"/>
      <c r="F29" s="5"/>
    </row>
    <row r="30" spans="2:6">
      <c r="B30" s="19">
        <v>1987</v>
      </c>
      <c r="C30" s="5"/>
      <c r="D30" s="5">
        <f>(63.46+58.45)*1000</f>
        <v>121910</v>
      </c>
      <c r="E30" s="5"/>
      <c r="F30" s="5"/>
    </row>
    <row r="31" spans="2:6">
      <c r="B31" s="19">
        <v>1988</v>
      </c>
      <c r="C31" s="5"/>
      <c r="E31" s="5"/>
      <c r="F31" s="5"/>
    </row>
    <row r="32" spans="2:6">
      <c r="B32" s="19">
        <v>1989</v>
      </c>
      <c r="C32" s="5"/>
      <c r="E32" s="5"/>
      <c r="F32" s="5"/>
    </row>
    <row r="33" spans="2:6">
      <c r="B33" s="19">
        <v>1990</v>
      </c>
      <c r="C33" s="5"/>
      <c r="E33" s="5"/>
      <c r="F33" s="5"/>
    </row>
    <row r="34" spans="2:6">
      <c r="B34" s="19">
        <v>1991</v>
      </c>
      <c r="C34" s="5">
        <v>55974.000000000007</v>
      </c>
      <c r="D34" s="5">
        <v>545178.00000000012</v>
      </c>
      <c r="E34" s="5">
        <v>74972</v>
      </c>
      <c r="F34" s="5">
        <v>699041</v>
      </c>
    </row>
    <row r="35" spans="2:6">
      <c r="B35" s="19">
        <v>1992</v>
      </c>
      <c r="C35" s="5">
        <v>54886</v>
      </c>
      <c r="D35" s="5">
        <v>583170</v>
      </c>
      <c r="E35" s="5">
        <v>72384</v>
      </c>
      <c r="F35" s="5">
        <v>731240</v>
      </c>
    </row>
    <row r="36" spans="2:6">
      <c r="B36" s="19">
        <v>1993</v>
      </c>
      <c r="C36" s="5">
        <v>54682</v>
      </c>
      <c r="D36" s="5">
        <v>595048</v>
      </c>
      <c r="E36" s="5">
        <v>66340</v>
      </c>
      <c r="F36" s="5">
        <v>734081</v>
      </c>
    </row>
    <row r="37" spans="2:6">
      <c r="B37" s="19">
        <v>1994</v>
      </c>
      <c r="C37" s="5">
        <v>55259</v>
      </c>
      <c r="D37" s="5">
        <v>608439.00000000012</v>
      </c>
      <c r="E37" s="5">
        <v>64919</v>
      </c>
      <c r="F37" s="5">
        <v>732974</v>
      </c>
    </row>
    <row r="38" spans="2:6">
      <c r="B38" s="19">
        <v>1995</v>
      </c>
      <c r="C38" s="5">
        <v>56173</v>
      </c>
      <c r="D38" s="5">
        <v>614691</v>
      </c>
      <c r="E38" s="5">
        <v>64605</v>
      </c>
      <c r="F38" s="5">
        <v>730415</v>
      </c>
    </row>
    <row r="39" spans="2:6">
      <c r="B39" s="19">
        <v>1996</v>
      </c>
      <c r="C39" s="5">
        <v>59760</v>
      </c>
      <c r="D39" s="5">
        <v>636741</v>
      </c>
      <c r="E39" s="5">
        <v>67072</v>
      </c>
      <c r="F39" s="5">
        <v>740470</v>
      </c>
    </row>
    <row r="40" spans="2:6">
      <c r="B40" s="19">
        <v>1997</v>
      </c>
      <c r="C40" s="5">
        <v>61903</v>
      </c>
      <c r="D40" s="5">
        <v>681744</v>
      </c>
      <c r="E40" s="5">
        <v>68853</v>
      </c>
      <c r="F40" s="5">
        <v>777710</v>
      </c>
    </row>
    <row r="41" spans="2:6">
      <c r="B41" s="19">
        <v>1998</v>
      </c>
      <c r="C41" s="5">
        <v>61810</v>
      </c>
      <c r="D41" s="5">
        <v>697009</v>
      </c>
      <c r="E41" s="5">
        <v>68846</v>
      </c>
      <c r="F41" s="5">
        <v>790035</v>
      </c>
    </row>
    <row r="42" spans="2:6">
      <c r="B42" s="19">
        <v>1999</v>
      </c>
      <c r="C42" s="5">
        <v>61498</v>
      </c>
      <c r="D42" s="5">
        <v>700597</v>
      </c>
      <c r="E42" s="5">
        <v>68502</v>
      </c>
      <c r="F42" s="5">
        <v>787732</v>
      </c>
    </row>
    <row r="43" spans="2:6">
      <c r="B43" s="19">
        <v>2000</v>
      </c>
      <c r="C43" s="5">
        <v>59407</v>
      </c>
      <c r="D43" s="5">
        <v>693057</v>
      </c>
      <c r="E43" s="5">
        <v>65836</v>
      </c>
      <c r="F43" s="5">
        <v>774364</v>
      </c>
    </row>
    <row r="44" spans="2:6">
      <c r="B44" s="19">
        <v>2001</v>
      </c>
      <c r="C44" s="5">
        <v>59416</v>
      </c>
      <c r="D44" s="5">
        <v>693017</v>
      </c>
      <c r="E44" s="5">
        <v>65891</v>
      </c>
      <c r="F44" s="5">
        <v>768658</v>
      </c>
    </row>
    <row r="45" spans="2:6">
      <c r="B45" s="19">
        <v>2002</v>
      </c>
      <c r="C45" s="5">
        <v>50217</v>
      </c>
      <c r="D45" s="5">
        <v>678440</v>
      </c>
      <c r="E45" s="5">
        <v>52657</v>
      </c>
      <c r="F45" s="5">
        <v>711197</v>
      </c>
    </row>
    <row r="46" spans="2:6">
      <c r="B46" s="19">
        <v>2003</v>
      </c>
      <c r="C46" s="5">
        <v>52303</v>
      </c>
      <c r="D46" s="5">
        <v>710103.99999999988</v>
      </c>
      <c r="E46" s="5">
        <v>54667</v>
      </c>
      <c r="F46" s="5">
        <v>740320</v>
      </c>
    </row>
    <row r="47" spans="2:6">
      <c r="B47" s="19">
        <v>2004</v>
      </c>
      <c r="C47" s="5">
        <v>54672</v>
      </c>
      <c r="D47" s="5">
        <v>723266</v>
      </c>
      <c r="E47" s="5">
        <v>56708</v>
      </c>
      <c r="F47" s="5">
        <v>749576</v>
      </c>
    </row>
    <row r="48" spans="2:6">
      <c r="B48" s="19">
        <v>2005</v>
      </c>
      <c r="C48" s="5">
        <v>55613</v>
      </c>
      <c r="D48" s="5">
        <v>745106</v>
      </c>
      <c r="E48" s="5">
        <v>57440</v>
      </c>
      <c r="F48" s="5">
        <v>769771</v>
      </c>
    </row>
    <row r="49" spans="2:6">
      <c r="B49" s="19">
        <v>2006</v>
      </c>
      <c r="C49" s="5">
        <v>59723</v>
      </c>
      <c r="D49" s="5">
        <v>763652</v>
      </c>
      <c r="E49" s="5">
        <v>61151</v>
      </c>
      <c r="F49" s="5">
        <v>785773</v>
      </c>
    </row>
    <row r="50" spans="2:6">
      <c r="B50" s="19">
        <v>2007</v>
      </c>
      <c r="C50" s="5">
        <v>65440</v>
      </c>
      <c r="D50" s="5">
        <v>774037</v>
      </c>
      <c r="E50" s="5">
        <v>66977</v>
      </c>
      <c r="F50" s="5">
        <v>794290</v>
      </c>
    </row>
    <row r="51" spans="2:6">
      <c r="B51" s="19">
        <v>2008</v>
      </c>
      <c r="C51" s="5">
        <v>73430</v>
      </c>
      <c r="D51" s="5">
        <v>811372</v>
      </c>
      <c r="E51" s="5">
        <v>75457</v>
      </c>
      <c r="F51" s="5">
        <v>834286</v>
      </c>
    </row>
    <row r="52" spans="2:6">
      <c r="B52" s="19">
        <v>2009</v>
      </c>
      <c r="C52" s="5"/>
      <c r="E52" s="5"/>
      <c r="F52" s="5"/>
    </row>
    <row r="54" spans="2:6">
      <c r="C54" t="s">
        <v>6</v>
      </c>
    </row>
    <row r="55" spans="2:6">
      <c r="C55" t="s">
        <v>0</v>
      </c>
    </row>
  </sheetData>
  <phoneticPr fontId="3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workbookViewId="0">
      <selection activeCell="A17" sqref="A17"/>
    </sheetView>
  </sheetViews>
  <sheetFormatPr baseColWidth="10" defaultRowHeight="15" x14ac:dyDescent="0"/>
  <cols>
    <col min="1" max="1" width="14.83203125" style="6" customWidth="1"/>
    <col min="3" max="4" width="14.83203125" style="6" customWidth="1"/>
  </cols>
  <sheetData>
    <row r="1" spans="1:5">
      <c r="A1" s="14" t="s">
        <v>3</v>
      </c>
    </row>
    <row r="2" spans="1:5">
      <c r="A2" s="14"/>
    </row>
    <row r="4" spans="1:5">
      <c r="A4" s="7"/>
      <c r="C4" s="7"/>
      <c r="D4" s="7"/>
    </row>
    <row r="5" spans="1:5">
      <c r="A5" s="8"/>
      <c r="C5" s="8" t="s">
        <v>1</v>
      </c>
      <c r="D5" s="8" t="s">
        <v>2</v>
      </c>
    </row>
    <row r="6" spans="1:5">
      <c r="A6" s="8"/>
      <c r="C6" s="8">
        <v>18</v>
      </c>
      <c r="D6" s="8">
        <v>18</v>
      </c>
    </row>
    <row r="7" spans="1:5">
      <c r="A7" s="9"/>
      <c r="C7" s="9"/>
      <c r="D7" s="9"/>
    </row>
    <row r="8" spans="1:5">
      <c r="A8" s="15"/>
      <c r="B8" s="5" t="s">
        <v>7</v>
      </c>
      <c r="C8" s="10"/>
      <c r="D8" s="10"/>
    </row>
    <row r="9" spans="1:5">
      <c r="A9" s="16">
        <v>1960</v>
      </c>
      <c r="B9" s="5"/>
      <c r="C9" s="10"/>
      <c r="D9" s="10"/>
    </row>
    <row r="10" spans="1:5">
      <c r="A10" s="16">
        <v>1961</v>
      </c>
      <c r="B10" s="20">
        <f>C10+D10</f>
        <v>642200</v>
      </c>
      <c r="C10" s="11">
        <v>323500</v>
      </c>
      <c r="D10" s="11">
        <v>318700</v>
      </c>
      <c r="E10" s="21" t="s">
        <v>8</v>
      </c>
    </row>
    <row r="11" spans="1:5">
      <c r="A11" s="16">
        <v>1962</v>
      </c>
      <c r="B11" s="20">
        <f t="shared" ref="B11:B59" si="0">C11+D11</f>
        <v>668900</v>
      </c>
      <c r="C11" s="11">
        <v>339300</v>
      </c>
      <c r="D11" s="11">
        <v>329600</v>
      </c>
      <c r="E11" s="21"/>
    </row>
    <row r="12" spans="1:5">
      <c r="A12" s="16">
        <v>1963</v>
      </c>
      <c r="B12" s="20">
        <f t="shared" si="0"/>
        <v>667800</v>
      </c>
      <c r="C12" s="11">
        <v>338700</v>
      </c>
      <c r="D12" s="11">
        <v>329100</v>
      </c>
      <c r="E12" s="21"/>
    </row>
    <row r="13" spans="1:5">
      <c r="A13" s="16">
        <v>1964</v>
      </c>
      <c r="B13" s="20">
        <f t="shared" si="0"/>
        <v>675600</v>
      </c>
      <c r="C13" s="11">
        <v>345200</v>
      </c>
      <c r="D13" s="11">
        <v>330400</v>
      </c>
      <c r="E13" s="21"/>
    </row>
    <row r="14" spans="1:5">
      <c r="A14" s="16">
        <v>1965</v>
      </c>
      <c r="B14" s="20">
        <f t="shared" si="0"/>
        <v>844300</v>
      </c>
      <c r="C14" s="11">
        <v>429900</v>
      </c>
      <c r="D14" s="11">
        <v>414400</v>
      </c>
      <c r="E14" s="21"/>
    </row>
    <row r="15" spans="1:5">
      <c r="A15" s="16">
        <v>1966</v>
      </c>
      <c r="B15" s="20">
        <f t="shared" si="0"/>
        <v>774900</v>
      </c>
      <c r="C15" s="11">
        <v>392300</v>
      </c>
      <c r="D15" s="11">
        <v>382600</v>
      </c>
      <c r="E15" s="21"/>
    </row>
    <row r="16" spans="1:5">
      <c r="A16" s="16">
        <v>1967</v>
      </c>
      <c r="B16" s="20">
        <f t="shared" si="0"/>
        <v>724000</v>
      </c>
      <c r="C16" s="11">
        <v>367400</v>
      </c>
      <c r="D16" s="11">
        <v>356600</v>
      </c>
      <c r="E16" s="21"/>
    </row>
    <row r="17" spans="1:5">
      <c r="A17" s="16">
        <v>1968</v>
      </c>
      <c r="B17" s="20">
        <f t="shared" si="0"/>
        <v>695100</v>
      </c>
      <c r="C17" s="11">
        <v>352200</v>
      </c>
      <c r="D17" s="11">
        <v>342900</v>
      </c>
      <c r="E17" s="21"/>
    </row>
    <row r="18" spans="1:5">
      <c r="A18" s="16">
        <v>1969</v>
      </c>
      <c r="B18" s="20">
        <f t="shared" si="0"/>
        <v>675000</v>
      </c>
      <c r="C18" s="11">
        <v>341900</v>
      </c>
      <c r="D18" s="11">
        <v>333100</v>
      </c>
      <c r="E18" s="21"/>
    </row>
    <row r="19" spans="1:5">
      <c r="A19" s="16">
        <v>1970</v>
      </c>
      <c r="B19" s="20">
        <f t="shared" si="0"/>
        <v>654000</v>
      </c>
      <c r="C19" s="11">
        <v>332200</v>
      </c>
      <c r="D19" s="11">
        <v>321800</v>
      </c>
      <c r="E19" s="21"/>
    </row>
    <row r="20" spans="1:5">
      <c r="A20" s="16">
        <v>1971</v>
      </c>
      <c r="B20" s="20">
        <f t="shared" si="0"/>
        <v>669400</v>
      </c>
      <c r="C20" s="11">
        <v>341200</v>
      </c>
      <c r="D20" s="11">
        <v>328200</v>
      </c>
      <c r="E20" s="21"/>
    </row>
    <row r="21" spans="1:5">
      <c r="A21" s="16">
        <v>1972</v>
      </c>
      <c r="B21" s="20">
        <f t="shared" si="0"/>
        <v>676800</v>
      </c>
      <c r="C21" s="11">
        <v>345700</v>
      </c>
      <c r="D21" s="11">
        <v>331100</v>
      </c>
      <c r="E21" s="21"/>
    </row>
    <row r="22" spans="1:5">
      <c r="A22" s="16">
        <v>1973</v>
      </c>
      <c r="B22" s="20">
        <f t="shared" si="0"/>
        <v>658300</v>
      </c>
      <c r="C22" s="11">
        <v>335900</v>
      </c>
      <c r="D22" s="11">
        <v>322400</v>
      </c>
      <c r="E22" s="21"/>
    </row>
    <row r="23" spans="1:5">
      <c r="A23" s="16">
        <v>1974</v>
      </c>
      <c r="B23" s="20">
        <f t="shared" si="0"/>
        <v>678000</v>
      </c>
      <c r="C23" s="11">
        <v>346300</v>
      </c>
      <c r="D23" s="11">
        <v>331700</v>
      </c>
      <c r="E23" s="21"/>
    </row>
    <row r="24" spans="1:5">
      <c r="A24" s="16">
        <v>1975</v>
      </c>
      <c r="B24" s="20">
        <f t="shared" si="0"/>
        <v>697400</v>
      </c>
      <c r="C24" s="11">
        <v>356900</v>
      </c>
      <c r="D24" s="11">
        <v>340500</v>
      </c>
      <c r="E24" s="21"/>
    </row>
    <row r="25" spans="1:5">
      <c r="A25" s="16">
        <v>1976</v>
      </c>
      <c r="B25" s="20">
        <f t="shared" si="0"/>
        <v>717600</v>
      </c>
      <c r="C25" s="11">
        <v>366400</v>
      </c>
      <c r="D25" s="11">
        <v>351200</v>
      </c>
      <c r="E25" s="21"/>
    </row>
    <row r="26" spans="1:5">
      <c r="A26" s="16">
        <v>1977</v>
      </c>
      <c r="B26" s="20">
        <f t="shared" si="0"/>
        <v>732800</v>
      </c>
      <c r="C26" s="11">
        <v>373000</v>
      </c>
      <c r="D26" s="11">
        <v>359800</v>
      </c>
      <c r="E26" s="21"/>
    </row>
    <row r="27" spans="1:5">
      <c r="A27" s="16">
        <v>1978</v>
      </c>
      <c r="B27" s="20">
        <f t="shared" si="0"/>
        <v>754000</v>
      </c>
      <c r="C27" s="11">
        <v>383700</v>
      </c>
      <c r="D27" s="11">
        <v>370300</v>
      </c>
      <c r="E27" s="21"/>
    </row>
    <row r="28" spans="1:5">
      <c r="A28" s="16">
        <v>1979</v>
      </c>
      <c r="B28" s="20">
        <f t="shared" si="0"/>
        <v>785000</v>
      </c>
      <c r="C28" s="11">
        <v>398800</v>
      </c>
      <c r="D28" s="11">
        <v>386200</v>
      </c>
      <c r="E28" s="21"/>
    </row>
    <row r="29" spans="1:5">
      <c r="A29" s="16">
        <v>1980</v>
      </c>
      <c r="B29" s="20">
        <f t="shared" si="0"/>
        <v>804700</v>
      </c>
      <c r="C29" s="11">
        <v>409500</v>
      </c>
      <c r="D29" s="11">
        <v>395200</v>
      </c>
      <c r="E29" s="21"/>
    </row>
    <row r="30" spans="1:5">
      <c r="A30" s="17">
        <v>1981</v>
      </c>
      <c r="B30" s="20">
        <f t="shared" si="0"/>
        <v>819687</v>
      </c>
      <c r="C30" s="11">
        <v>418691</v>
      </c>
      <c r="D30" s="11">
        <v>400996</v>
      </c>
    </row>
    <row r="31" spans="1:5">
      <c r="A31" s="17">
        <v>1982</v>
      </c>
      <c r="B31" s="20">
        <f t="shared" si="0"/>
        <v>841853</v>
      </c>
      <c r="C31" s="11">
        <v>432042</v>
      </c>
      <c r="D31" s="11">
        <v>409811</v>
      </c>
    </row>
    <row r="32" spans="1:5">
      <c r="A32" s="17">
        <v>1983</v>
      </c>
      <c r="B32" s="20">
        <f t="shared" si="0"/>
        <v>849118</v>
      </c>
      <c r="C32" s="11">
        <v>435094</v>
      </c>
      <c r="D32" s="11">
        <v>414024</v>
      </c>
    </row>
    <row r="33" spans="1:4">
      <c r="A33" s="17">
        <v>1984</v>
      </c>
      <c r="B33" s="20">
        <f t="shared" si="0"/>
        <v>822655</v>
      </c>
      <c r="C33" s="11">
        <v>418478</v>
      </c>
      <c r="D33" s="11">
        <v>404177</v>
      </c>
    </row>
    <row r="34" spans="1:4">
      <c r="A34" s="17">
        <v>1985</v>
      </c>
      <c r="B34" s="20">
        <f t="shared" si="0"/>
        <v>811240</v>
      </c>
      <c r="C34" s="11">
        <v>414057</v>
      </c>
      <c r="D34" s="11">
        <v>397183</v>
      </c>
    </row>
    <row r="35" spans="1:4">
      <c r="A35" s="17">
        <v>1986</v>
      </c>
      <c r="B35" s="20">
        <f t="shared" si="0"/>
        <v>785936</v>
      </c>
      <c r="C35" s="11">
        <v>399691</v>
      </c>
      <c r="D35" s="11">
        <v>386245</v>
      </c>
    </row>
    <row r="36" spans="1:4">
      <c r="A36" s="17">
        <v>1987</v>
      </c>
      <c r="B36" s="20">
        <f t="shared" si="0"/>
        <v>779914</v>
      </c>
      <c r="C36" s="11">
        <v>396239</v>
      </c>
      <c r="D36" s="11">
        <v>383675</v>
      </c>
    </row>
    <row r="37" spans="1:4">
      <c r="A37" s="17">
        <v>1988</v>
      </c>
      <c r="B37" s="20">
        <f t="shared" si="0"/>
        <v>751477</v>
      </c>
      <c r="C37" s="11">
        <v>383053</v>
      </c>
      <c r="D37" s="11">
        <v>368424</v>
      </c>
    </row>
    <row r="38" spans="1:4">
      <c r="A38" s="17">
        <v>1989</v>
      </c>
      <c r="B38" s="20">
        <f t="shared" si="0"/>
        <v>757876</v>
      </c>
      <c r="C38" s="11">
        <v>384251</v>
      </c>
      <c r="D38" s="11">
        <v>373625</v>
      </c>
    </row>
    <row r="39" spans="1:4">
      <c r="A39" s="17">
        <v>1990</v>
      </c>
      <c r="B39" s="20">
        <f t="shared" si="0"/>
        <v>723431</v>
      </c>
      <c r="C39" s="11">
        <v>370634</v>
      </c>
      <c r="D39" s="11">
        <v>352797</v>
      </c>
    </row>
    <row r="40" spans="1:4">
      <c r="A40" s="17">
        <v>1991</v>
      </c>
      <c r="B40" s="20">
        <f t="shared" si="0"/>
        <v>683247</v>
      </c>
      <c r="C40" s="11">
        <v>349944</v>
      </c>
      <c r="D40" s="11">
        <v>333303</v>
      </c>
    </row>
    <row r="41" spans="1:4">
      <c r="A41" s="17">
        <v>1992</v>
      </c>
      <c r="B41" s="20">
        <f t="shared" si="0"/>
        <v>635489</v>
      </c>
      <c r="C41" s="11">
        <v>323829</v>
      </c>
      <c r="D41" s="11">
        <v>311660</v>
      </c>
    </row>
    <row r="42" spans="1:4">
      <c r="A42" s="17">
        <v>1993</v>
      </c>
      <c r="B42" s="20">
        <f t="shared" si="0"/>
        <v>611046</v>
      </c>
      <c r="C42" s="11">
        <v>310882</v>
      </c>
      <c r="D42" s="11">
        <v>300164</v>
      </c>
    </row>
    <row r="43" spans="1:4">
      <c r="A43" s="17">
        <v>1994</v>
      </c>
      <c r="B43" s="20">
        <f t="shared" si="0"/>
        <v>584779</v>
      </c>
      <c r="C43" s="11">
        <v>296809</v>
      </c>
      <c r="D43" s="11">
        <v>287970</v>
      </c>
    </row>
    <row r="44" spans="1:4">
      <c r="A44" s="17">
        <v>1995</v>
      </c>
      <c r="B44" s="20">
        <f t="shared" si="0"/>
        <v>560887</v>
      </c>
      <c r="C44" s="11">
        <v>284599</v>
      </c>
      <c r="D44" s="11">
        <v>276288</v>
      </c>
    </row>
    <row r="45" spans="1:4">
      <c r="A45" s="17">
        <v>1996</v>
      </c>
      <c r="B45" s="20">
        <f t="shared" si="0"/>
        <v>568893</v>
      </c>
      <c r="C45" s="11">
        <v>288257</v>
      </c>
      <c r="D45" s="11">
        <v>280636</v>
      </c>
    </row>
    <row r="46" spans="1:4">
      <c r="A46" s="17">
        <v>1997</v>
      </c>
      <c r="B46" s="20">
        <f t="shared" si="0"/>
        <v>617410</v>
      </c>
      <c r="C46" s="11">
        <v>313044</v>
      </c>
      <c r="D46" s="11">
        <v>304366</v>
      </c>
    </row>
    <row r="47" spans="1:4">
      <c r="A47" s="17">
        <v>1998</v>
      </c>
      <c r="B47" s="20">
        <f t="shared" si="0"/>
        <v>640644</v>
      </c>
      <c r="C47" s="11">
        <v>324290</v>
      </c>
      <c r="D47" s="11">
        <v>316354</v>
      </c>
    </row>
    <row r="48" spans="1:4">
      <c r="A48" s="17">
        <v>1999</v>
      </c>
      <c r="B48" s="20">
        <f t="shared" si="0"/>
        <v>637429</v>
      </c>
      <c r="C48" s="12">
        <v>322572</v>
      </c>
      <c r="D48" s="12">
        <v>314857</v>
      </c>
    </row>
    <row r="49" spans="1:4">
      <c r="A49" s="17">
        <v>2000</v>
      </c>
      <c r="B49" s="20">
        <f t="shared" si="0"/>
        <v>621939</v>
      </c>
      <c r="C49" s="12">
        <v>317002</v>
      </c>
      <c r="D49" s="12">
        <v>304937</v>
      </c>
    </row>
    <row r="50" spans="1:4">
      <c r="A50" s="17">
        <v>2001</v>
      </c>
      <c r="B50" s="20">
        <f t="shared" si="0"/>
        <v>629706</v>
      </c>
      <c r="C50" s="12">
        <v>321734</v>
      </c>
      <c r="D50" s="12">
        <v>307972</v>
      </c>
    </row>
    <row r="51" spans="1:4">
      <c r="A51" s="17">
        <v>2002</v>
      </c>
      <c r="B51" s="20">
        <f t="shared" si="0"/>
        <v>651166</v>
      </c>
      <c r="C51" s="12">
        <v>336726</v>
      </c>
      <c r="D51" s="12">
        <v>314440</v>
      </c>
    </row>
    <row r="52" spans="1:4">
      <c r="A52" s="17">
        <v>2003</v>
      </c>
      <c r="B52" s="20">
        <f t="shared" si="0"/>
        <v>682643</v>
      </c>
      <c r="C52" s="12">
        <v>353706</v>
      </c>
      <c r="D52" s="12">
        <v>328937</v>
      </c>
    </row>
    <row r="53" spans="1:4">
      <c r="A53" s="17">
        <v>2004</v>
      </c>
      <c r="B53" s="20">
        <f t="shared" si="0"/>
        <v>684171</v>
      </c>
      <c r="C53" s="12">
        <v>352704</v>
      </c>
      <c r="D53" s="12">
        <v>331467</v>
      </c>
    </row>
    <row r="54" spans="1:4">
      <c r="A54" s="17">
        <v>2005</v>
      </c>
      <c r="B54" s="20">
        <f t="shared" si="0"/>
        <v>697442</v>
      </c>
      <c r="C54" s="12">
        <v>357498</v>
      </c>
      <c r="D54" s="12">
        <v>339944</v>
      </c>
    </row>
    <row r="55" spans="1:4">
      <c r="A55" s="17">
        <v>2006</v>
      </c>
      <c r="B55" s="20">
        <f t="shared" si="0"/>
        <v>716583</v>
      </c>
      <c r="C55" s="12">
        <v>369606</v>
      </c>
      <c r="D55" s="12">
        <v>346977</v>
      </c>
    </row>
    <row r="56" spans="1:4">
      <c r="A56" s="17">
        <v>2007</v>
      </c>
      <c r="B56" s="20">
        <f t="shared" si="0"/>
        <v>710598</v>
      </c>
      <c r="C56" s="12">
        <v>366022</v>
      </c>
      <c r="D56" s="12">
        <v>344576</v>
      </c>
    </row>
    <row r="57" spans="1:4">
      <c r="A57" s="17">
        <v>2008</v>
      </c>
      <c r="B57" s="20">
        <f t="shared" si="0"/>
        <v>715547</v>
      </c>
      <c r="C57" s="12">
        <v>367889</v>
      </c>
      <c r="D57" s="12">
        <v>347658</v>
      </c>
    </row>
    <row r="58" spans="1:4">
      <c r="A58" s="16">
        <v>2009</v>
      </c>
      <c r="B58" s="20">
        <f t="shared" si="0"/>
        <v>726525</v>
      </c>
      <c r="C58" s="12">
        <v>374669</v>
      </c>
      <c r="D58" s="12">
        <v>351856</v>
      </c>
    </row>
    <row r="59" spans="1:4">
      <c r="A59" s="16">
        <v>2010</v>
      </c>
      <c r="B59" s="20">
        <f t="shared" si="0"/>
        <v>715460</v>
      </c>
      <c r="C59" s="12">
        <v>367171</v>
      </c>
      <c r="D59" s="12">
        <v>348289</v>
      </c>
    </row>
    <row r="60" spans="1:4">
      <c r="A60" s="16">
        <v>2011</v>
      </c>
      <c r="C60" s="12">
        <v>355217</v>
      </c>
      <c r="D60" s="12">
        <v>336790</v>
      </c>
    </row>
    <row r="61" spans="1:4">
      <c r="A61" s="16">
        <v>2012</v>
      </c>
      <c r="C61" s="12">
        <v>349833</v>
      </c>
      <c r="D61" s="12">
        <v>331859</v>
      </c>
    </row>
    <row r="62" spans="1:4">
      <c r="A62" s="16">
        <v>2013</v>
      </c>
      <c r="C62" s="12">
        <v>342607</v>
      </c>
      <c r="D62" s="12">
        <v>324846</v>
      </c>
    </row>
    <row r="63" spans="1:4">
      <c r="A63" s="16">
        <v>2014</v>
      </c>
      <c r="C63" s="12">
        <v>340126</v>
      </c>
      <c r="D63" s="12">
        <v>323717</v>
      </c>
    </row>
    <row r="64" spans="1:4">
      <c r="A64" s="16">
        <v>2015</v>
      </c>
      <c r="C64" s="12">
        <v>342219</v>
      </c>
      <c r="D64" s="12">
        <v>325563</v>
      </c>
    </row>
    <row r="65" spans="1:4">
      <c r="A65" s="16">
        <v>2016</v>
      </c>
      <c r="C65" s="12">
        <v>332953</v>
      </c>
      <c r="D65" s="12">
        <v>318087</v>
      </c>
    </row>
    <row r="66" spans="1:4">
      <c r="A66" s="16">
        <v>2017</v>
      </c>
      <c r="C66" s="12">
        <v>328028</v>
      </c>
      <c r="D66" s="12">
        <v>312092</v>
      </c>
    </row>
    <row r="67" spans="1:4">
      <c r="A67" s="16">
        <v>2018</v>
      </c>
      <c r="C67" s="12">
        <v>320279</v>
      </c>
      <c r="D67" s="12">
        <v>303592</v>
      </c>
    </row>
    <row r="68" spans="1:4">
      <c r="A68" s="16">
        <v>2019</v>
      </c>
      <c r="C68" s="12">
        <v>312206</v>
      </c>
      <c r="D68" s="12">
        <v>297661</v>
      </c>
    </row>
    <row r="69" spans="1:4">
      <c r="A69" s="16">
        <v>2020</v>
      </c>
      <c r="C69" s="12">
        <v>312723</v>
      </c>
      <c r="D69" s="12">
        <v>296850</v>
      </c>
    </row>
    <row r="70" spans="1:4">
      <c r="A70" s="16">
        <v>2021</v>
      </c>
      <c r="C70" s="12">
        <v>322980</v>
      </c>
      <c r="D70" s="12">
        <v>304112</v>
      </c>
    </row>
    <row r="71" spans="1:4">
      <c r="A71" s="16">
        <v>2022</v>
      </c>
      <c r="C71" s="12">
        <v>333377</v>
      </c>
      <c r="D71" s="12">
        <v>315832</v>
      </c>
    </row>
    <row r="72" spans="1:4">
      <c r="A72" s="16">
        <v>2023</v>
      </c>
      <c r="C72" s="12">
        <v>337941</v>
      </c>
      <c r="D72" s="12">
        <v>321357</v>
      </c>
    </row>
    <row r="73" spans="1:4">
      <c r="A73" s="16">
        <v>2024</v>
      </c>
      <c r="C73" s="12">
        <v>345607</v>
      </c>
      <c r="D73" s="12">
        <v>328861</v>
      </c>
    </row>
    <row r="74" spans="1:4">
      <c r="A74" s="16">
        <v>2025</v>
      </c>
      <c r="C74" s="12">
        <v>356797</v>
      </c>
      <c r="D74" s="12">
        <v>338798</v>
      </c>
    </row>
    <row r="75" spans="1:4">
      <c r="A75" s="16">
        <v>2026</v>
      </c>
      <c r="C75" s="12">
        <v>371224</v>
      </c>
      <c r="D75" s="12">
        <v>353073</v>
      </c>
    </row>
    <row r="76" spans="1:4">
      <c r="A76" s="16">
        <v>2027</v>
      </c>
      <c r="C76" s="12">
        <v>368899</v>
      </c>
      <c r="D76" s="12">
        <v>351197</v>
      </c>
    </row>
    <row r="77" spans="1:4">
      <c r="A77" s="16">
        <v>2028</v>
      </c>
      <c r="C77" s="12">
        <v>366115</v>
      </c>
      <c r="D77" s="12">
        <v>348516</v>
      </c>
    </row>
    <row r="78" spans="1:4">
      <c r="A78" s="16">
        <v>2029</v>
      </c>
      <c r="C78" s="12">
        <v>365313</v>
      </c>
      <c r="D78" s="12">
        <v>347750</v>
      </c>
    </row>
    <row r="79" spans="1:4">
      <c r="A79" s="16">
        <v>2030</v>
      </c>
      <c r="C79" s="12">
        <v>365097</v>
      </c>
      <c r="D79" s="12">
        <v>347543</v>
      </c>
    </row>
    <row r="80" spans="1:4">
      <c r="A80" s="16">
        <v>2031</v>
      </c>
      <c r="C80" s="12">
        <v>365659</v>
      </c>
      <c r="D80" s="12">
        <v>348085</v>
      </c>
    </row>
    <row r="81" spans="1:4">
      <c r="A81" s="16">
        <v>2032</v>
      </c>
      <c r="C81" s="12">
        <v>366801</v>
      </c>
      <c r="D81" s="12">
        <v>349178</v>
      </c>
    </row>
    <row r="82" spans="1:4">
      <c r="A82" s="16">
        <v>2033</v>
      </c>
      <c r="C82" s="12">
        <v>368889</v>
      </c>
      <c r="D82" s="12">
        <v>351172</v>
      </c>
    </row>
    <row r="83" spans="1:4">
      <c r="A83" s="16">
        <v>2034</v>
      </c>
      <c r="C83" s="12">
        <v>371693</v>
      </c>
      <c r="D83" s="12">
        <v>353845</v>
      </c>
    </row>
    <row r="84" spans="1:4">
      <c r="A84" s="16">
        <v>2035</v>
      </c>
      <c r="C84" s="12">
        <v>374225</v>
      </c>
      <c r="D84" s="12">
        <v>356259</v>
      </c>
    </row>
    <row r="85" spans="1:4">
      <c r="A85" s="16">
        <v>2036</v>
      </c>
      <c r="C85" s="12">
        <v>376322</v>
      </c>
      <c r="D85" s="12">
        <v>358261</v>
      </c>
    </row>
    <row r="86" spans="1:4">
      <c r="A86" s="16">
        <v>2037</v>
      </c>
      <c r="C86" s="12">
        <v>377892</v>
      </c>
      <c r="D86" s="12">
        <v>359759</v>
      </c>
    </row>
    <row r="87" spans="1:4">
      <c r="A87" s="16">
        <v>2038</v>
      </c>
      <c r="C87" s="12">
        <v>378925</v>
      </c>
      <c r="D87" s="12">
        <v>360745</v>
      </c>
    </row>
    <row r="88" spans="1:4">
      <c r="A88" s="16">
        <v>2039</v>
      </c>
      <c r="C88" s="12">
        <v>379472</v>
      </c>
      <c r="D88" s="12">
        <v>361262</v>
      </c>
    </row>
    <row r="89" spans="1:4">
      <c r="A89" s="16">
        <v>2040</v>
      </c>
      <c r="C89" s="12">
        <v>379613</v>
      </c>
      <c r="D89" s="12">
        <v>361390</v>
      </c>
    </row>
    <row r="90" spans="1:4">
      <c r="A90" s="16">
        <v>2041</v>
      </c>
      <c r="C90" s="12">
        <v>379439</v>
      </c>
      <c r="D90" s="12">
        <v>361224</v>
      </c>
    </row>
    <row r="91" spans="1:4">
      <c r="A91" s="16">
        <v>2042</v>
      </c>
      <c r="C91" s="12">
        <v>379063</v>
      </c>
      <c r="D91" s="12">
        <v>360858</v>
      </c>
    </row>
    <row r="92" spans="1:4">
      <c r="A92" s="16">
        <v>2043</v>
      </c>
      <c r="C92" s="12">
        <v>378563</v>
      </c>
      <c r="D92" s="12">
        <v>360380</v>
      </c>
    </row>
    <row r="93" spans="1:4">
      <c r="A93" s="16">
        <v>2044</v>
      </c>
      <c r="C93" s="12">
        <v>378034</v>
      </c>
      <c r="D93" s="12">
        <v>359871</v>
      </c>
    </row>
    <row r="94" spans="1:4">
      <c r="A94" s="16">
        <v>2045</v>
      </c>
      <c r="C94" s="12">
        <v>377511</v>
      </c>
      <c r="D94" s="12">
        <v>359369</v>
      </c>
    </row>
    <row r="95" spans="1:4">
      <c r="A95" s="16">
        <v>2046</v>
      </c>
      <c r="C95" s="12">
        <v>377046</v>
      </c>
      <c r="D95" s="12">
        <v>358916</v>
      </c>
    </row>
    <row r="96" spans="1:4">
      <c r="A96" s="16">
        <v>2047</v>
      </c>
      <c r="C96" s="12">
        <v>376683</v>
      </c>
      <c r="D96" s="12">
        <v>358568</v>
      </c>
    </row>
    <row r="97" spans="1:4">
      <c r="A97" s="16">
        <v>2048</v>
      </c>
      <c r="C97" s="12">
        <v>376508</v>
      </c>
      <c r="D97" s="12">
        <v>358398</v>
      </c>
    </row>
    <row r="98" spans="1:4">
      <c r="A98" s="16">
        <v>2049</v>
      </c>
      <c r="C98" s="12">
        <v>376607</v>
      </c>
      <c r="D98" s="12">
        <v>358480</v>
      </c>
    </row>
    <row r="99" spans="1:4">
      <c r="A99" s="16">
        <v>2050</v>
      </c>
      <c r="C99" s="12">
        <v>377045</v>
      </c>
      <c r="D99" s="12">
        <v>358896</v>
      </c>
    </row>
    <row r="100" spans="1:4">
      <c r="A100" s="16">
        <v>2051</v>
      </c>
      <c r="C100" s="12">
        <v>377894</v>
      </c>
      <c r="D100" s="12">
        <v>359701</v>
      </c>
    </row>
    <row r="101" spans="1:4">
      <c r="A101" s="16">
        <v>2052</v>
      </c>
      <c r="C101" s="12">
        <v>379189</v>
      </c>
      <c r="D101" s="12">
        <v>360930</v>
      </c>
    </row>
    <row r="102" spans="1:4">
      <c r="A102" s="16">
        <v>2053</v>
      </c>
      <c r="C102" s="12">
        <v>380930</v>
      </c>
      <c r="D102" s="12">
        <v>362587</v>
      </c>
    </row>
    <row r="103" spans="1:4">
      <c r="A103" s="16">
        <v>2054</v>
      </c>
      <c r="C103" s="12">
        <v>383011</v>
      </c>
      <c r="D103" s="12">
        <v>364564</v>
      </c>
    </row>
    <row r="104" spans="1:4">
      <c r="A104" s="16">
        <v>2055</v>
      </c>
      <c r="C104" s="12">
        <v>385360</v>
      </c>
      <c r="D104" s="12">
        <v>366799</v>
      </c>
    </row>
    <row r="105" spans="1:4">
      <c r="A105" s="16">
        <v>2056</v>
      </c>
      <c r="C105" s="12">
        <v>387865</v>
      </c>
      <c r="D105" s="12">
        <v>369179</v>
      </c>
    </row>
    <row r="106" spans="1:4">
      <c r="A106" s="16">
        <v>2057</v>
      </c>
      <c r="C106" s="12">
        <v>390409</v>
      </c>
      <c r="D106" s="12">
        <v>371602</v>
      </c>
    </row>
    <row r="107" spans="1:4">
      <c r="A107" s="16">
        <v>2058</v>
      </c>
      <c r="C107" s="12">
        <v>392900</v>
      </c>
      <c r="D107" s="12">
        <v>373970</v>
      </c>
    </row>
    <row r="108" spans="1:4">
      <c r="A108" s="16">
        <v>2059</v>
      </c>
      <c r="C108" s="12">
        <v>395242</v>
      </c>
      <c r="D108" s="12">
        <v>376202</v>
      </c>
    </row>
    <row r="109" spans="1:4">
      <c r="A109" s="16">
        <v>2060</v>
      </c>
      <c r="C109" s="12">
        <v>397389</v>
      </c>
      <c r="D109" s="12">
        <v>378246</v>
      </c>
    </row>
    <row r="110" spans="1:4">
      <c r="A110" s="16">
        <v>2061</v>
      </c>
      <c r="C110" s="12">
        <v>399332</v>
      </c>
      <c r="D110" s="12">
        <v>380093</v>
      </c>
    </row>
    <row r="111" spans="1:4">
      <c r="A111" s="16">
        <v>2062</v>
      </c>
      <c r="C111" s="12">
        <v>401049</v>
      </c>
      <c r="D111" s="12">
        <v>381720</v>
      </c>
    </row>
    <row r="112" spans="1:4">
      <c r="A112" s="16">
        <v>2063</v>
      </c>
      <c r="C112" s="12">
        <v>402540</v>
      </c>
      <c r="D112" s="12">
        <v>383136</v>
      </c>
    </row>
    <row r="113" spans="1:4">
      <c r="A113" s="16">
        <v>2064</v>
      </c>
      <c r="C113" s="12">
        <v>403827</v>
      </c>
      <c r="D113" s="12">
        <v>384362</v>
      </c>
    </row>
    <row r="114" spans="1:4">
      <c r="A114" s="16">
        <v>2065</v>
      </c>
      <c r="C114" s="12">
        <v>404938</v>
      </c>
      <c r="D114" s="12">
        <v>385415</v>
      </c>
    </row>
    <row r="115" spans="1:4">
      <c r="A115" s="16">
        <v>2066</v>
      </c>
      <c r="C115" s="12">
        <v>405903</v>
      </c>
      <c r="D115" s="12">
        <v>386332</v>
      </c>
    </row>
    <row r="116" spans="1:4">
      <c r="A116" s="16">
        <v>2067</v>
      </c>
      <c r="C116" s="12">
        <v>406733</v>
      </c>
      <c r="D116" s="12">
        <v>387118</v>
      </c>
    </row>
    <row r="117" spans="1:4">
      <c r="A117" s="16">
        <v>2068</v>
      </c>
      <c r="C117" s="12">
        <v>407453</v>
      </c>
      <c r="D117" s="12">
        <v>387794</v>
      </c>
    </row>
    <row r="118" spans="1:4">
      <c r="A118" s="16">
        <v>2069</v>
      </c>
      <c r="C118" s="12">
        <v>408075</v>
      </c>
      <c r="D118" s="12">
        <v>388387</v>
      </c>
    </row>
    <row r="119" spans="1:4">
      <c r="A119" s="16">
        <v>2070</v>
      </c>
      <c r="C119" s="12">
        <v>408628</v>
      </c>
      <c r="D119" s="12">
        <v>388909</v>
      </c>
    </row>
    <row r="120" spans="1:4">
      <c r="A120" s="16">
        <v>2071</v>
      </c>
      <c r="C120" s="12">
        <v>409130</v>
      </c>
      <c r="D120" s="12">
        <v>389379</v>
      </c>
    </row>
    <row r="121" spans="1:4">
      <c r="A121" s="16">
        <v>2072</v>
      </c>
      <c r="C121" s="12">
        <v>409602</v>
      </c>
      <c r="D121" s="12">
        <v>389827</v>
      </c>
    </row>
    <row r="122" spans="1:4">
      <c r="A122" s="16">
        <v>2073</v>
      </c>
      <c r="C122" s="12">
        <v>410050</v>
      </c>
      <c r="D122" s="12">
        <v>390252</v>
      </c>
    </row>
    <row r="123" spans="1:4">
      <c r="A123" s="16">
        <v>2074</v>
      </c>
      <c r="C123" s="12">
        <v>410499</v>
      </c>
      <c r="D123" s="12">
        <v>390669</v>
      </c>
    </row>
    <row r="124" spans="1:4">
      <c r="A124" s="16">
        <v>2075</v>
      </c>
      <c r="C124" s="12">
        <v>410968</v>
      </c>
      <c r="D124" s="12">
        <v>391109</v>
      </c>
    </row>
    <row r="125" spans="1:4">
      <c r="A125" s="16">
        <v>2076</v>
      </c>
      <c r="C125" s="12">
        <v>411478</v>
      </c>
      <c r="D125" s="12">
        <v>391592</v>
      </c>
    </row>
    <row r="126" spans="1:4">
      <c r="A126" s="16">
        <v>2077</v>
      </c>
      <c r="C126" s="12">
        <v>412047</v>
      </c>
      <c r="D126" s="12">
        <v>392127</v>
      </c>
    </row>
    <row r="127" spans="1:4">
      <c r="A127" s="16">
        <v>2078</v>
      </c>
      <c r="C127" s="12">
        <v>412686</v>
      </c>
      <c r="D127" s="12">
        <v>392739</v>
      </c>
    </row>
    <row r="128" spans="1:4">
      <c r="A128" s="16">
        <v>2079</v>
      </c>
      <c r="C128" s="12">
        <v>413422</v>
      </c>
      <c r="D128" s="12">
        <v>393436</v>
      </c>
    </row>
    <row r="129" spans="1:4">
      <c r="A129" s="16">
        <v>2080</v>
      </c>
      <c r="C129" s="12">
        <v>414253</v>
      </c>
      <c r="D129" s="12">
        <v>394223</v>
      </c>
    </row>
    <row r="130" spans="1:4">
      <c r="A130" s="16">
        <v>2081</v>
      </c>
      <c r="C130" s="12">
        <v>415189</v>
      </c>
      <c r="D130" s="12">
        <v>395108</v>
      </c>
    </row>
    <row r="131" spans="1:4">
      <c r="A131" s="16">
        <v>2082</v>
      </c>
      <c r="C131" s="12">
        <v>416235</v>
      </c>
      <c r="D131" s="12">
        <v>396100</v>
      </c>
    </row>
    <row r="132" spans="1:4">
      <c r="A132" s="16">
        <v>2083</v>
      </c>
      <c r="C132" s="12">
        <v>417378</v>
      </c>
      <c r="D132" s="12">
        <v>397187</v>
      </c>
    </row>
    <row r="133" spans="1:4">
      <c r="A133" s="9"/>
      <c r="C133" s="9"/>
      <c r="D133" s="9"/>
    </row>
    <row r="134" spans="1:4">
      <c r="A134" s="13"/>
      <c r="C134" s="13"/>
      <c r="D134" s="13"/>
    </row>
    <row r="135" spans="1:4">
      <c r="A135" s="18" t="s">
        <v>4</v>
      </c>
    </row>
    <row r="137" spans="1:4">
      <c r="A137" s="6" t="s">
        <v>5</v>
      </c>
    </row>
  </sheetData>
  <mergeCells count="1">
    <mergeCell ref="E10:E2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ALvl Passes 1960 - 2008</vt:lpstr>
      <vt:lpstr>Population</vt:lpstr>
    </vt:vector>
  </TitlesOfParts>
  <Company>QCA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fungc</dc:creator>
  <cp:lastModifiedBy>Louise Sheryn</cp:lastModifiedBy>
  <cp:lastPrinted>2009-12-01T23:12:34Z</cp:lastPrinted>
  <dcterms:created xsi:type="dcterms:W3CDTF">2009-08-05T13:43:17Z</dcterms:created>
  <dcterms:modified xsi:type="dcterms:W3CDTF">2012-01-08T23:42:59Z</dcterms:modified>
</cp:coreProperties>
</file>