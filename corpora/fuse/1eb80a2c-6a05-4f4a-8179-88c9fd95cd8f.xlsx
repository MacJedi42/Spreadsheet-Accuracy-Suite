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120" windowWidth="11385" windowHeight="8220" activeTab="2"/>
  </bookViews>
  <sheets>
    <sheet name="Instructions" sheetId="24" r:id="rId1"/>
    <sheet name="Coversheet" sheetId="23" r:id="rId2"/>
    <sheet name="Compost Calculation " sheetId="11" r:id="rId3"/>
    <sheet name="Ref. Tables" sheetId="15" r:id="rId4"/>
  </sheets>
  <definedNames>
    <definedName name="wrn.Pages123." hidden="1">{"page1",#N/A,FALSE,"Waste_Bal";"page2",#N/A,FALSE,"Waste_by_field";"PAGE3",#N/A,FALSE,"Forage_Bal"}</definedName>
  </definedNames>
  <calcPr calcId="145621"/>
</workbook>
</file>

<file path=xl/calcChain.xml><?xml version="1.0" encoding="utf-8"?>
<calcChain xmlns="http://schemas.openxmlformats.org/spreadsheetml/2006/main">
  <c r="F16" i="11" l="1"/>
  <c r="B16" i="11"/>
  <c r="D67" i="11" l="1"/>
  <c r="B43" i="11"/>
  <c r="B5" i="11"/>
  <c r="B4" i="11"/>
  <c r="B3" i="11"/>
  <c r="B2" i="11"/>
  <c r="E47" i="11" l="1"/>
  <c r="F13" i="11" l="1"/>
  <c r="D44" i="11"/>
  <c r="F14" i="11" l="1"/>
  <c r="D14" i="11"/>
  <c r="D43" i="11"/>
  <c r="B118" i="11"/>
  <c r="B15" i="11" l="1"/>
  <c r="F15" i="11"/>
  <c r="F43" i="11" s="1"/>
  <c r="E162" i="11" s="1"/>
  <c r="E109" i="11"/>
  <c r="C112" i="11" s="1"/>
  <c r="D120" i="11" s="1"/>
  <c r="B44" i="11" l="1"/>
  <c r="F44" i="11" s="1"/>
  <c r="C50" i="11" s="1"/>
  <c r="D137" i="11"/>
  <c r="D145" i="11" s="1"/>
  <c r="E54" i="11" l="1"/>
  <c r="B77" i="11" l="1"/>
  <c r="D88" i="11" l="1"/>
  <c r="D89" i="11" s="1"/>
  <c r="D98" i="11" s="1"/>
  <c r="C103" i="11" s="1"/>
  <c r="D149" i="11" l="1"/>
  <c r="E164" i="11" s="1"/>
  <c r="D124" i="11"/>
  <c r="C135" i="11"/>
</calcChain>
</file>

<file path=xl/comments1.xml><?xml version="1.0" encoding="utf-8"?>
<comments xmlns="http://schemas.openxmlformats.org/spreadsheetml/2006/main">
  <authors>
    <author>Wheaton, Jeffrey - NRCS, Barrigada, GU</author>
  </authors>
  <commentList>
    <comment ref="B12" authorId="0">
      <text>
        <r>
          <rPr>
            <b/>
            <sz val="9"/>
            <color indexed="81"/>
            <rFont val="Tahoma"/>
            <charset val="1"/>
          </rPr>
          <t>Wheaton, Jeffrey - NRCS, Barrigada, GU:</t>
        </r>
        <r>
          <rPr>
            <sz val="9"/>
            <color indexed="81"/>
            <rFont val="Tahoma"/>
            <charset val="1"/>
          </rPr>
          <t xml:space="preserve">
This would be a name, it's not an automatic look up table data transfer</t>
        </r>
      </text>
    </comment>
    <comment ref="C20" authorId="0">
      <text>
        <r>
          <rPr>
            <b/>
            <sz val="9"/>
            <color indexed="81"/>
            <rFont val="Tahoma"/>
            <charset val="1"/>
          </rPr>
          <t>Wheaton, Jeffrey - NRCS, Barrigada, GU:</t>
        </r>
        <r>
          <rPr>
            <sz val="9"/>
            <color indexed="81"/>
            <rFont val="Tahoma"/>
            <charset val="1"/>
          </rPr>
          <t xml:space="preserve">
If data is not given in the reference tab, use values for similar materials.  Realistically the moisture content will vary more from time to time for a given product than it will be between products. </t>
        </r>
      </text>
    </comment>
  </commentList>
</comments>
</file>

<file path=xl/sharedStrings.xml><?xml version="1.0" encoding="utf-8"?>
<sst xmlns="http://schemas.openxmlformats.org/spreadsheetml/2006/main" count="533" uniqueCount="402">
  <si>
    <t>where:</t>
  </si>
  <si>
    <t>Given:</t>
  </si>
  <si>
    <t xml:space="preserve">For Equations, See Reference </t>
  </si>
  <si>
    <t xml:space="preserve">Agricultural Waste Management Field Handbook </t>
  </si>
  <si>
    <t xml:space="preserve">Animal Units (AU) = </t>
  </si>
  <si>
    <t>amount:</t>
  </si>
  <si>
    <t>cu.yds =</t>
  </si>
  <si>
    <t>lbs</t>
  </si>
  <si>
    <t>%</t>
  </si>
  <si>
    <t>in thick =</t>
  </si>
  <si>
    <t>% N =</t>
  </si>
  <si>
    <t>Manure:</t>
  </si>
  <si>
    <t>manure production:</t>
  </si>
  <si>
    <t>lbs/day/AU</t>
  </si>
  <si>
    <t>nitrogen production:</t>
  </si>
  <si>
    <t xml:space="preserve">volatile solids: </t>
  </si>
  <si>
    <t>day</t>
  </si>
  <si>
    <t>that will result in desired final moisture content that is between 40% to 60%</t>
  </si>
  <si>
    <t>C:N Ratio =</t>
  </si>
  <si>
    <t>:1</t>
  </si>
  <si>
    <t>Determine the carbon and nitrogen content in manure:</t>
  </si>
  <si>
    <t>weight of carbon in manure:</t>
  </si>
  <si>
    <t>weight of nitrogen in manure:</t>
  </si>
  <si>
    <t>C:N Ratio of manure:</t>
  </si>
  <si>
    <t>weight of nitrogen in current compost mix:</t>
  </si>
  <si>
    <t>The final compost mix consists of the following:</t>
  </si>
  <si>
    <t xml:space="preserve">and gravity in dry litter waste management system: </t>
  </si>
  <si>
    <t>Nitrogen added to lower C:N Ratio:</t>
  </si>
  <si>
    <t>(optional) curing compost ~ 30 to 90 days</t>
  </si>
  <si>
    <t>See Equation [10-11] p.10-49</t>
  </si>
  <si>
    <t>Note: See Equation [10-18] p.10-50</t>
  </si>
  <si>
    <t>Note: See Equation [10-16a] p.10-50</t>
  </si>
  <si>
    <t>Note: See Equation [10-17b] p.10-50</t>
  </si>
  <si>
    <t>Note: See Equation [10-13b] p.10-50</t>
  </si>
  <si>
    <t>Note: See Equation [10-15] p.10-50</t>
  </si>
  <si>
    <t>Note: See Equation [10-21] p.10-51</t>
  </si>
  <si>
    <t>in vessel method ~ 7 days time needed to compost</t>
  </si>
  <si>
    <t>Total AU *manure production*confined in building =</t>
  </si>
  <si>
    <t>x pen per bld.</t>
  </si>
  <si>
    <t>pens per bld.</t>
  </si>
  <si>
    <t>Determine estimated compost mix and composting time</t>
  </si>
  <si>
    <t>is at the desired C:N Ratio 25:1 to 40:1</t>
  </si>
  <si>
    <r>
      <t>M</t>
    </r>
    <r>
      <rPr>
        <vertAlign val="subscript"/>
        <sz val="11"/>
        <rFont val="Times New Roman"/>
        <family val="1"/>
      </rPr>
      <t>m%</t>
    </r>
    <r>
      <rPr>
        <sz val="11"/>
        <rFont val="Times New Roman"/>
        <family val="1"/>
      </rPr>
      <t xml:space="preserve"> = percent moisture: </t>
    </r>
  </si>
  <si>
    <t>windrow or static pile method ~ 14 day to a month time needed to compost</t>
  </si>
  <si>
    <t>Notes:</t>
  </si>
  <si>
    <r>
      <t>ft</t>
    </r>
    <r>
      <rPr>
        <vertAlign val="superscript"/>
        <sz val="11"/>
        <rFont val="Times New Roman"/>
        <family val="1"/>
      </rPr>
      <t>2</t>
    </r>
  </si>
  <si>
    <t>p.10-49 to 10-58 March 2012</t>
  </si>
  <si>
    <t>Prepared for:</t>
  </si>
  <si>
    <t>Prepared in cooperation with the:</t>
  </si>
  <si>
    <t>USDA – Natural Resources Conservation Service</t>
  </si>
  <si>
    <t>and</t>
  </si>
  <si>
    <t>volume of volatile solids in piggery building:</t>
  </si>
  <si>
    <t>VS = total AU*volatile solids /day*confined in barn =</t>
  </si>
  <si>
    <t>Pounds of commercial nitrogen to add to bring compost mix to 25:1 to 40:1:</t>
  </si>
  <si>
    <t xml:space="preserve">fixed solids: </t>
  </si>
  <si>
    <t>Composting Mixture</t>
  </si>
  <si>
    <t>Decision maker:</t>
  </si>
  <si>
    <t>Business name:</t>
  </si>
  <si>
    <t>Resource Engineer David R. Fischer P.E. (Kealakekua S.C.)</t>
  </si>
  <si>
    <t>Address:</t>
  </si>
  <si>
    <t>TMK:</t>
  </si>
  <si>
    <t xml:space="preserve">Edited by    </t>
  </si>
  <si>
    <t>Created by</t>
  </si>
  <si>
    <t>Ka'u, Puna, &amp; Waiakea Soil &amp; Water Conservation Districts</t>
  </si>
  <si>
    <t>Input Data</t>
  </si>
  <si>
    <t>Calculated Data</t>
  </si>
  <si>
    <t>Answer</t>
  </si>
  <si>
    <t>Table 4–3 Unit weights of common bedding materials 1/</t>
  </si>
  <si>
    <t>- - - - - -lb/ft3- - - - - -</t>
  </si>
  <si>
    <t>1/ Adapted from the 1992 version of the AWMFH</t>
  </si>
  <si>
    <t xml:space="preserve">Material </t>
  </si>
  <si>
    <t xml:space="preserve">Loose </t>
  </si>
  <si>
    <t>Chopped</t>
  </si>
  <si>
    <t xml:space="preserve">Legume hay </t>
  </si>
  <si>
    <t xml:space="preserve">Non legume hay </t>
  </si>
  <si>
    <t xml:space="preserve">Straw </t>
  </si>
  <si>
    <t xml:space="preserve">Wood shavings </t>
  </si>
  <si>
    <t xml:space="preserve">Sawdust </t>
  </si>
  <si>
    <t xml:space="preserve">Soil </t>
  </si>
  <si>
    <t xml:space="preserve">Sand </t>
  </si>
  <si>
    <t xml:space="preserve">Ground limestone </t>
  </si>
  <si>
    <t>Table 6–6 Plant nutrient uptake by specified crop and removed in the harvested part of the crop (Kilmer 1982; Morrison</t>
  </si>
  <si>
    <t>1956; Sanchez 1976; USDA 1985)</t>
  </si>
  <si>
    <t xml:space="preserve">Barley </t>
  </si>
  <si>
    <t xml:space="preserve">50 bu </t>
  </si>
  <si>
    <t xml:space="preserve">1 T. straw </t>
  </si>
  <si>
    <t xml:space="preserve">lb/bu </t>
  </si>
  <si>
    <t xml:space="preserve">yield/acre </t>
  </si>
  <si>
    <t xml:space="preserve">N </t>
  </si>
  <si>
    <t xml:space="preserve">P </t>
  </si>
  <si>
    <t xml:space="preserve">K </t>
  </si>
  <si>
    <t xml:space="preserve">Buckwheat </t>
  </si>
  <si>
    <t xml:space="preserve">30 bu </t>
  </si>
  <si>
    <t xml:space="preserve">0.5 T. straw </t>
  </si>
  <si>
    <t xml:space="preserve">Corn </t>
  </si>
  <si>
    <t xml:space="preserve">120 bu </t>
  </si>
  <si>
    <t xml:space="preserve">4.5 T. stover </t>
  </si>
  <si>
    <t xml:space="preserve">Oats </t>
  </si>
  <si>
    <t xml:space="preserve">80 bu </t>
  </si>
  <si>
    <t xml:space="preserve">2 T. straw </t>
  </si>
  <si>
    <t xml:space="preserve">Rice </t>
  </si>
  <si>
    <t xml:space="preserve"> 5,500 lb </t>
  </si>
  <si>
    <t xml:space="preserve">2.5 T. straw </t>
  </si>
  <si>
    <t xml:space="preserve">Rye </t>
  </si>
  <si>
    <t xml:space="preserve">1.5 T. straw </t>
  </si>
  <si>
    <t xml:space="preserve">Sorghum </t>
  </si>
  <si>
    <t xml:space="preserve">60 bu </t>
  </si>
  <si>
    <t xml:space="preserve">3 T. stover </t>
  </si>
  <si>
    <t xml:space="preserve">Wheat </t>
  </si>
  <si>
    <t xml:space="preserve">40 bu </t>
  </si>
  <si>
    <t xml:space="preserve">Pulpwood </t>
  </si>
  <si>
    <t xml:space="preserve">98 cords </t>
  </si>
  <si>
    <t xml:space="preserve">bark, branches </t>
  </si>
  <si>
    <t xml:space="preserve">Alfalfa </t>
  </si>
  <si>
    <t>4 tons</t>
  </si>
  <si>
    <t>Leaves</t>
  </si>
  <si>
    <t xml:space="preserve">Guineagrass </t>
  </si>
  <si>
    <t xml:space="preserve">10 tons </t>
  </si>
  <si>
    <t xml:space="preserve">Bermudagrass </t>
  </si>
  <si>
    <t xml:space="preserve">8 tons </t>
  </si>
  <si>
    <t xml:space="preserve">Orchardgrass </t>
  </si>
  <si>
    <t xml:space="preserve">6 tons </t>
  </si>
  <si>
    <t xml:space="preserve">Pangolagrass </t>
  </si>
  <si>
    <t xml:space="preserve">Paragrass </t>
  </si>
  <si>
    <t xml:space="preserve">10.5 tons </t>
  </si>
  <si>
    <t>Red clover</t>
  </si>
  <si>
    <t xml:space="preserve"> 2.5 tons </t>
  </si>
  <si>
    <t xml:space="preserve">Ryegrass </t>
  </si>
  <si>
    <t xml:space="preserve">5 tons </t>
  </si>
  <si>
    <t xml:space="preserve">Tall fescue </t>
  </si>
  <si>
    <t xml:space="preserve">3.5 tons </t>
  </si>
  <si>
    <t xml:space="preserve">Alfalfa haylage (50% dm) </t>
  </si>
  <si>
    <t xml:space="preserve">10 wet/5 dry </t>
  </si>
  <si>
    <t xml:space="preserve">Corn silage (35% dm) </t>
  </si>
  <si>
    <t xml:space="preserve">20 wet/7 dry </t>
  </si>
  <si>
    <t xml:space="preserve">Forage sorghum (30% dm) </t>
  </si>
  <si>
    <t xml:space="preserve">20 wet/6 dry </t>
  </si>
  <si>
    <t xml:space="preserve">Oat haylage (40% dm) </t>
  </si>
  <si>
    <t xml:space="preserve">10 wet/4 dry </t>
  </si>
  <si>
    <t xml:space="preserve">Sorghum-sudan (50% dm) </t>
  </si>
  <si>
    <t xml:space="preserve">Sugarcane </t>
  </si>
  <si>
    <t xml:space="preserve">37 tons </t>
  </si>
  <si>
    <t xml:space="preserve">4 tons </t>
  </si>
  <si>
    <t>Dry wt. Typical</t>
  </si>
  <si>
    <t xml:space="preserve"> - - Average concentration of nutrients (%) - - </t>
  </si>
  <si>
    <t>C:N ratios</t>
  </si>
  <si>
    <t>*For further information on C:N ratios, see AWMFH, chapter 4.</t>
  </si>
  <si>
    <t>Table 10–8 Typical carbon to nitrogen ratios of common composting amendments</t>
  </si>
  <si>
    <t xml:space="preserve">Alfalfa (broom stage) </t>
  </si>
  <si>
    <t xml:space="preserve">Alfalfa hay </t>
  </si>
  <si>
    <t xml:space="preserve">Bark </t>
  </si>
  <si>
    <t xml:space="preserve">Cardboard </t>
  </si>
  <si>
    <t xml:space="preserve">Cattle manure (with straw) </t>
  </si>
  <si>
    <t xml:space="preserve">Cattle manure (liquid) </t>
  </si>
  <si>
    <t xml:space="preserve">Dairy manure </t>
  </si>
  <si>
    <t xml:space="preserve">Garden wastes </t>
  </si>
  <si>
    <t xml:space="preserve">Grass clippings </t>
  </si>
  <si>
    <t xml:space="preserve">Green leaves </t>
  </si>
  <si>
    <t xml:space="preserve">Horse manure (peat litter) </t>
  </si>
  <si>
    <t xml:space="preserve">Leaves (freshly fallen) </t>
  </si>
  <si>
    <t xml:space="preserve">Newspaper </t>
  </si>
  <si>
    <t xml:space="preserve">Paper </t>
  </si>
  <si>
    <t xml:space="preserve">Pig manure </t>
  </si>
  <si>
    <t xml:space="preserve">Poultry manure (fresh) </t>
  </si>
  <si>
    <t xml:space="preserve">Poultry manure (henhouse litter) </t>
  </si>
  <si>
    <t xml:space="preserve">Rotted manure </t>
  </si>
  <si>
    <t xml:space="preserve">Saw dust </t>
  </si>
  <si>
    <t xml:space="preserve">Seaweed </t>
  </si>
  <si>
    <t xml:space="preserve">Soil organic matter </t>
  </si>
  <si>
    <t xml:space="preserve">Sugar cane (trash) </t>
  </si>
  <si>
    <t xml:space="preserve">Water hyacinth </t>
  </si>
  <si>
    <t xml:space="preserve">Weeds </t>
  </si>
  <si>
    <t xml:space="preserve">Wood chips </t>
  </si>
  <si>
    <t>(dry weight)</t>
  </si>
  <si>
    <t>(weight to weight)</t>
  </si>
  <si>
    <t>Moisture content</t>
  </si>
  <si>
    <t>% (wet weight)</t>
  </si>
  <si>
    <t>Bulk density</t>
  </si>
  <si>
    <t>(lb/yd3)</t>
  </si>
  <si>
    <t>Table 2A–1 Typical characteristics of selected raw materials</t>
  </si>
  <si>
    <t>(1) Estimated from ash or volatile solids data.</t>
  </si>
  <si>
    <t>(2) Mostly organic nitrogen</t>
  </si>
  <si>
    <t>(210–VI–NEH, Amend. 40, November 2010)</t>
  </si>
  <si>
    <t xml:space="preserve">Type of value </t>
  </si>
  <si>
    <t>% N</t>
  </si>
  <si>
    <t xml:space="preserve">C:N ratio </t>
  </si>
  <si>
    <t>Fruit wastes</t>
  </si>
  <si>
    <t xml:space="preserve">Average </t>
  </si>
  <si>
    <t>—</t>
  </si>
  <si>
    <t xml:space="preserve">Vegetable produce </t>
  </si>
  <si>
    <t xml:space="preserve">Typical </t>
  </si>
  <si>
    <t xml:space="preserve">Vegetable wastes </t>
  </si>
  <si>
    <t xml:space="preserve"> —</t>
  </si>
  <si>
    <t xml:space="preserve">Poultry carcasses </t>
  </si>
  <si>
    <t xml:space="preserve">Broiler litter </t>
  </si>
  <si>
    <t xml:space="preserve">Dairy tiestall </t>
  </si>
  <si>
    <t xml:space="preserve">Dairy freestall </t>
  </si>
  <si>
    <t>Horse</t>
  </si>
  <si>
    <t xml:space="preserve">Laying hens </t>
  </si>
  <si>
    <t>Sheep</t>
  </si>
  <si>
    <t xml:space="preserve">Swine </t>
  </si>
  <si>
    <t xml:space="preserve">Turkey litter </t>
  </si>
  <si>
    <t xml:space="preserve">Garbage (food waste) </t>
  </si>
  <si>
    <t>Paper from domestic refuse</t>
  </si>
  <si>
    <t xml:space="preserve"> Typical </t>
  </si>
  <si>
    <t xml:space="preserve">Hay—legume </t>
  </si>
  <si>
    <t xml:space="preserve">— </t>
  </si>
  <si>
    <t xml:space="preserve">Hay—nonlegume </t>
  </si>
  <si>
    <t xml:space="preserve"> — </t>
  </si>
  <si>
    <t xml:space="preserve">Straw—general </t>
  </si>
  <si>
    <t xml:space="preserve">Bark—hardwoods </t>
  </si>
  <si>
    <t xml:space="preserve">Bark—softwoods </t>
  </si>
  <si>
    <t xml:space="preserve">Corrugated cardboard </t>
  </si>
  <si>
    <t xml:space="preserve">Lumbermill waste </t>
  </si>
  <si>
    <t xml:space="preserve">Newsprint </t>
  </si>
  <si>
    <t xml:space="preserve">Telephone books </t>
  </si>
  <si>
    <t>Typical</t>
  </si>
  <si>
    <t xml:space="preserve">Shrub trimmings </t>
  </si>
  <si>
    <t xml:space="preserve">Tree trimmings </t>
  </si>
  <si>
    <t xml:space="preserve">Water hyacinth—fresh </t>
  </si>
  <si>
    <t xml:space="preserve">Wood—hardwoods (chips, shavings, and so on) </t>
  </si>
  <si>
    <t xml:space="preserve">Wood—softwoods (chips, shavings, and so on) </t>
  </si>
  <si>
    <t xml:space="preserve">Cattle Manure </t>
  </si>
  <si>
    <t>Carbon Source</t>
  </si>
  <si>
    <t>Poultry manure</t>
  </si>
  <si>
    <t>Macadamia Nut Husks</t>
  </si>
  <si>
    <t>Bagasse</t>
  </si>
  <si>
    <t xml:space="preserve">Tree trimmings, guava </t>
  </si>
  <si>
    <t>Tree trimmings, commerical</t>
  </si>
  <si>
    <t>Wood Shavings, ohia</t>
  </si>
  <si>
    <t>Wood Chips, koa</t>
  </si>
  <si>
    <t>Wood Chips, iron wood</t>
  </si>
  <si>
    <t>Office paper, shredded</t>
  </si>
  <si>
    <t>Palms leaves, Coconut</t>
  </si>
  <si>
    <t>Newsprint, shredded</t>
  </si>
  <si>
    <t>Hay, guinea gras</t>
  </si>
  <si>
    <t>Seed corn cobs</t>
  </si>
  <si>
    <t>Municipal green waste, ground</t>
  </si>
  <si>
    <t>2.2-5.8</t>
  </si>
  <si>
    <t>C:N ratio</t>
  </si>
  <si>
    <t xml:space="preserve"> % C</t>
  </si>
  <si>
    <t>Bulk Density</t>
  </si>
  <si>
    <t>500-1200</t>
  </si>
  <si>
    <t>30-80</t>
  </si>
  <si>
    <t>92-97</t>
  </si>
  <si>
    <t>82-91</t>
  </si>
  <si>
    <t>40-60</t>
  </si>
  <si>
    <t>18.2-21.4</t>
  </si>
  <si>
    <t>37.3-46.7</t>
  </si>
  <si>
    <t>1.10-1.47</t>
  </si>
  <si>
    <t>8.1-3.2</t>
  </si>
  <si>
    <t>42.5-25.4</t>
  </si>
  <si>
    <t>CTAHR C:N Ratios of Various Carbon Sources by Glen K. Fukumoto, County Extension Agent-Kona 12/27/01</t>
  </si>
  <si>
    <t>See Equation [10-12] p.10-50</t>
  </si>
  <si>
    <t>See bulking agent data above</t>
  </si>
  <si>
    <r>
      <t>W</t>
    </r>
    <r>
      <rPr>
        <vertAlign val="subscript"/>
        <sz val="11"/>
        <rFont val="Times New Roman"/>
        <family val="1"/>
      </rPr>
      <t>wa</t>
    </r>
    <r>
      <rPr>
        <sz val="11"/>
        <rFont val="Times New Roman"/>
        <family val="1"/>
      </rPr>
      <t xml:space="preserve"> = wet weight of bulking agent in barn:</t>
    </r>
  </si>
  <si>
    <t>Determine the carbon and nitrogen content of the bulking agent:</t>
  </si>
  <si>
    <t>weight of nitrogen in bulking agent:</t>
  </si>
  <si>
    <t>determine moisture content of manure plus bulking agent:</t>
  </si>
  <si>
    <t>Determine C:N ratio of manure and bulking agent mixture:</t>
  </si>
  <si>
    <t xml:space="preserve">Manure and bulking agent moved out of piggery by animals </t>
  </si>
  <si>
    <r>
      <t>M</t>
    </r>
    <r>
      <rPr>
        <vertAlign val="subscript"/>
        <sz val="11"/>
        <rFont val="Times New Roman"/>
        <family val="1"/>
      </rPr>
      <t>wa%</t>
    </r>
    <r>
      <rPr>
        <sz val="11"/>
        <rFont val="Times New Roman"/>
        <family val="1"/>
      </rPr>
      <t xml:space="preserve"> = moisture content:</t>
    </r>
  </si>
  <si>
    <t>See Ref. Tables for bulking agent information</t>
  </si>
  <si>
    <t>to add to bring the C:N ratio to 25:1 to 40:1</t>
  </si>
  <si>
    <r>
      <t>yd</t>
    </r>
    <r>
      <rPr>
        <vertAlign val="superscript"/>
        <sz val="11"/>
        <rFont val="Times New Roman"/>
        <family val="1"/>
      </rPr>
      <t>3</t>
    </r>
  </si>
  <si>
    <r>
      <t>yd</t>
    </r>
    <r>
      <rPr>
        <vertAlign val="superscript"/>
        <sz val="11"/>
        <rFont val="Times New Roman"/>
        <family val="1"/>
      </rPr>
      <t xml:space="preserve">3 </t>
    </r>
    <r>
      <rPr>
        <sz val="11"/>
        <rFont val="Times New Roman"/>
        <family val="1"/>
      </rPr>
      <t>x (27ft</t>
    </r>
    <r>
      <rPr>
        <vertAlign val="superscript"/>
        <sz val="11"/>
        <rFont val="Times New Roman"/>
        <family val="1"/>
      </rPr>
      <t>3</t>
    </r>
    <r>
      <rPr>
        <sz val="11"/>
        <rFont val="Times New Roman"/>
        <family val="1"/>
      </rPr>
      <t>÷1yd</t>
    </r>
    <r>
      <rPr>
        <vertAlign val="superscript"/>
        <sz val="11"/>
        <rFont val="Times New Roman"/>
        <family val="1"/>
      </rPr>
      <t>3</t>
    </r>
    <r>
      <rPr>
        <sz val="11"/>
        <rFont val="Times New Roman"/>
        <family val="1"/>
      </rPr>
      <t xml:space="preserve">) x </t>
    </r>
  </si>
  <si>
    <r>
      <t>ft</t>
    </r>
    <r>
      <rPr>
        <vertAlign val="superscript"/>
        <sz val="11"/>
        <rFont val="Times New Roman"/>
        <family val="1"/>
      </rPr>
      <t>2</t>
    </r>
    <r>
      <rPr>
        <sz val="11"/>
        <rFont val="Times New Roman"/>
        <family val="1"/>
      </rPr>
      <t xml:space="preserve"> x</t>
    </r>
    <r>
      <rPr>
        <vertAlign val="superscript"/>
        <sz val="11"/>
        <rFont val="Times New Roman"/>
        <family val="1"/>
      </rPr>
      <t xml:space="preserve"> </t>
    </r>
    <r>
      <rPr>
        <sz val="11"/>
        <rFont val="Times New Roman"/>
        <family val="1"/>
      </rPr>
      <t>(1yd</t>
    </r>
    <r>
      <rPr>
        <vertAlign val="superscript"/>
        <sz val="11"/>
        <rFont val="Times New Roman"/>
        <family val="1"/>
      </rPr>
      <t>3</t>
    </r>
    <r>
      <rPr>
        <sz val="11"/>
        <rFont val="Times New Roman"/>
        <family val="1"/>
      </rPr>
      <t>÷27ft</t>
    </r>
    <r>
      <rPr>
        <vertAlign val="superscript"/>
        <sz val="11"/>
        <rFont val="Times New Roman"/>
        <family val="1"/>
      </rPr>
      <t>3</t>
    </r>
    <r>
      <rPr>
        <sz val="11"/>
        <rFont val="Times New Roman"/>
        <family val="1"/>
      </rPr>
      <t>) =</t>
    </r>
  </si>
  <si>
    <t>AU</t>
  </si>
  <si>
    <t>hrs/day</t>
  </si>
  <si>
    <t>pens/building</t>
  </si>
  <si>
    <t>pens per building:</t>
  </si>
  <si>
    <t>lbs/pen per day</t>
  </si>
  <si>
    <t>lbs/building per day</t>
  </si>
  <si>
    <t>lbs per day</t>
  </si>
  <si>
    <t>confined in building per day:</t>
  </si>
  <si>
    <t>Waiakea, Puna, &amp; Ka'u SWCD Soil Conservationist &amp; Comprehensive Nutrient Management Specialist Amelia Drury (Hilo S.C.)</t>
  </si>
  <si>
    <r>
      <t>W</t>
    </r>
    <r>
      <rPr>
        <vertAlign val="subscript"/>
        <sz val="11"/>
        <rFont val="Times New Roman"/>
        <family val="1"/>
      </rPr>
      <t>m</t>
    </r>
    <r>
      <rPr>
        <sz val="11"/>
        <rFont val="Times New Roman"/>
        <family val="1"/>
      </rPr>
      <t xml:space="preserve"> = wet weight of manure in building:</t>
    </r>
  </si>
  <si>
    <r>
      <t>W</t>
    </r>
    <r>
      <rPr>
        <vertAlign val="subscript"/>
        <sz val="11"/>
        <rFont val="Times New Roman"/>
        <family val="1"/>
      </rPr>
      <t>mwa</t>
    </r>
    <r>
      <rPr>
        <sz val="11"/>
        <rFont val="Times New Roman"/>
        <family val="1"/>
      </rPr>
      <t xml:space="preserve"> = wet weight of manure plus bulking agent</t>
    </r>
  </si>
  <si>
    <r>
      <t>W</t>
    </r>
    <r>
      <rPr>
        <vertAlign val="subscript"/>
        <sz val="11"/>
        <rFont val="Times New Roman"/>
        <family val="1"/>
      </rPr>
      <t>mwa</t>
    </r>
    <r>
      <rPr>
        <sz val="11"/>
        <rFont val="Times New Roman"/>
        <family val="1"/>
      </rPr>
      <t xml:space="preserve"> = W</t>
    </r>
    <r>
      <rPr>
        <vertAlign val="subscript"/>
        <sz val="11"/>
        <rFont val="Times New Roman"/>
        <family val="1"/>
      </rPr>
      <t>wa</t>
    </r>
    <r>
      <rPr>
        <sz val="11"/>
        <rFont val="Times New Roman"/>
        <family val="1"/>
      </rPr>
      <t xml:space="preserve"> + W</t>
    </r>
    <r>
      <rPr>
        <vertAlign val="subscript"/>
        <sz val="11"/>
        <rFont val="Times New Roman"/>
        <family val="1"/>
      </rPr>
      <t>m</t>
    </r>
    <r>
      <rPr>
        <sz val="11"/>
        <rFont val="Times New Roman"/>
        <family val="1"/>
      </rPr>
      <t xml:space="preserve"> =</t>
    </r>
  </si>
  <si>
    <r>
      <t>M</t>
    </r>
    <r>
      <rPr>
        <vertAlign val="subscript"/>
        <sz val="11"/>
        <rFont val="Times New Roman"/>
        <family val="1"/>
      </rPr>
      <t>mwa</t>
    </r>
    <r>
      <rPr>
        <sz val="11"/>
        <rFont val="Times New Roman"/>
        <family val="1"/>
      </rPr>
      <t xml:space="preserve"> = (((W</t>
    </r>
    <r>
      <rPr>
        <vertAlign val="subscript"/>
        <sz val="11"/>
        <rFont val="Times New Roman"/>
        <family val="1"/>
      </rPr>
      <t>m</t>
    </r>
    <r>
      <rPr>
        <sz val="11"/>
        <rFont val="Times New Roman"/>
        <family val="1"/>
      </rPr>
      <t>*M</t>
    </r>
    <r>
      <rPr>
        <vertAlign val="subscript"/>
        <sz val="11"/>
        <rFont val="Times New Roman"/>
        <family val="1"/>
      </rPr>
      <t>m%</t>
    </r>
    <r>
      <rPr>
        <sz val="11"/>
        <rFont val="Times New Roman"/>
        <family val="1"/>
      </rPr>
      <t>)+(W</t>
    </r>
    <r>
      <rPr>
        <vertAlign val="subscript"/>
        <sz val="11"/>
        <rFont val="Times New Roman"/>
        <family val="1"/>
      </rPr>
      <t>wa</t>
    </r>
    <r>
      <rPr>
        <sz val="11"/>
        <rFont val="Times New Roman"/>
        <family val="1"/>
      </rPr>
      <t>*M</t>
    </r>
    <r>
      <rPr>
        <vertAlign val="subscript"/>
        <sz val="11"/>
        <rFont val="Times New Roman"/>
        <family val="1"/>
      </rPr>
      <t>wa%</t>
    </r>
    <r>
      <rPr>
        <sz val="11"/>
        <rFont val="Times New Roman"/>
        <family val="1"/>
      </rPr>
      <t>))÷100))÷(W</t>
    </r>
    <r>
      <rPr>
        <vertAlign val="subscript"/>
        <sz val="11"/>
        <rFont val="Times New Roman"/>
        <family val="1"/>
      </rPr>
      <t>mwa</t>
    </r>
    <r>
      <rPr>
        <sz val="11"/>
        <rFont val="Times New Roman"/>
        <family val="1"/>
      </rPr>
      <t>) =</t>
    </r>
  </si>
  <si>
    <r>
      <t>M</t>
    </r>
    <r>
      <rPr>
        <vertAlign val="subscript"/>
        <sz val="11"/>
        <rFont val="Times New Roman"/>
        <family val="1"/>
      </rPr>
      <t>mwa</t>
    </r>
    <r>
      <rPr>
        <sz val="11"/>
        <rFont val="Times New Roman"/>
        <family val="1"/>
      </rPr>
      <t xml:space="preserve"> = % moisture of manure plus bulking agent</t>
    </r>
  </si>
  <si>
    <r>
      <t>W</t>
    </r>
    <r>
      <rPr>
        <vertAlign val="subscript"/>
        <sz val="11"/>
        <rFont val="Times New Roman"/>
        <family val="1"/>
      </rPr>
      <t>m</t>
    </r>
    <r>
      <rPr>
        <sz val="11"/>
        <rFont val="Times New Roman"/>
        <family val="1"/>
      </rPr>
      <t xml:space="preserve"> = wet weight of manure</t>
    </r>
  </si>
  <si>
    <r>
      <t>M</t>
    </r>
    <r>
      <rPr>
        <vertAlign val="subscript"/>
        <sz val="11"/>
        <rFont val="Times New Roman"/>
        <family val="1"/>
      </rPr>
      <t>m%</t>
    </r>
    <r>
      <rPr>
        <sz val="11"/>
        <rFont val="Times New Roman"/>
        <family val="1"/>
      </rPr>
      <t xml:space="preserve"> = % moisture content of manure</t>
    </r>
  </si>
  <si>
    <r>
      <t>W</t>
    </r>
    <r>
      <rPr>
        <vertAlign val="subscript"/>
        <sz val="11"/>
        <rFont val="Times New Roman"/>
        <family val="1"/>
      </rPr>
      <t>wa</t>
    </r>
    <r>
      <rPr>
        <sz val="11"/>
        <rFont val="Times New Roman"/>
        <family val="1"/>
      </rPr>
      <t xml:space="preserve"> = wet weight of bulking agent</t>
    </r>
  </si>
  <si>
    <r>
      <t>M</t>
    </r>
    <r>
      <rPr>
        <vertAlign val="subscript"/>
        <sz val="11"/>
        <rFont val="Times New Roman"/>
        <family val="1"/>
      </rPr>
      <t>wa%</t>
    </r>
    <r>
      <rPr>
        <sz val="11"/>
        <rFont val="Times New Roman"/>
        <family val="1"/>
      </rPr>
      <t xml:space="preserve"> = % moisture content of bulking agent</t>
    </r>
  </si>
  <si>
    <r>
      <t>W</t>
    </r>
    <r>
      <rPr>
        <vertAlign val="subscript"/>
        <sz val="11"/>
        <rFont val="Times New Roman"/>
        <family val="1"/>
      </rPr>
      <t>mwa</t>
    </r>
    <r>
      <rPr>
        <sz val="11"/>
        <rFont val="Times New Roman"/>
        <family val="1"/>
      </rPr>
      <t xml:space="preserve"> = weight of manure plus bulking agent</t>
    </r>
  </si>
  <si>
    <r>
      <t>W</t>
    </r>
    <r>
      <rPr>
        <vertAlign val="subscript"/>
        <sz val="11"/>
        <rFont val="Times New Roman"/>
        <family val="1"/>
      </rPr>
      <t>aa</t>
    </r>
    <r>
      <rPr>
        <sz val="11"/>
        <rFont val="Times New Roman"/>
        <family val="1"/>
      </rPr>
      <t>= ((W</t>
    </r>
    <r>
      <rPr>
        <vertAlign val="subscript"/>
        <sz val="11"/>
        <rFont val="Times New Roman"/>
        <family val="1"/>
      </rPr>
      <t>mwa</t>
    </r>
    <r>
      <rPr>
        <sz val="11"/>
        <rFont val="Times New Roman"/>
        <family val="1"/>
      </rPr>
      <t>)*(M</t>
    </r>
    <r>
      <rPr>
        <vertAlign val="subscript"/>
        <sz val="11"/>
        <rFont val="Times New Roman"/>
        <family val="1"/>
      </rPr>
      <t>mwa</t>
    </r>
    <r>
      <rPr>
        <sz val="11"/>
        <rFont val="Times New Roman"/>
        <family val="1"/>
      </rPr>
      <t>-M</t>
    </r>
    <r>
      <rPr>
        <vertAlign val="subscript"/>
        <sz val="11"/>
        <rFont val="Times New Roman"/>
        <family val="1"/>
      </rPr>
      <t>d</t>
    </r>
    <r>
      <rPr>
        <sz val="11"/>
        <rFont val="Times New Roman"/>
        <family val="1"/>
      </rPr>
      <t>))÷(M</t>
    </r>
    <r>
      <rPr>
        <vertAlign val="subscript"/>
        <sz val="11"/>
        <rFont val="Times New Roman"/>
        <family val="1"/>
      </rPr>
      <t>d</t>
    </r>
    <r>
      <rPr>
        <sz val="11"/>
        <rFont val="Times New Roman"/>
        <family val="1"/>
      </rPr>
      <t>-M</t>
    </r>
    <r>
      <rPr>
        <vertAlign val="subscript"/>
        <sz val="11"/>
        <rFont val="Times New Roman"/>
        <family val="1"/>
      </rPr>
      <t>aa</t>
    </r>
    <r>
      <rPr>
        <sz val="11"/>
        <rFont val="Times New Roman"/>
        <family val="1"/>
      </rPr>
      <t>) =</t>
    </r>
  </si>
  <si>
    <r>
      <t>W</t>
    </r>
    <r>
      <rPr>
        <vertAlign val="subscript"/>
        <sz val="11"/>
        <rFont val="Times New Roman"/>
        <family val="1"/>
      </rPr>
      <t>aa</t>
    </r>
    <r>
      <rPr>
        <sz val="11"/>
        <rFont val="Times New Roman"/>
        <family val="1"/>
      </rPr>
      <t>= Wet weight of additional bulking agent to be added</t>
    </r>
  </si>
  <si>
    <r>
      <t>W</t>
    </r>
    <r>
      <rPr>
        <vertAlign val="subscript"/>
        <sz val="11"/>
        <rFont val="Times New Roman"/>
        <family val="1"/>
      </rPr>
      <t>mwa</t>
    </r>
    <r>
      <rPr>
        <sz val="11"/>
        <rFont val="Times New Roman"/>
        <family val="1"/>
      </rPr>
      <t>=wet weight of manure plus bulking agent</t>
    </r>
  </si>
  <si>
    <r>
      <t>M</t>
    </r>
    <r>
      <rPr>
        <vertAlign val="subscript"/>
        <sz val="11"/>
        <rFont val="Times New Roman"/>
        <family val="1"/>
      </rPr>
      <t>mwa</t>
    </r>
    <r>
      <rPr>
        <sz val="11"/>
        <rFont val="Times New Roman"/>
        <family val="1"/>
      </rPr>
      <t>= % moisture content of manure plus bulking agent</t>
    </r>
  </si>
  <si>
    <r>
      <t>M</t>
    </r>
    <r>
      <rPr>
        <vertAlign val="subscript"/>
        <sz val="11"/>
        <rFont val="Times New Roman"/>
        <family val="1"/>
      </rPr>
      <t xml:space="preserve">d </t>
    </r>
    <r>
      <rPr>
        <sz val="11"/>
        <rFont val="Times New Roman"/>
        <family val="1"/>
      </rPr>
      <t>= desired % moisture of compost mixture (between 40% to 60%)</t>
    </r>
  </si>
  <si>
    <r>
      <t>M</t>
    </r>
    <r>
      <rPr>
        <vertAlign val="subscript"/>
        <sz val="11"/>
        <rFont val="Times New Roman"/>
        <family val="1"/>
      </rPr>
      <t xml:space="preserve">aa </t>
    </r>
    <r>
      <rPr>
        <sz val="11"/>
        <rFont val="Times New Roman"/>
        <family val="1"/>
      </rPr>
      <t>= %moisture content of additional bulking agent</t>
    </r>
  </si>
  <si>
    <r>
      <t>M</t>
    </r>
    <r>
      <rPr>
        <vertAlign val="subscript"/>
        <sz val="11"/>
        <rFont val="Times New Roman"/>
        <family val="1"/>
      </rPr>
      <t>aa</t>
    </r>
    <r>
      <rPr>
        <sz val="11"/>
        <rFont val="Times New Roman"/>
        <family val="1"/>
      </rPr>
      <t>=</t>
    </r>
  </si>
  <si>
    <r>
      <t>%                         M</t>
    </r>
    <r>
      <rPr>
        <vertAlign val="subscript"/>
        <sz val="11"/>
        <rFont val="Times New Roman"/>
        <family val="1"/>
      </rPr>
      <t>d</t>
    </r>
    <r>
      <rPr>
        <sz val="11"/>
        <rFont val="Times New Roman"/>
        <family val="1"/>
      </rPr>
      <t>=</t>
    </r>
  </si>
  <si>
    <r>
      <t>W</t>
    </r>
    <r>
      <rPr>
        <vertAlign val="subscript"/>
        <sz val="11"/>
        <rFont val="Times New Roman"/>
        <family val="1"/>
      </rPr>
      <t xml:space="preserve">wa </t>
    </r>
    <r>
      <rPr>
        <sz val="11"/>
        <rFont val="Times New Roman"/>
        <family val="1"/>
      </rPr>
      <t>= W</t>
    </r>
    <r>
      <rPr>
        <vertAlign val="subscript"/>
        <sz val="11"/>
        <rFont val="Times New Roman"/>
        <family val="1"/>
      </rPr>
      <t xml:space="preserve">wa </t>
    </r>
    <r>
      <rPr>
        <sz val="11"/>
        <rFont val="Times New Roman"/>
        <family val="1"/>
      </rPr>
      <t>+ W</t>
    </r>
    <r>
      <rPr>
        <vertAlign val="subscript"/>
        <sz val="11"/>
        <rFont val="Times New Roman"/>
        <family val="1"/>
      </rPr>
      <t xml:space="preserve">aa </t>
    </r>
    <r>
      <rPr>
        <sz val="11"/>
        <rFont val="Times New Roman"/>
        <family val="1"/>
      </rPr>
      <t>=</t>
    </r>
  </si>
  <si>
    <r>
      <t>Since compost mix</t>
    </r>
    <r>
      <rPr>
        <b/>
        <u/>
        <sz val="11"/>
        <rFont val="Times New Roman"/>
        <family val="1"/>
      </rPr>
      <t xml:space="preserve"> </t>
    </r>
    <r>
      <rPr>
        <b/>
        <sz val="11"/>
        <rFont val="Times New Roman"/>
        <family val="1"/>
      </rPr>
      <t xml:space="preserve">is within the desired moisture content </t>
    </r>
  </si>
  <si>
    <r>
      <rPr>
        <b/>
        <u/>
        <sz val="11"/>
        <rFont val="Times New Roman"/>
        <family val="1"/>
      </rPr>
      <t>no amendment is needed</t>
    </r>
    <r>
      <rPr>
        <b/>
        <sz val="11"/>
        <rFont val="Times New Roman"/>
        <family val="1"/>
      </rPr>
      <t>.</t>
    </r>
  </si>
  <si>
    <r>
      <t>W</t>
    </r>
    <r>
      <rPr>
        <vertAlign val="subscript"/>
        <sz val="11"/>
        <rFont val="Times New Roman"/>
        <family val="1"/>
      </rPr>
      <t>wa</t>
    </r>
    <r>
      <rPr>
        <sz val="11"/>
        <rFont val="Times New Roman"/>
        <family val="1"/>
      </rPr>
      <t xml:space="preserve"> = total weight of bulking agent:</t>
    </r>
  </si>
  <si>
    <r>
      <t xml:space="preserve"> W</t>
    </r>
    <r>
      <rPr>
        <vertAlign val="subscript"/>
        <sz val="11"/>
        <rFont val="Times New Roman"/>
        <family val="1"/>
      </rPr>
      <t>drywa</t>
    </r>
    <r>
      <rPr>
        <sz val="11"/>
        <rFont val="Times New Roman"/>
        <family val="1"/>
      </rPr>
      <t xml:space="preserve"> = W</t>
    </r>
    <r>
      <rPr>
        <vertAlign val="subscript"/>
        <sz val="11"/>
        <rFont val="Times New Roman"/>
        <family val="1"/>
      </rPr>
      <t>wa</t>
    </r>
    <r>
      <rPr>
        <sz val="11"/>
        <rFont val="Times New Roman"/>
        <family val="1"/>
      </rPr>
      <t>*((100-M</t>
    </r>
    <r>
      <rPr>
        <vertAlign val="subscript"/>
        <sz val="11"/>
        <rFont val="Times New Roman"/>
        <family val="1"/>
      </rPr>
      <t>w%</t>
    </r>
    <r>
      <rPr>
        <sz val="11"/>
        <rFont val="Times New Roman"/>
        <family val="1"/>
      </rPr>
      <t>)÷100) =</t>
    </r>
  </si>
  <si>
    <r>
      <t>W</t>
    </r>
    <r>
      <rPr>
        <vertAlign val="subscript"/>
        <sz val="11"/>
        <rFont val="Times New Roman"/>
        <family val="1"/>
      </rPr>
      <t>wa</t>
    </r>
    <r>
      <rPr>
        <sz val="11"/>
        <rFont val="Times New Roman"/>
        <family val="1"/>
      </rPr>
      <t>= wet weight of bulking agent</t>
    </r>
  </si>
  <si>
    <r>
      <t>W</t>
    </r>
    <r>
      <rPr>
        <vertAlign val="subscript"/>
        <sz val="11"/>
        <rFont val="Times New Roman"/>
        <family val="1"/>
      </rPr>
      <t>drywa</t>
    </r>
    <r>
      <rPr>
        <sz val="11"/>
        <rFont val="Times New Roman"/>
        <family val="1"/>
      </rPr>
      <t xml:space="preserve"> = dry weight of bulking agent</t>
    </r>
  </si>
  <si>
    <r>
      <t>W</t>
    </r>
    <r>
      <rPr>
        <vertAlign val="subscript"/>
        <sz val="11"/>
        <rFont val="Times New Roman"/>
        <family val="1"/>
      </rPr>
      <t>nwa</t>
    </r>
    <r>
      <rPr>
        <sz val="11"/>
        <rFont val="Times New Roman"/>
        <family val="1"/>
      </rPr>
      <t xml:space="preserve"> = ((%N*W</t>
    </r>
    <r>
      <rPr>
        <vertAlign val="subscript"/>
        <sz val="11"/>
        <rFont val="Times New Roman"/>
        <family val="1"/>
      </rPr>
      <t>drywa</t>
    </r>
    <r>
      <rPr>
        <sz val="11"/>
        <rFont val="Times New Roman"/>
        <family val="1"/>
      </rPr>
      <t xml:space="preserve">)÷100) = </t>
    </r>
  </si>
  <si>
    <r>
      <t>W</t>
    </r>
    <r>
      <rPr>
        <vertAlign val="subscript"/>
        <sz val="11"/>
        <rFont val="Times New Roman"/>
        <family val="1"/>
      </rPr>
      <t>cwa</t>
    </r>
    <r>
      <rPr>
        <sz val="11"/>
        <rFont val="Times New Roman"/>
        <family val="1"/>
      </rPr>
      <t xml:space="preserve"> = W</t>
    </r>
    <r>
      <rPr>
        <vertAlign val="subscript"/>
        <sz val="11"/>
        <rFont val="Times New Roman"/>
        <family val="1"/>
      </rPr>
      <t>nwa</t>
    </r>
    <r>
      <rPr>
        <sz val="11"/>
        <rFont val="Times New Roman"/>
        <family val="1"/>
      </rPr>
      <t xml:space="preserve"> * C:N =</t>
    </r>
  </si>
  <si>
    <r>
      <t>W</t>
    </r>
    <r>
      <rPr>
        <vertAlign val="subscript"/>
        <sz val="11"/>
        <rFont val="Times New Roman"/>
        <family val="1"/>
      </rPr>
      <t>cm</t>
    </r>
    <r>
      <rPr>
        <sz val="11"/>
        <rFont val="Times New Roman"/>
        <family val="1"/>
      </rPr>
      <t xml:space="preserve"> = VS÷1.8 = </t>
    </r>
  </si>
  <si>
    <r>
      <t>W</t>
    </r>
    <r>
      <rPr>
        <vertAlign val="subscript"/>
        <sz val="11"/>
        <rFont val="Times New Roman"/>
        <family val="1"/>
      </rPr>
      <t>nm</t>
    </r>
    <r>
      <rPr>
        <sz val="11"/>
        <rFont val="Times New Roman"/>
        <family val="1"/>
      </rPr>
      <t xml:space="preserve"> = AU * nitrogen production * time swine in piggery building per day</t>
    </r>
  </si>
  <si>
    <r>
      <t>W</t>
    </r>
    <r>
      <rPr>
        <vertAlign val="subscript"/>
        <sz val="11"/>
        <rFont val="Times New Roman"/>
        <family val="1"/>
      </rPr>
      <t>nm</t>
    </r>
    <r>
      <rPr>
        <sz val="11"/>
        <rFont val="Times New Roman"/>
        <family val="1"/>
      </rPr>
      <t xml:space="preserve"> = </t>
    </r>
  </si>
  <si>
    <r>
      <t>W</t>
    </r>
    <r>
      <rPr>
        <vertAlign val="subscript"/>
        <sz val="11"/>
        <rFont val="Times New Roman"/>
        <family val="1"/>
      </rPr>
      <t>cm</t>
    </r>
    <r>
      <rPr>
        <sz val="11"/>
        <rFont val="Times New Roman"/>
        <family val="1"/>
      </rPr>
      <t>/W</t>
    </r>
    <r>
      <rPr>
        <vertAlign val="subscript"/>
        <sz val="11"/>
        <rFont val="Times New Roman"/>
        <family val="1"/>
      </rPr>
      <t>nm</t>
    </r>
    <r>
      <rPr>
        <sz val="11"/>
        <rFont val="Times New Roman"/>
        <family val="1"/>
      </rPr>
      <t xml:space="preserve"> =</t>
    </r>
  </si>
  <si>
    <r>
      <t>C:N = (W</t>
    </r>
    <r>
      <rPr>
        <vertAlign val="subscript"/>
        <sz val="11"/>
        <rFont val="Times New Roman"/>
        <family val="1"/>
      </rPr>
      <t>cm</t>
    </r>
    <r>
      <rPr>
        <sz val="11"/>
        <rFont val="Times New Roman"/>
        <family val="1"/>
      </rPr>
      <t>+W</t>
    </r>
    <r>
      <rPr>
        <vertAlign val="subscript"/>
        <sz val="11"/>
        <rFont val="Times New Roman"/>
        <family val="1"/>
      </rPr>
      <t>cwa</t>
    </r>
    <r>
      <rPr>
        <sz val="11"/>
        <rFont val="Times New Roman"/>
        <family val="1"/>
      </rPr>
      <t>)÷(W</t>
    </r>
    <r>
      <rPr>
        <vertAlign val="subscript"/>
        <sz val="11"/>
        <rFont val="Times New Roman"/>
        <family val="1"/>
      </rPr>
      <t>nm</t>
    </r>
    <r>
      <rPr>
        <sz val="11"/>
        <rFont val="Times New Roman"/>
        <family val="1"/>
      </rPr>
      <t>+W</t>
    </r>
    <r>
      <rPr>
        <vertAlign val="subscript"/>
        <sz val="11"/>
        <rFont val="Times New Roman"/>
        <family val="1"/>
      </rPr>
      <t>nwa</t>
    </r>
    <r>
      <rPr>
        <sz val="11"/>
        <rFont val="Times New Roman"/>
        <family val="1"/>
      </rPr>
      <t>) =</t>
    </r>
  </si>
  <si>
    <r>
      <t xml:space="preserve">Step 3b - </t>
    </r>
    <r>
      <rPr>
        <b/>
        <i/>
        <sz val="11"/>
        <rFont val="Times New Roman"/>
        <family val="1"/>
      </rPr>
      <t xml:space="preserve">Determine the amount of commercial nitrogen </t>
    </r>
  </si>
  <si>
    <r>
      <t>W</t>
    </r>
    <r>
      <rPr>
        <vertAlign val="subscript"/>
        <sz val="11"/>
        <rFont val="Times New Roman"/>
        <family val="1"/>
      </rPr>
      <t>compost</t>
    </r>
    <r>
      <rPr>
        <sz val="11"/>
        <rFont val="Times New Roman"/>
        <family val="1"/>
      </rPr>
      <t xml:space="preserve"> = W</t>
    </r>
    <r>
      <rPr>
        <vertAlign val="subscript"/>
        <sz val="11"/>
        <rFont val="Times New Roman"/>
        <family val="1"/>
      </rPr>
      <t>nm</t>
    </r>
    <r>
      <rPr>
        <sz val="11"/>
        <rFont val="Times New Roman"/>
        <family val="1"/>
      </rPr>
      <t>+W</t>
    </r>
    <r>
      <rPr>
        <vertAlign val="subscript"/>
        <sz val="11"/>
        <rFont val="Times New Roman"/>
        <family val="1"/>
      </rPr>
      <t>nwa</t>
    </r>
    <r>
      <rPr>
        <sz val="11"/>
        <rFont val="Times New Roman"/>
        <family val="1"/>
      </rPr>
      <t xml:space="preserve"> =</t>
    </r>
  </si>
  <si>
    <r>
      <t xml:space="preserve"> W</t>
    </r>
    <r>
      <rPr>
        <vertAlign val="subscript"/>
        <sz val="11"/>
        <rFont val="Times New Roman"/>
        <family val="1"/>
      </rPr>
      <t>drym</t>
    </r>
    <r>
      <rPr>
        <sz val="11"/>
        <rFont val="Times New Roman"/>
        <family val="1"/>
      </rPr>
      <t xml:space="preserve"> = W</t>
    </r>
    <r>
      <rPr>
        <vertAlign val="subscript"/>
        <sz val="11"/>
        <rFont val="Times New Roman"/>
        <family val="1"/>
      </rPr>
      <t>m</t>
    </r>
    <r>
      <rPr>
        <sz val="11"/>
        <rFont val="Times New Roman"/>
        <family val="1"/>
      </rPr>
      <t>*((100-M</t>
    </r>
    <r>
      <rPr>
        <vertAlign val="subscript"/>
        <sz val="11"/>
        <rFont val="Times New Roman"/>
        <family val="1"/>
      </rPr>
      <t>m%)</t>
    </r>
    <r>
      <rPr>
        <sz val="11"/>
        <rFont val="Times New Roman"/>
        <family val="1"/>
      </rPr>
      <t xml:space="preserve">÷100) = </t>
    </r>
  </si>
  <si>
    <r>
      <t>W</t>
    </r>
    <r>
      <rPr>
        <vertAlign val="subscript"/>
        <sz val="11"/>
        <rFont val="Times New Roman"/>
        <family val="1"/>
      </rPr>
      <t>drym</t>
    </r>
    <r>
      <rPr>
        <sz val="11"/>
        <rFont val="Times New Roman"/>
        <family val="1"/>
      </rPr>
      <t xml:space="preserve"> = dry weight of manure</t>
    </r>
  </si>
  <si>
    <r>
      <t>% N in manure = (W</t>
    </r>
    <r>
      <rPr>
        <vertAlign val="subscript"/>
        <sz val="11"/>
        <rFont val="Times New Roman"/>
        <family val="1"/>
      </rPr>
      <t>nm</t>
    </r>
    <r>
      <rPr>
        <sz val="11"/>
        <rFont val="Times New Roman"/>
        <family val="1"/>
      </rPr>
      <t>÷W</t>
    </r>
    <r>
      <rPr>
        <vertAlign val="subscript"/>
        <sz val="11"/>
        <rFont val="Times New Roman"/>
        <family val="1"/>
      </rPr>
      <t>drym</t>
    </r>
    <r>
      <rPr>
        <sz val="11"/>
        <rFont val="Times New Roman"/>
        <family val="1"/>
      </rPr>
      <t>)*100 =</t>
    </r>
  </si>
  <si>
    <r>
      <t>W</t>
    </r>
    <r>
      <rPr>
        <vertAlign val="subscript"/>
        <sz val="11"/>
        <rFont val="Times New Roman"/>
        <family val="1"/>
      </rPr>
      <t>nd</t>
    </r>
    <r>
      <rPr>
        <sz val="11"/>
        <rFont val="Times New Roman"/>
        <family val="1"/>
      </rPr>
      <t xml:space="preserve"> = ((W</t>
    </r>
    <r>
      <rPr>
        <vertAlign val="subscript"/>
        <sz val="11"/>
        <rFont val="Times New Roman"/>
        <family val="1"/>
      </rPr>
      <t>cm</t>
    </r>
    <r>
      <rPr>
        <sz val="11"/>
        <rFont val="Times New Roman"/>
        <family val="1"/>
      </rPr>
      <t>+W</t>
    </r>
    <r>
      <rPr>
        <vertAlign val="subscript"/>
        <sz val="11"/>
        <rFont val="Times New Roman"/>
        <family val="1"/>
      </rPr>
      <t>cwa</t>
    </r>
    <r>
      <rPr>
        <sz val="11"/>
        <rFont val="Times New Roman"/>
        <family val="1"/>
      </rPr>
      <t>)÷R</t>
    </r>
    <r>
      <rPr>
        <vertAlign val="subscript"/>
        <sz val="11"/>
        <rFont val="Times New Roman"/>
        <family val="1"/>
      </rPr>
      <t>d</t>
    </r>
    <r>
      <rPr>
        <sz val="11"/>
        <rFont val="Times New Roman"/>
        <family val="1"/>
      </rPr>
      <t>)-(W</t>
    </r>
    <r>
      <rPr>
        <vertAlign val="subscript"/>
        <sz val="11"/>
        <rFont val="Times New Roman"/>
        <family val="1"/>
      </rPr>
      <t>nm</t>
    </r>
    <r>
      <rPr>
        <sz val="11"/>
        <rFont val="Times New Roman"/>
        <family val="1"/>
      </rPr>
      <t>+W</t>
    </r>
    <r>
      <rPr>
        <vertAlign val="subscript"/>
        <sz val="11"/>
        <rFont val="Times New Roman"/>
        <family val="1"/>
      </rPr>
      <t>nwa</t>
    </r>
    <r>
      <rPr>
        <sz val="11"/>
        <rFont val="Times New Roman"/>
        <family val="1"/>
      </rPr>
      <t>) =</t>
    </r>
  </si>
  <si>
    <r>
      <t>W</t>
    </r>
    <r>
      <rPr>
        <vertAlign val="subscript"/>
        <sz val="11"/>
        <rFont val="Times New Roman"/>
        <family val="1"/>
      </rPr>
      <t>nd</t>
    </r>
    <r>
      <rPr>
        <sz val="11"/>
        <rFont val="Times New Roman"/>
        <family val="1"/>
      </rPr>
      <t xml:space="preserve"> = dry weight of commercial nitrogen to add to mix</t>
    </r>
  </si>
  <si>
    <r>
      <t>W</t>
    </r>
    <r>
      <rPr>
        <vertAlign val="subscript"/>
        <sz val="11"/>
        <rFont val="Times New Roman"/>
        <family val="1"/>
      </rPr>
      <t>cm</t>
    </r>
    <r>
      <rPr>
        <sz val="11"/>
        <rFont val="Times New Roman"/>
        <family val="1"/>
      </rPr>
      <t xml:space="preserve"> = weight of carbon in manure</t>
    </r>
  </si>
  <si>
    <r>
      <t>W</t>
    </r>
    <r>
      <rPr>
        <vertAlign val="subscript"/>
        <sz val="11"/>
        <rFont val="Times New Roman"/>
        <family val="1"/>
      </rPr>
      <t>cwa</t>
    </r>
    <r>
      <rPr>
        <sz val="11"/>
        <rFont val="Times New Roman"/>
        <family val="1"/>
      </rPr>
      <t xml:space="preserve"> = weight of carbon in bulking agent</t>
    </r>
  </si>
  <si>
    <r>
      <t>W</t>
    </r>
    <r>
      <rPr>
        <vertAlign val="subscript"/>
        <sz val="11"/>
        <rFont val="Times New Roman"/>
        <family val="1"/>
      </rPr>
      <t>nm</t>
    </r>
    <r>
      <rPr>
        <sz val="11"/>
        <rFont val="Times New Roman"/>
        <family val="1"/>
      </rPr>
      <t xml:space="preserve"> = weight of nitrogen in manure</t>
    </r>
  </si>
  <si>
    <r>
      <t>W</t>
    </r>
    <r>
      <rPr>
        <vertAlign val="subscript"/>
        <sz val="11"/>
        <rFont val="Times New Roman"/>
        <family val="1"/>
      </rPr>
      <t>nwa</t>
    </r>
    <r>
      <rPr>
        <sz val="11"/>
        <rFont val="Times New Roman"/>
        <family val="1"/>
      </rPr>
      <t xml:space="preserve"> = weight of nitrogen in bulking agent</t>
    </r>
  </si>
  <si>
    <r>
      <t>R</t>
    </r>
    <r>
      <rPr>
        <vertAlign val="subscript"/>
        <sz val="11"/>
        <rFont val="Times New Roman"/>
        <family val="1"/>
      </rPr>
      <t>d</t>
    </r>
    <r>
      <rPr>
        <sz val="11"/>
        <rFont val="Times New Roman"/>
        <family val="1"/>
      </rPr>
      <t xml:space="preserve"> = desired C:N ratio of 25 to 40</t>
    </r>
  </si>
  <si>
    <t>hrs/day confined:</t>
  </si>
  <si>
    <t>Yellow boxes are input data</t>
  </si>
  <si>
    <t>Blue boxes are caculated for you</t>
  </si>
  <si>
    <t>Red boxes are the answers caculated for you</t>
  </si>
  <si>
    <t>Step 1:</t>
  </si>
  <si>
    <t>Step 2:</t>
  </si>
  <si>
    <t>Put in thickness of bulking agent in pen</t>
  </si>
  <si>
    <t>Compost Calculation Tab:</t>
  </si>
  <si>
    <t>Step3:</t>
  </si>
  <si>
    <t>Put in moisture content % for bulking agent</t>
  </si>
  <si>
    <t>Put in nitrogen % for bulking agent</t>
  </si>
  <si>
    <t>Put in C:N Ratio for bulking agent</t>
  </si>
  <si>
    <t>See Reference tab for bulking agent information</t>
  </si>
  <si>
    <t>Put in type of bulking agent</t>
  </si>
  <si>
    <t>Put in pen size width and length</t>
  </si>
  <si>
    <t xml:space="preserve">'W           x              </t>
  </si>
  <si>
    <t>in thick x (1ft÷12in) x</t>
  </si>
  <si>
    <r>
      <t>lb/ft</t>
    </r>
    <r>
      <rPr>
        <vertAlign val="superscript"/>
        <sz val="11"/>
        <rFont val="Times New Roman"/>
        <family val="1"/>
      </rPr>
      <t>3</t>
    </r>
    <r>
      <rPr>
        <sz val="11"/>
        <rFont val="Times New Roman"/>
        <family val="1"/>
      </rPr>
      <t xml:space="preserve">                      =</t>
    </r>
  </si>
  <si>
    <t>'L                           =</t>
  </si>
  <si>
    <t>Step4:</t>
  </si>
  <si>
    <t>Step: 5</t>
  </si>
  <si>
    <t>Step1a:</t>
  </si>
  <si>
    <t xml:space="preserve">Adjust thickness of bulking agent in pen in Step 1a in Compost Caculation tab </t>
  </si>
  <si>
    <t xml:space="preserve">Coversheet Tab: </t>
  </si>
  <si>
    <r>
      <t>W</t>
    </r>
    <r>
      <rPr>
        <vertAlign val="subscript"/>
        <sz val="11"/>
        <rFont val="Times New Roman"/>
        <family val="1"/>
      </rPr>
      <t>mwa</t>
    </r>
    <r>
      <rPr>
        <sz val="11"/>
        <rFont val="Times New Roman"/>
        <family val="1"/>
      </rPr>
      <t>=</t>
    </r>
  </si>
  <si>
    <r>
      <t>M</t>
    </r>
    <r>
      <rPr>
        <vertAlign val="subscript"/>
        <sz val="11"/>
        <rFont val="Times New Roman"/>
        <family val="1"/>
      </rPr>
      <t>mwa</t>
    </r>
    <r>
      <rPr>
        <sz val="11"/>
        <rFont val="Times New Roman"/>
        <family val="1"/>
      </rPr>
      <t>=</t>
    </r>
  </si>
  <si>
    <t xml:space="preserve">For Maa &amp; Md adjust as needed </t>
  </si>
  <si>
    <t>until desired moisture content (between 40% to 60%) is reached</t>
  </si>
  <si>
    <r>
      <t>For W</t>
    </r>
    <r>
      <rPr>
        <vertAlign val="subscript"/>
        <sz val="11"/>
        <rFont val="Times New Roman"/>
        <family val="1"/>
      </rPr>
      <t>mwa</t>
    </r>
    <r>
      <rPr>
        <sz val="11"/>
        <rFont val="Times New Roman"/>
        <family val="1"/>
      </rPr>
      <t xml:space="preserve"> &amp; M</t>
    </r>
    <r>
      <rPr>
        <vertAlign val="subscript"/>
        <sz val="11"/>
        <rFont val="Times New Roman"/>
        <family val="1"/>
      </rPr>
      <t>mwa</t>
    </r>
    <r>
      <rPr>
        <sz val="11"/>
        <rFont val="Times New Roman"/>
        <family val="1"/>
      </rPr>
      <t xml:space="preserve"> input data from calculated data</t>
    </r>
  </si>
  <si>
    <t>Type in Business Name</t>
  </si>
  <si>
    <t>Type in Decision maker name</t>
  </si>
  <si>
    <t>Type in Address</t>
  </si>
  <si>
    <r>
      <t>For Step 2b input calculated data for W</t>
    </r>
    <r>
      <rPr>
        <vertAlign val="subscript"/>
        <sz val="11"/>
        <rFont val="Times New Roman"/>
        <family val="1"/>
      </rPr>
      <t>mwa</t>
    </r>
    <r>
      <rPr>
        <sz val="11"/>
        <rFont val="Times New Roman"/>
        <family val="1"/>
      </rPr>
      <t xml:space="preserve"> &amp; M</t>
    </r>
    <r>
      <rPr>
        <vertAlign val="subscript"/>
        <sz val="11"/>
        <rFont val="Times New Roman"/>
        <family val="1"/>
      </rPr>
      <t>mwa</t>
    </r>
    <r>
      <rPr>
        <sz val="11"/>
        <rFont val="Times New Roman"/>
        <family val="1"/>
      </rPr>
      <t/>
    </r>
  </si>
  <si>
    <r>
      <t>For M</t>
    </r>
    <r>
      <rPr>
        <vertAlign val="subscript"/>
        <sz val="11"/>
        <rFont val="Times New Roman"/>
        <family val="1"/>
      </rPr>
      <t>aa</t>
    </r>
    <r>
      <rPr>
        <sz val="11"/>
        <rFont val="Times New Roman"/>
        <family val="1"/>
      </rPr>
      <t xml:space="preserve"> &amp; M</t>
    </r>
    <r>
      <rPr>
        <vertAlign val="subscript"/>
        <sz val="11"/>
        <rFont val="Times New Roman"/>
        <family val="1"/>
      </rPr>
      <t>d</t>
    </r>
    <r>
      <rPr>
        <sz val="11"/>
        <rFont val="Times New Roman"/>
        <family val="1"/>
      </rPr>
      <t xml:space="preserve"> can adjust as needed</t>
    </r>
  </si>
  <si>
    <t>until desire compost mixture moisture content reaches 40% to 60%</t>
  </si>
  <si>
    <t>Water Quality Specialist/Acting Agronomist Adam Reed (PIA State Office)</t>
  </si>
  <si>
    <r>
      <t>lb/yd</t>
    </r>
    <r>
      <rPr>
        <vertAlign val="superscript"/>
        <sz val="11"/>
        <rFont val="Times New Roman"/>
        <family val="1"/>
      </rPr>
      <t>3</t>
    </r>
    <r>
      <rPr>
        <sz val="11"/>
        <rFont val="Times New Roman"/>
        <family val="1"/>
      </rPr>
      <t xml:space="preserve">                     =</t>
    </r>
  </si>
  <si>
    <r>
      <t>yd</t>
    </r>
    <r>
      <rPr>
        <vertAlign val="superscript"/>
        <sz val="11"/>
        <rFont val="Times New Roman"/>
        <family val="1"/>
      </rPr>
      <t>3</t>
    </r>
    <r>
      <rPr>
        <sz val="11"/>
        <rFont val="Times New Roman"/>
        <family val="1"/>
      </rPr>
      <t xml:space="preserve">          x </t>
    </r>
  </si>
  <si>
    <r>
      <t>Note: 12 inches in 1 foot, 27 ft</t>
    </r>
    <r>
      <rPr>
        <vertAlign val="superscript"/>
        <sz val="11"/>
        <rFont val="Times New Roman"/>
        <family val="1"/>
      </rPr>
      <t>3</t>
    </r>
    <r>
      <rPr>
        <sz val="11"/>
        <rFont val="Times New Roman"/>
        <family val="1"/>
      </rPr>
      <t xml:space="preserve"> in 1 yd</t>
    </r>
    <r>
      <rPr>
        <vertAlign val="superscript"/>
        <sz val="11"/>
        <rFont val="Times New Roman"/>
        <family val="1"/>
      </rPr>
      <t>3</t>
    </r>
    <r>
      <rPr>
        <sz val="11"/>
        <rFont val="Times New Roman"/>
        <family val="1"/>
      </rPr>
      <t>, and __lb/ft</t>
    </r>
    <r>
      <rPr>
        <vertAlign val="superscript"/>
        <sz val="11"/>
        <rFont val="Times New Roman"/>
        <family val="1"/>
      </rPr>
      <t xml:space="preserve">3 </t>
    </r>
    <r>
      <rPr>
        <sz val="11"/>
        <rFont val="Times New Roman"/>
        <family val="1"/>
      </rPr>
      <t>or _lb/yd</t>
    </r>
    <r>
      <rPr>
        <vertAlign val="superscript"/>
        <sz val="11"/>
        <rFont val="Times New Roman"/>
        <family val="1"/>
      </rPr>
      <t>3</t>
    </r>
    <r>
      <rPr>
        <sz val="11"/>
        <rFont val="Times New Roman"/>
        <family val="1"/>
      </rPr>
      <t xml:space="preserve"> for bulking agent</t>
    </r>
  </si>
  <si>
    <r>
      <t>Put in lb/ft</t>
    </r>
    <r>
      <rPr>
        <vertAlign val="superscript"/>
        <sz val="11"/>
        <rFont val="Times New Roman"/>
        <family val="1"/>
      </rPr>
      <t>3</t>
    </r>
    <r>
      <rPr>
        <sz val="11"/>
        <rFont val="Times New Roman"/>
        <family val="1"/>
      </rPr>
      <t xml:space="preserve"> or lb/yd</t>
    </r>
    <r>
      <rPr>
        <vertAlign val="superscript"/>
        <sz val="11"/>
        <rFont val="Times New Roman"/>
        <family val="1"/>
      </rPr>
      <t>3</t>
    </r>
    <r>
      <rPr>
        <sz val="11"/>
        <rFont val="Times New Roman"/>
        <family val="1"/>
      </rPr>
      <t xml:space="preserve"> for bulking agent</t>
    </r>
  </si>
  <si>
    <r>
      <rPr>
        <b/>
        <u/>
        <sz val="11"/>
        <rFont val="Times New Roman"/>
        <family val="1"/>
      </rPr>
      <t>Bulking Agent</t>
    </r>
    <r>
      <rPr>
        <b/>
        <sz val="11"/>
        <rFont val="Times New Roman"/>
        <family val="1"/>
      </rPr>
      <t xml:space="preserve">: </t>
    </r>
  </si>
  <si>
    <r>
      <rPr>
        <b/>
        <u/>
        <sz val="11"/>
        <rFont val="Times New Roman"/>
        <family val="1"/>
      </rPr>
      <t>Pen Size</t>
    </r>
    <r>
      <rPr>
        <b/>
        <sz val="11"/>
        <rFont val="Times New Roman"/>
        <family val="1"/>
      </rPr>
      <t>:</t>
    </r>
  </si>
  <si>
    <t>Step 1b: Determine Bulking Agent</t>
  </si>
  <si>
    <t>Step 2a: Determine the moisture content of the waste</t>
  </si>
  <si>
    <t>Step 2b: Determine amount of additional bulking agent to added, if any, to the compost mix</t>
  </si>
  <si>
    <t>Step 3: Calculate the C:N Ratio of compost mix</t>
  </si>
  <si>
    <r>
      <t>W</t>
    </r>
    <r>
      <rPr>
        <vertAlign val="subscript"/>
        <sz val="11"/>
        <rFont val="Times New Roman"/>
        <family val="1"/>
      </rPr>
      <t>cwa</t>
    </r>
    <r>
      <rPr>
        <sz val="11"/>
        <rFont val="Times New Roman"/>
        <family val="1"/>
      </rPr>
      <t xml:space="preserve"> = weight of carbon in bulking agent:</t>
    </r>
  </si>
  <si>
    <t>University of Guam Soil and Plant Testing Laboratory</t>
  </si>
  <si>
    <t>Sample</t>
  </si>
  <si>
    <t>Description</t>
  </si>
  <si>
    <t>TKN</t>
  </si>
  <si>
    <t>Organic</t>
  </si>
  <si>
    <t>C:N Ratio</t>
  </si>
  <si>
    <t>Number</t>
  </si>
  <si>
    <t>Carbon</t>
  </si>
  <si>
    <t>Coconut Leaves</t>
  </si>
  <si>
    <t>Coconut Leaf Stem</t>
  </si>
  <si>
    <t>Coconut Leaf - Trunk Bark</t>
  </si>
  <si>
    <t>Coconut Tree Trunk</t>
  </si>
  <si>
    <t>Coconut Flower Stem</t>
  </si>
  <si>
    <t>Coconut Husks</t>
  </si>
  <si>
    <t>Coconut Shells</t>
  </si>
  <si>
    <t>Banana Leaves</t>
  </si>
  <si>
    <t>Date Out: 02/20/97</t>
  </si>
  <si>
    <t>Date In 01/09/97</t>
  </si>
  <si>
    <t>Pete Bautista's Samples</t>
  </si>
  <si>
    <t>Collected at Pago Bay Beach, Guam</t>
  </si>
  <si>
    <t>Assistant State Conservation Engineer Jeffrey C. Wheaton, P.E.</t>
  </si>
  <si>
    <t xml:space="preserve">From separate computations input the volume and composition of the waste as excreted.  It may be reasonable to </t>
  </si>
  <si>
    <t xml:space="preserve">adjust the Nitrogen content down if the operation is a dry litter or there is a staging  period before the manure and bulking agent are mixed </t>
  </si>
  <si>
    <t>See Table 11-5, page 11-21 USDA NRCS National Engineering Handbook (NEH) part 651, Ag Waste Management Field Handbook</t>
  </si>
  <si>
    <t>As excreted values computed separately.  Use USDA NRCS National Engineering Handbook part 651, Ag Waste Management Field Handbook, ASAE Standard D384.1 Dec 93 Manure Production and Characteristics, or actual measurements and analysis (use representative sampling in sufficient numbers to justify extrapolating values, particularly if results are significantly different than book values).  ASAE 1993 data includes standard deviation, useful for giving a range for evaluating reasonableness of site specific measurements.</t>
  </si>
  <si>
    <t xml:space="preserve">See note at upper right for alternative methods to achieve an effective compost recipe without adding nitrogen (usually purchased).  </t>
  </si>
  <si>
    <t>See Ref. Tables Tab for bulking agent information</t>
  </si>
  <si>
    <t xml:space="preserve">If manure and bulking agent mixture C:N Ratio </t>
  </si>
  <si>
    <t>no amendment needed to achieve C:N Ratio</t>
  </si>
  <si>
    <t>for estimates of possible nitrogen losses.  Enter the after losses % value into the yellow data box on the compost calculation tab.</t>
  </si>
  <si>
    <t>Note: This spread sheet follows the guidance provided in chapeter 10 of the USDA NRCS National Engineering Handbook (NEH) Part 651, Ag Waste Management Field Handbook (AWMFH).   It is flow charted on page 10-48, figure 10-33.  Step by step instructions follow on pages 10-49 through 10-51.  One possible outcome of the process when high nitrogen content wet material is mixed with high C:N material is that the mix will be too wet.  The procedure calls for adding dry high C:N material until the ideal moisture is achieved and then possibly adding nitrogen fertilizer to finalize the batch with the proper moisture and C:N.  Recommendations to add purchased nitrogen to a compost pile may not be well received by the operator.  An alternative technique would be to get the C:N ratio at the 25 to 40 range on a dry weight basis, then dry the batch through the critical moisture range for the composting process to proceed without additional N.    If the moisture content is too high to function as a dry litter system, then addition of N after removal from the pen may be unavoidable.  Much will depend on the structure of the bulking agent; coarse wood chips will function as dry litter at higher moistures than softer smaller carbon materials.   Jeffrey C. Wheaton, PE    12 March 2014</t>
  </si>
  <si>
    <t>Worksheet Instructions</t>
  </si>
  <si>
    <t xml:space="preserve"> Revised 3/14/2014</t>
  </si>
  <si>
    <t>See note on the instructions sheet regarding alternatives to adding commercial nitrogen, J. Wheaton 14 Mar 14</t>
  </si>
  <si>
    <t>See note on Instructions Tab for Nitrogen reductions that may occur because of volatilization.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</si>
</sst>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quot;$&quot;#,##0\ ;\(&quot;$&quot;#,##0\)"/>
    <numFmt numFmtId="166" formatCode="mmmm\ d\,\ yyyy"/>
  </numFmts>
  <fonts count="31" x14ac:knownFonts="1">
    <font>
      <sz val="10"/>
      <name val="Arial"/>
    </font>
    <font>
      <sz val="10"/>
      <name val="Arial"/>
    </font>
    <font>
      <sz val="11"/>
      <name val="Times New Roman"/>
      <family val="1"/>
    </font>
    <font>
      <b/>
      <sz val="11"/>
      <name val="Times New Roman"/>
      <family val="1"/>
    </font>
    <font>
      <b/>
      <i/>
      <sz val="11"/>
      <name val="Times New Roman"/>
      <family val="1"/>
    </font>
    <font>
      <vertAlign val="subscript"/>
      <sz val="11"/>
      <name val="Times New Roman"/>
      <family val="1"/>
    </font>
    <font>
      <b/>
      <i/>
      <u/>
      <sz val="11"/>
      <name val="Times New Roman"/>
      <family val="1"/>
    </font>
    <font>
      <b/>
      <i/>
      <sz val="10"/>
      <name val="Arial"/>
    </font>
    <font>
      <b/>
      <u/>
      <sz val="11"/>
      <name val="Times New Roman"/>
      <family val="1"/>
    </font>
    <font>
      <i/>
      <sz val="10"/>
      <name val="Arial"/>
      <family val="2"/>
    </font>
    <font>
      <b/>
      <sz val="10"/>
      <name val="Arial"/>
      <family val="2"/>
    </font>
    <font>
      <sz val="10"/>
      <name val="Arial"/>
      <family val="2"/>
    </font>
    <font>
      <b/>
      <i/>
      <sz val="10"/>
      <name val="Arial"/>
      <family val="2"/>
    </font>
    <font>
      <i/>
      <u/>
      <sz val="11"/>
      <name val="Times New Roman"/>
      <family val="1"/>
    </font>
    <font>
      <i/>
      <u/>
      <sz val="10"/>
      <name val="Arial"/>
      <family val="2"/>
    </font>
    <font>
      <u/>
      <sz val="10"/>
      <name val="Arial"/>
      <family val="2"/>
    </font>
    <font>
      <sz val="10"/>
      <name val="Arial"/>
    </font>
    <font>
      <b/>
      <u/>
      <sz val="10"/>
      <name val="Arial"/>
      <family val="2"/>
    </font>
    <font>
      <vertAlign val="superscript"/>
      <sz val="11"/>
      <name val="Times New Roman"/>
      <family val="1"/>
    </font>
    <font>
      <sz val="11"/>
      <color theme="1"/>
      <name val="Times New Roman"/>
      <family val="1"/>
    </font>
    <font>
      <sz val="12"/>
      <name val="Arial"/>
      <family val="2"/>
    </font>
    <font>
      <sz val="10"/>
      <color indexed="24"/>
      <name val="Arial"/>
      <family val="2"/>
    </font>
    <font>
      <sz val="12"/>
      <name val="Arial"/>
    </font>
    <font>
      <b/>
      <sz val="16"/>
      <color indexed="10"/>
      <name val="Arial"/>
    </font>
    <font>
      <b/>
      <sz val="16"/>
      <name val="Arial"/>
    </font>
    <font>
      <b/>
      <sz val="12"/>
      <name val="Arial"/>
    </font>
    <font>
      <u/>
      <sz val="12"/>
      <color indexed="12"/>
      <name val="Arial"/>
    </font>
    <font>
      <u/>
      <sz val="11"/>
      <name val="Times New Roman"/>
      <family val="1"/>
    </font>
    <font>
      <i/>
      <sz val="11"/>
      <name val="Times New Roman"/>
      <family val="1"/>
    </font>
    <font>
      <sz val="9"/>
      <color indexed="81"/>
      <name val="Tahoma"/>
      <charset val="1"/>
    </font>
    <font>
      <b/>
      <sz val="9"/>
      <color indexed="81"/>
      <name val="Tahoma"/>
      <charset val="1"/>
    </font>
  </fonts>
  <fills count="8">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9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9">
    <xf numFmtId="0" fontId="0" fillId="0" borderId="0"/>
    <xf numFmtId="0" fontId="11" fillId="0" borderId="0"/>
    <xf numFmtId="43" fontId="11" fillId="0" borderId="0" applyFont="0" applyFill="0" applyBorder="0" applyAlignment="0" applyProtection="0"/>
    <xf numFmtId="3" fontId="21" fillId="0" borderId="0" applyFont="0" applyFill="0" applyBorder="0" applyAlignment="0" applyProtection="0"/>
    <xf numFmtId="165" fontId="21" fillId="0" borderId="0" applyFont="0" applyFill="0" applyBorder="0" applyAlignment="0" applyProtection="0"/>
    <xf numFmtId="0" fontId="21" fillId="0" borderId="0" applyFont="0" applyFill="0" applyBorder="0" applyAlignment="0" applyProtection="0"/>
    <xf numFmtId="2" fontId="21" fillId="0" borderId="0" applyFont="0" applyFill="0" applyBorder="0" applyAlignment="0" applyProtection="0"/>
    <xf numFmtId="0" fontId="22" fillId="0" borderId="0"/>
    <xf numFmtId="0" fontId="26" fillId="0" borderId="0" applyNumberFormat="0" applyFill="0" applyBorder="0" applyAlignment="0" applyProtection="0">
      <alignment vertical="top"/>
      <protection locked="0"/>
    </xf>
  </cellStyleXfs>
  <cellXfs count="179">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2" fillId="0" borderId="0" xfId="0" applyFont="1" applyAlignment="1"/>
    <xf numFmtId="0" fontId="8" fillId="0" borderId="0" xfId="0" applyFont="1"/>
    <xf numFmtId="0" fontId="9" fillId="0" borderId="0" xfId="0" applyFont="1"/>
    <xf numFmtId="0" fontId="10" fillId="0" borderId="0" xfId="0" applyFont="1"/>
    <xf numFmtId="0" fontId="11" fillId="0" borderId="0" xfId="0" applyFont="1"/>
    <xf numFmtId="0" fontId="13" fillId="0" borderId="0" xfId="0" applyFont="1"/>
    <xf numFmtId="0" fontId="12" fillId="0" borderId="0" xfId="0" applyFont="1"/>
    <xf numFmtId="0" fontId="15" fillId="0" borderId="0" xfId="0" applyFont="1"/>
    <xf numFmtId="0" fontId="15" fillId="0" borderId="0" xfId="0" applyFont="1" applyAlignment="1">
      <alignment horizontal="right"/>
    </xf>
    <xf numFmtId="0" fontId="2" fillId="3" borderId="1" xfId="0" applyFont="1" applyFill="1" applyBorder="1" applyAlignment="1">
      <alignment horizontal="center"/>
    </xf>
    <xf numFmtId="0" fontId="17" fillId="0" borderId="0" xfId="0" applyFont="1"/>
    <xf numFmtId="0" fontId="10" fillId="0" borderId="0" xfId="0" applyFont="1" applyAlignment="1">
      <alignment horizontal="left"/>
    </xf>
    <xf numFmtId="2" fontId="2" fillId="3" borderId="1" xfId="0" applyNumberFormat="1" applyFont="1" applyFill="1" applyBorder="1" applyAlignment="1">
      <alignment horizontal="center"/>
    </xf>
    <xf numFmtId="2" fontId="19" fillId="3" borderId="1" xfId="0" applyNumberFormat="1" applyFont="1" applyFill="1" applyBorder="1" applyAlignment="1">
      <alignment horizontal="center"/>
    </xf>
    <xf numFmtId="1" fontId="0" fillId="0" borderId="0" xfId="0" applyNumberFormat="1" applyFill="1" applyBorder="1" applyAlignment="1">
      <alignment horizontal="center"/>
    </xf>
    <xf numFmtId="0" fontId="2" fillId="0" borderId="0" xfId="0" applyFont="1" applyFill="1" applyBorder="1" applyAlignment="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2" fillId="0" borderId="0" xfId="7" applyFill="1"/>
    <xf numFmtId="0" fontId="22" fillId="0" borderId="0" xfId="7"/>
    <xf numFmtId="0" fontId="23" fillId="0" borderId="0" xfId="7" applyFont="1" applyAlignment="1" applyProtection="1">
      <alignment wrapText="1"/>
      <protection locked="0"/>
    </xf>
    <xf numFmtId="0" fontId="25" fillId="0" borderId="0" xfId="7" applyFont="1" applyFill="1" applyAlignment="1">
      <alignment wrapText="1"/>
    </xf>
    <xf numFmtId="0" fontId="3" fillId="0" borderId="0" xfId="0" applyFont="1" applyAlignment="1">
      <alignment horizontal="right"/>
    </xf>
    <xf numFmtId="0" fontId="0" fillId="0" borderId="0" xfId="0" applyBorder="1"/>
    <xf numFmtId="2" fontId="2" fillId="2" borderId="1" xfId="0" applyNumberFormat="1" applyFont="1" applyFill="1" applyBorder="1" applyAlignment="1">
      <alignment horizontal="center"/>
    </xf>
    <xf numFmtId="0" fontId="0" fillId="0" borderId="1" xfId="0" applyBorder="1"/>
    <xf numFmtId="0" fontId="0" fillId="0" borderId="0" xfId="0" applyBorder="1" applyAlignment="1"/>
    <xf numFmtId="0" fontId="11" fillId="0" borderId="1" xfId="0" applyFont="1" applyBorder="1" applyAlignment="1">
      <alignment horizontal="center"/>
    </xf>
    <xf numFmtId="0" fontId="0" fillId="0" borderId="1" xfId="0" applyBorder="1" applyAlignment="1">
      <alignment horizontal="center"/>
    </xf>
    <xf numFmtId="0" fontId="11" fillId="0" borderId="1" xfId="0" applyFont="1" applyBorder="1" applyAlignment="1">
      <alignment horizontal="left"/>
    </xf>
    <xf numFmtId="0" fontId="11" fillId="0" borderId="0" xfId="0" applyFont="1" applyBorder="1" applyAlignment="1">
      <alignment horizontal="center"/>
    </xf>
    <xf numFmtId="0" fontId="0" fillId="0" borderId="0" xfId="0" applyBorder="1" applyAlignment="1">
      <alignment horizontal="center"/>
    </xf>
    <xf numFmtId="0" fontId="11" fillId="0" borderId="1" xfId="0" applyFont="1" applyFill="1" applyBorder="1" applyAlignment="1">
      <alignment horizontal="center"/>
    </xf>
    <xf numFmtId="0" fontId="11" fillId="0" borderId="1" xfId="0" applyFont="1" applyBorder="1"/>
    <xf numFmtId="0" fontId="11" fillId="0" borderId="1" xfId="0" applyFont="1" applyBorder="1" applyAlignment="1">
      <alignment horizontal="center" vertical="center"/>
    </xf>
    <xf numFmtId="0" fontId="0" fillId="0" borderId="1" xfId="0" applyBorder="1" applyAlignment="1">
      <alignment horizontal="center" vertical="center"/>
    </xf>
    <xf numFmtId="3" fontId="0" fillId="0" borderId="1" xfId="0" applyNumberFormat="1" applyBorder="1" applyAlignment="1">
      <alignment horizontal="center" vertical="center"/>
    </xf>
    <xf numFmtId="0" fontId="11" fillId="0" borderId="1" xfId="0" applyNumberFormat="1" applyFont="1" applyBorder="1" applyAlignment="1">
      <alignment horizontal="center" vertical="center"/>
    </xf>
    <xf numFmtId="0" fontId="0" fillId="0" borderId="1" xfId="0" applyFont="1" applyBorder="1" applyAlignment="1">
      <alignment horizontal="center" vertical="center"/>
    </xf>
    <xf numFmtId="0" fontId="11" fillId="0" borderId="1" xfId="0" applyFont="1" applyBorder="1" applyAlignment="1">
      <alignment horizontal="left" wrapText="1"/>
    </xf>
    <xf numFmtId="0" fontId="17" fillId="0" borderId="0" xfId="0" applyFont="1" applyAlignment="1">
      <alignment horizontal="right"/>
    </xf>
    <xf numFmtId="0" fontId="11" fillId="0" borderId="1" xfId="0" applyFont="1" applyBorder="1" applyAlignment="1">
      <alignment horizontal="left"/>
    </xf>
    <xf numFmtId="0" fontId="2" fillId="0" borderId="0" xfId="0" applyFont="1" applyAlignment="1">
      <alignment horizontal="right"/>
    </xf>
    <xf numFmtId="0" fontId="2" fillId="0" borderId="0" xfId="0" applyFont="1" applyAlignment="1">
      <alignment horizontal="center"/>
    </xf>
    <xf numFmtId="0" fontId="0" fillId="0" borderId="0" xfId="0" applyFill="1" applyBorder="1"/>
    <xf numFmtId="1" fontId="15" fillId="0" borderId="0" xfId="0" applyNumberFormat="1" applyFont="1" applyFill="1" applyBorder="1"/>
    <xf numFmtId="0" fontId="15" fillId="0" borderId="0" xfId="0" applyFont="1" applyFill="1" applyBorder="1"/>
    <xf numFmtId="164" fontId="15" fillId="0" borderId="0" xfId="0" applyNumberFormat="1" applyFont="1" applyFill="1" applyBorder="1"/>
    <xf numFmtId="0" fontId="2" fillId="0" borderId="0" xfId="0" applyFont="1" applyFill="1" applyAlignment="1">
      <alignment horizontal="center"/>
    </xf>
    <xf numFmtId="0" fontId="2" fillId="0" borderId="0" xfId="0" applyFont="1" applyFill="1" applyAlignment="1">
      <alignment horizontal="right"/>
    </xf>
    <xf numFmtId="0" fontId="2" fillId="0" borderId="0" xfId="0" applyFont="1" applyFill="1" applyAlignment="1">
      <alignment horizontal="left"/>
    </xf>
    <xf numFmtId="0" fontId="2" fillId="0" borderId="0" xfId="0" applyFont="1" applyFill="1" applyBorder="1"/>
    <xf numFmtId="0" fontId="2" fillId="0" borderId="0" xfId="0" applyFont="1" applyFill="1" applyBorder="1" applyAlignment="1">
      <alignment horizontal="center"/>
    </xf>
    <xf numFmtId="0" fontId="7" fillId="0" borderId="0" xfId="0" applyFont="1" applyFill="1" applyBorder="1"/>
    <xf numFmtId="0" fontId="2" fillId="0" borderId="0" xfId="0" applyFont="1" applyFill="1" applyBorder="1" applyAlignment="1">
      <alignment horizontal="center" vertical="center"/>
    </xf>
    <xf numFmtId="0" fontId="2" fillId="0" borderId="0" xfId="0" applyFont="1" applyFill="1" applyBorder="1" applyAlignment="1">
      <alignment horizontal="right"/>
    </xf>
    <xf numFmtId="2" fontId="2" fillId="0" borderId="0" xfId="0" applyNumberFormat="1" applyFont="1" applyFill="1" applyBorder="1" applyAlignment="1">
      <alignment horizontal="center"/>
    </xf>
    <xf numFmtId="0" fontId="11" fillId="0" borderId="0" xfId="0" applyFont="1" applyFill="1" applyBorder="1"/>
    <xf numFmtId="0" fontId="0" fillId="0" borderId="0" xfId="0" applyFill="1" applyBorder="1" applyAlignment="1">
      <alignment horizontal="center"/>
    </xf>
    <xf numFmtId="0" fontId="0" fillId="0" borderId="0" xfId="0" applyFill="1" applyBorder="1" applyAlignment="1">
      <alignment horizontal="right"/>
    </xf>
    <xf numFmtId="0" fontId="2" fillId="0" borderId="0" xfId="0" applyFont="1" applyFill="1" applyBorder="1" applyAlignment="1">
      <alignment horizontal="left"/>
    </xf>
    <xf numFmtId="0" fontId="0" fillId="0" borderId="0" xfId="0" applyFill="1" applyBorder="1" applyAlignment="1">
      <alignment horizontal="left"/>
    </xf>
    <xf numFmtId="2" fontId="0" fillId="0" borderId="0" xfId="0" applyNumberFormat="1" applyFill="1" applyBorder="1" applyAlignment="1">
      <alignment horizontal="center"/>
    </xf>
    <xf numFmtId="0" fontId="2" fillId="0" borderId="0" xfId="0" applyFont="1" applyFill="1" applyBorder="1" applyAlignment="1">
      <alignment horizontal="center"/>
    </xf>
    <xf numFmtId="0" fontId="2" fillId="0" borderId="0" xfId="0" applyFont="1" applyFill="1" applyBorder="1" applyAlignment="1">
      <alignment horizontal="right"/>
    </xf>
    <xf numFmtId="0" fontId="11" fillId="0" borderId="0" xfId="0" applyFont="1" applyFill="1" applyBorder="1" applyAlignment="1">
      <alignment horizontal="center"/>
    </xf>
    <xf numFmtId="0" fontId="10" fillId="0" borderId="0" xfId="0" applyFont="1" applyFill="1" applyBorder="1"/>
    <xf numFmtId="0" fontId="11" fillId="0" borderId="0" xfId="0" applyFont="1" applyFill="1" applyBorder="1" applyAlignment="1">
      <alignment horizontal="right"/>
    </xf>
    <xf numFmtId="0" fontId="9" fillId="0" borderId="0" xfId="0" applyFont="1" applyFill="1" applyBorder="1"/>
    <xf numFmtId="1" fontId="11" fillId="0" borderId="0" xfId="0" applyNumberFormat="1" applyFont="1" applyFill="1" applyBorder="1" applyAlignment="1">
      <alignment horizontal="center"/>
    </xf>
    <xf numFmtId="0" fontId="12" fillId="0" borderId="0" xfId="0" applyFont="1" applyFill="1" applyBorder="1"/>
    <xf numFmtId="0" fontId="14" fillId="0" borderId="0" xfId="0" applyFont="1" applyFill="1" applyBorder="1"/>
    <xf numFmtId="2" fontId="11" fillId="0" borderId="0" xfId="0" applyNumberFormat="1" applyFont="1" applyFill="1" applyBorder="1" applyAlignment="1">
      <alignment horizontal="center"/>
    </xf>
    <xf numFmtId="0" fontId="16" fillId="0" borderId="0" xfId="0" applyFont="1" applyFill="1" applyBorder="1"/>
    <xf numFmtId="2" fontId="16" fillId="0" borderId="0" xfId="0" applyNumberFormat="1" applyFont="1" applyFill="1" applyBorder="1" applyAlignment="1">
      <alignment horizontal="center"/>
    </xf>
    <xf numFmtId="0" fontId="16" fillId="0" borderId="0" xfId="0" applyFont="1" applyFill="1" applyBorder="1" applyAlignment="1">
      <alignment horizontal="left"/>
    </xf>
    <xf numFmtId="0" fontId="16" fillId="0" borderId="0" xfId="0" applyFont="1" applyFill="1" applyBorder="1" applyAlignment="1">
      <alignment horizontal="right"/>
    </xf>
    <xf numFmtId="164" fontId="0" fillId="0" borderId="0" xfId="0" applyNumberFormat="1" applyFill="1" applyBorder="1" applyAlignment="1">
      <alignment horizontal="center"/>
    </xf>
    <xf numFmtId="164" fontId="1" fillId="0" borderId="0" xfId="0" applyNumberFormat="1" applyFont="1" applyFill="1" applyBorder="1" applyAlignment="1">
      <alignment horizontal="center"/>
    </xf>
    <xf numFmtId="0" fontId="0" fillId="0" borderId="0" xfId="0" applyFill="1" applyBorder="1" applyAlignment="1"/>
    <xf numFmtId="164" fontId="11" fillId="0" borderId="0" xfId="0" applyNumberFormat="1" applyFont="1" applyFill="1" applyBorder="1" applyAlignment="1">
      <alignment horizontal="center"/>
    </xf>
    <xf numFmtId="2" fontId="11" fillId="0" borderId="1" xfId="0" applyNumberFormat="1" applyFont="1" applyBorder="1" applyAlignment="1">
      <alignment horizontal="center" vertical="center"/>
    </xf>
    <xf numFmtId="2" fontId="0" fillId="0" borderId="1" xfId="0" applyNumberFormat="1" applyBorder="1" applyAlignment="1">
      <alignment horizontal="center" vertical="center"/>
    </xf>
    <xf numFmtId="0" fontId="11" fillId="0" borderId="1" xfId="0" applyFont="1" applyFill="1" applyBorder="1" applyAlignment="1">
      <alignment horizontal="center" vertical="center"/>
    </xf>
    <xf numFmtId="0" fontId="0" fillId="0" borderId="1" xfId="0" applyFill="1" applyBorder="1" applyAlignment="1">
      <alignment horizontal="center" vertical="center"/>
    </xf>
    <xf numFmtId="2" fontId="0" fillId="0" borderId="1" xfId="0" applyNumberFormat="1" applyFont="1" applyBorder="1" applyAlignment="1">
      <alignment horizontal="center" vertical="center"/>
    </xf>
    <xf numFmtId="0" fontId="3" fillId="2" borderId="1" xfId="0" applyFont="1" applyFill="1" applyBorder="1" applyAlignment="1">
      <alignment horizontal="center"/>
    </xf>
    <xf numFmtId="0" fontId="0" fillId="7" borderId="0" xfId="0" applyFill="1"/>
    <xf numFmtId="49" fontId="22" fillId="7" borderId="0" xfId="7" applyNumberFormat="1" applyFill="1" applyAlignment="1" applyProtection="1">
      <alignment horizontal="center"/>
      <protection locked="0"/>
    </xf>
    <xf numFmtId="0" fontId="2" fillId="2" borderId="1" xfId="0" applyFont="1" applyFill="1" applyBorder="1"/>
    <xf numFmtId="0" fontId="2" fillId="0" borderId="5" xfId="0" applyFont="1" applyBorder="1" applyAlignment="1"/>
    <xf numFmtId="0" fontId="3" fillId="0" borderId="0" xfId="0" applyFont="1" applyAlignment="1">
      <alignment horizontal="right"/>
    </xf>
    <xf numFmtId="0" fontId="2" fillId="2" borderId="1" xfId="0" applyFont="1" applyFill="1" applyBorder="1" applyAlignment="1">
      <alignment horizontal="center"/>
    </xf>
    <xf numFmtId="1" fontId="2" fillId="3" borderId="1" xfId="0" applyNumberFormat="1" applyFont="1" applyFill="1" applyBorder="1" applyAlignment="1">
      <alignment horizontal="center"/>
    </xf>
    <xf numFmtId="1" fontId="2" fillId="0" borderId="0" xfId="0" applyNumberFormat="1" applyFont="1" applyFill="1" applyBorder="1" applyAlignment="1">
      <alignment horizontal="center"/>
    </xf>
    <xf numFmtId="0" fontId="2" fillId="0" borderId="0" xfId="0" applyFont="1" applyAlignment="1">
      <alignment horizontal="left"/>
    </xf>
    <xf numFmtId="1" fontId="2" fillId="5" borderId="1" xfId="0" applyNumberFormat="1" applyFont="1" applyFill="1" applyBorder="1" applyAlignment="1">
      <alignment horizontal="center"/>
    </xf>
    <xf numFmtId="0" fontId="28" fillId="0" borderId="0" xfId="0" applyFont="1"/>
    <xf numFmtId="164" fontId="2" fillId="3" borderId="1" xfId="0" applyNumberFormat="1" applyFont="1" applyFill="1" applyBorder="1" applyAlignment="1">
      <alignment horizontal="center"/>
    </xf>
    <xf numFmtId="0" fontId="27" fillId="0" borderId="0" xfId="0" applyFont="1"/>
    <xf numFmtId="1" fontId="27" fillId="4" borderId="0" xfId="0" applyNumberFormat="1" applyFont="1" applyFill="1"/>
    <xf numFmtId="164" fontId="27" fillId="4" borderId="0" xfId="0" applyNumberFormat="1" applyFont="1" applyFill="1"/>
    <xf numFmtId="0" fontId="27" fillId="0" borderId="0" xfId="0" applyFont="1" applyAlignment="1">
      <alignment horizontal="right"/>
    </xf>
    <xf numFmtId="0" fontId="3" fillId="0" borderId="0" xfId="0" applyFont="1" applyAlignment="1">
      <alignment horizontal="left"/>
    </xf>
    <xf numFmtId="0" fontId="8" fillId="0" borderId="0" xfId="0" applyFont="1" applyAlignment="1">
      <alignment horizontal="right"/>
    </xf>
    <xf numFmtId="0" fontId="2" fillId="6" borderId="1" xfId="0" applyFont="1" applyFill="1" applyBorder="1"/>
    <xf numFmtId="0" fontId="2" fillId="4" borderId="1" xfId="0" applyFont="1" applyFill="1" applyBorder="1"/>
    <xf numFmtId="0" fontId="2" fillId="0" borderId="0" xfId="0" applyFont="1" applyAlignment="1">
      <alignment horizontal="right"/>
    </xf>
    <xf numFmtId="0" fontId="2" fillId="2" borderId="1" xfId="0" applyFont="1" applyFill="1" applyBorder="1" applyAlignment="1">
      <alignment horizontal="center"/>
    </xf>
    <xf numFmtId="0" fontId="2" fillId="0" borderId="0" xfId="0" applyFont="1" applyAlignment="1">
      <alignment horizontal="center"/>
    </xf>
    <xf numFmtId="0" fontId="2" fillId="0" borderId="0" xfId="0" quotePrefix="1" applyFont="1" applyAlignment="1">
      <alignment horizontal="left" vertical="center"/>
    </xf>
    <xf numFmtId="1" fontId="2" fillId="2" borderId="1" xfId="0" applyNumberFormat="1" applyFont="1" applyFill="1" applyBorder="1" applyAlignment="1">
      <alignment horizontal="center"/>
    </xf>
    <xf numFmtId="1" fontId="2" fillId="3" borderId="1" xfId="0" applyNumberFormat="1" applyFont="1" applyFill="1" applyBorder="1" applyAlignment="1">
      <alignment horizontal="center" vertical="center"/>
    </xf>
    <xf numFmtId="0" fontId="2" fillId="0" borderId="0" xfId="0" applyFont="1" applyAlignment="1">
      <alignment horizontal="right" vertical="center"/>
    </xf>
    <xf numFmtId="1" fontId="2" fillId="2" borderId="1" xfId="0" applyNumberFormat="1" applyFont="1" applyFill="1" applyBorder="1" applyAlignment="1">
      <alignment horizontal="center" vertical="center"/>
    </xf>
    <xf numFmtId="0" fontId="2" fillId="0" borderId="0" xfId="0" applyFont="1" applyAlignment="1">
      <alignment horizontal="left" vertical="center"/>
    </xf>
    <xf numFmtId="0" fontId="2" fillId="0" borderId="0" xfId="0" applyFont="1" applyFill="1" applyAlignment="1">
      <alignment horizontal="center" vertical="center"/>
    </xf>
    <xf numFmtId="0" fontId="2" fillId="0" borderId="0" xfId="0" applyFont="1" applyFill="1" applyAlignment="1">
      <alignment horizontal="right" vertical="center"/>
    </xf>
    <xf numFmtId="0" fontId="2" fillId="0" borderId="0" xfId="0" applyFont="1" applyBorder="1" applyAlignment="1"/>
    <xf numFmtId="0" fontId="3" fillId="0" borderId="0" xfId="0" applyFont="1" applyBorder="1" applyAlignment="1">
      <alignment horizontal="right"/>
    </xf>
    <xf numFmtId="0" fontId="3" fillId="0" borderId="0" xfId="0" applyFont="1" applyFill="1" applyBorder="1" applyAlignment="1">
      <alignment horizontal="right"/>
    </xf>
    <xf numFmtId="0" fontId="8" fillId="0" borderId="0" xfId="0" applyFont="1" applyAlignment="1">
      <alignment horizontal="left"/>
    </xf>
    <xf numFmtId="0" fontId="11" fillId="0" borderId="0" xfId="0" applyFont="1" applyFill="1" applyBorder="1" applyAlignment="1">
      <alignment horizontal="right"/>
    </xf>
    <xf numFmtId="0" fontId="1" fillId="0" borderId="0" xfId="0" applyFont="1" applyFill="1" applyBorder="1" applyAlignment="1">
      <alignment horizontal="right"/>
    </xf>
    <xf numFmtId="0" fontId="11" fillId="0" borderId="0" xfId="0" applyFont="1" applyFill="1" applyBorder="1" applyAlignment="1">
      <alignment horizontal="left"/>
    </xf>
    <xf numFmtId="0" fontId="17" fillId="0" borderId="0" xfId="0" applyFont="1" applyAlignment="1">
      <alignment horizontal="right"/>
    </xf>
    <xf numFmtId="0" fontId="11" fillId="0" borderId="0" xfId="0" applyFont="1" applyFill="1" applyBorder="1" applyAlignment="1">
      <alignment horizontal="center"/>
    </xf>
    <xf numFmtId="0" fontId="0" fillId="0" borderId="0" xfId="0" applyFill="1" applyBorder="1" applyAlignment="1">
      <alignment horizontal="right"/>
    </xf>
    <xf numFmtId="49" fontId="0" fillId="7" borderId="0" xfId="7" applyNumberFormat="1" applyFont="1" applyFill="1" applyAlignment="1" applyProtection="1">
      <alignment horizontal="center" vertical="center" wrapText="1"/>
      <protection locked="0"/>
    </xf>
    <xf numFmtId="0" fontId="3" fillId="2" borderId="1" xfId="0" applyFont="1" applyFill="1" applyBorder="1" applyAlignment="1">
      <alignment horizontal="center"/>
    </xf>
    <xf numFmtId="0" fontId="3" fillId="0" borderId="0" xfId="0" applyFont="1" applyAlignment="1">
      <alignment horizontal="right"/>
    </xf>
    <xf numFmtId="0" fontId="3" fillId="0" borderId="2" xfId="0" applyFont="1" applyBorder="1" applyAlignment="1">
      <alignment horizontal="right"/>
    </xf>
    <xf numFmtId="49" fontId="11" fillId="7" borderId="0" xfId="7" applyNumberFormat="1" applyFont="1" applyFill="1" applyAlignment="1" applyProtection="1">
      <alignment horizontal="center" vertical="center" wrapText="1"/>
      <protection locked="0"/>
    </xf>
    <xf numFmtId="0" fontId="1" fillId="0" borderId="0" xfId="7" applyFont="1" applyAlignment="1">
      <alignment horizontal="center" vertical="center" wrapText="1"/>
    </xf>
    <xf numFmtId="0" fontId="11" fillId="0" borderId="0" xfId="7" applyFont="1" applyAlignment="1">
      <alignment horizontal="center" wrapText="1"/>
    </xf>
    <xf numFmtId="0" fontId="22" fillId="0" borderId="0" xfId="7" applyAlignment="1">
      <alignment horizontal="center" wrapText="1"/>
    </xf>
    <xf numFmtId="0" fontId="1" fillId="0" borderId="0" xfId="7" applyFont="1" applyAlignment="1">
      <alignment horizontal="center" wrapText="1"/>
    </xf>
    <xf numFmtId="166" fontId="22" fillId="7" borderId="0" xfId="7" applyNumberFormat="1" applyFill="1" applyAlignment="1" applyProtection="1">
      <alignment horizontal="center" vertical="center" wrapText="1"/>
      <protection locked="0"/>
    </xf>
    <xf numFmtId="0" fontId="11" fillId="0" borderId="0" xfId="0" applyFont="1" applyAlignment="1">
      <alignment horizontal="center" vertical="center"/>
    </xf>
    <xf numFmtId="0" fontId="11" fillId="0" borderId="0" xfId="7" applyFont="1" applyFill="1" applyAlignment="1">
      <alignment horizontal="center" vertical="center" wrapText="1"/>
    </xf>
    <xf numFmtId="0" fontId="20" fillId="0" borderId="0" xfId="7" applyFont="1" applyFill="1" applyAlignment="1">
      <alignment horizontal="center" wrapText="1"/>
    </xf>
    <xf numFmtId="0" fontId="11" fillId="0" borderId="0" xfId="7" applyFont="1" applyAlignment="1">
      <alignment horizontal="center" vertical="center" wrapText="1"/>
    </xf>
    <xf numFmtId="0" fontId="0" fillId="0" borderId="0" xfId="7" applyFont="1" applyAlignment="1">
      <alignment horizontal="center" vertical="center" wrapText="1"/>
    </xf>
    <xf numFmtId="49" fontId="11" fillId="7" borderId="0" xfId="7" applyNumberFormat="1" applyFont="1" applyFill="1" applyAlignment="1" applyProtection="1">
      <alignment horizontal="center" vertical="center"/>
      <protection locked="0"/>
    </xf>
    <xf numFmtId="0" fontId="24" fillId="0" borderId="0" xfId="7" applyFont="1" applyAlignment="1">
      <alignment horizontal="center" wrapText="1"/>
    </xf>
    <xf numFmtId="0" fontId="0" fillId="2" borderId="1" xfId="0" applyFill="1" applyBorder="1" applyAlignment="1">
      <alignment horizontal="center"/>
    </xf>
    <xf numFmtId="0" fontId="2" fillId="0" borderId="0" xfId="0" applyFont="1" applyAlignment="1">
      <alignment horizontal="right"/>
    </xf>
    <xf numFmtId="0" fontId="2" fillId="0" borderId="2" xfId="0" applyFont="1" applyBorder="1" applyAlignment="1">
      <alignment horizontal="right"/>
    </xf>
    <xf numFmtId="0" fontId="8" fillId="0" borderId="0" xfId="0" applyFont="1" applyAlignment="1">
      <alignment horizontal="right"/>
    </xf>
    <xf numFmtId="0" fontId="2" fillId="0" borderId="0" xfId="0" applyFont="1" applyAlignment="1">
      <alignment horizontal="center"/>
    </xf>
    <xf numFmtId="0" fontId="2" fillId="2" borderId="1" xfId="0" applyFont="1" applyFill="1" applyBorder="1" applyAlignment="1">
      <alignment horizontal="center"/>
    </xf>
    <xf numFmtId="0" fontId="2" fillId="0" borderId="0" xfId="0" applyFont="1" applyAlignment="1">
      <alignment horizontal="left"/>
    </xf>
    <xf numFmtId="0" fontId="1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11" fillId="0" borderId="4" xfId="0" applyFont="1" applyBorder="1" applyAlignment="1">
      <alignment horizontal="center"/>
    </xf>
    <xf numFmtId="0" fontId="11" fillId="0" borderId="3" xfId="0" applyFont="1" applyBorder="1" applyAlignment="1">
      <alignment horizontal="center"/>
    </xf>
    <xf numFmtId="0" fontId="11" fillId="0" borderId="0" xfId="0" applyFont="1" applyAlignment="1">
      <alignment horizontal="center"/>
    </xf>
    <xf numFmtId="0" fontId="11" fillId="0" borderId="1" xfId="0" applyFont="1" applyBorder="1" applyAlignment="1">
      <alignment horizontal="left"/>
    </xf>
    <xf numFmtId="0" fontId="11" fillId="0" borderId="1" xfId="0" applyFont="1" applyBorder="1" applyAlignment="1"/>
    <xf numFmtId="0" fontId="0" fillId="0" borderId="1" xfId="0" applyBorder="1" applyAlignment="1"/>
    <xf numFmtId="0" fontId="20" fillId="0" borderId="4" xfId="0" applyFont="1"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0" xfId="0" applyAlignment="1">
      <alignment vertical="top" wrapText="1"/>
    </xf>
    <xf numFmtId="0" fontId="20" fillId="0" borderId="0" xfId="0" applyFont="1" applyAlignment="1">
      <alignment vertical="top" wrapText="1"/>
    </xf>
    <xf numFmtId="0" fontId="11" fillId="0" borderId="0" xfId="7" applyFont="1" applyFill="1" applyBorder="1" applyAlignment="1">
      <alignment horizontal="center" vertical="center" wrapText="1"/>
    </xf>
    <xf numFmtId="0" fontId="2" fillId="0" borderId="0" xfId="0" applyFont="1" applyFill="1" applyAlignment="1">
      <alignment horizontal="left" wrapText="1"/>
    </xf>
    <xf numFmtId="0" fontId="0" fillId="0" borderId="0" xfId="0" applyAlignment="1">
      <alignment wrapText="1"/>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0" borderId="2" xfId="0" applyFont="1" applyFill="1" applyBorder="1" applyAlignment="1">
      <alignment horizontal="center"/>
    </xf>
    <xf numFmtId="0" fontId="2" fillId="0" borderId="5" xfId="0" applyFont="1" applyFill="1" applyBorder="1" applyAlignment="1">
      <alignment horizontal="center"/>
    </xf>
    <xf numFmtId="166" fontId="20" fillId="7" borderId="0" xfId="7" applyNumberFormat="1" applyFont="1" applyFill="1" applyAlignment="1" applyProtection="1">
      <alignment horizontal="center" vertical="center" wrapText="1"/>
      <protection locked="0"/>
    </xf>
  </cellXfs>
  <cellStyles count="9">
    <cellStyle name="Comma 2" xfId="2"/>
    <cellStyle name="Comma0" xfId="3"/>
    <cellStyle name="Currency0" xfId="4"/>
    <cellStyle name="Date" xfId="5"/>
    <cellStyle name="Fixed" xfId="6"/>
    <cellStyle name="Hyperlink_cnmp j&amp;j 4 8 02" xfId="8"/>
    <cellStyle name="Normal" xfId="0" builtinId="0"/>
    <cellStyle name="Normal 2" xfId="1"/>
    <cellStyle name="Normal_cnmp j&amp;j 4 8 02" xfId="7"/>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6"/>
  <sheetViews>
    <sheetView zoomScaleNormal="100" workbookViewId="0">
      <selection activeCell="A2" sqref="A2"/>
    </sheetView>
  </sheetViews>
  <sheetFormatPr defaultRowHeight="12.75" x14ac:dyDescent="0.2"/>
  <cols>
    <col min="1" max="1" width="15.7109375" customWidth="1"/>
    <col min="2" max="2" width="22.140625" customWidth="1"/>
    <col min="3" max="3" width="13.42578125" customWidth="1"/>
    <col min="4" max="4" width="13.85546875" customWidth="1"/>
    <col min="5" max="5" width="11.28515625" customWidth="1"/>
    <col min="6" max="6" width="12" bestFit="1" customWidth="1"/>
    <col min="7" max="7" width="16.42578125" customWidth="1"/>
    <col min="8" max="8" width="5.85546875" customWidth="1"/>
  </cols>
  <sheetData>
    <row r="1" spans="1:17" ht="15" x14ac:dyDescent="0.25">
      <c r="A1" s="1" t="s">
        <v>398</v>
      </c>
      <c r="B1" s="1"/>
      <c r="C1" s="1"/>
      <c r="D1" s="1"/>
      <c r="E1" s="1"/>
    </row>
    <row r="2" spans="1:17" ht="15" x14ac:dyDescent="0.25">
      <c r="A2" s="1"/>
      <c r="B2" s="1"/>
      <c r="C2" s="1"/>
      <c r="D2" s="1"/>
      <c r="E2" s="1"/>
    </row>
    <row r="3" spans="1:17" ht="15" x14ac:dyDescent="0.25">
      <c r="A3" s="1" t="s">
        <v>343</v>
      </c>
      <c r="B3" s="1"/>
      <c r="C3" s="1"/>
      <c r="D3" s="1"/>
      <c r="E3" s="1"/>
    </row>
    <row r="4" spans="1:17" ht="15" x14ac:dyDescent="0.25">
      <c r="A4" s="6" t="s">
        <v>324</v>
      </c>
      <c r="B4" s="1"/>
      <c r="C4" s="1"/>
      <c r="D4" s="1"/>
      <c r="E4" s="1"/>
    </row>
    <row r="5" spans="1:17" ht="15" x14ac:dyDescent="0.25">
      <c r="A5" s="1" t="s">
        <v>349</v>
      </c>
      <c r="B5" s="1"/>
      <c r="C5" s="1"/>
      <c r="D5" s="1"/>
      <c r="E5" s="1"/>
    </row>
    <row r="6" spans="1:17" ht="15" x14ac:dyDescent="0.25">
      <c r="A6" s="1" t="s">
        <v>350</v>
      </c>
      <c r="B6" s="1"/>
      <c r="C6" s="1"/>
      <c r="D6" s="1"/>
      <c r="E6" s="1"/>
      <c r="G6" s="170" t="s">
        <v>397</v>
      </c>
      <c r="H6" s="169"/>
      <c r="I6" s="169"/>
      <c r="J6" s="169"/>
      <c r="K6" s="169"/>
      <c r="L6" s="169"/>
      <c r="M6" s="169"/>
      <c r="N6" s="169"/>
      <c r="O6" s="169"/>
      <c r="P6" s="169"/>
      <c r="Q6" s="169"/>
    </row>
    <row r="7" spans="1:17" ht="15" x14ac:dyDescent="0.25">
      <c r="A7" s="1" t="s">
        <v>351</v>
      </c>
      <c r="B7" s="1"/>
      <c r="C7" s="1"/>
      <c r="D7" s="1"/>
      <c r="E7" s="1"/>
      <c r="G7" s="169"/>
      <c r="H7" s="169"/>
      <c r="I7" s="169"/>
      <c r="J7" s="169"/>
      <c r="K7" s="169"/>
      <c r="L7" s="169"/>
      <c r="M7" s="169"/>
      <c r="N7" s="169"/>
      <c r="O7" s="169"/>
      <c r="P7" s="169"/>
      <c r="Q7" s="169"/>
    </row>
    <row r="8" spans="1:17" ht="15" x14ac:dyDescent="0.25">
      <c r="A8" s="1"/>
      <c r="B8" s="1"/>
      <c r="C8" s="1"/>
      <c r="D8" s="1"/>
      <c r="E8" s="1"/>
      <c r="G8" s="169"/>
      <c r="H8" s="169"/>
      <c r="I8" s="169"/>
      <c r="J8" s="169"/>
      <c r="K8" s="169"/>
      <c r="L8" s="169"/>
      <c r="M8" s="169"/>
      <c r="N8" s="169"/>
      <c r="O8" s="169"/>
      <c r="P8" s="169"/>
      <c r="Q8" s="169"/>
    </row>
    <row r="9" spans="1:17" ht="15" x14ac:dyDescent="0.25">
      <c r="A9" s="1"/>
      <c r="B9" s="1"/>
      <c r="C9" s="1"/>
      <c r="D9" s="1"/>
      <c r="E9" s="1"/>
      <c r="G9" s="169"/>
      <c r="H9" s="169"/>
      <c r="I9" s="169"/>
      <c r="J9" s="169"/>
      <c r="K9" s="169"/>
      <c r="L9" s="169"/>
      <c r="M9" s="169"/>
      <c r="N9" s="169"/>
      <c r="O9" s="169"/>
      <c r="P9" s="169"/>
      <c r="Q9" s="169"/>
    </row>
    <row r="10" spans="1:17" ht="15" x14ac:dyDescent="0.25">
      <c r="A10" s="1" t="s">
        <v>327</v>
      </c>
      <c r="B10" s="1"/>
      <c r="C10" s="1"/>
      <c r="D10" s="1"/>
      <c r="E10" s="1"/>
      <c r="G10" s="169"/>
      <c r="H10" s="169"/>
      <c r="I10" s="169"/>
      <c r="J10" s="169"/>
      <c r="K10" s="169"/>
      <c r="L10" s="169"/>
      <c r="M10" s="169"/>
      <c r="N10" s="169"/>
      <c r="O10" s="169"/>
      <c r="P10" s="169"/>
      <c r="Q10" s="169"/>
    </row>
    <row r="11" spans="1:17" ht="15" x14ac:dyDescent="0.25">
      <c r="A11" s="1" t="s">
        <v>321</v>
      </c>
      <c r="B11" s="1"/>
      <c r="D11" s="94"/>
      <c r="E11" s="1" t="s">
        <v>64</v>
      </c>
      <c r="G11" s="169"/>
      <c r="H11" s="169"/>
      <c r="I11" s="169"/>
      <c r="J11" s="169"/>
      <c r="K11" s="169"/>
      <c r="L11" s="169"/>
      <c r="M11" s="169"/>
      <c r="N11" s="169"/>
      <c r="O11" s="169"/>
      <c r="P11" s="169"/>
      <c r="Q11" s="169"/>
    </row>
    <row r="12" spans="1:17" ht="15" x14ac:dyDescent="0.25">
      <c r="A12" s="1" t="s">
        <v>322</v>
      </c>
      <c r="B12" s="1"/>
      <c r="D12" s="110"/>
      <c r="E12" s="1" t="s">
        <v>65</v>
      </c>
      <c r="G12" s="169"/>
      <c r="H12" s="169"/>
      <c r="I12" s="169"/>
      <c r="J12" s="169"/>
      <c r="K12" s="169"/>
      <c r="L12" s="169"/>
      <c r="M12" s="169"/>
      <c r="N12" s="169"/>
      <c r="O12" s="169"/>
      <c r="P12" s="169"/>
      <c r="Q12" s="169"/>
    </row>
    <row r="13" spans="1:17" ht="15" x14ac:dyDescent="0.25">
      <c r="A13" s="1" t="s">
        <v>323</v>
      </c>
      <c r="B13" s="1"/>
      <c r="D13" s="111"/>
      <c r="E13" s="1" t="s">
        <v>66</v>
      </c>
      <c r="G13" s="169"/>
      <c r="H13" s="169"/>
      <c r="I13" s="169"/>
      <c r="J13" s="169"/>
      <c r="K13" s="169"/>
      <c r="L13" s="169"/>
      <c r="M13" s="169"/>
      <c r="N13" s="169"/>
      <c r="O13" s="169"/>
      <c r="P13" s="169"/>
      <c r="Q13" s="169"/>
    </row>
    <row r="14" spans="1:17" ht="15" x14ac:dyDescent="0.25">
      <c r="A14" s="1"/>
      <c r="B14" s="1"/>
      <c r="C14" s="56"/>
      <c r="D14" s="1"/>
      <c r="E14" s="1"/>
      <c r="G14" s="169"/>
      <c r="H14" s="169"/>
      <c r="I14" s="169"/>
      <c r="J14" s="169"/>
      <c r="K14" s="169"/>
      <c r="L14" s="169"/>
      <c r="M14" s="169"/>
      <c r="N14" s="169"/>
      <c r="O14" s="169"/>
      <c r="P14" s="169"/>
      <c r="Q14" s="169"/>
    </row>
    <row r="15" spans="1:17" ht="15" x14ac:dyDescent="0.25">
      <c r="A15" s="6" t="s">
        <v>325</v>
      </c>
      <c r="B15" s="1"/>
      <c r="C15" s="1"/>
      <c r="D15" s="1"/>
      <c r="E15" s="1"/>
      <c r="G15" s="169"/>
      <c r="H15" s="169"/>
      <c r="I15" s="169"/>
      <c r="J15" s="169"/>
      <c r="K15" s="169"/>
      <c r="L15" s="169"/>
      <c r="M15" s="169"/>
      <c r="N15" s="169"/>
      <c r="O15" s="169"/>
      <c r="P15" s="169"/>
      <c r="Q15" s="169"/>
    </row>
    <row r="16" spans="1:17" ht="15" x14ac:dyDescent="0.25">
      <c r="A16" s="1" t="s">
        <v>333</v>
      </c>
      <c r="B16" s="1"/>
      <c r="C16" s="1"/>
      <c r="D16" s="1"/>
      <c r="E16" s="1"/>
      <c r="G16" s="169"/>
      <c r="H16" s="169"/>
      <c r="I16" s="169"/>
      <c r="J16" s="169"/>
      <c r="K16" s="169"/>
      <c r="L16" s="169"/>
      <c r="M16" s="169"/>
      <c r="N16" s="169"/>
      <c r="O16" s="169"/>
      <c r="P16" s="169"/>
      <c r="Q16" s="169"/>
    </row>
    <row r="17" spans="1:17" ht="15" x14ac:dyDescent="0.25">
      <c r="A17" s="1" t="s">
        <v>334</v>
      </c>
      <c r="B17" s="1"/>
      <c r="C17" s="1"/>
      <c r="D17" s="1"/>
      <c r="E17" s="1"/>
      <c r="G17" s="169"/>
      <c r="H17" s="169"/>
      <c r="I17" s="169"/>
      <c r="J17" s="169"/>
      <c r="K17" s="169"/>
      <c r="L17" s="169"/>
      <c r="M17" s="169"/>
      <c r="N17" s="169"/>
      <c r="O17" s="169"/>
      <c r="P17" s="169"/>
      <c r="Q17" s="169"/>
    </row>
    <row r="18" spans="1:17" ht="15" x14ac:dyDescent="0.25">
      <c r="A18" s="1" t="s">
        <v>326</v>
      </c>
      <c r="B18" s="1"/>
      <c r="C18" s="1"/>
      <c r="D18" s="1"/>
      <c r="E18" s="1"/>
      <c r="G18" s="169"/>
      <c r="H18" s="169"/>
      <c r="I18" s="169"/>
      <c r="J18" s="169"/>
      <c r="K18" s="169"/>
      <c r="L18" s="169"/>
      <c r="M18" s="169"/>
      <c r="N18" s="169"/>
      <c r="O18" s="169"/>
      <c r="P18" s="169"/>
      <c r="Q18" s="169"/>
    </row>
    <row r="19" spans="1:17" ht="18" x14ac:dyDescent="0.25">
      <c r="A19" s="1" t="s">
        <v>359</v>
      </c>
      <c r="B19" s="1"/>
      <c r="C19" s="1"/>
      <c r="D19" s="1"/>
      <c r="E19" s="1"/>
      <c r="G19" s="169"/>
      <c r="H19" s="169"/>
      <c r="I19" s="169"/>
      <c r="J19" s="169"/>
      <c r="K19" s="169"/>
      <c r="L19" s="169"/>
      <c r="M19" s="169"/>
      <c r="N19" s="169"/>
      <c r="O19" s="169"/>
      <c r="P19" s="169"/>
      <c r="Q19" s="169"/>
    </row>
    <row r="20" spans="1:17" ht="15" x14ac:dyDescent="0.25">
      <c r="A20" s="1" t="s">
        <v>332</v>
      </c>
      <c r="B20" s="1"/>
      <c r="C20" s="1"/>
      <c r="D20" s="1"/>
      <c r="E20" s="1"/>
      <c r="G20" s="169"/>
      <c r="H20" s="169"/>
      <c r="I20" s="169"/>
      <c r="J20" s="169"/>
      <c r="K20" s="169"/>
      <c r="L20" s="169"/>
      <c r="M20" s="169"/>
      <c r="N20" s="169"/>
      <c r="O20" s="169"/>
      <c r="P20" s="169"/>
      <c r="Q20" s="169"/>
    </row>
    <row r="21" spans="1:17" ht="15" x14ac:dyDescent="0.25">
      <c r="A21" s="1"/>
      <c r="B21" s="1"/>
      <c r="C21" s="1"/>
      <c r="D21" s="1"/>
      <c r="E21" s="1"/>
      <c r="G21" s="169"/>
      <c r="H21" s="169"/>
      <c r="I21" s="169"/>
      <c r="J21" s="169"/>
      <c r="K21" s="169"/>
      <c r="L21" s="169"/>
      <c r="M21" s="169"/>
      <c r="N21" s="169"/>
      <c r="O21" s="169"/>
      <c r="P21" s="169"/>
      <c r="Q21" s="169"/>
    </row>
    <row r="22" spans="1:17" ht="15" x14ac:dyDescent="0.25">
      <c r="A22" s="6" t="s">
        <v>328</v>
      </c>
      <c r="B22" s="1"/>
      <c r="C22" s="1"/>
      <c r="D22" s="1"/>
      <c r="E22" s="1"/>
      <c r="G22" s="169"/>
      <c r="H22" s="169"/>
      <c r="I22" s="169"/>
      <c r="J22" s="169"/>
      <c r="K22" s="169"/>
      <c r="L22" s="169"/>
      <c r="M22" s="169"/>
      <c r="N22" s="169"/>
      <c r="O22" s="169"/>
      <c r="P22" s="169"/>
      <c r="Q22" s="169"/>
    </row>
    <row r="23" spans="1:17" ht="15" x14ac:dyDescent="0.25">
      <c r="A23" s="1" t="s">
        <v>329</v>
      </c>
      <c r="B23" s="1"/>
      <c r="C23" s="1"/>
      <c r="D23" s="1"/>
      <c r="E23" s="1"/>
      <c r="G23" s="169"/>
      <c r="H23" s="169"/>
      <c r="I23" s="169"/>
      <c r="J23" s="169"/>
      <c r="K23" s="169"/>
      <c r="L23" s="169"/>
      <c r="M23" s="169"/>
      <c r="N23" s="169"/>
      <c r="O23" s="169"/>
      <c r="P23" s="169"/>
      <c r="Q23" s="169"/>
    </row>
    <row r="24" spans="1:17" ht="15" x14ac:dyDescent="0.25">
      <c r="A24" s="1" t="s">
        <v>330</v>
      </c>
      <c r="B24" s="1"/>
      <c r="C24" s="1"/>
      <c r="D24" s="1"/>
      <c r="E24" s="1"/>
      <c r="G24" s="169"/>
      <c r="H24" s="169"/>
      <c r="I24" s="169"/>
      <c r="J24" s="169"/>
      <c r="K24" s="169"/>
      <c r="L24" s="169"/>
      <c r="M24" s="169"/>
      <c r="N24" s="169"/>
      <c r="O24" s="169"/>
      <c r="P24" s="169"/>
      <c r="Q24" s="169"/>
    </row>
    <row r="25" spans="1:17" ht="15" x14ac:dyDescent="0.25">
      <c r="A25" s="1" t="s">
        <v>331</v>
      </c>
      <c r="B25" s="1"/>
      <c r="C25" s="1"/>
      <c r="D25" s="1"/>
      <c r="E25" s="1"/>
      <c r="G25" s="169"/>
      <c r="H25" s="169"/>
      <c r="I25" s="169"/>
      <c r="J25" s="169"/>
      <c r="K25" s="169"/>
      <c r="L25" s="169"/>
      <c r="M25" s="169"/>
      <c r="N25" s="169"/>
      <c r="O25" s="169"/>
      <c r="P25" s="169"/>
      <c r="Q25" s="169"/>
    </row>
    <row r="26" spans="1:17" ht="15" x14ac:dyDescent="0.25">
      <c r="A26" s="1" t="s">
        <v>332</v>
      </c>
      <c r="B26" s="1"/>
      <c r="C26" s="1"/>
      <c r="D26" s="1"/>
      <c r="E26" s="1"/>
      <c r="G26" s="169"/>
      <c r="H26" s="169"/>
      <c r="I26" s="169"/>
      <c r="J26" s="169"/>
      <c r="K26" s="169"/>
      <c r="L26" s="169"/>
      <c r="M26" s="169"/>
      <c r="N26" s="169"/>
      <c r="O26" s="169"/>
      <c r="P26" s="169"/>
      <c r="Q26" s="169"/>
    </row>
    <row r="27" spans="1:17" ht="15" x14ac:dyDescent="0.25">
      <c r="A27" s="1"/>
      <c r="B27" s="1"/>
      <c r="C27" s="1"/>
      <c r="D27" s="1"/>
      <c r="E27" s="1"/>
      <c r="G27" s="169"/>
      <c r="H27" s="169"/>
      <c r="I27" s="169"/>
      <c r="J27" s="169"/>
      <c r="K27" s="169"/>
      <c r="L27" s="169"/>
      <c r="M27" s="169"/>
      <c r="N27" s="169"/>
      <c r="O27" s="169"/>
      <c r="P27" s="169"/>
      <c r="Q27" s="169"/>
    </row>
    <row r="28" spans="1:17" ht="15" x14ac:dyDescent="0.25">
      <c r="A28" s="6" t="s">
        <v>339</v>
      </c>
      <c r="B28" s="1"/>
      <c r="C28" s="1"/>
      <c r="D28" s="1"/>
      <c r="E28" s="1"/>
    </row>
    <row r="29" spans="1:17" ht="15" x14ac:dyDescent="0.25">
      <c r="A29" s="1" t="s">
        <v>388</v>
      </c>
      <c r="B29" s="1"/>
      <c r="C29" s="1"/>
      <c r="D29" s="1"/>
      <c r="E29" s="1"/>
    </row>
    <row r="30" spans="1:17" ht="15" x14ac:dyDescent="0.25">
      <c r="A30" s="1" t="s">
        <v>389</v>
      </c>
      <c r="B30" s="1"/>
      <c r="C30" s="1"/>
      <c r="D30" s="1"/>
      <c r="E30" s="1"/>
    </row>
    <row r="31" spans="1:17" ht="15" x14ac:dyDescent="0.25">
      <c r="A31" s="1" t="s">
        <v>390</v>
      </c>
      <c r="B31" s="1"/>
      <c r="C31" s="1"/>
      <c r="D31" s="1"/>
      <c r="E31" s="1"/>
    </row>
    <row r="32" spans="1:17" ht="15" x14ac:dyDescent="0.25">
      <c r="A32" s="1" t="s">
        <v>396</v>
      </c>
      <c r="B32" s="1"/>
      <c r="C32" s="1"/>
      <c r="D32" s="1"/>
      <c r="E32" s="1"/>
    </row>
    <row r="33" spans="1:5" ht="15" x14ac:dyDescent="0.25">
      <c r="A33" s="1"/>
      <c r="B33" s="1"/>
      <c r="C33" s="1"/>
      <c r="D33" s="1"/>
      <c r="E33" s="1"/>
    </row>
    <row r="34" spans="1:5" ht="15" x14ac:dyDescent="0.25">
      <c r="A34" s="1"/>
      <c r="B34" s="1"/>
      <c r="C34" s="1"/>
      <c r="D34" s="1"/>
      <c r="E34" s="1"/>
    </row>
    <row r="35" spans="1:5" ht="15" x14ac:dyDescent="0.25">
      <c r="A35" s="6" t="s">
        <v>340</v>
      </c>
      <c r="B35" s="1"/>
      <c r="C35" s="1"/>
      <c r="D35" s="1"/>
      <c r="E35" s="1"/>
    </row>
    <row r="36" spans="1:5" ht="15" x14ac:dyDescent="0.25">
      <c r="A36" s="1" t="s">
        <v>342</v>
      </c>
      <c r="B36" s="1"/>
      <c r="C36" s="1"/>
      <c r="D36" s="1"/>
      <c r="E36" s="1"/>
    </row>
    <row r="37" spans="1:5" ht="15" x14ac:dyDescent="0.25">
      <c r="A37" s="1" t="s">
        <v>354</v>
      </c>
      <c r="B37" s="1"/>
      <c r="C37" s="1"/>
      <c r="D37" s="1"/>
      <c r="E37" s="1"/>
    </row>
    <row r="38" spans="1:5" ht="16.5" x14ac:dyDescent="0.3">
      <c r="A38" s="1" t="s">
        <v>352</v>
      </c>
      <c r="B38" s="1"/>
      <c r="C38" s="1"/>
      <c r="D38" s="1"/>
      <c r="E38" s="1"/>
    </row>
    <row r="39" spans="1:5" ht="16.5" x14ac:dyDescent="0.3">
      <c r="A39" s="1" t="s">
        <v>353</v>
      </c>
      <c r="B39" s="1"/>
      <c r="C39" s="1"/>
      <c r="D39" s="1"/>
      <c r="E39" s="1"/>
    </row>
    <row r="40" spans="1:5" ht="15" x14ac:dyDescent="0.25">
      <c r="A40" s="1" t="s">
        <v>354</v>
      </c>
      <c r="B40" s="1"/>
      <c r="C40" s="1"/>
      <c r="D40" s="1"/>
      <c r="E40" s="1"/>
    </row>
    <row r="41" spans="1:5" ht="15" x14ac:dyDescent="0.25">
      <c r="A41" s="1" t="s">
        <v>392</v>
      </c>
    </row>
    <row r="42" spans="1:5" x14ac:dyDescent="0.2">
      <c r="A42" s="9"/>
    </row>
    <row r="43" spans="1:5" x14ac:dyDescent="0.2">
      <c r="A43" s="9"/>
    </row>
    <row r="52" ht="12.6" customHeight="1" x14ac:dyDescent="0.2"/>
    <row r="66" spans="1:7" ht="15" customHeight="1" x14ac:dyDescent="0.2"/>
    <row r="73" spans="1:7" x14ac:dyDescent="0.2">
      <c r="A73" s="49"/>
      <c r="B73" s="49"/>
      <c r="C73" s="49"/>
      <c r="D73" s="49"/>
      <c r="E73" s="49"/>
      <c r="F73" s="49"/>
      <c r="G73" s="49"/>
    </row>
    <row r="74" spans="1:7" x14ac:dyDescent="0.2">
      <c r="A74" s="62"/>
      <c r="B74" s="49"/>
      <c r="C74" s="49"/>
      <c r="D74" s="49"/>
      <c r="E74" s="49"/>
      <c r="F74" s="49"/>
      <c r="G74" s="49"/>
    </row>
    <row r="75" spans="1:7" x14ac:dyDescent="0.2">
      <c r="A75" s="49"/>
      <c r="B75" s="49"/>
      <c r="C75" s="49"/>
      <c r="D75" s="49"/>
      <c r="E75" s="49"/>
      <c r="F75" s="49"/>
      <c r="G75" s="49"/>
    </row>
    <row r="76" spans="1:7" x14ac:dyDescent="0.2">
      <c r="A76" s="71"/>
      <c r="B76" s="71"/>
      <c r="C76" s="71"/>
      <c r="D76" s="71"/>
      <c r="E76" s="71"/>
      <c r="F76" s="49"/>
      <c r="G76" s="49"/>
    </row>
    <row r="77" spans="1:7" x14ac:dyDescent="0.2">
      <c r="A77" s="49"/>
      <c r="B77" s="49"/>
      <c r="C77" s="49"/>
      <c r="D77" s="49"/>
      <c r="E77" s="49"/>
      <c r="F77" s="49"/>
      <c r="G77" s="49"/>
    </row>
    <row r="78" spans="1:7" ht="15" x14ac:dyDescent="0.25">
      <c r="A78" s="56"/>
      <c r="B78" s="57"/>
      <c r="C78" s="56"/>
      <c r="D78" s="56"/>
      <c r="E78" s="57"/>
      <c r="F78" s="56"/>
      <c r="G78" s="58"/>
    </row>
    <row r="79" spans="1:7" ht="15" x14ac:dyDescent="0.25">
      <c r="A79" s="60"/>
      <c r="B79" s="57"/>
      <c r="C79" s="57"/>
      <c r="D79" s="61"/>
      <c r="E79" s="57"/>
      <c r="F79" s="61"/>
      <c r="G79" s="62"/>
    </row>
    <row r="80" spans="1:7" ht="15" x14ac:dyDescent="0.25">
      <c r="A80" s="60"/>
      <c r="B80" s="61"/>
      <c r="C80" s="57"/>
      <c r="D80" s="57"/>
      <c r="E80" s="57"/>
      <c r="F80" s="61"/>
      <c r="G80" s="62"/>
    </row>
    <row r="81" spans="1:9" ht="15" x14ac:dyDescent="0.25">
      <c r="A81" s="56"/>
      <c r="B81" s="49"/>
      <c r="C81" s="63"/>
      <c r="D81" s="49"/>
      <c r="E81" s="49"/>
      <c r="F81" s="49"/>
      <c r="G81" s="49"/>
    </row>
    <row r="82" spans="1:9" ht="15" x14ac:dyDescent="0.25">
      <c r="A82" s="65"/>
      <c r="B82" s="63"/>
      <c r="C82" s="49"/>
      <c r="D82" s="49"/>
      <c r="E82" s="49"/>
      <c r="F82" s="49"/>
      <c r="G82" s="49"/>
    </row>
    <row r="83" spans="1:9" x14ac:dyDescent="0.2">
      <c r="A83" s="127"/>
      <c r="B83" s="127"/>
      <c r="C83" s="127"/>
      <c r="D83" s="127"/>
      <c r="E83" s="19"/>
      <c r="F83" s="49"/>
      <c r="G83" s="49"/>
    </row>
    <row r="84" spans="1:9" x14ac:dyDescent="0.2">
      <c r="A84" s="72"/>
      <c r="B84" s="72"/>
      <c r="C84" s="72"/>
      <c r="D84" s="72"/>
      <c r="E84" s="19"/>
      <c r="F84" s="49"/>
      <c r="G84" s="49"/>
    </row>
    <row r="85" spans="1:9" x14ac:dyDescent="0.2">
      <c r="A85" s="129"/>
      <c r="B85" s="129"/>
      <c r="C85" s="129"/>
      <c r="D85" s="129"/>
      <c r="E85" s="19"/>
      <c r="F85" s="49"/>
      <c r="G85" s="49"/>
    </row>
    <row r="86" spans="1:9" x14ac:dyDescent="0.2">
      <c r="A86" s="62"/>
      <c r="B86" s="62"/>
      <c r="C86" s="19"/>
      <c r="D86" s="49"/>
      <c r="E86" s="49"/>
      <c r="F86" s="49"/>
      <c r="G86" s="49"/>
    </row>
    <row r="87" spans="1:9" x14ac:dyDescent="0.2">
      <c r="A87" s="71"/>
      <c r="B87" s="71"/>
      <c r="C87" s="71"/>
      <c r="D87" s="71"/>
      <c r="E87" s="73"/>
      <c r="F87" s="49"/>
      <c r="G87" s="49"/>
    </row>
    <row r="88" spans="1:9" x14ac:dyDescent="0.2">
      <c r="A88" s="62"/>
      <c r="B88" s="71"/>
      <c r="C88" s="71"/>
      <c r="D88" s="71"/>
      <c r="E88" s="73"/>
      <c r="F88" s="49"/>
      <c r="G88" s="49"/>
    </row>
    <row r="89" spans="1:9" x14ac:dyDescent="0.2">
      <c r="A89" s="62"/>
      <c r="B89" s="71"/>
      <c r="C89" s="71"/>
      <c r="D89" s="71"/>
      <c r="E89" s="73"/>
      <c r="F89" s="49"/>
      <c r="G89" s="49"/>
    </row>
    <row r="90" spans="1:9" x14ac:dyDescent="0.2">
      <c r="A90" s="127"/>
      <c r="B90" s="127"/>
      <c r="C90" s="127"/>
      <c r="D90" s="127"/>
      <c r="E90" s="74"/>
      <c r="F90" s="62"/>
      <c r="G90" s="62"/>
      <c r="H90" s="9"/>
      <c r="I90" s="9"/>
    </row>
    <row r="91" spans="1:9" x14ac:dyDescent="0.2">
      <c r="A91" s="62"/>
      <c r="B91" s="62"/>
      <c r="C91" s="62"/>
      <c r="D91" s="62"/>
      <c r="E91" s="62"/>
      <c r="F91" s="62"/>
      <c r="G91" s="62"/>
      <c r="H91" s="9"/>
      <c r="I91" s="9"/>
    </row>
    <row r="92" spans="1:9" x14ac:dyDescent="0.2">
      <c r="A92" s="62"/>
      <c r="B92" s="62"/>
      <c r="C92" s="62"/>
      <c r="D92" s="62"/>
      <c r="E92" s="62"/>
      <c r="F92" s="62"/>
      <c r="G92" s="62"/>
      <c r="H92" s="9"/>
      <c r="I92" s="9"/>
    </row>
    <row r="93" spans="1:9" x14ac:dyDescent="0.2">
      <c r="A93" s="62"/>
      <c r="B93" s="62"/>
      <c r="C93" s="62"/>
      <c r="D93" s="62"/>
      <c r="E93" s="62"/>
      <c r="F93" s="62"/>
      <c r="G93" s="62"/>
      <c r="H93" s="9"/>
      <c r="I93" s="9"/>
    </row>
    <row r="94" spans="1:9" x14ac:dyDescent="0.2">
      <c r="A94" s="62"/>
      <c r="B94" s="62"/>
      <c r="C94" s="62"/>
      <c r="D94" s="62"/>
      <c r="E94" s="62"/>
      <c r="F94" s="62"/>
      <c r="G94" s="62"/>
      <c r="H94" s="9"/>
      <c r="I94" s="9"/>
    </row>
    <row r="95" spans="1:9" x14ac:dyDescent="0.2">
      <c r="A95" s="62"/>
      <c r="B95" s="62"/>
      <c r="C95" s="62"/>
      <c r="D95" s="62"/>
      <c r="E95" s="62"/>
      <c r="F95" s="62"/>
      <c r="G95" s="62"/>
      <c r="H95" s="9"/>
      <c r="I95" s="9"/>
    </row>
    <row r="96" spans="1:9" x14ac:dyDescent="0.2">
      <c r="A96" s="62"/>
      <c r="B96" s="62"/>
      <c r="C96" s="62"/>
      <c r="D96" s="62"/>
      <c r="E96" s="62"/>
      <c r="F96" s="62"/>
      <c r="G96" s="62"/>
      <c r="H96" s="9"/>
      <c r="I96" s="9"/>
    </row>
    <row r="97" spans="1:9" x14ac:dyDescent="0.2">
      <c r="A97" s="62"/>
      <c r="B97" s="62"/>
      <c r="C97" s="62"/>
      <c r="D97" s="62"/>
      <c r="E97" s="62"/>
      <c r="F97" s="62"/>
      <c r="G97" s="62"/>
      <c r="H97" s="9"/>
      <c r="I97" s="9"/>
    </row>
    <row r="98" spans="1:9" x14ac:dyDescent="0.2">
      <c r="A98" s="49"/>
      <c r="B98" s="49"/>
      <c r="C98" s="49"/>
      <c r="D98" s="49"/>
      <c r="E98" s="49"/>
      <c r="F98" s="49"/>
      <c r="G98" s="49"/>
    </row>
    <row r="99" spans="1:9" x14ac:dyDescent="0.2">
      <c r="A99" s="71"/>
      <c r="B99" s="49"/>
      <c r="C99" s="49"/>
      <c r="D99" s="49"/>
      <c r="E99" s="49"/>
      <c r="F99" s="49"/>
      <c r="G99" s="49"/>
    </row>
    <row r="100" spans="1:9" x14ac:dyDescent="0.2">
      <c r="A100" s="75"/>
      <c r="B100" s="49"/>
      <c r="C100" s="49"/>
      <c r="D100" s="49"/>
      <c r="E100" s="49"/>
      <c r="F100" s="49"/>
      <c r="G100" s="49"/>
    </row>
    <row r="101" spans="1:9" x14ac:dyDescent="0.2">
      <c r="A101" s="49"/>
      <c r="B101" s="49"/>
      <c r="C101" s="49"/>
      <c r="D101" s="49"/>
      <c r="E101" s="49"/>
      <c r="F101" s="49"/>
      <c r="G101" s="49"/>
    </row>
    <row r="102" spans="1:9" x14ac:dyDescent="0.2">
      <c r="A102" s="71"/>
      <c r="B102" s="49"/>
      <c r="C102" s="49"/>
      <c r="D102" s="49"/>
      <c r="E102" s="49"/>
      <c r="F102" s="49"/>
      <c r="G102" s="49"/>
    </row>
    <row r="103" spans="1:9" x14ac:dyDescent="0.2">
      <c r="A103" s="71"/>
      <c r="B103" s="49"/>
      <c r="C103" s="49"/>
      <c r="D103" s="49"/>
      <c r="E103" s="49"/>
      <c r="F103" s="49"/>
      <c r="G103" s="49"/>
    </row>
    <row r="104" spans="1:9" x14ac:dyDescent="0.2">
      <c r="A104" s="49"/>
      <c r="B104" s="49"/>
      <c r="C104" s="49"/>
      <c r="D104" s="49"/>
      <c r="E104" s="49"/>
      <c r="F104" s="49"/>
      <c r="G104" s="49"/>
    </row>
    <row r="105" spans="1:9" x14ac:dyDescent="0.2">
      <c r="A105" s="71"/>
      <c r="B105" s="71"/>
      <c r="C105" s="71"/>
      <c r="D105" s="71"/>
      <c r="E105" s="49"/>
      <c r="F105" s="49"/>
      <c r="G105" s="49"/>
    </row>
    <row r="106" spans="1:9" x14ac:dyDescent="0.2">
      <c r="A106" s="71"/>
      <c r="B106" s="71"/>
      <c r="C106" s="71"/>
      <c r="D106" s="71"/>
      <c r="E106" s="49"/>
      <c r="F106" s="49"/>
      <c r="G106" s="49"/>
    </row>
    <row r="107" spans="1:9" x14ac:dyDescent="0.2">
      <c r="A107" s="76"/>
      <c r="B107" s="76"/>
      <c r="C107" s="76"/>
      <c r="D107" s="76"/>
      <c r="E107" s="76"/>
      <c r="F107" s="49"/>
      <c r="G107" s="49"/>
    </row>
    <row r="108" spans="1:9" x14ac:dyDescent="0.2">
      <c r="A108" s="127"/>
      <c r="B108" s="128"/>
      <c r="C108" s="128"/>
      <c r="D108" s="77"/>
      <c r="E108" s="62"/>
      <c r="F108" s="78"/>
      <c r="G108" s="49"/>
    </row>
    <row r="109" spans="1:9" x14ac:dyDescent="0.2">
      <c r="A109" s="62"/>
      <c r="B109" s="62"/>
      <c r="C109" s="62"/>
      <c r="D109" s="79"/>
      <c r="E109" s="62"/>
      <c r="F109" s="78"/>
      <c r="G109" s="49"/>
    </row>
    <row r="110" spans="1:9" x14ac:dyDescent="0.2">
      <c r="A110" s="62"/>
      <c r="B110" s="62"/>
      <c r="C110" s="62"/>
      <c r="D110" s="62"/>
      <c r="E110" s="62"/>
      <c r="F110" s="78"/>
      <c r="G110" s="49"/>
    </row>
    <row r="111" spans="1:9" x14ac:dyDescent="0.2">
      <c r="A111" s="62"/>
      <c r="B111" s="62"/>
      <c r="C111" s="62"/>
      <c r="D111" s="62"/>
      <c r="E111" s="62"/>
      <c r="F111" s="78"/>
      <c r="G111" s="49"/>
    </row>
    <row r="112" spans="1:9" x14ac:dyDescent="0.2">
      <c r="A112" s="62"/>
      <c r="B112" s="62"/>
      <c r="C112" s="62"/>
      <c r="D112" s="62"/>
      <c r="E112" s="62"/>
      <c r="F112" s="78"/>
      <c r="G112" s="49"/>
    </row>
    <row r="113" spans="1:7" x14ac:dyDescent="0.2">
      <c r="A113" s="62"/>
      <c r="B113" s="62"/>
      <c r="C113" s="62"/>
      <c r="D113" s="62"/>
      <c r="E113" s="62"/>
      <c r="F113" s="78"/>
      <c r="G113" s="49"/>
    </row>
    <row r="114" spans="1:7" ht="15" x14ac:dyDescent="0.25">
      <c r="A114" s="80"/>
      <c r="B114" s="81"/>
      <c r="C114" s="81"/>
      <c r="D114" s="57"/>
      <c r="E114" s="62"/>
      <c r="F114" s="78"/>
      <c r="G114" s="49"/>
    </row>
    <row r="115" spans="1:7" ht="15" x14ac:dyDescent="0.25">
      <c r="A115" s="66"/>
      <c r="B115" s="64"/>
      <c r="C115" s="64"/>
      <c r="D115" s="57"/>
      <c r="E115" s="62"/>
      <c r="F115" s="49"/>
      <c r="G115" s="49"/>
    </row>
    <row r="116" spans="1:7" x14ac:dyDescent="0.2">
      <c r="A116" s="73"/>
      <c r="B116" s="49"/>
      <c r="C116" s="49"/>
      <c r="D116" s="49"/>
      <c r="E116" s="49"/>
      <c r="F116" s="49"/>
      <c r="G116" s="49"/>
    </row>
    <row r="117" spans="1:7" x14ac:dyDescent="0.2">
      <c r="A117" s="49"/>
      <c r="B117" s="49"/>
      <c r="C117" s="49"/>
      <c r="D117" s="49"/>
      <c r="E117" s="49"/>
      <c r="F117" s="49"/>
      <c r="G117" s="49"/>
    </row>
    <row r="118" spans="1:7" x14ac:dyDescent="0.2">
      <c r="A118" s="127"/>
      <c r="B118" s="127"/>
      <c r="C118" s="127"/>
      <c r="D118" s="77"/>
      <c r="E118" s="49"/>
      <c r="F118" s="49"/>
      <c r="G118" s="49"/>
    </row>
    <row r="119" spans="1:7" x14ac:dyDescent="0.2">
      <c r="A119" s="49"/>
      <c r="B119" s="49"/>
      <c r="C119" s="49"/>
      <c r="D119" s="49"/>
      <c r="E119" s="49"/>
      <c r="F119" s="49"/>
      <c r="G119" s="49"/>
    </row>
    <row r="120" spans="1:7" x14ac:dyDescent="0.2">
      <c r="A120" s="49"/>
      <c r="B120" s="49"/>
      <c r="C120" s="49"/>
      <c r="D120" s="49"/>
      <c r="E120" s="49"/>
      <c r="F120" s="49"/>
      <c r="G120" s="49"/>
    </row>
    <row r="121" spans="1:7" x14ac:dyDescent="0.2">
      <c r="A121" s="73"/>
      <c r="B121" s="73"/>
      <c r="C121" s="73"/>
      <c r="D121" s="49"/>
      <c r="E121" s="49"/>
      <c r="F121" s="49"/>
      <c r="G121" s="49"/>
    </row>
    <row r="122" spans="1:7" x14ac:dyDescent="0.2">
      <c r="A122" s="49"/>
      <c r="B122" s="49"/>
      <c r="C122" s="49"/>
      <c r="D122" s="49"/>
      <c r="E122" s="49"/>
      <c r="F122" s="49"/>
      <c r="G122" s="49"/>
    </row>
    <row r="123" spans="1:7" x14ac:dyDescent="0.2">
      <c r="A123" s="127"/>
      <c r="B123" s="127"/>
      <c r="C123" s="67"/>
      <c r="D123" s="49"/>
      <c r="E123" s="49"/>
      <c r="F123" s="49"/>
      <c r="G123" s="49"/>
    </row>
    <row r="124" spans="1:7" x14ac:dyDescent="0.2">
      <c r="A124" s="49"/>
      <c r="B124" s="49"/>
      <c r="C124" s="49"/>
      <c r="D124" s="49"/>
      <c r="E124" s="49"/>
      <c r="F124" s="49"/>
      <c r="G124" s="49"/>
    </row>
    <row r="125" spans="1:7" ht="15" x14ac:dyDescent="0.25">
      <c r="A125" s="66"/>
      <c r="B125" s="64"/>
      <c r="C125" s="64"/>
      <c r="D125" s="57"/>
      <c r="E125" s="62"/>
      <c r="F125" s="49"/>
      <c r="G125" s="49"/>
    </row>
    <row r="126" spans="1:7" x14ac:dyDescent="0.2">
      <c r="A126" s="76"/>
      <c r="B126" s="76"/>
      <c r="C126" s="76"/>
      <c r="D126" s="76"/>
      <c r="E126" s="76"/>
      <c r="F126" s="49"/>
      <c r="G126" s="49"/>
    </row>
    <row r="127" spans="1:7" x14ac:dyDescent="0.2">
      <c r="A127" s="49"/>
      <c r="B127" s="49"/>
      <c r="C127" s="49"/>
      <c r="D127" s="49"/>
      <c r="E127" s="49"/>
      <c r="F127" s="49"/>
      <c r="G127" s="49"/>
    </row>
    <row r="128" spans="1:7" x14ac:dyDescent="0.2">
      <c r="A128" s="73"/>
      <c r="B128" s="73"/>
      <c r="C128" s="73"/>
      <c r="D128" s="73"/>
      <c r="E128" s="73"/>
      <c r="F128" s="49"/>
      <c r="G128" s="49"/>
    </row>
    <row r="129" spans="1:7" x14ac:dyDescent="0.2">
      <c r="A129" s="127"/>
      <c r="B129" s="127"/>
      <c r="C129" s="127"/>
      <c r="D129" s="127"/>
      <c r="E129" s="82"/>
      <c r="F129" s="49"/>
      <c r="G129" s="49"/>
    </row>
    <row r="130" spans="1:7" x14ac:dyDescent="0.2">
      <c r="A130" s="49"/>
      <c r="B130" s="49"/>
      <c r="C130" s="49"/>
      <c r="D130" s="49"/>
      <c r="E130" s="49"/>
      <c r="F130" s="49"/>
      <c r="G130" s="49"/>
    </row>
    <row r="131" spans="1:7" x14ac:dyDescent="0.2">
      <c r="A131" s="73"/>
      <c r="B131" s="73"/>
      <c r="C131" s="73"/>
      <c r="D131" s="49"/>
      <c r="E131" s="49"/>
      <c r="F131" s="49"/>
      <c r="G131" s="49"/>
    </row>
    <row r="132" spans="1:7" x14ac:dyDescent="0.2">
      <c r="A132" s="131"/>
      <c r="B132" s="131"/>
      <c r="C132" s="83"/>
      <c r="D132" s="49"/>
      <c r="E132" s="49"/>
      <c r="F132" s="49"/>
      <c r="G132" s="49"/>
    </row>
    <row r="133" spans="1:7" x14ac:dyDescent="0.2">
      <c r="A133" s="49"/>
      <c r="B133" s="49"/>
      <c r="C133" s="49"/>
      <c r="D133" s="49"/>
      <c r="E133" s="49"/>
      <c r="F133" s="49"/>
      <c r="G133" s="49"/>
    </row>
    <row r="134" spans="1:7" x14ac:dyDescent="0.2">
      <c r="A134" s="49"/>
      <c r="B134" s="49"/>
      <c r="C134" s="49"/>
      <c r="D134" s="49"/>
      <c r="E134" s="49"/>
      <c r="F134" s="49"/>
      <c r="G134" s="49"/>
    </row>
    <row r="135" spans="1:7" x14ac:dyDescent="0.2">
      <c r="A135" s="73"/>
      <c r="B135" s="49"/>
      <c r="C135" s="49"/>
      <c r="D135" s="49"/>
      <c r="E135" s="49"/>
      <c r="F135" s="49"/>
      <c r="G135" s="49"/>
    </row>
    <row r="136" spans="1:7" x14ac:dyDescent="0.2">
      <c r="A136" s="49"/>
      <c r="B136" s="49"/>
      <c r="C136" s="49"/>
      <c r="D136" s="49"/>
      <c r="E136" s="49"/>
      <c r="F136" s="49"/>
      <c r="G136" s="49"/>
    </row>
    <row r="137" spans="1:7" x14ac:dyDescent="0.2">
      <c r="A137" s="62"/>
      <c r="B137" s="62"/>
      <c r="C137" s="62"/>
      <c r="D137" s="62"/>
      <c r="E137" s="62"/>
      <c r="F137" s="62"/>
      <c r="G137" s="62"/>
    </row>
    <row r="138" spans="1:7" x14ac:dyDescent="0.2">
      <c r="A138" s="72"/>
      <c r="B138" s="82"/>
      <c r="C138" s="49"/>
      <c r="D138" s="84"/>
      <c r="E138" s="49"/>
      <c r="F138" s="49"/>
      <c r="G138" s="49"/>
    </row>
    <row r="139" spans="1:7" x14ac:dyDescent="0.2">
      <c r="A139" s="49"/>
      <c r="B139" s="49"/>
      <c r="C139" s="49"/>
      <c r="D139" s="49"/>
      <c r="E139" s="49"/>
      <c r="F139" s="49"/>
      <c r="G139" s="49"/>
    </row>
    <row r="140" spans="1:7" x14ac:dyDescent="0.2">
      <c r="A140" s="73"/>
      <c r="B140" s="49"/>
      <c r="C140" s="70"/>
      <c r="D140" s="82"/>
      <c r="E140" s="49"/>
      <c r="F140" s="49"/>
      <c r="G140" s="49"/>
    </row>
    <row r="141" spans="1:7" x14ac:dyDescent="0.2">
      <c r="A141" s="49"/>
      <c r="B141" s="49"/>
      <c r="C141" s="49"/>
      <c r="D141" s="49"/>
      <c r="E141" s="49"/>
      <c r="F141" s="49"/>
      <c r="G141" s="49"/>
    </row>
    <row r="142" spans="1:7" x14ac:dyDescent="0.2">
      <c r="A142" s="73"/>
      <c r="B142" s="73"/>
      <c r="C142" s="73"/>
      <c r="D142" s="73"/>
      <c r="E142" s="73"/>
      <c r="F142" s="49"/>
      <c r="G142" s="49"/>
    </row>
    <row r="143" spans="1:7" x14ac:dyDescent="0.2">
      <c r="A143" s="49"/>
      <c r="B143" s="49"/>
      <c r="C143" s="49"/>
      <c r="D143" s="49"/>
      <c r="E143" s="49"/>
      <c r="F143" s="49"/>
      <c r="G143" s="49"/>
    </row>
    <row r="144" spans="1:7" x14ac:dyDescent="0.2">
      <c r="A144" s="127"/>
      <c r="B144" s="127"/>
      <c r="C144" s="127"/>
      <c r="D144" s="82"/>
      <c r="E144" s="49"/>
      <c r="F144" s="49"/>
      <c r="G144" s="49"/>
    </row>
    <row r="145" spans="1:7" x14ac:dyDescent="0.2">
      <c r="A145" s="49"/>
      <c r="B145" s="49"/>
      <c r="C145" s="49"/>
      <c r="D145" s="49"/>
      <c r="E145" s="49"/>
      <c r="F145" s="49"/>
      <c r="G145" s="49"/>
    </row>
    <row r="146" spans="1:7" x14ac:dyDescent="0.2">
      <c r="A146" s="49"/>
      <c r="B146" s="49"/>
      <c r="C146" s="49"/>
      <c r="D146" s="49"/>
      <c r="E146" s="49"/>
      <c r="F146" s="49"/>
      <c r="G146" s="49"/>
    </row>
    <row r="147" spans="1:7" x14ac:dyDescent="0.2">
      <c r="A147" s="9"/>
    </row>
    <row r="148" spans="1:7" x14ac:dyDescent="0.2">
      <c r="A148" s="9"/>
    </row>
    <row r="151" spans="1:7" x14ac:dyDescent="0.2">
      <c r="A151" s="8"/>
    </row>
    <row r="152" spans="1:7" x14ac:dyDescent="0.2">
      <c r="A152" s="11"/>
    </row>
    <row r="153" spans="1:7" x14ac:dyDescent="0.2">
      <c r="A153" s="49"/>
      <c r="B153" s="49"/>
      <c r="C153" s="49"/>
      <c r="D153" s="49"/>
      <c r="E153" s="49"/>
      <c r="F153" s="49"/>
      <c r="G153" s="49"/>
    </row>
    <row r="154" spans="1:7" x14ac:dyDescent="0.2">
      <c r="A154" s="73"/>
      <c r="B154" s="49"/>
      <c r="C154" s="49"/>
      <c r="D154" s="49"/>
      <c r="E154" s="49"/>
      <c r="F154" s="49"/>
      <c r="G154" s="49"/>
    </row>
    <row r="155" spans="1:7" x14ac:dyDescent="0.2">
      <c r="A155" s="127"/>
      <c r="B155" s="132"/>
      <c r="C155" s="82"/>
      <c r="D155" s="49"/>
      <c r="E155" s="49"/>
      <c r="F155" s="49"/>
      <c r="G155" s="49"/>
    </row>
    <row r="156" spans="1:7" x14ac:dyDescent="0.2">
      <c r="A156" s="49"/>
      <c r="B156" s="49"/>
      <c r="C156" s="49"/>
      <c r="D156" s="49"/>
      <c r="E156" s="49"/>
      <c r="F156" s="49"/>
      <c r="G156" s="49"/>
    </row>
    <row r="157" spans="1:7" x14ac:dyDescent="0.2">
      <c r="A157" s="127"/>
      <c r="B157" s="127"/>
      <c r="C157" s="127"/>
      <c r="D157" s="85"/>
      <c r="E157" s="62"/>
      <c r="F157" s="62"/>
      <c r="G157" s="49"/>
    </row>
    <row r="158" spans="1:7" x14ac:dyDescent="0.2">
      <c r="A158" s="62"/>
      <c r="B158" s="62"/>
      <c r="C158" s="62"/>
      <c r="D158" s="62"/>
      <c r="E158" s="62"/>
      <c r="F158" s="62"/>
      <c r="G158" s="49"/>
    </row>
    <row r="159" spans="1:7" x14ac:dyDescent="0.2">
      <c r="A159" s="62"/>
      <c r="B159" s="62"/>
      <c r="C159" s="62"/>
      <c r="D159" s="62"/>
      <c r="E159" s="62"/>
      <c r="F159" s="62"/>
      <c r="G159" s="49"/>
    </row>
    <row r="160" spans="1:7" x14ac:dyDescent="0.2">
      <c r="A160" s="62"/>
      <c r="B160" s="62"/>
      <c r="C160" s="62"/>
      <c r="D160" s="62"/>
      <c r="E160" s="62"/>
      <c r="F160" s="62"/>
      <c r="G160" s="49"/>
    </row>
    <row r="161" spans="1:7" x14ac:dyDescent="0.2">
      <c r="A161" s="62"/>
      <c r="B161" s="62"/>
      <c r="C161" s="62"/>
      <c r="D161" s="62"/>
      <c r="E161" s="62"/>
      <c r="F161" s="62"/>
      <c r="G161" s="49"/>
    </row>
    <row r="162" spans="1:7" x14ac:dyDescent="0.2">
      <c r="A162" s="73"/>
      <c r="B162" s="73"/>
      <c r="C162" s="73"/>
      <c r="D162" s="73"/>
      <c r="E162" s="73"/>
      <c r="F162" s="49"/>
      <c r="G162" s="49"/>
    </row>
    <row r="163" spans="1:7" x14ac:dyDescent="0.2">
      <c r="A163" s="62"/>
      <c r="B163" s="73"/>
      <c r="C163" s="73"/>
      <c r="D163" s="73"/>
      <c r="E163" s="73"/>
      <c r="F163" s="49"/>
      <c r="G163" s="49"/>
    </row>
    <row r="164" spans="1:7" x14ac:dyDescent="0.2">
      <c r="A164" s="62"/>
      <c r="B164" s="73"/>
      <c r="C164" s="73"/>
      <c r="D164" s="73"/>
      <c r="E164" s="73"/>
      <c r="F164" s="49"/>
      <c r="G164" s="49"/>
    </row>
    <row r="165" spans="1:7" x14ac:dyDescent="0.2">
      <c r="A165" s="62"/>
      <c r="B165" s="73"/>
      <c r="C165" s="73"/>
      <c r="D165" s="85"/>
      <c r="E165" s="62"/>
      <c r="F165" s="49"/>
      <c r="G165" s="49"/>
    </row>
    <row r="166" spans="1:7" x14ac:dyDescent="0.2">
      <c r="A166" s="62"/>
      <c r="B166" s="62"/>
      <c r="C166" s="62"/>
      <c r="D166" s="62"/>
      <c r="E166" s="62"/>
      <c r="F166" s="49"/>
      <c r="G166" s="49"/>
    </row>
    <row r="167" spans="1:7" x14ac:dyDescent="0.2">
      <c r="A167" s="76"/>
      <c r="B167" s="73"/>
      <c r="C167" s="73"/>
      <c r="D167" s="73"/>
      <c r="E167" s="73"/>
      <c r="F167" s="73"/>
      <c r="G167" s="49"/>
    </row>
    <row r="168" spans="1:7" x14ac:dyDescent="0.2">
      <c r="A168" s="62"/>
      <c r="B168" s="62"/>
      <c r="C168" s="62"/>
      <c r="D168" s="62"/>
      <c r="E168" s="62"/>
      <c r="F168" s="49"/>
      <c r="G168" s="49"/>
    </row>
    <row r="169" spans="1:7" x14ac:dyDescent="0.2">
      <c r="A169" s="62"/>
      <c r="B169" s="62"/>
      <c r="C169" s="62"/>
      <c r="D169" s="85"/>
      <c r="E169" s="49"/>
      <c r="F169" s="49"/>
      <c r="G169" s="49"/>
    </row>
    <row r="170" spans="1:7" x14ac:dyDescent="0.2">
      <c r="A170" s="9"/>
      <c r="B170" s="9"/>
      <c r="C170" s="9"/>
      <c r="D170" s="9"/>
    </row>
    <row r="171" spans="1:7" x14ac:dyDescent="0.2">
      <c r="A171" s="9"/>
      <c r="B171" s="9"/>
      <c r="C171" s="9"/>
      <c r="D171" s="9"/>
      <c r="E171" s="9"/>
    </row>
    <row r="172" spans="1:7" x14ac:dyDescent="0.2">
      <c r="A172" s="9"/>
      <c r="B172" s="9"/>
      <c r="C172" s="9"/>
      <c r="D172" s="9"/>
      <c r="E172" s="9"/>
    </row>
    <row r="173" spans="1:7" x14ac:dyDescent="0.2">
      <c r="A173" s="9"/>
      <c r="B173" s="9"/>
      <c r="C173" s="9"/>
      <c r="D173" s="9"/>
      <c r="E173" s="9"/>
    </row>
    <row r="174" spans="1:7" x14ac:dyDescent="0.2">
      <c r="A174" s="9"/>
      <c r="B174" s="9"/>
      <c r="C174" s="9"/>
      <c r="D174" s="9"/>
      <c r="E174" s="9"/>
    </row>
    <row r="175" spans="1:7" x14ac:dyDescent="0.2">
      <c r="A175" s="9"/>
      <c r="B175" s="9"/>
      <c r="C175" s="9"/>
      <c r="D175" s="9"/>
      <c r="E175" s="9"/>
    </row>
    <row r="176" spans="1:7" x14ac:dyDescent="0.2">
      <c r="A176" s="9"/>
      <c r="B176" s="9"/>
      <c r="C176" s="9"/>
      <c r="D176" s="9"/>
      <c r="E176" s="9"/>
    </row>
    <row r="177" spans="1:6" x14ac:dyDescent="0.2">
      <c r="A177" s="9"/>
      <c r="B177" s="9"/>
      <c r="C177" s="9"/>
      <c r="D177" s="9"/>
      <c r="E177" s="9"/>
    </row>
    <row r="178" spans="1:6" x14ac:dyDescent="0.2">
      <c r="A178" s="7"/>
      <c r="B178" s="9"/>
      <c r="C178" s="9"/>
      <c r="D178" s="9"/>
      <c r="E178" s="9"/>
    </row>
    <row r="179" spans="1:6" x14ac:dyDescent="0.2">
      <c r="A179" s="12"/>
      <c r="B179" s="12"/>
      <c r="C179" s="12"/>
      <c r="D179" s="12"/>
      <c r="E179" s="12"/>
      <c r="F179" s="12"/>
    </row>
    <row r="180" spans="1:6" x14ac:dyDescent="0.2">
      <c r="A180" s="12"/>
      <c r="B180" s="12"/>
      <c r="C180" s="12"/>
      <c r="D180" s="12"/>
      <c r="E180" s="12"/>
      <c r="F180" s="12"/>
    </row>
    <row r="181" spans="1:6" x14ac:dyDescent="0.2">
      <c r="A181" s="15"/>
      <c r="B181" s="15"/>
      <c r="C181" s="15"/>
      <c r="D181" s="15"/>
      <c r="E181" s="12"/>
      <c r="F181" s="12"/>
    </row>
    <row r="182" spans="1:6" x14ac:dyDescent="0.2">
      <c r="A182" s="15"/>
      <c r="B182" s="15"/>
      <c r="C182" s="15"/>
      <c r="D182" s="15"/>
      <c r="E182" s="50"/>
      <c r="F182" s="12"/>
    </row>
    <row r="183" spans="1:6" x14ac:dyDescent="0.2">
      <c r="A183" s="15"/>
      <c r="B183" s="15"/>
      <c r="C183" s="15"/>
      <c r="D183" s="15"/>
      <c r="E183" s="51"/>
      <c r="F183" s="12"/>
    </row>
    <row r="184" spans="1:6" x14ac:dyDescent="0.2">
      <c r="A184" s="130"/>
      <c r="B184" s="130"/>
      <c r="C184" s="130"/>
      <c r="D184" s="130"/>
      <c r="E184" s="52"/>
      <c r="F184" s="12"/>
    </row>
    <row r="185" spans="1:6" x14ac:dyDescent="0.2">
      <c r="A185" s="13"/>
      <c r="B185" s="13"/>
      <c r="C185" s="13"/>
      <c r="D185" s="13"/>
      <c r="E185" s="12"/>
      <c r="F185" s="12"/>
    </row>
    <row r="186" spans="1:6" x14ac:dyDescent="0.2">
      <c r="A186" s="16"/>
      <c r="B186" s="45"/>
      <c r="C186" s="45"/>
      <c r="D186" s="45"/>
      <c r="E186" s="15"/>
      <c r="F186" s="15"/>
    </row>
    <row r="187" spans="1:6" x14ac:dyDescent="0.2">
      <c r="A187" s="16"/>
      <c r="B187" s="45"/>
      <c r="C187" s="45"/>
      <c r="D187" s="45"/>
      <c r="E187" s="15"/>
      <c r="F187" s="15"/>
    </row>
    <row r="188" spans="1:6" x14ac:dyDescent="0.2">
      <c r="A188" s="8"/>
      <c r="B188" s="8"/>
      <c r="C188" s="8"/>
      <c r="D188" s="8"/>
      <c r="E188" s="8"/>
      <c r="F188" s="8"/>
    </row>
    <row r="189" spans="1:6" x14ac:dyDescent="0.2">
      <c r="A189" s="9"/>
      <c r="B189" s="9"/>
      <c r="C189" s="9"/>
      <c r="D189" s="9"/>
      <c r="E189" s="9"/>
    </row>
    <row r="190" spans="1:6" ht="15" x14ac:dyDescent="0.25">
      <c r="A190" s="4"/>
      <c r="B190" s="4"/>
      <c r="C190" s="4"/>
      <c r="D190" s="4"/>
      <c r="E190" s="4"/>
    </row>
    <row r="191" spans="1:6" ht="15" x14ac:dyDescent="0.25">
      <c r="A191" s="4"/>
      <c r="B191" s="4"/>
      <c r="C191" s="4"/>
      <c r="D191" s="4"/>
      <c r="E191" s="4"/>
    </row>
    <row r="192" spans="1:6" ht="14.25" x14ac:dyDescent="0.2">
      <c r="A192" s="6"/>
    </row>
    <row r="193" spans="1:2" ht="14.25" x14ac:dyDescent="0.2">
      <c r="A193" s="6"/>
    </row>
    <row r="194" spans="1:2" x14ac:dyDescent="0.2">
      <c r="A194" s="49"/>
      <c r="B194" s="9"/>
    </row>
    <row r="195" spans="1:2" x14ac:dyDescent="0.2">
      <c r="A195" s="49"/>
      <c r="B195" s="9"/>
    </row>
    <row r="196" spans="1:2" x14ac:dyDescent="0.2">
      <c r="A196" s="49"/>
      <c r="B196" s="9"/>
    </row>
  </sheetData>
  <mergeCells count="13">
    <mergeCell ref="G6:Q27"/>
    <mergeCell ref="A184:D184"/>
    <mergeCell ref="A118:C118"/>
    <mergeCell ref="A123:B123"/>
    <mergeCell ref="A129:D129"/>
    <mergeCell ref="A132:B132"/>
    <mergeCell ref="A144:C144"/>
    <mergeCell ref="A155:B155"/>
    <mergeCell ref="A108:C108"/>
    <mergeCell ref="A83:D83"/>
    <mergeCell ref="A85:D85"/>
    <mergeCell ref="A90:D90"/>
    <mergeCell ref="A157:C157"/>
  </mergeCells>
  <pageMargins left="0.75" right="0.75" top="1" bottom="1" header="0.5" footer="0.5"/>
  <pageSetup scale="94" orientation="portrait" r:id="rId1"/>
  <headerFooter alignWithMargins="0"/>
  <rowBreaks count="3" manualBreakCount="3">
    <brk id="86" max="16383" man="1"/>
    <brk id="125" max="16383" man="1"/>
    <brk id="16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40"/>
  <sheetViews>
    <sheetView workbookViewId="0">
      <selection activeCell="B34" sqref="B34:N34"/>
    </sheetView>
  </sheetViews>
  <sheetFormatPr defaultRowHeight="12.75" x14ac:dyDescent="0.2"/>
  <sheetData>
    <row r="2" spans="2:14" ht="20.25" x14ac:dyDescent="0.3">
      <c r="B2" s="25"/>
      <c r="C2" s="25"/>
      <c r="D2" s="25"/>
      <c r="E2" s="25"/>
      <c r="F2" s="25"/>
      <c r="G2" s="25"/>
      <c r="H2" s="25"/>
      <c r="I2" s="25"/>
    </row>
    <row r="3" spans="2:14" ht="15" x14ac:dyDescent="0.2">
      <c r="B3" s="24"/>
      <c r="C3" s="24"/>
      <c r="D3" s="24"/>
      <c r="E3" s="24"/>
      <c r="F3" s="24"/>
      <c r="G3" s="24"/>
      <c r="H3" s="24"/>
      <c r="I3" s="24"/>
    </row>
    <row r="4" spans="2:14" ht="20.25" customHeight="1" x14ac:dyDescent="0.3">
      <c r="B4" s="149" t="s">
        <v>55</v>
      </c>
      <c r="C4" s="149"/>
      <c r="D4" s="149"/>
      <c r="E4" s="149"/>
      <c r="F4" s="149"/>
      <c r="G4" s="149"/>
      <c r="H4" s="149"/>
      <c r="I4" s="149"/>
      <c r="J4" s="149"/>
      <c r="K4" s="149"/>
      <c r="L4" s="149"/>
      <c r="M4" s="149"/>
      <c r="N4" s="149"/>
    </row>
    <row r="5" spans="2:14" ht="15" x14ac:dyDescent="0.2">
      <c r="B5" s="24"/>
      <c r="C5" s="24"/>
      <c r="D5" s="24"/>
      <c r="E5" s="24"/>
      <c r="F5" s="24"/>
      <c r="G5" s="24"/>
      <c r="H5" s="24"/>
      <c r="I5" s="24"/>
    </row>
    <row r="6" spans="2:14" ht="12.75" customHeight="1" x14ac:dyDescent="0.2">
      <c r="B6" s="141" t="s">
        <v>47</v>
      </c>
      <c r="C6" s="141"/>
      <c r="D6" s="141"/>
      <c r="E6" s="141"/>
      <c r="F6" s="141"/>
      <c r="G6" s="141"/>
      <c r="H6" s="141"/>
      <c r="I6" s="141"/>
      <c r="J6" s="141"/>
      <c r="K6" s="141"/>
      <c r="L6" s="141"/>
      <c r="M6" s="141"/>
      <c r="N6" s="141"/>
    </row>
    <row r="7" spans="2:14" ht="15.75" x14ac:dyDescent="0.25">
      <c r="B7" s="26"/>
      <c r="C7" s="26"/>
      <c r="D7" s="26"/>
      <c r="E7" s="26"/>
      <c r="F7" s="26"/>
      <c r="G7" s="26"/>
      <c r="H7" s="26"/>
      <c r="I7" s="26"/>
    </row>
    <row r="8" spans="2:14" ht="12.75" customHeight="1" x14ac:dyDescent="0.2">
      <c r="B8" s="135" t="s">
        <v>57</v>
      </c>
      <c r="C8" s="135"/>
      <c r="D8" s="136"/>
      <c r="E8" s="150"/>
      <c r="F8" s="150"/>
      <c r="G8" s="150"/>
      <c r="H8" s="150"/>
      <c r="I8" s="150"/>
      <c r="J8" s="150"/>
      <c r="K8" s="150"/>
      <c r="L8" s="150"/>
      <c r="M8" s="150"/>
      <c r="N8" s="150"/>
    </row>
    <row r="9" spans="2:14" ht="12.75" customHeight="1" x14ac:dyDescent="0.2">
      <c r="B9" s="135" t="s">
        <v>56</v>
      </c>
      <c r="C9" s="135"/>
      <c r="D9" s="136"/>
      <c r="E9" s="134"/>
      <c r="F9" s="134"/>
      <c r="G9" s="134"/>
      <c r="H9" s="134"/>
      <c r="I9" s="134"/>
      <c r="J9" s="134"/>
      <c r="K9" s="134"/>
      <c r="L9" s="134"/>
      <c r="M9" s="134"/>
      <c r="N9" s="134"/>
    </row>
    <row r="10" spans="2:14" ht="12.75" customHeight="1" x14ac:dyDescent="0.2">
      <c r="B10" s="135" t="s">
        <v>59</v>
      </c>
      <c r="C10" s="135"/>
      <c r="D10" s="136"/>
      <c r="E10" s="134"/>
      <c r="F10" s="134"/>
      <c r="G10" s="134"/>
      <c r="H10" s="134"/>
      <c r="I10" s="134"/>
      <c r="J10" s="134"/>
      <c r="K10" s="134"/>
      <c r="L10" s="134"/>
      <c r="M10" s="134"/>
      <c r="N10" s="134"/>
    </row>
    <row r="11" spans="2:14" ht="12.75" customHeight="1" x14ac:dyDescent="0.2">
      <c r="B11" s="23"/>
      <c r="D11" s="27"/>
      <c r="E11" s="134"/>
      <c r="F11" s="134"/>
      <c r="G11" s="134"/>
      <c r="H11" s="134"/>
      <c r="I11" s="134"/>
      <c r="J11" s="134"/>
      <c r="K11" s="134"/>
      <c r="L11" s="134"/>
      <c r="M11" s="134"/>
      <c r="N11" s="134"/>
    </row>
    <row r="12" spans="2:14" ht="12.75" customHeight="1" x14ac:dyDescent="0.2">
      <c r="B12" s="135" t="s">
        <v>60</v>
      </c>
      <c r="C12" s="135"/>
      <c r="D12" s="136"/>
      <c r="E12" s="134"/>
      <c r="F12" s="134"/>
      <c r="G12" s="134"/>
      <c r="H12" s="134"/>
      <c r="I12" s="134"/>
      <c r="J12" s="134"/>
      <c r="K12" s="134"/>
      <c r="L12" s="134"/>
      <c r="M12" s="134"/>
      <c r="N12" s="134"/>
    </row>
    <row r="13" spans="2:14" ht="15" x14ac:dyDescent="0.2">
      <c r="B13" s="24"/>
      <c r="C13" s="24"/>
      <c r="D13" s="24"/>
      <c r="E13" s="24"/>
      <c r="F13" s="24"/>
      <c r="G13" s="24"/>
      <c r="H13" s="24"/>
      <c r="I13" s="24"/>
    </row>
    <row r="14" spans="2:14" ht="15" x14ac:dyDescent="0.2">
      <c r="B14" s="24"/>
      <c r="C14" s="24"/>
      <c r="D14" s="24"/>
      <c r="E14" s="24"/>
      <c r="F14" s="24"/>
      <c r="G14" s="24"/>
      <c r="H14" s="24"/>
      <c r="I14" s="24"/>
    </row>
    <row r="15" spans="2:14" ht="15" x14ac:dyDescent="0.2">
      <c r="B15" s="24"/>
      <c r="C15" s="24"/>
      <c r="D15" s="24"/>
      <c r="E15" s="24"/>
      <c r="F15" s="24"/>
      <c r="G15" s="24"/>
      <c r="H15" s="24"/>
      <c r="I15" s="24"/>
    </row>
    <row r="16" spans="2:14" ht="15" x14ac:dyDescent="0.2">
      <c r="B16" s="24"/>
      <c r="C16" s="24"/>
      <c r="D16" s="24"/>
      <c r="E16" s="24"/>
      <c r="F16" s="24"/>
      <c r="G16" s="24"/>
      <c r="H16" s="24"/>
      <c r="I16" s="24"/>
    </row>
    <row r="17" spans="2:14" ht="12.75" customHeight="1" x14ac:dyDescent="0.2">
      <c r="B17" s="141" t="s">
        <v>48</v>
      </c>
      <c r="C17" s="141"/>
      <c r="D17" s="141"/>
      <c r="E17" s="141"/>
      <c r="F17" s="141"/>
      <c r="G17" s="141"/>
      <c r="H17" s="141"/>
      <c r="I17" s="141"/>
      <c r="J17" s="141"/>
      <c r="K17" s="141"/>
      <c r="L17" s="141"/>
      <c r="M17" s="141"/>
      <c r="N17" s="141"/>
    </row>
    <row r="18" spans="2:14" ht="15" customHeight="1" x14ac:dyDescent="0.2">
      <c r="B18" s="140" t="s">
        <v>49</v>
      </c>
      <c r="C18" s="140"/>
      <c r="D18" s="140"/>
      <c r="E18" s="140"/>
      <c r="F18" s="140"/>
      <c r="G18" s="140"/>
      <c r="H18" s="140"/>
      <c r="I18" s="140"/>
      <c r="J18" s="140"/>
      <c r="K18" s="140"/>
      <c r="L18" s="140"/>
      <c r="M18" s="140"/>
      <c r="N18" s="140"/>
    </row>
    <row r="19" spans="2:14" ht="12.75" customHeight="1" x14ac:dyDescent="0.2">
      <c r="B19" s="139" t="s">
        <v>61</v>
      </c>
      <c r="C19" s="139"/>
      <c r="D19" s="139"/>
      <c r="E19" s="139"/>
      <c r="F19" s="139"/>
      <c r="G19" s="139"/>
      <c r="H19" s="139"/>
      <c r="I19" s="139"/>
      <c r="J19" s="139"/>
      <c r="K19" s="139"/>
      <c r="L19" s="139"/>
      <c r="M19" s="139"/>
      <c r="N19" s="139"/>
    </row>
    <row r="20" spans="2:14" ht="12.75" customHeight="1" x14ac:dyDescent="0.2">
      <c r="B20" s="139" t="s">
        <v>58</v>
      </c>
      <c r="C20" s="139"/>
      <c r="D20" s="139"/>
      <c r="E20" s="139"/>
      <c r="F20" s="139"/>
      <c r="G20" s="139"/>
      <c r="H20" s="139"/>
      <c r="I20" s="139"/>
      <c r="J20" s="139"/>
      <c r="K20" s="139"/>
      <c r="L20" s="139"/>
      <c r="M20" s="139"/>
      <c r="N20" s="139"/>
    </row>
    <row r="21" spans="2:14" x14ac:dyDescent="0.2">
      <c r="B21" s="138" t="s">
        <v>50</v>
      </c>
      <c r="C21" s="138"/>
      <c r="D21" s="138"/>
      <c r="E21" s="138"/>
      <c r="F21" s="138"/>
      <c r="G21" s="138"/>
      <c r="H21" s="138"/>
      <c r="I21" s="138"/>
      <c r="J21" s="138"/>
      <c r="K21" s="138"/>
      <c r="L21" s="138"/>
      <c r="M21" s="138"/>
      <c r="N21" s="138"/>
    </row>
    <row r="22" spans="2:14" ht="12.75" customHeight="1" x14ac:dyDescent="0.2">
      <c r="B22" s="146" t="s">
        <v>355</v>
      </c>
      <c r="C22" s="147"/>
      <c r="D22" s="147"/>
      <c r="E22" s="147"/>
      <c r="F22" s="147"/>
      <c r="G22" s="147"/>
      <c r="H22" s="147"/>
      <c r="I22" s="147"/>
      <c r="J22" s="147"/>
      <c r="K22" s="147"/>
      <c r="L22" s="147"/>
      <c r="M22" s="147"/>
      <c r="N22" s="147"/>
    </row>
    <row r="23" spans="2:14" ht="12.75" customHeight="1" x14ac:dyDescent="0.2">
      <c r="B23" s="146" t="s">
        <v>50</v>
      </c>
      <c r="C23" s="146"/>
      <c r="D23" s="146"/>
      <c r="E23" s="146"/>
      <c r="F23" s="146"/>
      <c r="G23" s="146"/>
      <c r="H23" s="146"/>
      <c r="I23" s="146"/>
      <c r="J23" s="146"/>
      <c r="K23" s="146"/>
      <c r="L23" s="146"/>
      <c r="M23" s="146"/>
      <c r="N23" s="146"/>
    </row>
    <row r="24" spans="2:14" ht="15" customHeight="1" x14ac:dyDescent="0.2">
      <c r="B24" s="145" t="s">
        <v>63</v>
      </c>
      <c r="C24" s="145"/>
      <c r="D24" s="145"/>
      <c r="E24" s="145"/>
      <c r="F24" s="145"/>
      <c r="G24" s="145"/>
      <c r="H24" s="145"/>
      <c r="I24" s="145"/>
      <c r="J24" s="145"/>
      <c r="K24" s="145"/>
      <c r="L24" s="145"/>
      <c r="M24" s="145"/>
      <c r="N24" s="145"/>
    </row>
    <row r="25" spans="2:14" ht="12.75" customHeight="1" x14ac:dyDescent="0.2">
      <c r="B25" s="171" t="s">
        <v>50</v>
      </c>
      <c r="C25" s="171"/>
      <c r="D25" s="171"/>
      <c r="E25" s="171"/>
      <c r="F25" s="171"/>
      <c r="G25" s="171"/>
      <c r="H25" s="171"/>
      <c r="I25" s="171"/>
      <c r="J25" s="171"/>
      <c r="K25" s="171"/>
      <c r="L25" s="171"/>
      <c r="M25" s="171"/>
      <c r="N25" s="171"/>
    </row>
    <row r="26" spans="2:14" x14ac:dyDescent="0.2">
      <c r="B26" s="171" t="s">
        <v>387</v>
      </c>
      <c r="C26" s="171"/>
      <c r="D26" s="171"/>
      <c r="E26" s="171"/>
      <c r="F26" s="171"/>
      <c r="G26" s="171"/>
      <c r="H26" s="171"/>
      <c r="I26" s="171"/>
      <c r="J26" s="171"/>
      <c r="K26" s="171"/>
      <c r="L26" s="171"/>
      <c r="M26" s="171"/>
      <c r="N26" s="171"/>
    </row>
    <row r="27" spans="2:14" ht="12.75" customHeight="1" x14ac:dyDescent="0.2">
      <c r="B27" s="137"/>
      <c r="C27" s="137"/>
      <c r="D27" s="137"/>
      <c r="E27" s="92"/>
      <c r="F27" s="137"/>
      <c r="G27" s="137"/>
      <c r="H27" s="137"/>
      <c r="I27" s="137"/>
      <c r="J27" s="92"/>
      <c r="K27" s="133"/>
      <c r="L27" s="133"/>
      <c r="M27" s="133"/>
      <c r="N27" s="133"/>
    </row>
    <row r="28" spans="2:14" ht="12.75" customHeight="1" x14ac:dyDescent="0.2">
      <c r="B28" s="137"/>
      <c r="C28" s="137"/>
      <c r="D28" s="137"/>
      <c r="E28" s="92"/>
      <c r="F28" s="133"/>
      <c r="G28" s="133"/>
      <c r="H28" s="133"/>
      <c r="I28" s="133"/>
      <c r="J28" s="92"/>
      <c r="K28" s="133"/>
      <c r="L28" s="133"/>
      <c r="M28" s="133"/>
      <c r="N28" s="133"/>
    </row>
    <row r="29" spans="2:14" ht="12.75" customHeight="1" x14ac:dyDescent="0.2">
      <c r="B29" s="144" t="s">
        <v>62</v>
      </c>
      <c r="C29" s="144"/>
      <c r="D29" s="144"/>
      <c r="E29" s="144"/>
      <c r="F29" s="144"/>
      <c r="G29" s="144"/>
      <c r="H29" s="144"/>
      <c r="I29" s="144"/>
      <c r="J29" s="144"/>
      <c r="K29" s="144"/>
      <c r="L29" s="144"/>
      <c r="M29" s="144"/>
      <c r="N29" s="144"/>
    </row>
    <row r="30" spans="2:14" ht="12.75" customHeight="1" x14ac:dyDescent="0.2">
      <c r="B30" s="143" t="s">
        <v>275</v>
      </c>
      <c r="C30" s="143"/>
      <c r="D30" s="143"/>
      <c r="E30" s="143"/>
      <c r="F30" s="143"/>
      <c r="G30" s="143"/>
      <c r="H30" s="143"/>
      <c r="I30" s="143"/>
      <c r="J30" s="143"/>
      <c r="K30" s="143"/>
      <c r="L30" s="143"/>
      <c r="M30" s="143"/>
      <c r="N30" s="143"/>
    </row>
    <row r="31" spans="2:14" ht="12.75" customHeight="1" x14ac:dyDescent="0.2">
      <c r="B31" s="137"/>
      <c r="C31" s="137"/>
      <c r="D31" s="137"/>
      <c r="E31" s="92"/>
      <c r="F31" s="133"/>
      <c r="G31" s="133"/>
      <c r="H31" s="133"/>
      <c r="I31" s="133"/>
      <c r="J31" s="92"/>
      <c r="K31" s="133"/>
      <c r="L31" s="133"/>
      <c r="M31" s="133"/>
      <c r="N31" s="133"/>
    </row>
    <row r="32" spans="2:14" ht="15" x14ac:dyDescent="0.2">
      <c r="B32" s="93"/>
      <c r="C32" s="93"/>
      <c r="D32" s="93"/>
      <c r="E32" s="92"/>
      <c r="F32" s="148"/>
      <c r="G32" s="148"/>
      <c r="H32" s="148"/>
      <c r="I32" s="148"/>
      <c r="J32" s="92"/>
      <c r="K32" s="92"/>
      <c r="L32" s="92"/>
      <c r="M32" s="92"/>
      <c r="N32" s="92"/>
    </row>
    <row r="33" spans="2:14" ht="15" x14ac:dyDescent="0.2">
      <c r="B33" s="93"/>
      <c r="C33" s="93"/>
      <c r="D33" s="93"/>
      <c r="E33" s="92"/>
      <c r="F33" s="148"/>
      <c r="G33" s="148"/>
      <c r="H33" s="148"/>
      <c r="I33" s="148"/>
      <c r="J33" s="92"/>
      <c r="K33" s="92"/>
      <c r="L33" s="92"/>
      <c r="M33" s="92"/>
      <c r="N33" s="92"/>
    </row>
    <row r="34" spans="2:14" ht="15" x14ac:dyDescent="0.2">
      <c r="B34" s="178" t="s">
        <v>399</v>
      </c>
      <c r="C34" s="142"/>
      <c r="D34" s="142"/>
      <c r="E34" s="142"/>
      <c r="F34" s="142"/>
      <c r="G34" s="142"/>
      <c r="H34" s="142"/>
      <c r="I34" s="142"/>
      <c r="J34" s="142"/>
      <c r="K34" s="142"/>
      <c r="L34" s="142"/>
      <c r="M34" s="142"/>
      <c r="N34" s="142"/>
    </row>
    <row r="35" spans="2:14" ht="15" x14ac:dyDescent="0.2">
      <c r="B35" s="24"/>
      <c r="C35" s="24"/>
      <c r="D35" s="24"/>
      <c r="E35" s="24"/>
      <c r="F35" s="24"/>
      <c r="G35" s="24"/>
      <c r="H35" s="24"/>
      <c r="I35" s="24"/>
    </row>
    <row r="36" spans="2:14" ht="15" x14ac:dyDescent="0.2">
      <c r="B36" s="24"/>
      <c r="C36" s="24"/>
      <c r="D36" s="24"/>
      <c r="E36" s="24"/>
      <c r="F36" s="24"/>
      <c r="G36" s="24"/>
      <c r="H36" s="24"/>
      <c r="I36" s="24"/>
    </row>
    <row r="37" spans="2:14" ht="15" x14ac:dyDescent="0.2">
      <c r="B37" s="24"/>
      <c r="C37" s="24"/>
      <c r="D37" s="24"/>
      <c r="E37" s="24"/>
      <c r="F37" s="24"/>
      <c r="G37" s="24"/>
      <c r="H37" s="24"/>
      <c r="I37" s="24"/>
    </row>
    <row r="38" spans="2:14" ht="15" x14ac:dyDescent="0.2">
      <c r="B38" s="24"/>
      <c r="C38" s="24"/>
      <c r="D38" s="24"/>
      <c r="E38" s="24"/>
      <c r="F38" s="24"/>
      <c r="G38" s="24"/>
      <c r="H38" s="24"/>
      <c r="I38" s="24"/>
    </row>
    <row r="39" spans="2:14" ht="15" x14ac:dyDescent="0.2">
      <c r="B39" s="24"/>
      <c r="C39" s="24"/>
      <c r="D39" s="24"/>
      <c r="E39" s="24"/>
      <c r="F39" s="24"/>
      <c r="G39" s="24"/>
      <c r="H39" s="24"/>
      <c r="I39" s="24"/>
    </row>
    <row r="40" spans="2:14" ht="15" x14ac:dyDescent="0.2">
      <c r="B40" s="24"/>
      <c r="C40" s="24"/>
      <c r="D40" s="24"/>
      <c r="E40" s="24"/>
      <c r="F40" s="24"/>
      <c r="G40" s="24"/>
      <c r="H40" s="24"/>
      <c r="I40" s="24"/>
    </row>
  </sheetData>
  <mergeCells count="35">
    <mergeCell ref="B26:N26"/>
    <mergeCell ref="B6:N6"/>
    <mergeCell ref="B4:N4"/>
    <mergeCell ref="E8:N8"/>
    <mergeCell ref="E9:N9"/>
    <mergeCell ref="E10:N10"/>
    <mergeCell ref="B8:D8"/>
    <mergeCell ref="B9:D9"/>
    <mergeCell ref="B10:D10"/>
    <mergeCell ref="B34:N34"/>
    <mergeCell ref="B30:N30"/>
    <mergeCell ref="B29:N29"/>
    <mergeCell ref="B24:N24"/>
    <mergeCell ref="B22:N22"/>
    <mergeCell ref="B23:N23"/>
    <mergeCell ref="F32:I32"/>
    <mergeCell ref="F33:I33"/>
    <mergeCell ref="K27:N27"/>
    <mergeCell ref="K28:N28"/>
    <mergeCell ref="K31:N31"/>
    <mergeCell ref="F27:I27"/>
    <mergeCell ref="F31:I31"/>
    <mergeCell ref="E11:N11"/>
    <mergeCell ref="E12:N12"/>
    <mergeCell ref="B12:D12"/>
    <mergeCell ref="B31:D31"/>
    <mergeCell ref="B27:D27"/>
    <mergeCell ref="B28:D28"/>
    <mergeCell ref="F28:I28"/>
    <mergeCell ref="B21:N21"/>
    <mergeCell ref="B20:N20"/>
    <mergeCell ref="B19:N19"/>
    <mergeCell ref="B18:N18"/>
    <mergeCell ref="B17:N17"/>
    <mergeCell ref="B25:N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M176"/>
  <sheetViews>
    <sheetView tabSelected="1" topLeftCell="A16" zoomScale="90" zoomScaleNormal="90" workbookViewId="0">
      <selection activeCell="E30" sqref="E30"/>
    </sheetView>
  </sheetViews>
  <sheetFormatPr defaultRowHeight="12.75" x14ac:dyDescent="0.2"/>
  <cols>
    <col min="1" max="1" width="16.85546875" customWidth="1"/>
    <col min="2" max="2" width="14.28515625" customWidth="1"/>
    <col min="3" max="3" width="19.42578125" customWidth="1"/>
    <col min="4" max="4" width="13.85546875" customWidth="1"/>
    <col min="5" max="6" width="17.28515625" customWidth="1"/>
    <col min="7" max="7" width="9.7109375" customWidth="1"/>
    <col min="8" max="8" width="5.85546875" customWidth="1"/>
  </cols>
  <sheetData>
    <row r="2" spans="1:11" ht="15" x14ac:dyDescent="0.25">
      <c r="A2" s="96" t="s">
        <v>57</v>
      </c>
      <c r="B2" s="155">
        <f>Coversheet!E8</f>
        <v>0</v>
      </c>
      <c r="C2" s="155"/>
      <c r="D2" s="2"/>
      <c r="E2" s="2"/>
      <c r="F2" s="1"/>
      <c r="G2" s="1"/>
      <c r="H2" s="1"/>
      <c r="I2" s="1"/>
      <c r="J2" s="1"/>
      <c r="K2" s="1"/>
    </row>
    <row r="3" spans="1:11" ht="15" x14ac:dyDescent="0.25">
      <c r="A3" s="96" t="s">
        <v>56</v>
      </c>
      <c r="B3" s="155">
        <f>Coversheet!E9</f>
        <v>0</v>
      </c>
      <c r="C3" s="155"/>
      <c r="D3" s="2"/>
      <c r="E3" s="2"/>
      <c r="F3" s="1"/>
      <c r="G3" s="1"/>
      <c r="H3" s="1"/>
      <c r="I3" s="1"/>
      <c r="J3" s="1"/>
      <c r="K3" s="1"/>
    </row>
    <row r="4" spans="1:11" ht="15" x14ac:dyDescent="0.25">
      <c r="A4" s="96" t="s">
        <v>59</v>
      </c>
      <c r="B4" s="155">
        <f>Coversheet!E10</f>
        <v>0</v>
      </c>
      <c r="C4" s="155"/>
      <c r="D4" s="2"/>
      <c r="E4" s="2"/>
      <c r="F4" s="1"/>
      <c r="G4" s="1"/>
      <c r="H4" s="1"/>
      <c r="I4" s="1"/>
      <c r="J4" s="1"/>
      <c r="K4" s="1"/>
    </row>
    <row r="5" spans="1:11" ht="15" x14ac:dyDescent="0.25">
      <c r="A5" s="96"/>
      <c r="B5" s="174">
        <f>Coversheet!E11</f>
        <v>0</v>
      </c>
      <c r="C5" s="175"/>
      <c r="D5" s="2"/>
      <c r="E5" s="2"/>
      <c r="F5" s="1"/>
      <c r="G5" s="1"/>
      <c r="H5" s="1"/>
      <c r="I5" s="1"/>
      <c r="J5" s="1"/>
      <c r="K5" s="1"/>
    </row>
    <row r="6" spans="1:11" ht="15" x14ac:dyDescent="0.25">
      <c r="A6" s="96"/>
      <c r="B6" s="176"/>
      <c r="C6" s="177"/>
      <c r="D6" s="2"/>
      <c r="E6" s="2"/>
      <c r="F6" s="1"/>
      <c r="G6" s="1"/>
      <c r="H6" s="1"/>
      <c r="I6" s="1"/>
      <c r="J6" s="1"/>
      <c r="K6" s="1"/>
    </row>
    <row r="7" spans="1:11" ht="15" x14ac:dyDescent="0.25">
      <c r="A7" s="1"/>
      <c r="B7" s="1"/>
      <c r="C7" s="1"/>
      <c r="D7" s="1"/>
      <c r="E7" s="1"/>
      <c r="F7" s="1"/>
      <c r="G7" s="1"/>
      <c r="H7" s="1"/>
      <c r="I7" s="1"/>
      <c r="J7" s="1"/>
      <c r="K7" s="1"/>
    </row>
    <row r="8" spans="1:11" ht="15" x14ac:dyDescent="0.25">
      <c r="A8" s="2" t="s">
        <v>40</v>
      </c>
      <c r="B8" s="2"/>
      <c r="C8" s="2"/>
      <c r="D8" s="2"/>
      <c r="E8" s="1"/>
      <c r="F8" s="1"/>
      <c r="G8" s="1"/>
      <c r="H8" s="1"/>
      <c r="I8" s="1"/>
      <c r="J8" s="1"/>
      <c r="K8" s="1"/>
    </row>
    <row r="9" spans="1:11" ht="15" x14ac:dyDescent="0.25">
      <c r="A9" s="2"/>
      <c r="B9" s="2"/>
      <c r="C9" s="2"/>
      <c r="D9" s="2"/>
      <c r="E9" s="1"/>
      <c r="F9" s="1"/>
      <c r="G9" s="1"/>
      <c r="H9" s="1"/>
      <c r="I9" s="1"/>
      <c r="J9" s="1"/>
      <c r="K9" s="1"/>
    </row>
    <row r="10" spans="1:11" ht="15" x14ac:dyDescent="0.25">
      <c r="A10" s="4" t="s">
        <v>1</v>
      </c>
      <c r="B10" s="1"/>
      <c r="C10" s="1"/>
      <c r="D10" s="1"/>
      <c r="E10" s="1"/>
      <c r="F10" s="1"/>
      <c r="G10" s="1"/>
      <c r="H10" s="1"/>
      <c r="I10" s="1"/>
      <c r="J10" s="1"/>
      <c r="K10" s="1"/>
    </row>
    <row r="11" spans="1:11" ht="15" x14ac:dyDescent="0.25">
      <c r="A11" s="2" t="s">
        <v>341</v>
      </c>
      <c r="B11" s="1"/>
      <c r="C11" s="1"/>
      <c r="D11" s="1"/>
      <c r="E11" s="1"/>
      <c r="F11" s="1"/>
      <c r="G11" s="1"/>
      <c r="H11" s="1"/>
      <c r="I11" s="1"/>
      <c r="J11" s="1"/>
      <c r="K11" s="1"/>
    </row>
    <row r="12" spans="1:11" ht="15" x14ac:dyDescent="0.25">
      <c r="A12" s="124" t="s">
        <v>360</v>
      </c>
      <c r="B12" s="91"/>
      <c r="C12" s="56"/>
      <c r="D12" s="1"/>
      <c r="E12" s="48"/>
      <c r="F12" s="1"/>
      <c r="G12" s="3"/>
      <c r="H12" s="1"/>
      <c r="I12" s="1"/>
      <c r="J12" s="1"/>
      <c r="K12" s="1"/>
    </row>
    <row r="13" spans="1:11" ht="18" x14ac:dyDescent="0.25">
      <c r="A13" s="125" t="s">
        <v>361</v>
      </c>
      <c r="B13" s="21"/>
      <c r="C13" s="115" t="s">
        <v>335</v>
      </c>
      <c r="D13" s="21"/>
      <c r="E13" s="115" t="s">
        <v>338</v>
      </c>
      <c r="F13" s="22">
        <f>B13*D13</f>
        <v>0</v>
      </c>
      <c r="G13" s="1" t="s">
        <v>45</v>
      </c>
      <c r="H13" s="1"/>
      <c r="I13" s="1"/>
      <c r="J13" s="1"/>
      <c r="K13" s="1"/>
    </row>
    <row r="14" spans="1:11" ht="18" x14ac:dyDescent="0.25">
      <c r="A14" s="47" t="s">
        <v>5</v>
      </c>
      <c r="B14" s="97"/>
      <c r="C14" s="48" t="s">
        <v>336</v>
      </c>
      <c r="D14" s="22">
        <f>$F$13</f>
        <v>0</v>
      </c>
      <c r="E14" s="1" t="s">
        <v>266</v>
      </c>
      <c r="F14" s="18">
        <f>($B$14/12)*F$13*(1/27)</f>
        <v>0</v>
      </c>
      <c r="G14" s="100" t="s">
        <v>264</v>
      </c>
      <c r="H14" s="1"/>
      <c r="I14" s="1"/>
      <c r="J14" s="1"/>
      <c r="K14" s="1"/>
    </row>
    <row r="15" spans="1:11" ht="18" x14ac:dyDescent="0.25">
      <c r="A15" s="47"/>
      <c r="B15" s="17">
        <f>$F$14</f>
        <v>0</v>
      </c>
      <c r="C15" s="95" t="s">
        <v>265</v>
      </c>
      <c r="D15" s="113">
        <v>0</v>
      </c>
      <c r="E15" s="48" t="s">
        <v>337</v>
      </c>
      <c r="F15" s="17">
        <f>($F$14)*(27/1)*('Ref. Tables'!$C$7/1)</f>
        <v>0</v>
      </c>
      <c r="G15" s="1" t="s">
        <v>271</v>
      </c>
      <c r="H15" s="1"/>
      <c r="I15" s="1"/>
      <c r="J15" s="1"/>
      <c r="K15" s="1"/>
    </row>
    <row r="16" spans="1:11" ht="18" x14ac:dyDescent="0.25">
      <c r="A16" s="112"/>
      <c r="B16" s="17">
        <f>$F$14</f>
        <v>0</v>
      </c>
      <c r="C16" s="123" t="s">
        <v>357</v>
      </c>
      <c r="D16" s="113">
        <v>0</v>
      </c>
      <c r="E16" s="114" t="s">
        <v>356</v>
      </c>
      <c r="F16" s="17">
        <f>$B$16*$D$16</f>
        <v>0</v>
      </c>
      <c r="G16" s="1" t="s">
        <v>271</v>
      </c>
      <c r="H16" s="1"/>
      <c r="I16" s="1"/>
      <c r="J16" s="1"/>
      <c r="K16" s="1"/>
    </row>
    <row r="17" spans="1:11" ht="18" x14ac:dyDescent="0.25">
      <c r="A17" s="5" t="s">
        <v>358</v>
      </c>
      <c r="B17" s="5"/>
      <c r="C17" s="5"/>
      <c r="D17" s="5"/>
      <c r="E17" s="53"/>
      <c r="F17" s="61"/>
      <c r="G17" s="1"/>
      <c r="H17" s="1"/>
      <c r="I17" s="1"/>
      <c r="J17" s="1"/>
      <c r="K17" s="1"/>
    </row>
    <row r="18" spans="1:11" ht="15" x14ac:dyDescent="0.25">
      <c r="A18" s="5" t="s">
        <v>393</v>
      </c>
      <c r="B18" s="5"/>
      <c r="C18" s="5"/>
      <c r="D18" s="5"/>
      <c r="E18" s="5"/>
      <c r="F18" s="5"/>
      <c r="G18" s="1"/>
      <c r="H18" s="1"/>
      <c r="I18" s="1"/>
      <c r="J18" s="1"/>
      <c r="K18" s="1"/>
    </row>
    <row r="19" spans="1:11" ht="15" x14ac:dyDescent="0.25">
      <c r="A19" s="20"/>
      <c r="B19" s="1"/>
      <c r="C19" s="1"/>
      <c r="D19" s="1"/>
      <c r="E19" s="1"/>
      <c r="F19" s="1"/>
      <c r="G19" s="1"/>
      <c r="H19" s="1"/>
      <c r="I19" s="1"/>
      <c r="J19" s="1"/>
      <c r="K19" s="1"/>
    </row>
    <row r="20" spans="1:11" ht="16.5" x14ac:dyDescent="0.3">
      <c r="A20" s="1" t="s">
        <v>261</v>
      </c>
      <c r="B20" s="1"/>
      <c r="C20" s="97"/>
      <c r="D20" s="1" t="s">
        <v>8</v>
      </c>
      <c r="E20" s="1"/>
      <c r="F20" s="1"/>
      <c r="G20" s="1"/>
      <c r="H20" s="1"/>
      <c r="I20" s="1"/>
      <c r="J20" s="1"/>
      <c r="K20" s="1"/>
    </row>
    <row r="21" spans="1:11" ht="15" x14ac:dyDescent="0.25">
      <c r="A21" s="48" t="s">
        <v>10</v>
      </c>
      <c r="B21" s="97"/>
      <c r="C21" s="1" t="s">
        <v>8</v>
      </c>
      <c r="D21" s="47" t="s">
        <v>18</v>
      </c>
      <c r="E21" s="97"/>
      <c r="F21" s="1" t="s">
        <v>19</v>
      </c>
      <c r="G21" s="1"/>
      <c r="H21" s="1"/>
      <c r="I21" s="1"/>
      <c r="J21" s="1"/>
      <c r="K21" s="1"/>
    </row>
    <row r="22" spans="1:11" ht="15" x14ac:dyDescent="0.25">
      <c r="A22" s="100" t="s">
        <v>262</v>
      </c>
      <c r="B22" s="100"/>
      <c r="C22" s="100"/>
      <c r="D22" s="100"/>
      <c r="E22" s="1"/>
      <c r="F22" s="1"/>
      <c r="G22" s="1"/>
      <c r="H22" s="1"/>
      <c r="I22" s="1"/>
      <c r="J22" s="1"/>
      <c r="K22" s="1"/>
    </row>
    <row r="23" spans="1:11" ht="15" x14ac:dyDescent="0.25">
      <c r="A23" s="100"/>
      <c r="B23" s="100"/>
      <c r="C23" s="100"/>
      <c r="D23" s="100"/>
      <c r="E23" s="1"/>
      <c r="F23" s="1"/>
      <c r="G23" s="1"/>
      <c r="H23" s="1"/>
      <c r="I23" s="1"/>
      <c r="J23" s="1"/>
      <c r="K23" s="1"/>
    </row>
    <row r="24" spans="1:11" ht="15" x14ac:dyDescent="0.25">
      <c r="A24" s="126" t="s">
        <v>11</v>
      </c>
      <c r="B24" s="100"/>
      <c r="C24" s="100"/>
      <c r="D24" s="100"/>
      <c r="E24" s="100"/>
      <c r="F24" s="100"/>
      <c r="G24" s="1"/>
      <c r="H24" s="1"/>
      <c r="I24" s="1"/>
      <c r="J24" s="1"/>
      <c r="K24" s="1"/>
    </row>
    <row r="25" spans="1:11" ht="15" x14ac:dyDescent="0.25">
      <c r="A25" s="1"/>
      <c r="B25" s="1"/>
      <c r="C25" s="1"/>
      <c r="D25" s="1"/>
      <c r="E25" s="1"/>
      <c r="F25" s="1"/>
      <c r="G25" s="1"/>
      <c r="H25" s="1"/>
      <c r="I25" s="1"/>
      <c r="J25" s="1"/>
      <c r="K25" s="1"/>
    </row>
    <row r="26" spans="1:11" ht="15" x14ac:dyDescent="0.25">
      <c r="A26" s="151" t="s">
        <v>4</v>
      </c>
      <c r="B26" s="152"/>
      <c r="C26" s="29"/>
      <c r="D26" s="1" t="s">
        <v>267</v>
      </c>
      <c r="E26" s="1"/>
      <c r="F26" s="1"/>
      <c r="G26" s="1"/>
      <c r="H26" s="1"/>
      <c r="I26" s="1"/>
      <c r="J26" s="1"/>
      <c r="K26" s="1"/>
    </row>
    <row r="27" spans="1:11" ht="15" customHeight="1" x14ac:dyDescent="0.3">
      <c r="A27" s="151" t="s">
        <v>42</v>
      </c>
      <c r="B27" s="151"/>
      <c r="C27" s="97"/>
      <c r="D27" s="100" t="s">
        <v>8</v>
      </c>
      <c r="E27" s="1"/>
      <c r="F27" s="1"/>
      <c r="G27" s="1"/>
      <c r="H27" s="1"/>
      <c r="I27" s="1"/>
      <c r="J27" s="1"/>
      <c r="K27" s="1"/>
    </row>
    <row r="28" spans="1:11" ht="15" customHeight="1" x14ac:dyDescent="0.25">
      <c r="A28" s="151" t="s">
        <v>12</v>
      </c>
      <c r="B28" s="152"/>
      <c r="C28" s="29"/>
      <c r="D28" s="1" t="s">
        <v>13</v>
      </c>
      <c r="E28" s="1"/>
      <c r="F28" s="1"/>
      <c r="G28" s="1"/>
      <c r="H28" s="1"/>
      <c r="I28" s="1"/>
      <c r="J28" s="1"/>
      <c r="K28" s="1"/>
    </row>
    <row r="29" spans="1:11" ht="15" customHeight="1" x14ac:dyDescent="0.25">
      <c r="A29" s="151" t="s">
        <v>14</v>
      </c>
      <c r="B29" s="152"/>
      <c r="C29" s="29"/>
      <c r="D29" s="1" t="s">
        <v>13</v>
      </c>
      <c r="E29" s="1" t="s">
        <v>401</v>
      </c>
      <c r="F29" s="1"/>
      <c r="G29" s="1"/>
      <c r="H29" s="1"/>
      <c r="I29" s="1"/>
      <c r="J29" s="1"/>
      <c r="K29" s="1"/>
    </row>
    <row r="30" spans="1:11" ht="15" customHeight="1" x14ac:dyDescent="0.25">
      <c r="A30" s="47"/>
      <c r="B30" s="47" t="s">
        <v>54</v>
      </c>
      <c r="C30" s="29"/>
      <c r="D30" s="100" t="s">
        <v>13</v>
      </c>
      <c r="E30" s="1"/>
      <c r="F30" s="1"/>
      <c r="G30" s="1"/>
      <c r="H30" s="1"/>
      <c r="I30" s="1"/>
      <c r="J30" s="1"/>
      <c r="K30" s="1"/>
    </row>
    <row r="31" spans="1:11" ht="15" x14ac:dyDescent="0.25">
      <c r="A31" s="151" t="s">
        <v>15</v>
      </c>
      <c r="B31" s="151"/>
      <c r="C31" s="97"/>
      <c r="D31" s="100" t="s">
        <v>13</v>
      </c>
      <c r="E31" s="1"/>
      <c r="F31" s="100"/>
      <c r="G31" s="1"/>
      <c r="H31" s="1"/>
      <c r="I31" s="1"/>
      <c r="J31" s="1"/>
      <c r="K31" s="1"/>
    </row>
    <row r="32" spans="1:11" ht="15" x14ac:dyDescent="0.25">
      <c r="A32" s="151" t="s">
        <v>274</v>
      </c>
      <c r="B32" s="152"/>
      <c r="C32" s="97"/>
      <c r="D32" s="1" t="s">
        <v>16</v>
      </c>
      <c r="E32" s="1"/>
      <c r="F32" s="1"/>
      <c r="G32" s="1"/>
      <c r="H32" s="1"/>
      <c r="I32" s="1"/>
      <c r="J32" s="1"/>
      <c r="K32" s="1"/>
    </row>
    <row r="33" spans="1:13" ht="15" x14ac:dyDescent="0.25">
      <c r="A33" s="1"/>
      <c r="B33" s="54" t="s">
        <v>270</v>
      </c>
      <c r="C33" s="97"/>
      <c r="D33" s="100" t="s">
        <v>269</v>
      </c>
      <c r="E33" s="1"/>
      <c r="F33" s="1"/>
      <c r="G33" s="1"/>
      <c r="H33" s="1"/>
      <c r="I33" s="1"/>
      <c r="J33" s="1"/>
      <c r="K33" s="1"/>
    </row>
    <row r="34" spans="1:13" ht="15" x14ac:dyDescent="0.25">
      <c r="A34" s="1"/>
      <c r="B34" s="47" t="s">
        <v>320</v>
      </c>
      <c r="C34" s="97"/>
      <c r="D34" s="100" t="s">
        <v>268</v>
      </c>
      <c r="E34" s="1"/>
      <c r="F34" s="1"/>
      <c r="G34" s="1"/>
      <c r="H34" s="1"/>
      <c r="I34" s="1"/>
      <c r="J34" s="1"/>
      <c r="K34" s="1"/>
    </row>
    <row r="35" spans="1:13" ht="23.25" customHeight="1" x14ac:dyDescent="0.2">
      <c r="A35" s="172" t="s">
        <v>391</v>
      </c>
      <c r="B35" s="172"/>
      <c r="C35" s="172"/>
      <c r="D35" s="172"/>
      <c r="E35" s="172"/>
      <c r="F35" s="173"/>
      <c r="G35" s="173"/>
      <c r="H35" s="173"/>
      <c r="I35" s="173"/>
      <c r="J35" s="173"/>
      <c r="K35" s="173"/>
      <c r="L35" s="173"/>
      <c r="M35" s="173"/>
    </row>
    <row r="36" spans="1:13" ht="32.25" customHeight="1" x14ac:dyDescent="0.2">
      <c r="A36" s="173"/>
      <c r="B36" s="173"/>
      <c r="C36" s="173"/>
      <c r="D36" s="173"/>
      <c r="E36" s="173"/>
      <c r="F36" s="173"/>
      <c r="G36" s="173"/>
      <c r="H36" s="173"/>
      <c r="I36" s="173"/>
      <c r="J36" s="173"/>
      <c r="K36" s="173"/>
      <c r="L36" s="173"/>
      <c r="M36" s="173"/>
    </row>
    <row r="37" spans="1:13" ht="15" x14ac:dyDescent="0.25">
      <c r="A37" s="2" t="s">
        <v>362</v>
      </c>
      <c r="B37" s="1"/>
      <c r="C37" s="1"/>
      <c r="D37" s="1"/>
      <c r="E37" s="1"/>
      <c r="F37" s="1"/>
      <c r="G37" s="1"/>
      <c r="H37" s="1"/>
      <c r="I37" s="1"/>
      <c r="J37" s="1"/>
      <c r="K37" s="1"/>
    </row>
    <row r="38" spans="1:13" ht="15" x14ac:dyDescent="0.25">
      <c r="A38" s="1" t="s">
        <v>254</v>
      </c>
      <c r="B38" s="1"/>
      <c r="C38" s="1"/>
      <c r="D38" s="1"/>
      <c r="E38" s="1"/>
      <c r="F38" s="1"/>
      <c r="G38" s="1"/>
      <c r="H38" s="1"/>
      <c r="I38" s="1"/>
      <c r="J38" s="1"/>
      <c r="K38" s="1"/>
    </row>
    <row r="39" spans="1:13" ht="15" x14ac:dyDescent="0.25">
      <c r="A39" s="1"/>
      <c r="B39" s="1"/>
      <c r="C39" s="1"/>
      <c r="D39" s="1"/>
      <c r="E39" s="1"/>
      <c r="F39" s="1"/>
      <c r="G39" s="1"/>
      <c r="H39" s="1"/>
      <c r="I39" s="1"/>
      <c r="J39" s="1"/>
      <c r="K39" s="1"/>
    </row>
    <row r="40" spans="1:13" ht="15" x14ac:dyDescent="0.25">
      <c r="A40" s="2" t="s">
        <v>363</v>
      </c>
      <c r="B40" s="2"/>
      <c r="C40" s="2"/>
      <c r="D40" s="2"/>
      <c r="E40" s="2"/>
      <c r="F40" s="1"/>
      <c r="G40" s="1"/>
      <c r="H40" s="1"/>
      <c r="I40" s="1"/>
      <c r="J40" s="1"/>
      <c r="K40" s="1"/>
    </row>
    <row r="41" spans="1:13" ht="15" x14ac:dyDescent="0.25">
      <c r="A41" s="1"/>
      <c r="B41" s="1"/>
      <c r="C41" s="1"/>
      <c r="D41" s="1"/>
      <c r="E41" s="1"/>
      <c r="F41" s="1"/>
      <c r="G41" s="1"/>
      <c r="H41" s="1"/>
      <c r="I41" s="1"/>
      <c r="J41" s="1"/>
      <c r="K41" s="1"/>
    </row>
    <row r="42" spans="1:13" ht="16.5" x14ac:dyDescent="0.3">
      <c r="A42" s="1" t="s">
        <v>255</v>
      </c>
      <c r="B42" s="48"/>
      <c r="C42" s="1"/>
      <c r="D42" s="1"/>
      <c r="E42" s="48"/>
      <c r="F42" s="1"/>
      <c r="G42" s="3"/>
      <c r="H42" s="1"/>
      <c r="I42" s="1"/>
      <c r="J42" s="1"/>
      <c r="K42" s="1"/>
    </row>
    <row r="43" spans="1:13" ht="15" x14ac:dyDescent="0.25">
      <c r="A43" s="47" t="s">
        <v>5</v>
      </c>
      <c r="B43" s="14">
        <f>$B$14</f>
        <v>0</v>
      </c>
      <c r="C43" s="48" t="s">
        <v>9</v>
      </c>
      <c r="D43" s="17">
        <f>$F$14</f>
        <v>0</v>
      </c>
      <c r="E43" s="48" t="s">
        <v>6</v>
      </c>
      <c r="F43" s="17">
        <f>$F$15</f>
        <v>0</v>
      </c>
      <c r="G43" s="1" t="s">
        <v>271</v>
      </c>
      <c r="H43" s="1"/>
      <c r="I43" s="1"/>
      <c r="J43" s="1"/>
      <c r="K43" s="1"/>
    </row>
    <row r="44" spans="1:13" ht="15" x14ac:dyDescent="0.25">
      <c r="A44" s="47"/>
      <c r="B44" s="17">
        <f>$F$43</f>
        <v>0</v>
      </c>
      <c r="C44" s="48" t="s">
        <v>38</v>
      </c>
      <c r="D44" s="14">
        <f>$C$33</f>
        <v>0</v>
      </c>
      <c r="E44" s="48" t="s">
        <v>39</v>
      </c>
      <c r="F44" s="17">
        <f>$B$44*$D$44</f>
        <v>0</v>
      </c>
      <c r="G44" s="1" t="s">
        <v>272</v>
      </c>
      <c r="H44" s="1"/>
      <c r="I44" s="1"/>
      <c r="J44" s="1"/>
      <c r="K44" s="1"/>
    </row>
    <row r="45" spans="1:13" ht="15" x14ac:dyDescent="0.25">
      <c r="A45" s="1"/>
      <c r="B45" s="1"/>
      <c r="C45" s="48"/>
      <c r="D45" s="1"/>
      <c r="E45" s="1"/>
      <c r="F45" s="1"/>
      <c r="G45" s="1"/>
      <c r="H45" s="1"/>
      <c r="I45" s="1"/>
      <c r="J45" s="1"/>
      <c r="K45" s="1"/>
    </row>
    <row r="46" spans="1:13" ht="16.5" x14ac:dyDescent="0.3">
      <c r="A46" s="100" t="s">
        <v>276</v>
      </c>
      <c r="B46" s="48"/>
      <c r="C46" s="1"/>
      <c r="D46" s="1"/>
      <c r="E46" s="1"/>
      <c r="F46" s="1"/>
      <c r="G46" s="1"/>
      <c r="H46" s="1"/>
      <c r="I46" s="1"/>
      <c r="J46" s="1"/>
      <c r="K46" s="1"/>
    </row>
    <row r="47" spans="1:13" ht="15" x14ac:dyDescent="0.25">
      <c r="A47" s="151" t="s">
        <v>37</v>
      </c>
      <c r="B47" s="151"/>
      <c r="C47" s="151"/>
      <c r="D47" s="151"/>
      <c r="E47" s="98">
        <f>$C$26*$C$28*$C$32</f>
        <v>0</v>
      </c>
      <c r="F47" s="1" t="s">
        <v>273</v>
      </c>
      <c r="G47" s="1"/>
      <c r="H47" s="1"/>
      <c r="I47" s="1"/>
      <c r="J47" s="1"/>
      <c r="K47" s="1"/>
    </row>
    <row r="48" spans="1:13" ht="15" x14ac:dyDescent="0.25">
      <c r="A48" s="47"/>
      <c r="B48" s="47"/>
      <c r="C48" s="47"/>
      <c r="D48" s="47"/>
      <c r="E48" s="99"/>
      <c r="F48" s="1"/>
      <c r="G48" s="1"/>
      <c r="H48" s="1"/>
      <c r="I48" s="1"/>
      <c r="J48" s="1"/>
      <c r="K48" s="1"/>
    </row>
    <row r="49" spans="1:11" ht="16.5" x14ac:dyDescent="0.3">
      <c r="A49" s="156" t="s">
        <v>277</v>
      </c>
      <c r="B49" s="156"/>
      <c r="C49" s="156"/>
      <c r="D49" s="156"/>
      <c r="E49" s="99"/>
      <c r="F49" s="1"/>
      <c r="G49" s="1"/>
      <c r="H49" s="1"/>
      <c r="I49" s="1"/>
      <c r="J49" s="1"/>
      <c r="K49" s="1"/>
    </row>
    <row r="50" spans="1:11" ht="16.5" x14ac:dyDescent="0.3">
      <c r="A50" s="151" t="s">
        <v>278</v>
      </c>
      <c r="B50" s="152"/>
      <c r="C50" s="101">
        <f>$F$44+$E$47</f>
        <v>0</v>
      </c>
      <c r="D50" s="1" t="s">
        <v>273</v>
      </c>
      <c r="E50" s="1"/>
      <c r="F50" s="1"/>
      <c r="G50" s="1"/>
      <c r="H50" s="1"/>
      <c r="I50" s="1"/>
      <c r="J50" s="1"/>
      <c r="K50" s="1"/>
    </row>
    <row r="51" spans="1:11" ht="15" x14ac:dyDescent="0.25">
      <c r="A51" s="2" t="s">
        <v>258</v>
      </c>
      <c r="B51" s="2"/>
      <c r="C51" s="2"/>
      <c r="D51" s="2"/>
      <c r="E51" s="102"/>
      <c r="F51" s="1"/>
      <c r="G51" s="1"/>
      <c r="H51" s="1"/>
      <c r="I51" s="1"/>
      <c r="J51" s="1"/>
      <c r="K51" s="1"/>
    </row>
    <row r="52" spans="1:11" ht="15" x14ac:dyDescent="0.25">
      <c r="A52" s="1" t="s">
        <v>29</v>
      </c>
      <c r="B52" s="2"/>
      <c r="C52" s="2"/>
      <c r="D52" s="2"/>
      <c r="E52" s="102"/>
      <c r="F52" s="1"/>
      <c r="G52" s="1"/>
      <c r="H52" s="1"/>
      <c r="I52" s="1"/>
      <c r="J52" s="1"/>
      <c r="K52" s="1"/>
    </row>
    <row r="53" spans="1:11" ht="15" x14ac:dyDescent="0.25">
      <c r="A53" s="1"/>
      <c r="B53" s="2"/>
      <c r="C53" s="2"/>
      <c r="D53" s="2"/>
      <c r="E53" s="102"/>
      <c r="F53" s="1"/>
      <c r="G53" s="1"/>
      <c r="H53" s="1"/>
      <c r="I53" s="1"/>
      <c r="J53" s="1"/>
      <c r="K53" s="1"/>
    </row>
    <row r="54" spans="1:11" ht="16.5" x14ac:dyDescent="0.3">
      <c r="A54" s="151" t="s">
        <v>279</v>
      </c>
      <c r="B54" s="151"/>
      <c r="C54" s="151"/>
      <c r="D54" s="151"/>
      <c r="E54" s="98" t="e">
        <f>((($E$47*$C$27)+($F$44*$C$20)/100)/($C$50))</f>
        <v>#DIV/0!</v>
      </c>
      <c r="F54" s="1" t="s">
        <v>8</v>
      </c>
      <c r="G54" s="1"/>
      <c r="H54" s="1"/>
      <c r="I54" s="1"/>
      <c r="J54" s="1"/>
      <c r="K54" s="1"/>
    </row>
    <row r="55" spans="1:11" ht="15" x14ac:dyDescent="0.25">
      <c r="A55" s="1" t="s">
        <v>0</v>
      </c>
      <c r="B55" s="1"/>
      <c r="C55" s="1"/>
      <c r="D55" s="1"/>
      <c r="E55" s="1"/>
      <c r="F55" s="1"/>
      <c r="G55" s="1"/>
      <c r="H55" s="1"/>
      <c r="I55" s="1"/>
      <c r="J55" s="1"/>
      <c r="K55" s="1"/>
    </row>
    <row r="56" spans="1:11" ht="16.5" x14ac:dyDescent="0.3">
      <c r="A56" s="1" t="s">
        <v>280</v>
      </c>
      <c r="B56" s="1"/>
      <c r="C56" s="1"/>
      <c r="D56" s="1"/>
      <c r="E56" s="1"/>
      <c r="F56" s="1"/>
      <c r="G56" s="1"/>
      <c r="H56" s="1"/>
      <c r="I56" s="1"/>
      <c r="J56" s="1"/>
      <c r="K56" s="1"/>
    </row>
    <row r="57" spans="1:11" ht="16.5" x14ac:dyDescent="0.3">
      <c r="A57" s="1" t="s">
        <v>281</v>
      </c>
      <c r="B57" s="1"/>
      <c r="C57" s="1"/>
      <c r="D57" s="1"/>
      <c r="E57" s="1"/>
      <c r="F57" s="1"/>
      <c r="G57" s="1"/>
      <c r="H57" s="1"/>
      <c r="I57" s="1"/>
      <c r="J57" s="1"/>
      <c r="K57" s="1"/>
    </row>
    <row r="58" spans="1:11" ht="16.5" x14ac:dyDescent="0.3">
      <c r="A58" s="1" t="s">
        <v>282</v>
      </c>
      <c r="B58" s="1"/>
      <c r="C58" s="1"/>
      <c r="D58" s="1"/>
      <c r="E58" s="1"/>
      <c r="F58" s="1"/>
      <c r="G58" s="1"/>
      <c r="H58" s="1"/>
      <c r="I58" s="1"/>
      <c r="J58" s="1"/>
      <c r="K58" s="1"/>
    </row>
    <row r="59" spans="1:11" ht="16.5" x14ac:dyDescent="0.3">
      <c r="A59" s="1" t="s">
        <v>283</v>
      </c>
      <c r="B59" s="1"/>
      <c r="C59" s="1"/>
      <c r="D59" s="1"/>
      <c r="E59" s="1"/>
      <c r="F59" s="1"/>
      <c r="G59" s="1"/>
      <c r="H59" s="1"/>
      <c r="I59" s="1"/>
      <c r="J59" s="1"/>
      <c r="K59" s="1"/>
    </row>
    <row r="60" spans="1:11" ht="16.5" x14ac:dyDescent="0.3">
      <c r="A60" s="1" t="s">
        <v>284</v>
      </c>
      <c r="B60" s="1"/>
      <c r="C60" s="1"/>
      <c r="D60" s="1"/>
      <c r="E60" s="1"/>
      <c r="F60" s="1"/>
      <c r="G60" s="1"/>
      <c r="H60" s="1"/>
      <c r="I60" s="1"/>
      <c r="J60" s="1"/>
      <c r="K60" s="1"/>
    </row>
    <row r="61" spans="1:11" ht="16.5" x14ac:dyDescent="0.3">
      <c r="A61" s="1" t="s">
        <v>285</v>
      </c>
      <c r="B61" s="1"/>
      <c r="C61" s="1"/>
      <c r="D61" s="1"/>
      <c r="E61" s="1"/>
      <c r="F61" s="1"/>
      <c r="G61" s="1"/>
      <c r="H61" s="1"/>
      <c r="I61" s="1"/>
      <c r="J61" s="1"/>
      <c r="K61" s="1"/>
    </row>
    <row r="62" spans="1:11" ht="15" x14ac:dyDescent="0.25">
      <c r="A62" s="1"/>
      <c r="B62" s="1"/>
      <c r="C62" s="1"/>
      <c r="D62" s="1"/>
      <c r="E62" s="1"/>
      <c r="F62" s="1"/>
      <c r="G62" s="1"/>
      <c r="H62" s="1"/>
      <c r="I62" s="1"/>
      <c r="J62" s="1"/>
      <c r="K62" s="1"/>
    </row>
    <row r="63" spans="1:11" ht="15" x14ac:dyDescent="0.25">
      <c r="A63" s="2" t="s">
        <v>364</v>
      </c>
      <c r="B63" s="1"/>
      <c r="C63" s="1"/>
      <c r="D63" s="1"/>
      <c r="E63" s="1"/>
      <c r="F63" s="1"/>
      <c r="G63" s="1"/>
      <c r="H63" s="1"/>
      <c r="I63" s="1"/>
      <c r="J63" s="1"/>
      <c r="K63" s="1"/>
    </row>
    <row r="64" spans="1:11" ht="15" x14ac:dyDescent="0.25">
      <c r="A64" s="2" t="s">
        <v>17</v>
      </c>
      <c r="B64" s="1"/>
      <c r="C64" s="1"/>
      <c r="D64" s="1"/>
      <c r="E64" s="1"/>
      <c r="F64" s="1"/>
      <c r="G64" s="1"/>
      <c r="H64" s="1"/>
      <c r="I64" s="1"/>
      <c r="J64" s="1"/>
      <c r="K64" s="1"/>
    </row>
    <row r="65" spans="1:11" ht="15" x14ac:dyDescent="0.25">
      <c r="A65" s="1" t="s">
        <v>253</v>
      </c>
      <c r="B65" s="1"/>
      <c r="C65" s="1"/>
      <c r="D65" s="1"/>
      <c r="E65" s="1"/>
      <c r="F65" s="1"/>
      <c r="G65" s="1"/>
      <c r="H65" s="1"/>
      <c r="I65" s="1"/>
      <c r="J65" s="1"/>
      <c r="K65" s="1"/>
    </row>
    <row r="66" spans="1:11" ht="15" x14ac:dyDescent="0.25">
      <c r="A66" s="1"/>
      <c r="B66" s="1"/>
      <c r="C66" s="1"/>
      <c r="D66" s="1"/>
      <c r="E66" s="1"/>
      <c r="F66" s="1"/>
      <c r="G66" s="1"/>
      <c r="H66" s="1"/>
      <c r="I66" s="1"/>
      <c r="J66" s="1"/>
      <c r="K66" s="1"/>
    </row>
    <row r="67" spans="1:11" ht="16.5" x14ac:dyDescent="0.3">
      <c r="A67" s="151" t="s">
        <v>286</v>
      </c>
      <c r="B67" s="151"/>
      <c r="C67" s="151"/>
      <c r="D67" s="117" t="e">
        <f>((($B$74)*($B$75-$D$76))/($D$76-$B$76))</f>
        <v>#DIV/0!</v>
      </c>
      <c r="E67" s="1" t="s">
        <v>7</v>
      </c>
      <c r="F67" s="1"/>
      <c r="G67" s="1"/>
      <c r="H67" s="1"/>
      <c r="I67" s="1"/>
      <c r="J67" s="1"/>
      <c r="K67" s="1"/>
    </row>
    <row r="68" spans="1:11" ht="15" x14ac:dyDescent="0.25">
      <c r="A68" s="1" t="s">
        <v>0</v>
      </c>
      <c r="B68" s="1"/>
      <c r="C68" s="1"/>
      <c r="D68" s="1"/>
      <c r="E68" s="1"/>
      <c r="F68" s="1"/>
      <c r="G68" s="1"/>
      <c r="H68" s="1"/>
      <c r="I68" s="1"/>
      <c r="J68" s="1"/>
      <c r="K68" s="1"/>
    </row>
    <row r="69" spans="1:11" ht="16.5" x14ac:dyDescent="0.3">
      <c r="A69" s="1" t="s">
        <v>287</v>
      </c>
      <c r="B69" s="1"/>
      <c r="C69" s="1"/>
      <c r="D69" s="1"/>
      <c r="E69" s="1"/>
      <c r="F69" s="1"/>
      <c r="G69" s="1"/>
      <c r="H69" s="1"/>
      <c r="I69" s="1"/>
      <c r="J69" s="1"/>
      <c r="K69" s="1"/>
    </row>
    <row r="70" spans="1:11" ht="16.5" x14ac:dyDescent="0.3">
      <c r="A70" s="1" t="s">
        <v>288</v>
      </c>
      <c r="B70" s="1"/>
      <c r="C70" s="1"/>
      <c r="D70" s="1"/>
      <c r="E70" s="1"/>
      <c r="F70" s="1"/>
      <c r="G70" s="1"/>
      <c r="H70" s="1"/>
      <c r="I70" s="1"/>
      <c r="J70" s="1"/>
      <c r="K70" s="1"/>
    </row>
    <row r="71" spans="1:11" ht="16.5" x14ac:dyDescent="0.3">
      <c r="A71" s="1" t="s">
        <v>289</v>
      </c>
      <c r="B71" s="1"/>
      <c r="C71" s="1"/>
      <c r="D71" s="1"/>
      <c r="E71" s="1"/>
      <c r="F71" s="1"/>
      <c r="G71" s="1"/>
      <c r="H71" s="1"/>
      <c r="I71" s="1"/>
      <c r="J71" s="1"/>
      <c r="K71" s="1"/>
    </row>
    <row r="72" spans="1:11" ht="16.5" x14ac:dyDescent="0.3">
      <c r="A72" s="1" t="s">
        <v>290</v>
      </c>
      <c r="B72" s="1"/>
      <c r="C72" s="1"/>
      <c r="D72" s="1"/>
      <c r="E72" s="1"/>
      <c r="F72" s="1"/>
      <c r="G72" s="1"/>
      <c r="H72" s="1"/>
      <c r="I72" s="1"/>
      <c r="J72" s="1"/>
      <c r="K72" s="1"/>
    </row>
    <row r="73" spans="1:11" ht="16.5" x14ac:dyDescent="0.3">
      <c r="A73" s="1" t="s">
        <v>291</v>
      </c>
      <c r="B73" s="1"/>
      <c r="C73" s="1"/>
      <c r="D73" s="1"/>
      <c r="E73" s="1"/>
      <c r="F73" s="1"/>
      <c r="G73" s="1"/>
      <c r="H73" s="1"/>
      <c r="I73" s="1"/>
      <c r="J73" s="1"/>
      <c r="K73" s="1"/>
    </row>
    <row r="74" spans="1:11" ht="16.5" x14ac:dyDescent="0.25">
      <c r="A74" s="118" t="s">
        <v>344</v>
      </c>
      <c r="B74" s="119"/>
      <c r="C74" s="1" t="s">
        <v>273</v>
      </c>
      <c r="D74" s="1"/>
      <c r="E74" s="1"/>
      <c r="F74" s="1"/>
      <c r="G74" s="1"/>
      <c r="H74" s="1"/>
      <c r="I74" s="1"/>
      <c r="J74" s="1"/>
      <c r="K74" s="1"/>
    </row>
    <row r="75" spans="1:11" ht="16.5" x14ac:dyDescent="0.3">
      <c r="A75" s="69" t="s">
        <v>345</v>
      </c>
      <c r="B75" s="119"/>
      <c r="C75" s="9" t="s">
        <v>8</v>
      </c>
      <c r="F75" s="1"/>
      <c r="G75" s="1"/>
      <c r="H75" s="1"/>
      <c r="I75" s="1"/>
      <c r="J75" s="1"/>
      <c r="K75" s="1"/>
    </row>
    <row r="76" spans="1:11" ht="16.5" x14ac:dyDescent="0.3">
      <c r="A76" s="47" t="s">
        <v>292</v>
      </c>
      <c r="B76" s="97"/>
      <c r="C76" s="47" t="s">
        <v>293</v>
      </c>
      <c r="D76" s="116"/>
      <c r="E76" s="1" t="s">
        <v>8</v>
      </c>
      <c r="F76" s="1"/>
      <c r="G76" s="1"/>
      <c r="H76" s="1"/>
      <c r="I76" s="1"/>
      <c r="J76" s="1"/>
      <c r="K76" s="1"/>
    </row>
    <row r="77" spans="1:11" ht="16.5" x14ac:dyDescent="0.3">
      <c r="A77" s="47" t="s">
        <v>294</v>
      </c>
      <c r="B77" s="17" t="e">
        <f>F44+D67</f>
        <v>#DIV/0!</v>
      </c>
      <c r="C77" s="55" t="s">
        <v>7</v>
      </c>
      <c r="D77" s="68"/>
      <c r="E77" s="1"/>
      <c r="F77" s="1"/>
      <c r="G77" s="1"/>
      <c r="H77" s="1"/>
      <c r="I77" s="1"/>
      <c r="J77" s="1"/>
      <c r="K77" s="1"/>
    </row>
    <row r="78" spans="1:11" ht="16.5" x14ac:dyDescent="0.25">
      <c r="A78" s="120" t="s">
        <v>348</v>
      </c>
      <c r="B78" s="121"/>
      <c r="C78" s="122"/>
      <c r="D78" s="59"/>
      <c r="E78" s="1"/>
      <c r="F78" s="1"/>
      <c r="G78" s="1"/>
      <c r="H78" s="1"/>
      <c r="I78" s="1"/>
      <c r="J78" s="1"/>
      <c r="K78" s="1"/>
    </row>
    <row r="79" spans="1:11" ht="15" x14ac:dyDescent="0.25">
      <c r="A79" s="120" t="s">
        <v>346</v>
      </c>
      <c r="B79" s="121"/>
      <c r="C79" s="122"/>
      <c r="D79" s="59"/>
      <c r="E79" s="1"/>
      <c r="F79" s="1"/>
      <c r="G79" s="1"/>
      <c r="H79" s="1"/>
      <c r="I79" s="1"/>
      <c r="J79" s="1"/>
      <c r="K79" s="1"/>
    </row>
    <row r="80" spans="1:11" ht="15" x14ac:dyDescent="0.25">
      <c r="A80" s="120" t="s">
        <v>347</v>
      </c>
      <c r="B80" s="121"/>
      <c r="C80" s="122"/>
      <c r="D80" s="59"/>
      <c r="E80" s="1"/>
      <c r="F80" s="1"/>
      <c r="G80" s="1"/>
      <c r="H80" s="1"/>
      <c r="I80" s="1"/>
      <c r="J80" s="1"/>
      <c r="K80" s="1"/>
    </row>
    <row r="81" spans="1:11" ht="15" x14ac:dyDescent="0.25">
      <c r="A81" s="120"/>
      <c r="B81" s="121"/>
      <c r="C81" s="122"/>
      <c r="D81" s="59"/>
      <c r="E81" s="1"/>
      <c r="F81" s="1"/>
      <c r="G81" s="1"/>
      <c r="H81" s="1"/>
      <c r="I81" s="1"/>
      <c r="J81" s="1"/>
      <c r="K81" s="1"/>
    </row>
    <row r="82" spans="1:11" ht="15" x14ac:dyDescent="0.25">
      <c r="A82" s="2" t="s">
        <v>295</v>
      </c>
      <c r="B82" s="1"/>
      <c r="C82" s="1"/>
      <c r="D82" s="1"/>
      <c r="E82" s="1"/>
      <c r="F82" s="1"/>
      <c r="G82" s="1"/>
      <c r="H82" s="1"/>
      <c r="I82" s="1"/>
      <c r="J82" s="1"/>
      <c r="K82" s="1"/>
    </row>
    <row r="83" spans="1:11" ht="15" x14ac:dyDescent="0.25">
      <c r="A83" s="2" t="s">
        <v>296</v>
      </c>
      <c r="B83" s="1"/>
      <c r="C83" s="1"/>
      <c r="D83" s="1"/>
      <c r="E83" s="1"/>
      <c r="F83" s="1"/>
      <c r="G83" s="1"/>
      <c r="H83" s="1"/>
      <c r="I83" s="1"/>
      <c r="J83" s="1"/>
      <c r="K83" s="1"/>
    </row>
    <row r="84" spans="1:11" ht="15" x14ac:dyDescent="0.25">
      <c r="A84" s="1"/>
      <c r="B84" s="1"/>
      <c r="C84" s="1"/>
      <c r="D84" s="1"/>
      <c r="E84" s="1"/>
      <c r="F84" s="1"/>
      <c r="G84" s="1"/>
      <c r="H84" s="1"/>
      <c r="I84" s="1"/>
      <c r="J84" s="1"/>
      <c r="K84" s="1"/>
    </row>
    <row r="85" spans="1:11" ht="15" x14ac:dyDescent="0.25">
      <c r="A85" s="2" t="s">
        <v>365</v>
      </c>
      <c r="B85" s="2"/>
      <c r="C85" s="2"/>
      <c r="D85" s="2"/>
      <c r="E85" s="1"/>
      <c r="F85" s="1"/>
      <c r="G85" s="1"/>
      <c r="H85" s="1"/>
      <c r="I85" s="1"/>
      <c r="J85" s="1"/>
      <c r="K85" s="1"/>
    </row>
    <row r="86" spans="1:11" ht="15" x14ac:dyDescent="0.25">
      <c r="A86" s="2"/>
      <c r="B86" s="2"/>
      <c r="C86" s="2"/>
      <c r="D86" s="2"/>
      <c r="E86" s="1"/>
      <c r="F86" s="1"/>
      <c r="G86" s="1"/>
      <c r="H86" s="1"/>
      <c r="I86" s="1"/>
      <c r="J86" s="1"/>
      <c r="K86" s="1"/>
    </row>
    <row r="87" spans="1:11" ht="15" x14ac:dyDescent="0.25">
      <c r="A87" s="104" t="s">
        <v>256</v>
      </c>
      <c r="B87" s="10"/>
      <c r="C87" s="10"/>
      <c r="D87" s="10"/>
      <c r="E87" s="10"/>
      <c r="F87" s="1"/>
      <c r="G87" s="1"/>
      <c r="H87" s="1"/>
      <c r="I87" s="1"/>
      <c r="J87" s="1"/>
      <c r="K87" s="1"/>
    </row>
    <row r="88" spans="1:11" ht="16.5" x14ac:dyDescent="0.3">
      <c r="A88" s="151" t="s">
        <v>297</v>
      </c>
      <c r="B88" s="151"/>
      <c r="C88" s="151"/>
      <c r="D88" s="17" t="e">
        <f>$B$77</f>
        <v>#DIV/0!</v>
      </c>
      <c r="E88" s="1" t="s">
        <v>273</v>
      </c>
      <c r="F88" s="1"/>
      <c r="G88" s="1"/>
      <c r="H88" s="1"/>
      <c r="I88" s="1"/>
      <c r="J88" s="1"/>
      <c r="K88" s="1"/>
    </row>
    <row r="89" spans="1:11" ht="16.5" x14ac:dyDescent="0.3">
      <c r="A89" s="1"/>
      <c r="B89" s="151" t="s">
        <v>298</v>
      </c>
      <c r="C89" s="152"/>
      <c r="D89" s="17" t="e">
        <f>$D$88*((100-$C$20)/100)</f>
        <v>#DIV/0!</v>
      </c>
      <c r="E89" s="1" t="s">
        <v>273</v>
      </c>
      <c r="F89" s="1"/>
      <c r="G89" s="1"/>
      <c r="H89" s="1"/>
      <c r="I89" s="1"/>
      <c r="J89" s="1"/>
      <c r="K89" s="1"/>
    </row>
    <row r="90" spans="1:11" ht="15" x14ac:dyDescent="0.25">
      <c r="A90" s="1" t="s">
        <v>0</v>
      </c>
      <c r="B90" s="1"/>
      <c r="C90" s="1"/>
      <c r="D90" s="1"/>
      <c r="E90" s="1"/>
      <c r="F90" s="1"/>
      <c r="G90" s="1"/>
      <c r="H90" s="1"/>
      <c r="I90" s="1"/>
      <c r="J90" s="1"/>
      <c r="K90" s="1"/>
    </row>
    <row r="91" spans="1:11" ht="16.5" x14ac:dyDescent="0.3">
      <c r="A91" s="1" t="s">
        <v>299</v>
      </c>
      <c r="B91" s="1"/>
      <c r="C91" s="1"/>
      <c r="D91" s="1"/>
      <c r="E91" s="1"/>
      <c r="F91" s="1"/>
      <c r="G91" s="1"/>
      <c r="H91" s="1"/>
      <c r="I91" s="1"/>
      <c r="J91" s="1"/>
      <c r="K91" s="1"/>
    </row>
    <row r="92" spans="1:11" ht="16.5" x14ac:dyDescent="0.3">
      <c r="A92" s="1" t="s">
        <v>284</v>
      </c>
      <c r="B92" s="1"/>
      <c r="C92" s="1"/>
      <c r="D92" s="1"/>
      <c r="E92" s="1"/>
      <c r="F92" s="1"/>
      <c r="G92" s="1"/>
      <c r="H92" s="1"/>
      <c r="I92" s="1"/>
      <c r="J92" s="1"/>
      <c r="K92" s="1"/>
    </row>
    <row r="93" spans="1:11" ht="16.5" x14ac:dyDescent="0.3">
      <c r="A93" s="1" t="s">
        <v>300</v>
      </c>
      <c r="B93" s="1"/>
      <c r="C93" s="1"/>
      <c r="D93" s="1"/>
      <c r="E93" s="1"/>
      <c r="F93" s="1"/>
      <c r="G93" s="1"/>
      <c r="H93" s="1"/>
      <c r="I93" s="1"/>
      <c r="J93" s="1"/>
      <c r="K93" s="1"/>
    </row>
    <row r="94" spans="1:11" ht="15" x14ac:dyDescent="0.25">
      <c r="A94" s="100" t="s">
        <v>30</v>
      </c>
      <c r="B94" s="47"/>
      <c r="C94" s="47"/>
      <c r="D94" s="48"/>
      <c r="E94" s="1"/>
      <c r="F94" s="1"/>
      <c r="G94" s="1"/>
      <c r="H94" s="1"/>
      <c r="I94" s="1"/>
      <c r="J94" s="1"/>
      <c r="K94" s="1"/>
    </row>
    <row r="95" spans="1:11" ht="15" x14ac:dyDescent="0.25">
      <c r="A95" s="100"/>
      <c r="B95" s="47"/>
      <c r="C95" s="47"/>
      <c r="D95" s="48"/>
      <c r="E95" s="1"/>
      <c r="F95" s="1"/>
      <c r="G95" s="1"/>
      <c r="H95" s="1"/>
      <c r="I95" s="1"/>
      <c r="J95" s="1"/>
      <c r="K95" s="1"/>
    </row>
    <row r="96" spans="1:11" ht="15" x14ac:dyDescent="0.25">
      <c r="A96" s="1" t="s">
        <v>257</v>
      </c>
      <c r="B96" s="1"/>
      <c r="C96" s="1"/>
      <c r="D96" s="1"/>
      <c r="E96" s="1"/>
      <c r="F96" s="1"/>
      <c r="G96" s="1"/>
      <c r="H96" s="1"/>
      <c r="I96" s="1"/>
      <c r="J96" s="1"/>
      <c r="K96" s="1"/>
    </row>
    <row r="97" spans="1:11" ht="15" x14ac:dyDescent="0.25">
      <c r="A97" s="1"/>
      <c r="B97" s="1"/>
      <c r="C97" s="1"/>
      <c r="D97" s="1"/>
      <c r="E97" s="1"/>
      <c r="F97" s="1"/>
      <c r="G97" s="1"/>
      <c r="H97" s="1"/>
      <c r="I97" s="1"/>
      <c r="J97" s="1"/>
      <c r="K97" s="1"/>
    </row>
    <row r="98" spans="1:11" ht="16.5" x14ac:dyDescent="0.3">
      <c r="A98" s="151" t="s">
        <v>301</v>
      </c>
      <c r="B98" s="151"/>
      <c r="C98" s="151"/>
      <c r="D98" s="17" t="e">
        <f>(($B$21*$D$89)/100)</f>
        <v>#DIV/0!</v>
      </c>
      <c r="E98" s="1" t="s">
        <v>273</v>
      </c>
      <c r="F98" s="1"/>
      <c r="G98" s="1"/>
      <c r="H98" s="1"/>
      <c r="I98" s="1"/>
      <c r="J98" s="1"/>
      <c r="K98" s="1"/>
    </row>
    <row r="99" spans="1:11" ht="15" x14ac:dyDescent="0.25">
      <c r="A99" s="1" t="s">
        <v>31</v>
      </c>
      <c r="B99" s="1"/>
      <c r="C99" s="1"/>
      <c r="D99" s="1"/>
      <c r="E99" s="1"/>
      <c r="F99" s="1"/>
      <c r="G99" s="1"/>
      <c r="H99" s="1"/>
      <c r="I99" s="1"/>
      <c r="J99" s="1"/>
      <c r="K99" s="1"/>
    </row>
    <row r="100" spans="1:11" ht="15" x14ac:dyDescent="0.25">
      <c r="A100" s="1"/>
      <c r="B100" s="1"/>
      <c r="C100" s="1"/>
      <c r="D100" s="1"/>
      <c r="E100" s="1"/>
      <c r="F100" s="1"/>
      <c r="G100" s="1"/>
      <c r="H100" s="1"/>
      <c r="I100" s="1"/>
      <c r="J100" s="1"/>
      <c r="K100" s="1"/>
    </row>
    <row r="101" spans="1:11" ht="16.5" x14ac:dyDescent="0.3">
      <c r="A101" s="1" t="s">
        <v>366</v>
      </c>
      <c r="B101" s="102"/>
      <c r="C101" s="102"/>
      <c r="D101" s="1"/>
      <c r="E101" s="1"/>
      <c r="F101" s="1"/>
      <c r="G101" s="1"/>
      <c r="H101" s="1"/>
      <c r="I101" s="1"/>
      <c r="J101" s="1"/>
      <c r="K101" s="1"/>
    </row>
    <row r="102" spans="1:11" ht="15" x14ac:dyDescent="0.25">
      <c r="A102" s="1"/>
      <c r="B102" s="1"/>
      <c r="C102" s="1"/>
      <c r="D102" s="1"/>
      <c r="E102" s="1"/>
      <c r="F102" s="1"/>
      <c r="G102" s="1"/>
      <c r="H102" s="1"/>
      <c r="I102" s="1"/>
      <c r="J102" s="1"/>
      <c r="K102" s="1"/>
    </row>
    <row r="103" spans="1:11" ht="16.5" x14ac:dyDescent="0.3">
      <c r="A103" s="151" t="s">
        <v>302</v>
      </c>
      <c r="B103" s="151"/>
      <c r="C103" s="17" t="e">
        <f>$D$98*$E$21</f>
        <v>#DIV/0!</v>
      </c>
      <c r="D103" s="1" t="s">
        <v>273</v>
      </c>
      <c r="E103" s="1"/>
      <c r="F103" s="1"/>
      <c r="G103" s="1"/>
      <c r="H103" s="1"/>
      <c r="I103" s="1"/>
      <c r="J103" s="1"/>
      <c r="K103" s="1"/>
    </row>
    <row r="104" spans="1:11" ht="15" x14ac:dyDescent="0.25">
      <c r="A104" s="1" t="s">
        <v>32</v>
      </c>
      <c r="B104" s="1"/>
      <c r="C104" s="1"/>
      <c r="D104" s="1"/>
      <c r="E104" s="1"/>
      <c r="F104" s="1"/>
      <c r="G104" s="1"/>
      <c r="H104" s="1"/>
      <c r="I104" s="1"/>
      <c r="J104" s="1"/>
      <c r="K104" s="1"/>
    </row>
    <row r="105" spans="1:11" ht="15" x14ac:dyDescent="0.25">
      <c r="A105" s="100"/>
      <c r="B105" s="47"/>
      <c r="C105" s="47"/>
      <c r="D105" s="48"/>
      <c r="E105" s="1"/>
      <c r="F105" s="1"/>
      <c r="G105" s="1"/>
      <c r="H105" s="1"/>
      <c r="I105" s="1"/>
      <c r="J105" s="1"/>
      <c r="K105" s="1"/>
    </row>
    <row r="106" spans="1:11" ht="15" x14ac:dyDescent="0.25">
      <c r="A106" s="104" t="s">
        <v>20</v>
      </c>
      <c r="B106" s="10"/>
      <c r="C106" s="10"/>
      <c r="D106" s="10"/>
      <c r="E106" s="10"/>
      <c r="F106" s="1"/>
      <c r="G106" s="1"/>
      <c r="H106" s="1"/>
      <c r="I106" s="1"/>
      <c r="J106" s="1"/>
      <c r="K106" s="1"/>
    </row>
    <row r="107" spans="1:11" ht="15" x14ac:dyDescent="0.25">
      <c r="A107" s="1"/>
      <c r="B107" s="1"/>
      <c r="C107" s="1"/>
      <c r="D107" s="1"/>
      <c r="E107" s="1"/>
      <c r="F107" s="1"/>
      <c r="G107" s="1"/>
      <c r="H107" s="1"/>
      <c r="I107" s="1"/>
      <c r="J107" s="1"/>
      <c r="K107" s="1"/>
    </row>
    <row r="108" spans="1:11" ht="15" x14ac:dyDescent="0.25">
      <c r="A108" s="1" t="s">
        <v>51</v>
      </c>
      <c r="B108" s="102"/>
      <c r="C108" s="102"/>
      <c r="D108" s="102"/>
      <c r="E108" s="102"/>
      <c r="F108" s="1"/>
      <c r="G108" s="1"/>
      <c r="H108" s="1"/>
      <c r="I108" s="1"/>
      <c r="J108" s="1"/>
      <c r="K108" s="1"/>
    </row>
    <row r="109" spans="1:11" ht="15" x14ac:dyDescent="0.25">
      <c r="A109" s="151" t="s">
        <v>52</v>
      </c>
      <c r="B109" s="151"/>
      <c r="C109" s="151"/>
      <c r="D109" s="151"/>
      <c r="E109" s="103">
        <f>$C$26*$C$31*$C$32</f>
        <v>0</v>
      </c>
      <c r="F109" s="1" t="s">
        <v>273</v>
      </c>
      <c r="G109" s="1"/>
      <c r="H109" s="1"/>
      <c r="I109" s="1"/>
      <c r="J109" s="1"/>
      <c r="K109" s="1"/>
    </row>
    <row r="110" spans="1:11" ht="15" x14ac:dyDescent="0.25">
      <c r="A110" s="1"/>
      <c r="B110" s="1"/>
      <c r="C110" s="1"/>
      <c r="D110" s="1"/>
      <c r="E110" s="1"/>
      <c r="F110" s="1"/>
      <c r="G110" s="1"/>
      <c r="H110" s="1"/>
      <c r="I110" s="1"/>
      <c r="J110" s="1"/>
      <c r="K110" s="1"/>
    </row>
    <row r="111" spans="1:11" ht="15" x14ac:dyDescent="0.25">
      <c r="A111" s="1" t="s">
        <v>21</v>
      </c>
      <c r="B111" s="102"/>
      <c r="C111" s="102"/>
      <c r="D111" s="1"/>
      <c r="E111" s="1"/>
      <c r="F111" s="1"/>
      <c r="G111" s="1"/>
      <c r="H111" s="1"/>
      <c r="I111" s="1"/>
      <c r="J111" s="1"/>
      <c r="K111" s="1"/>
    </row>
    <row r="112" spans="1:11" ht="16.5" x14ac:dyDescent="0.3">
      <c r="A112" s="154" t="s">
        <v>303</v>
      </c>
      <c r="B112" s="154"/>
      <c r="C112" s="103">
        <f>$E$109/1.8</f>
        <v>0</v>
      </c>
      <c r="D112" s="1" t="s">
        <v>273</v>
      </c>
      <c r="E112" s="1"/>
      <c r="F112" s="1"/>
      <c r="G112" s="1"/>
      <c r="H112" s="1"/>
      <c r="I112" s="1"/>
      <c r="J112" s="1"/>
      <c r="K112" s="1"/>
    </row>
    <row r="113" spans="1:11" ht="15" x14ac:dyDescent="0.25">
      <c r="A113" s="1" t="s">
        <v>33</v>
      </c>
      <c r="B113" s="1"/>
      <c r="C113" s="1"/>
      <c r="D113" s="1"/>
      <c r="E113" s="1"/>
      <c r="F113" s="1"/>
      <c r="G113" s="1"/>
      <c r="H113" s="1"/>
      <c r="I113" s="1"/>
      <c r="J113" s="1"/>
      <c r="K113" s="1"/>
    </row>
    <row r="114" spans="1:11" ht="15" x14ac:dyDescent="0.25">
      <c r="A114" s="1"/>
      <c r="B114" s="1"/>
      <c r="C114" s="1"/>
      <c r="D114" s="1"/>
      <c r="E114" s="1"/>
      <c r="F114" s="1"/>
      <c r="G114" s="1"/>
      <c r="H114" s="1"/>
      <c r="I114" s="1"/>
      <c r="J114" s="1"/>
      <c r="K114" s="1"/>
    </row>
    <row r="115" spans="1:11" ht="15" x14ac:dyDescent="0.25">
      <c r="A115" s="1" t="s">
        <v>22</v>
      </c>
      <c r="B115" s="1"/>
      <c r="C115" s="1"/>
      <c r="D115" s="1"/>
      <c r="E115" s="1"/>
      <c r="F115" s="1"/>
      <c r="G115" s="1"/>
      <c r="H115" s="1"/>
      <c r="I115" s="1"/>
      <c r="J115" s="1"/>
      <c r="K115" s="1"/>
    </row>
    <row r="116" spans="1:11" ht="15" x14ac:dyDescent="0.25">
      <c r="A116" s="1"/>
      <c r="B116" s="1"/>
      <c r="C116" s="1"/>
      <c r="D116" s="1"/>
      <c r="E116" s="1"/>
      <c r="F116" s="1"/>
      <c r="G116" s="1"/>
      <c r="H116" s="1"/>
      <c r="I116" s="1"/>
      <c r="J116" s="1"/>
      <c r="K116" s="1"/>
    </row>
    <row r="117" spans="1:11" ht="16.5" x14ac:dyDescent="0.3">
      <c r="A117" s="1" t="s">
        <v>304</v>
      </c>
      <c r="B117" s="1"/>
      <c r="C117" s="1"/>
      <c r="D117" s="1"/>
      <c r="E117" s="1"/>
      <c r="F117" s="1"/>
      <c r="G117" s="1"/>
      <c r="H117" s="1"/>
      <c r="I117" s="1"/>
      <c r="J117" s="1"/>
      <c r="K117" s="1"/>
    </row>
    <row r="118" spans="1:11" ht="16.5" x14ac:dyDescent="0.3">
      <c r="A118" s="47" t="s">
        <v>305</v>
      </c>
      <c r="B118" s="103">
        <f>$C$26*$C$29*$C$32</f>
        <v>0</v>
      </c>
      <c r="C118" s="1" t="s">
        <v>273</v>
      </c>
      <c r="D118" s="5"/>
      <c r="E118" s="1"/>
      <c r="F118" s="1"/>
      <c r="G118" s="1"/>
      <c r="H118" s="1"/>
      <c r="I118" s="1"/>
      <c r="J118" s="1"/>
      <c r="K118" s="1"/>
    </row>
    <row r="119" spans="1:11" ht="15" x14ac:dyDescent="0.25">
      <c r="A119" s="1"/>
      <c r="B119" s="1"/>
      <c r="C119" s="1"/>
      <c r="D119" s="1"/>
      <c r="E119" s="1"/>
      <c r="F119" s="1"/>
      <c r="G119" s="1"/>
      <c r="H119" s="1"/>
      <c r="I119" s="1"/>
      <c r="J119" s="1"/>
      <c r="K119" s="1"/>
    </row>
    <row r="120" spans="1:11" ht="16.5" x14ac:dyDescent="0.3">
      <c r="A120" s="1" t="s">
        <v>23</v>
      </c>
      <c r="B120" s="1"/>
      <c r="C120" s="48" t="s">
        <v>306</v>
      </c>
      <c r="D120" s="103" t="e">
        <f>$C$112/$B$118</f>
        <v>#DIV/0!</v>
      </c>
      <c r="E120" s="1"/>
      <c r="F120" s="1"/>
      <c r="G120" s="1"/>
      <c r="H120" s="1"/>
      <c r="I120" s="1"/>
      <c r="J120" s="1"/>
      <c r="K120" s="1"/>
    </row>
    <row r="121" spans="1:11" ht="15" x14ac:dyDescent="0.25">
      <c r="A121" s="1"/>
      <c r="B121" s="1"/>
      <c r="C121" s="1"/>
      <c r="D121" s="1"/>
      <c r="E121" s="1"/>
      <c r="F121" s="1"/>
      <c r="G121" s="1"/>
      <c r="H121" s="1"/>
      <c r="I121" s="1"/>
      <c r="J121" s="1"/>
      <c r="K121" s="1"/>
    </row>
    <row r="122" spans="1:11" ht="15" x14ac:dyDescent="0.25">
      <c r="A122" s="1" t="s">
        <v>259</v>
      </c>
      <c r="B122" s="102"/>
      <c r="C122" s="102"/>
      <c r="D122" s="102"/>
      <c r="E122" s="102"/>
      <c r="F122" s="1"/>
      <c r="G122" s="1"/>
      <c r="H122" s="1"/>
      <c r="I122" s="1"/>
      <c r="J122" s="1"/>
      <c r="K122" s="1"/>
    </row>
    <row r="123" spans="1:11" ht="15" x14ac:dyDescent="0.25">
      <c r="A123" s="1"/>
      <c r="B123" s="1"/>
      <c r="C123" s="1"/>
      <c r="D123" s="1"/>
      <c r="E123" s="1"/>
      <c r="F123" s="1"/>
      <c r="G123" s="1"/>
      <c r="H123" s="1"/>
      <c r="I123" s="1"/>
      <c r="J123" s="1"/>
      <c r="K123" s="1"/>
    </row>
    <row r="124" spans="1:11" ht="16.5" x14ac:dyDescent="0.3">
      <c r="A124" s="151" t="s">
        <v>307</v>
      </c>
      <c r="B124" s="151"/>
      <c r="C124" s="151"/>
      <c r="D124" s="103" t="e">
        <f>(($C$112+$C$103)/($B$118+$D$98))</f>
        <v>#DIV/0!</v>
      </c>
      <c r="E124" s="1"/>
      <c r="F124" s="1"/>
      <c r="G124" s="1"/>
      <c r="H124" s="1"/>
      <c r="I124" s="1"/>
      <c r="J124" s="1"/>
      <c r="K124" s="1"/>
    </row>
    <row r="125" spans="1:11" ht="15" x14ac:dyDescent="0.25">
      <c r="A125" s="1" t="s">
        <v>34</v>
      </c>
      <c r="B125" s="1"/>
      <c r="C125" s="1"/>
      <c r="D125" s="1"/>
      <c r="E125" s="1"/>
      <c r="F125" s="1"/>
      <c r="G125" s="1"/>
      <c r="H125" s="1"/>
      <c r="I125" s="1"/>
      <c r="J125" s="1"/>
      <c r="K125" s="1"/>
    </row>
    <row r="126" spans="1:11" ht="15" x14ac:dyDescent="0.25">
      <c r="A126" s="1"/>
      <c r="B126" s="1"/>
      <c r="C126" s="1"/>
      <c r="D126" s="1"/>
      <c r="E126" s="1"/>
      <c r="F126" s="1"/>
      <c r="G126" s="1"/>
      <c r="H126" s="1"/>
      <c r="I126" s="1"/>
      <c r="J126" s="1"/>
      <c r="K126" s="1"/>
    </row>
    <row r="127" spans="1:11" ht="15" x14ac:dyDescent="0.25">
      <c r="A127" s="1" t="s">
        <v>394</v>
      </c>
      <c r="B127" s="1"/>
      <c r="C127" s="1"/>
      <c r="D127" s="1"/>
      <c r="E127" s="1"/>
      <c r="F127" s="1"/>
      <c r="G127" s="1"/>
      <c r="H127" s="1"/>
      <c r="I127" s="1"/>
      <c r="J127" s="1"/>
      <c r="K127" s="1"/>
    </row>
    <row r="128" spans="1:11" ht="15" x14ac:dyDescent="0.25">
      <c r="A128" s="1" t="s">
        <v>41</v>
      </c>
      <c r="B128" s="1"/>
      <c r="C128" s="1"/>
      <c r="D128" s="1"/>
      <c r="E128" s="1"/>
      <c r="F128" s="1"/>
      <c r="G128" s="1"/>
      <c r="H128" s="1"/>
      <c r="I128" s="1"/>
      <c r="J128" s="1"/>
      <c r="K128" s="1"/>
    </row>
    <row r="129" spans="1:11" ht="15" x14ac:dyDescent="0.25">
      <c r="A129" s="1" t="s">
        <v>395</v>
      </c>
      <c r="B129" s="1"/>
      <c r="C129" s="1"/>
      <c r="D129" s="1"/>
      <c r="E129" s="1"/>
      <c r="F129" s="1"/>
      <c r="G129" s="1"/>
      <c r="H129" s="1"/>
      <c r="I129" s="1"/>
      <c r="J129" s="1"/>
      <c r="K129" s="1"/>
    </row>
    <row r="130" spans="1:11" ht="15" x14ac:dyDescent="0.25">
      <c r="A130" s="1"/>
      <c r="B130" s="1"/>
      <c r="C130" s="1"/>
      <c r="D130" s="1"/>
      <c r="E130" s="1"/>
      <c r="F130" s="1"/>
      <c r="G130" s="1"/>
      <c r="H130" s="1"/>
      <c r="I130" s="1"/>
      <c r="J130" s="1"/>
      <c r="K130" s="1"/>
    </row>
    <row r="131" spans="1:11" ht="15" x14ac:dyDescent="0.25">
      <c r="A131" s="2" t="s">
        <v>308</v>
      </c>
      <c r="B131" s="1"/>
      <c r="C131" s="1"/>
      <c r="D131" s="1"/>
      <c r="E131" s="1" t="s">
        <v>400</v>
      </c>
      <c r="F131" s="1"/>
      <c r="G131" s="1"/>
      <c r="H131" s="1"/>
      <c r="I131" s="1"/>
      <c r="J131" s="1"/>
      <c r="K131" s="1"/>
    </row>
    <row r="132" spans="1:11" ht="15" x14ac:dyDescent="0.25">
      <c r="A132" s="3" t="s">
        <v>263</v>
      </c>
      <c r="B132" s="1"/>
      <c r="C132" s="1"/>
      <c r="D132" s="1"/>
      <c r="E132" s="1"/>
      <c r="F132" s="1"/>
      <c r="G132" s="1"/>
      <c r="H132" s="1"/>
      <c r="I132" s="1"/>
      <c r="J132" s="1"/>
      <c r="K132" s="1"/>
    </row>
    <row r="133" spans="1:11" ht="15" x14ac:dyDescent="0.25">
      <c r="A133" s="1"/>
      <c r="B133" s="1"/>
      <c r="C133" s="1"/>
      <c r="D133" s="1"/>
      <c r="E133" s="1"/>
      <c r="F133" s="1"/>
      <c r="G133" s="1"/>
      <c r="H133" s="1"/>
      <c r="I133" s="1"/>
      <c r="J133" s="1"/>
      <c r="K133" s="1"/>
    </row>
    <row r="134" spans="1:11" ht="15" x14ac:dyDescent="0.25">
      <c r="A134" s="1" t="s">
        <v>24</v>
      </c>
      <c r="B134" s="1"/>
      <c r="C134" s="1"/>
      <c r="D134" s="1"/>
      <c r="E134" s="1"/>
      <c r="F134" s="1"/>
      <c r="G134" s="1"/>
      <c r="H134" s="1"/>
      <c r="I134" s="1"/>
      <c r="J134" s="1"/>
      <c r="K134" s="1"/>
    </row>
    <row r="135" spans="1:11" ht="16.5" x14ac:dyDescent="0.3">
      <c r="A135" s="151" t="s">
        <v>309</v>
      </c>
      <c r="B135" s="151"/>
      <c r="C135" s="103" t="e">
        <f>$B$118+$C$103</f>
        <v>#DIV/0!</v>
      </c>
      <c r="D135" s="1" t="s">
        <v>273</v>
      </c>
      <c r="E135" s="1"/>
      <c r="F135" s="1"/>
      <c r="G135" s="1"/>
      <c r="H135" s="1"/>
      <c r="I135" s="1"/>
      <c r="J135" s="1"/>
      <c r="K135" s="1"/>
    </row>
    <row r="136" spans="1:11" ht="15" x14ac:dyDescent="0.25">
      <c r="A136" s="1"/>
      <c r="B136" s="1"/>
      <c r="C136" s="1"/>
      <c r="D136" s="1"/>
      <c r="E136" s="1"/>
      <c r="F136" s="1"/>
      <c r="G136" s="1"/>
      <c r="H136" s="1"/>
      <c r="I136" s="1"/>
      <c r="J136" s="1"/>
      <c r="K136" s="1"/>
    </row>
    <row r="137" spans="1:11" ht="16.5" x14ac:dyDescent="0.3">
      <c r="A137" s="151" t="s">
        <v>310</v>
      </c>
      <c r="B137" s="151"/>
      <c r="C137" s="151"/>
      <c r="D137" s="103">
        <f>$E$47*((100-$C$27)/100)</f>
        <v>0</v>
      </c>
      <c r="E137" s="1" t="s">
        <v>273</v>
      </c>
      <c r="F137" s="1"/>
      <c r="G137" s="1"/>
      <c r="H137" s="1"/>
      <c r="I137" s="1"/>
      <c r="J137" s="1"/>
      <c r="K137" s="1"/>
    </row>
    <row r="138" spans="1:11" ht="15" x14ac:dyDescent="0.25">
      <c r="A138" s="1" t="s">
        <v>0</v>
      </c>
      <c r="B138" s="1"/>
      <c r="C138" s="1"/>
      <c r="D138" s="1"/>
      <c r="E138" s="1"/>
      <c r="F138" s="1"/>
      <c r="G138" s="1"/>
      <c r="H138" s="1"/>
      <c r="I138" s="1"/>
      <c r="J138" s="1"/>
      <c r="K138" s="1"/>
    </row>
    <row r="139" spans="1:11" ht="16.5" x14ac:dyDescent="0.3">
      <c r="A139" s="1" t="s">
        <v>281</v>
      </c>
      <c r="B139" s="1"/>
      <c r="C139" s="1"/>
      <c r="D139" s="1"/>
      <c r="E139" s="1"/>
      <c r="F139" s="1"/>
      <c r="G139" s="1"/>
      <c r="H139" s="1"/>
      <c r="I139" s="1"/>
      <c r="J139" s="1"/>
      <c r="K139" s="1"/>
    </row>
    <row r="140" spans="1:11" ht="16.5" x14ac:dyDescent="0.3">
      <c r="A140" s="1" t="s">
        <v>282</v>
      </c>
      <c r="B140" s="1"/>
      <c r="C140" s="1"/>
      <c r="D140" s="1"/>
      <c r="E140" s="1"/>
      <c r="F140" s="1"/>
      <c r="G140" s="1"/>
      <c r="H140" s="1"/>
      <c r="I140" s="1"/>
      <c r="J140" s="1"/>
      <c r="K140" s="1"/>
    </row>
    <row r="141" spans="1:11" ht="16.5" x14ac:dyDescent="0.3">
      <c r="A141" s="1" t="s">
        <v>311</v>
      </c>
      <c r="B141" s="1"/>
      <c r="C141" s="1"/>
      <c r="D141" s="1"/>
      <c r="E141" s="1"/>
      <c r="F141" s="1"/>
      <c r="G141" s="1"/>
      <c r="H141" s="1"/>
      <c r="I141" s="1"/>
      <c r="J141" s="1"/>
      <c r="K141" s="1"/>
    </row>
    <row r="142" spans="1:11" ht="15" x14ac:dyDescent="0.25">
      <c r="A142" s="102"/>
      <c r="B142" s="102"/>
      <c r="C142" s="102"/>
      <c r="D142" s="102"/>
      <c r="E142" s="102"/>
      <c r="F142" s="1"/>
      <c r="G142" s="1"/>
      <c r="H142" s="1"/>
      <c r="I142" s="1"/>
      <c r="J142" s="1"/>
      <c r="K142" s="1"/>
    </row>
    <row r="143" spans="1:11" ht="15" x14ac:dyDescent="0.25">
      <c r="A143" s="1" t="s">
        <v>30</v>
      </c>
      <c r="B143" s="102"/>
      <c r="C143" s="102"/>
      <c r="D143" s="102"/>
      <c r="E143" s="102"/>
      <c r="F143" s="1"/>
      <c r="G143" s="1"/>
      <c r="H143" s="1"/>
      <c r="I143" s="1"/>
      <c r="J143" s="1"/>
      <c r="K143" s="1"/>
    </row>
    <row r="144" spans="1:11" ht="15" x14ac:dyDescent="0.25">
      <c r="A144" s="1"/>
      <c r="B144" s="102"/>
      <c r="C144" s="102"/>
      <c r="D144" s="102"/>
      <c r="E144" s="102"/>
      <c r="F144" s="1"/>
      <c r="G144" s="1"/>
      <c r="H144" s="1"/>
      <c r="I144" s="1"/>
      <c r="J144" s="1"/>
      <c r="K144" s="1"/>
    </row>
    <row r="145" spans="1:11" ht="16.5" x14ac:dyDescent="0.3">
      <c r="A145" s="1" t="s">
        <v>312</v>
      </c>
      <c r="B145" s="102"/>
      <c r="C145" s="102"/>
      <c r="D145" s="103" t="e">
        <f>($B$118/$D$137)*100</f>
        <v>#DIV/0!</v>
      </c>
      <c r="E145" s="1" t="s">
        <v>8</v>
      </c>
      <c r="F145" s="1"/>
      <c r="G145" s="1"/>
      <c r="H145" s="1"/>
      <c r="I145" s="1"/>
      <c r="J145" s="1"/>
      <c r="K145" s="1"/>
    </row>
    <row r="146" spans="1:11" ht="15" x14ac:dyDescent="0.25">
      <c r="A146" s="1"/>
      <c r="B146" s="1"/>
      <c r="C146" s="1"/>
      <c r="D146" s="1"/>
      <c r="E146" s="1"/>
      <c r="F146" s="1"/>
      <c r="G146" s="1"/>
      <c r="H146" s="1"/>
      <c r="I146" s="1"/>
      <c r="J146" s="1"/>
      <c r="K146" s="1"/>
    </row>
    <row r="147" spans="1:11" ht="15" x14ac:dyDescent="0.25">
      <c r="A147" s="104" t="s">
        <v>53</v>
      </c>
      <c r="B147" s="102"/>
      <c r="C147" s="102"/>
      <c r="D147" s="102"/>
      <c r="E147" s="102"/>
      <c r="F147" s="102"/>
      <c r="G147" s="1"/>
      <c r="H147" s="1"/>
      <c r="I147" s="1"/>
      <c r="J147" s="1"/>
      <c r="K147" s="1"/>
    </row>
    <row r="148" spans="1:11" ht="15" x14ac:dyDescent="0.25">
      <c r="A148" s="1"/>
      <c r="B148" s="1"/>
      <c r="C148" s="1"/>
      <c r="D148" s="1"/>
      <c r="E148" s="1"/>
      <c r="F148" s="1"/>
      <c r="G148" s="1"/>
      <c r="H148" s="1"/>
      <c r="I148" s="1"/>
      <c r="J148" s="1"/>
      <c r="K148" s="1"/>
    </row>
    <row r="149" spans="1:11" ht="16.5" x14ac:dyDescent="0.3">
      <c r="A149" s="1" t="s">
        <v>313</v>
      </c>
      <c r="B149" s="1"/>
      <c r="C149" s="1"/>
      <c r="D149" s="103" t="e">
        <f>((C$112+$C$103)/(AVERAGE(25,40))-($B$118+$D$98))</f>
        <v>#DIV/0!</v>
      </c>
      <c r="E149" s="1" t="s">
        <v>273</v>
      </c>
      <c r="F149" s="1"/>
      <c r="G149" s="1"/>
      <c r="H149" s="1"/>
      <c r="I149" s="1"/>
      <c r="J149" s="1"/>
      <c r="K149" s="1"/>
    </row>
    <row r="150" spans="1:11" ht="15" x14ac:dyDescent="0.25">
      <c r="A150" s="1" t="s">
        <v>0</v>
      </c>
      <c r="B150" s="1"/>
      <c r="C150" s="1"/>
      <c r="D150" s="1"/>
      <c r="E150" s="1"/>
      <c r="F150" s="1"/>
      <c r="G150" s="1"/>
      <c r="H150" s="1"/>
      <c r="I150" s="1"/>
      <c r="J150" s="1"/>
      <c r="K150" s="1"/>
    </row>
    <row r="151" spans="1:11" ht="16.5" x14ac:dyDescent="0.3">
      <c r="A151" s="1" t="s">
        <v>314</v>
      </c>
      <c r="B151" s="1"/>
      <c r="C151" s="1"/>
      <c r="D151" s="1"/>
      <c r="E151" s="1"/>
      <c r="F151" s="1"/>
      <c r="G151" s="1"/>
      <c r="H151" s="1"/>
      <c r="I151" s="1"/>
      <c r="J151" s="1"/>
      <c r="K151" s="1"/>
    </row>
    <row r="152" spans="1:11" ht="16.5" x14ac:dyDescent="0.3">
      <c r="A152" s="1" t="s">
        <v>315</v>
      </c>
      <c r="B152" s="1"/>
      <c r="C152" s="1"/>
      <c r="D152" s="1"/>
      <c r="E152" s="1"/>
      <c r="F152" s="1"/>
      <c r="G152" s="1"/>
      <c r="H152" s="1"/>
      <c r="I152" s="1"/>
      <c r="J152" s="1"/>
      <c r="K152" s="1"/>
    </row>
    <row r="153" spans="1:11" ht="16.5" x14ac:dyDescent="0.3">
      <c r="A153" s="1" t="s">
        <v>316</v>
      </c>
      <c r="B153" s="1"/>
      <c r="C153" s="1"/>
      <c r="D153" s="1"/>
      <c r="E153" s="1"/>
      <c r="F153" s="1"/>
      <c r="G153" s="1"/>
      <c r="H153" s="1"/>
      <c r="I153" s="1"/>
      <c r="J153" s="1"/>
      <c r="K153" s="1"/>
    </row>
    <row r="154" spans="1:11" ht="16.5" x14ac:dyDescent="0.3">
      <c r="A154" s="1" t="s">
        <v>317</v>
      </c>
      <c r="B154" s="1"/>
      <c r="C154" s="1"/>
      <c r="D154" s="1"/>
      <c r="E154" s="1"/>
      <c r="F154" s="1"/>
      <c r="G154" s="1"/>
      <c r="H154" s="1"/>
      <c r="I154" s="1"/>
      <c r="J154" s="1"/>
      <c r="K154" s="1"/>
    </row>
    <row r="155" spans="1:11" ht="16.5" x14ac:dyDescent="0.3">
      <c r="A155" s="1" t="s">
        <v>318</v>
      </c>
      <c r="B155" s="1"/>
      <c r="C155" s="1"/>
      <c r="D155" s="1"/>
      <c r="E155" s="1"/>
      <c r="F155" s="1"/>
      <c r="G155" s="1"/>
      <c r="H155" s="1"/>
      <c r="I155" s="1"/>
      <c r="J155" s="1"/>
      <c r="K155" s="1"/>
    </row>
    <row r="156" spans="1:11" ht="16.5" x14ac:dyDescent="0.3">
      <c r="A156" s="1" t="s">
        <v>319</v>
      </c>
      <c r="B156" s="1"/>
      <c r="C156" s="1"/>
      <c r="D156" s="1"/>
      <c r="E156" s="1"/>
      <c r="F156" s="1"/>
      <c r="G156" s="1"/>
      <c r="H156" s="1"/>
      <c r="I156" s="1"/>
      <c r="J156" s="1"/>
      <c r="K156" s="1"/>
    </row>
    <row r="157" spans="1:11" ht="15" x14ac:dyDescent="0.25">
      <c r="A157" s="1" t="s">
        <v>35</v>
      </c>
      <c r="B157" s="1"/>
      <c r="C157" s="1"/>
      <c r="D157" s="1"/>
      <c r="E157" s="1"/>
      <c r="F157" s="1"/>
      <c r="G157" s="1"/>
      <c r="H157" s="1"/>
      <c r="I157" s="1"/>
      <c r="J157" s="1"/>
      <c r="K157" s="1"/>
    </row>
    <row r="158" spans="1:11" ht="15" x14ac:dyDescent="0.25">
      <c r="A158" s="102"/>
      <c r="B158" s="1"/>
      <c r="C158" s="1"/>
      <c r="D158" s="1"/>
      <c r="E158" s="1"/>
      <c r="F158" s="1"/>
      <c r="G158" s="1"/>
      <c r="H158" s="1"/>
      <c r="I158" s="1"/>
      <c r="J158" s="1"/>
      <c r="K158" s="1"/>
    </row>
    <row r="159" spans="1:11" ht="15" x14ac:dyDescent="0.25">
      <c r="A159" s="104" t="s">
        <v>25</v>
      </c>
      <c r="B159" s="104"/>
      <c r="C159" s="104"/>
      <c r="D159" s="104"/>
      <c r="E159" s="104"/>
      <c r="F159" s="104"/>
      <c r="G159" s="1"/>
      <c r="H159" s="1"/>
      <c r="I159" s="1"/>
      <c r="J159" s="1"/>
      <c r="K159" s="1"/>
    </row>
    <row r="160" spans="1:11" ht="15" x14ac:dyDescent="0.25">
      <c r="A160" s="104"/>
      <c r="B160" s="104"/>
      <c r="C160" s="104"/>
      <c r="D160" s="104"/>
      <c r="E160" s="104"/>
      <c r="F160" s="104"/>
      <c r="G160" s="1"/>
      <c r="H160" s="1"/>
      <c r="I160" s="1"/>
      <c r="J160" s="1"/>
      <c r="K160" s="1"/>
    </row>
    <row r="161" spans="1:11" ht="15" x14ac:dyDescent="0.25">
      <c r="A161" s="6" t="s">
        <v>260</v>
      </c>
      <c r="B161" s="6"/>
      <c r="C161" s="6"/>
      <c r="D161" s="6"/>
      <c r="E161" s="104"/>
      <c r="F161" s="104"/>
      <c r="G161" s="1"/>
      <c r="H161" s="1"/>
      <c r="I161" s="1"/>
      <c r="J161" s="1"/>
      <c r="K161" s="1"/>
    </row>
    <row r="162" spans="1:11" ht="15" x14ac:dyDescent="0.25">
      <c r="A162" s="6" t="s">
        <v>26</v>
      </c>
      <c r="B162" s="6"/>
      <c r="C162" s="6"/>
      <c r="D162" s="6"/>
      <c r="E162" s="105">
        <f>$F$43+E$47</f>
        <v>0</v>
      </c>
      <c r="F162" s="104" t="s">
        <v>273</v>
      </c>
      <c r="G162" s="1"/>
      <c r="H162" s="1"/>
      <c r="I162" s="1"/>
      <c r="J162" s="1"/>
      <c r="K162" s="1"/>
    </row>
    <row r="163" spans="1:11" ht="15" x14ac:dyDescent="0.25">
      <c r="A163" s="6"/>
      <c r="B163" s="6"/>
      <c r="C163" s="6"/>
      <c r="D163" s="6"/>
      <c r="E163" s="104"/>
      <c r="F163" s="104"/>
      <c r="G163" s="1"/>
      <c r="H163" s="1"/>
      <c r="I163" s="1"/>
      <c r="J163" s="1"/>
      <c r="K163" s="1"/>
    </row>
    <row r="164" spans="1:11" ht="15" x14ac:dyDescent="0.25">
      <c r="A164" s="153" t="s">
        <v>27</v>
      </c>
      <c r="B164" s="153"/>
      <c r="C164" s="153"/>
      <c r="D164" s="153"/>
      <c r="E164" s="106" t="e">
        <f>$D$149</f>
        <v>#DIV/0!</v>
      </c>
      <c r="F164" s="104" t="s">
        <v>273</v>
      </c>
      <c r="G164" s="1"/>
      <c r="H164" s="1"/>
      <c r="I164" s="1"/>
      <c r="J164" s="1"/>
      <c r="K164" s="1"/>
    </row>
    <row r="165" spans="1:11" ht="15" x14ac:dyDescent="0.25">
      <c r="A165" s="107"/>
      <c r="B165" s="107"/>
      <c r="C165" s="107"/>
      <c r="D165" s="107"/>
      <c r="E165" s="104"/>
      <c r="F165" s="104"/>
      <c r="G165" s="1"/>
      <c r="H165" s="1"/>
      <c r="I165" s="1"/>
      <c r="J165" s="1"/>
      <c r="K165" s="1"/>
    </row>
    <row r="166" spans="1:11" ht="15" x14ac:dyDescent="0.25">
      <c r="A166" s="108" t="s">
        <v>43</v>
      </c>
      <c r="B166" s="109"/>
      <c r="C166" s="109"/>
      <c r="D166" s="109"/>
      <c r="E166" s="6"/>
      <c r="F166" s="6"/>
      <c r="G166" s="1"/>
      <c r="H166" s="1"/>
      <c r="I166" s="1"/>
      <c r="J166" s="1"/>
      <c r="K166" s="1"/>
    </row>
    <row r="167" spans="1:11" ht="15" x14ac:dyDescent="0.25">
      <c r="A167" s="108" t="s">
        <v>36</v>
      </c>
      <c r="B167" s="109"/>
      <c r="C167" s="109"/>
      <c r="D167" s="109"/>
      <c r="E167" s="6"/>
      <c r="F167" s="6"/>
      <c r="G167" s="1"/>
      <c r="H167" s="1"/>
      <c r="I167" s="1"/>
      <c r="J167" s="1"/>
      <c r="K167" s="1"/>
    </row>
    <row r="168" spans="1:11" ht="15" x14ac:dyDescent="0.25">
      <c r="A168" s="2" t="s">
        <v>28</v>
      </c>
      <c r="B168" s="2"/>
      <c r="C168" s="2"/>
      <c r="D168" s="2"/>
      <c r="E168" s="2"/>
      <c r="F168" s="2"/>
      <c r="G168" s="1"/>
      <c r="H168" s="1"/>
      <c r="I168" s="1"/>
      <c r="J168" s="1"/>
      <c r="K168" s="1"/>
    </row>
    <row r="169" spans="1:11" ht="15" x14ac:dyDescent="0.25">
      <c r="A169" s="1"/>
      <c r="B169" s="1"/>
      <c r="C169" s="1"/>
      <c r="D169" s="1"/>
      <c r="E169" s="1"/>
      <c r="F169" s="1"/>
      <c r="G169" s="1"/>
      <c r="H169" s="1"/>
      <c r="I169" s="1"/>
      <c r="J169" s="1"/>
      <c r="K169" s="1"/>
    </row>
    <row r="170" spans="1:11" ht="15" x14ac:dyDescent="0.25">
      <c r="A170" s="4" t="s">
        <v>2</v>
      </c>
      <c r="B170" s="4"/>
      <c r="C170" s="4"/>
      <c r="D170" s="4"/>
      <c r="E170" s="4"/>
      <c r="F170" s="1"/>
      <c r="G170" s="1"/>
      <c r="H170" s="1"/>
      <c r="I170" s="1"/>
      <c r="J170" s="1"/>
      <c r="K170" s="1"/>
    </row>
    <row r="171" spans="1:11" ht="15" x14ac:dyDescent="0.25">
      <c r="A171" s="4" t="s">
        <v>3</v>
      </c>
      <c r="B171" s="4"/>
      <c r="C171" s="4"/>
      <c r="D171" s="4"/>
      <c r="E171" s="4"/>
      <c r="F171" s="1"/>
      <c r="G171" s="1"/>
      <c r="H171" s="1"/>
      <c r="I171" s="1"/>
      <c r="J171" s="1"/>
      <c r="K171" s="1"/>
    </row>
    <row r="172" spans="1:11" ht="15" x14ac:dyDescent="0.25">
      <c r="A172" s="6" t="s">
        <v>46</v>
      </c>
      <c r="B172" s="1"/>
      <c r="C172" s="1"/>
      <c r="D172" s="1"/>
      <c r="E172" s="1"/>
      <c r="F172" s="1"/>
      <c r="G172" s="1"/>
      <c r="H172" s="1"/>
      <c r="I172" s="1"/>
      <c r="J172" s="1"/>
      <c r="K172" s="1"/>
    </row>
    <row r="173" spans="1:11" ht="15" x14ac:dyDescent="0.25">
      <c r="A173" s="6"/>
      <c r="B173" s="1"/>
      <c r="C173" s="1"/>
      <c r="D173" s="1"/>
      <c r="E173" s="1"/>
      <c r="F173" s="1"/>
      <c r="G173" s="1"/>
      <c r="H173" s="1"/>
      <c r="I173" s="1"/>
      <c r="J173" s="1"/>
      <c r="K173" s="1"/>
    </row>
    <row r="174" spans="1:11" ht="15" x14ac:dyDescent="0.25">
      <c r="A174" s="94"/>
      <c r="B174" s="1" t="s">
        <v>64</v>
      </c>
      <c r="C174" s="1"/>
      <c r="D174" s="1"/>
      <c r="E174" s="1"/>
      <c r="F174" s="1"/>
      <c r="G174" s="1"/>
      <c r="H174" s="1"/>
      <c r="I174" s="1"/>
      <c r="J174" s="1"/>
      <c r="K174" s="1"/>
    </row>
    <row r="175" spans="1:11" ht="15" x14ac:dyDescent="0.25">
      <c r="A175" s="110"/>
      <c r="B175" s="1" t="s">
        <v>65</v>
      </c>
      <c r="C175" s="1"/>
      <c r="D175" s="1"/>
      <c r="E175" s="1"/>
      <c r="F175" s="1"/>
      <c r="G175" s="1"/>
      <c r="H175" s="1"/>
      <c r="I175" s="1"/>
      <c r="J175" s="1"/>
      <c r="K175" s="1"/>
    </row>
    <row r="176" spans="1:11" ht="15" x14ac:dyDescent="0.25">
      <c r="A176" s="111"/>
      <c r="B176" s="1" t="s">
        <v>66</v>
      </c>
      <c r="C176" s="1"/>
      <c r="D176" s="1"/>
      <c r="E176" s="1"/>
      <c r="F176" s="1"/>
      <c r="G176" s="1"/>
      <c r="H176" s="1"/>
      <c r="I176" s="1"/>
      <c r="J176" s="1"/>
      <c r="K176" s="1"/>
    </row>
  </sheetData>
  <mergeCells count="27">
    <mergeCell ref="A29:B29"/>
    <mergeCell ref="A49:D49"/>
    <mergeCell ref="A27:B27"/>
    <mergeCell ref="A31:B31"/>
    <mergeCell ref="A32:B32"/>
    <mergeCell ref="A47:D47"/>
    <mergeCell ref="A35:M36"/>
    <mergeCell ref="B2:C2"/>
    <mergeCell ref="B3:C3"/>
    <mergeCell ref="B4:C4"/>
    <mergeCell ref="B6:C6"/>
    <mergeCell ref="B5:C5"/>
    <mergeCell ref="A26:B26"/>
    <mergeCell ref="A164:D164"/>
    <mergeCell ref="A88:C88"/>
    <mergeCell ref="A98:C98"/>
    <mergeCell ref="A103:B103"/>
    <mergeCell ref="A109:D109"/>
    <mergeCell ref="A124:C124"/>
    <mergeCell ref="A135:B135"/>
    <mergeCell ref="A137:C137"/>
    <mergeCell ref="A112:B112"/>
    <mergeCell ref="B89:C89"/>
    <mergeCell ref="A50:B50"/>
    <mergeCell ref="A54:D54"/>
    <mergeCell ref="A67:C67"/>
    <mergeCell ref="A28:B28"/>
  </mergeCells>
  <pageMargins left="0.75" right="0.75" top="1" bottom="1" header="0.5" footer="0.5"/>
  <pageSetup scale="73" orientation="portrait" r:id="rId1"/>
  <headerFooter alignWithMargins="0"/>
  <rowBreaks count="3" manualBreakCount="3">
    <brk id="50" max="16383" man="1"/>
    <brk id="105" max="16383" man="1"/>
    <brk id="146" max="16383"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2"/>
  <sheetViews>
    <sheetView topLeftCell="A91" zoomScale="90" zoomScaleNormal="90" workbookViewId="0">
      <selection activeCell="K138" sqref="K138"/>
    </sheetView>
  </sheetViews>
  <sheetFormatPr defaultRowHeight="12.75" x14ac:dyDescent="0.2"/>
  <cols>
    <col min="1" max="1" width="25.28515625" customWidth="1"/>
    <col min="2" max="2" width="17.42578125" customWidth="1"/>
    <col min="3" max="3" width="14.28515625" customWidth="1"/>
    <col min="4" max="4" width="15.140625" customWidth="1"/>
    <col min="5" max="5" width="14.85546875" customWidth="1"/>
    <col min="6" max="6" width="15.28515625" customWidth="1"/>
    <col min="7" max="7" width="11.42578125" customWidth="1"/>
    <col min="10" max="10" width="25.42578125" customWidth="1"/>
  </cols>
  <sheetData>
    <row r="1" spans="1:7" x14ac:dyDescent="0.2">
      <c r="A1" s="159" t="s">
        <v>67</v>
      </c>
      <c r="B1" s="159"/>
      <c r="C1" s="159"/>
      <c r="D1" s="159"/>
      <c r="E1" s="159"/>
      <c r="F1" s="159"/>
      <c r="G1" s="159"/>
    </row>
    <row r="2" spans="1:7" x14ac:dyDescent="0.2">
      <c r="C2" s="9" t="s">
        <v>71</v>
      </c>
      <c r="D2" s="9" t="s">
        <v>72</v>
      </c>
    </row>
    <row r="3" spans="1:7" x14ac:dyDescent="0.2">
      <c r="A3" s="157" t="s">
        <v>70</v>
      </c>
      <c r="B3" s="157"/>
      <c r="C3" s="158" t="s">
        <v>68</v>
      </c>
      <c r="D3" s="158"/>
      <c r="E3" s="31"/>
      <c r="F3" s="31"/>
    </row>
    <row r="4" spans="1:7" x14ac:dyDescent="0.2">
      <c r="A4" s="157" t="s">
        <v>73</v>
      </c>
      <c r="B4" s="157"/>
      <c r="C4" s="30">
        <v>4.3</v>
      </c>
      <c r="D4" s="30">
        <v>6.5</v>
      </c>
      <c r="E4" s="28"/>
      <c r="F4" s="28"/>
    </row>
    <row r="5" spans="1:7" x14ac:dyDescent="0.2">
      <c r="A5" s="157" t="s">
        <v>74</v>
      </c>
      <c r="B5" s="157"/>
      <c r="C5" s="30">
        <v>4</v>
      </c>
      <c r="D5" s="30">
        <v>6</v>
      </c>
      <c r="E5" s="28"/>
      <c r="F5" s="28"/>
    </row>
    <row r="6" spans="1:7" x14ac:dyDescent="0.2">
      <c r="A6" s="157" t="s">
        <v>75</v>
      </c>
      <c r="B6" s="157"/>
      <c r="C6" s="30">
        <v>2.5</v>
      </c>
      <c r="D6" s="30">
        <v>7</v>
      </c>
      <c r="E6" s="28"/>
      <c r="F6" s="28"/>
    </row>
    <row r="7" spans="1:7" x14ac:dyDescent="0.2">
      <c r="A7" s="157" t="s">
        <v>76</v>
      </c>
      <c r="B7" s="157"/>
      <c r="C7" s="30">
        <v>9</v>
      </c>
      <c r="D7" s="30"/>
      <c r="E7" s="28"/>
      <c r="F7" s="28"/>
    </row>
    <row r="8" spans="1:7" x14ac:dyDescent="0.2">
      <c r="A8" s="157" t="s">
        <v>77</v>
      </c>
      <c r="B8" s="157"/>
      <c r="C8" s="30">
        <v>12</v>
      </c>
      <c r="D8" s="30"/>
      <c r="E8" s="28"/>
      <c r="F8" s="28"/>
    </row>
    <row r="9" spans="1:7" x14ac:dyDescent="0.2">
      <c r="A9" s="157" t="s">
        <v>78</v>
      </c>
      <c r="B9" s="157"/>
      <c r="C9" s="30">
        <v>75</v>
      </c>
      <c r="D9" s="30"/>
      <c r="E9" s="28"/>
      <c r="F9" s="28"/>
    </row>
    <row r="10" spans="1:7" x14ac:dyDescent="0.2">
      <c r="A10" s="157" t="s">
        <v>79</v>
      </c>
      <c r="B10" s="157"/>
      <c r="C10" s="30">
        <v>105</v>
      </c>
      <c r="D10" s="30"/>
      <c r="E10" s="28"/>
      <c r="F10" s="28"/>
    </row>
    <row r="11" spans="1:7" x14ac:dyDescent="0.2">
      <c r="A11" s="157" t="s">
        <v>80</v>
      </c>
      <c r="B11" s="157"/>
      <c r="C11" s="30">
        <v>95</v>
      </c>
      <c r="D11" s="30"/>
      <c r="E11" s="28"/>
      <c r="F11" s="28"/>
    </row>
    <row r="12" spans="1:7" x14ac:dyDescent="0.2">
      <c r="A12" t="s">
        <v>69</v>
      </c>
    </row>
    <row r="15" spans="1:7" x14ac:dyDescent="0.2">
      <c r="A15" t="s">
        <v>81</v>
      </c>
    </row>
    <row r="16" spans="1:7" x14ac:dyDescent="0.2">
      <c r="A16" t="s">
        <v>82</v>
      </c>
    </row>
    <row r="17" spans="1:6" x14ac:dyDescent="0.2">
      <c r="B17" s="162" t="s">
        <v>143</v>
      </c>
      <c r="C17" s="162"/>
      <c r="D17" s="9" t="s">
        <v>144</v>
      </c>
    </row>
    <row r="18" spans="1:6" x14ac:dyDescent="0.2">
      <c r="A18" s="30"/>
      <c r="B18" s="32" t="s">
        <v>86</v>
      </c>
      <c r="C18" s="32" t="s">
        <v>87</v>
      </c>
      <c r="D18" s="32" t="s">
        <v>88</v>
      </c>
      <c r="E18" s="32" t="s">
        <v>89</v>
      </c>
      <c r="F18" s="32" t="s">
        <v>90</v>
      </c>
    </row>
    <row r="19" spans="1:6" x14ac:dyDescent="0.2">
      <c r="A19" s="32" t="s">
        <v>83</v>
      </c>
      <c r="B19" s="32">
        <v>48</v>
      </c>
      <c r="C19" s="32" t="s">
        <v>84</v>
      </c>
      <c r="D19" s="33">
        <v>1.82</v>
      </c>
      <c r="E19" s="32">
        <v>0.34</v>
      </c>
      <c r="F19" s="32">
        <v>0.43</v>
      </c>
    </row>
    <row r="20" spans="1:6" x14ac:dyDescent="0.2">
      <c r="A20" s="33"/>
      <c r="B20" s="33"/>
      <c r="C20" s="32" t="s">
        <v>85</v>
      </c>
      <c r="D20" s="33">
        <v>0.75</v>
      </c>
      <c r="E20" s="33">
        <v>0.11</v>
      </c>
      <c r="F20" s="33">
        <v>1.25</v>
      </c>
    </row>
    <row r="21" spans="1:6" x14ac:dyDescent="0.2">
      <c r="A21" s="32" t="s">
        <v>91</v>
      </c>
      <c r="B21" s="33">
        <v>48</v>
      </c>
      <c r="C21" s="32" t="s">
        <v>92</v>
      </c>
      <c r="D21" s="33">
        <v>1.65</v>
      </c>
      <c r="E21" s="33">
        <v>0.31</v>
      </c>
      <c r="F21" s="33">
        <v>0.45</v>
      </c>
    </row>
    <row r="22" spans="1:6" x14ac:dyDescent="0.2">
      <c r="A22" s="33"/>
      <c r="B22" s="33"/>
      <c r="C22" s="32" t="s">
        <v>93</v>
      </c>
      <c r="D22" s="33">
        <v>0.78</v>
      </c>
      <c r="E22" s="33">
        <v>0.05</v>
      </c>
      <c r="F22" s="33">
        <v>2.2599999999999998</v>
      </c>
    </row>
    <row r="23" spans="1:6" x14ac:dyDescent="0.2">
      <c r="A23" s="32" t="s">
        <v>94</v>
      </c>
      <c r="B23" s="33">
        <v>56</v>
      </c>
      <c r="C23" s="32" t="s">
        <v>95</v>
      </c>
      <c r="D23" s="33">
        <v>1.61</v>
      </c>
      <c r="E23" s="33">
        <v>0.28000000000000003</v>
      </c>
      <c r="F23" s="33">
        <v>0.4</v>
      </c>
    </row>
    <row r="24" spans="1:6" x14ac:dyDescent="0.2">
      <c r="A24" s="33"/>
      <c r="B24" s="33"/>
      <c r="C24" s="32" t="s">
        <v>96</v>
      </c>
      <c r="D24" s="33">
        <v>1.1100000000000001</v>
      </c>
      <c r="E24" s="33">
        <v>0.2</v>
      </c>
      <c r="F24" s="33">
        <v>1.34</v>
      </c>
    </row>
    <row r="25" spans="1:6" x14ac:dyDescent="0.2">
      <c r="A25" s="32" t="s">
        <v>97</v>
      </c>
      <c r="B25" s="33">
        <v>32</v>
      </c>
      <c r="C25" s="32" t="s">
        <v>98</v>
      </c>
      <c r="D25" s="33">
        <v>1.95</v>
      </c>
      <c r="E25" s="33">
        <v>0.34</v>
      </c>
      <c r="F25" s="33">
        <v>0.49</v>
      </c>
    </row>
    <row r="26" spans="1:6" x14ac:dyDescent="0.2">
      <c r="A26" s="33"/>
      <c r="B26" s="33"/>
      <c r="C26" s="32" t="s">
        <v>99</v>
      </c>
      <c r="D26" s="33">
        <v>0.63</v>
      </c>
      <c r="E26" s="33">
        <v>0.16</v>
      </c>
      <c r="F26" s="33">
        <v>1.66</v>
      </c>
    </row>
    <row r="27" spans="1:6" x14ac:dyDescent="0.2">
      <c r="A27" s="32" t="s">
        <v>100</v>
      </c>
      <c r="B27" s="33">
        <v>45</v>
      </c>
      <c r="C27" s="32" t="s">
        <v>101</v>
      </c>
      <c r="D27" s="33">
        <v>1.39</v>
      </c>
      <c r="E27" s="33">
        <v>0.24</v>
      </c>
      <c r="F27" s="33">
        <v>0.23</v>
      </c>
    </row>
    <row r="28" spans="1:6" x14ac:dyDescent="0.2">
      <c r="A28" s="33"/>
      <c r="B28" s="33"/>
      <c r="C28" s="32" t="s">
        <v>102</v>
      </c>
      <c r="D28" s="33">
        <v>0.6</v>
      </c>
      <c r="E28" s="33">
        <v>0.09</v>
      </c>
      <c r="F28" s="33">
        <v>1.1599999999999999</v>
      </c>
    </row>
    <row r="29" spans="1:6" x14ac:dyDescent="0.2">
      <c r="A29" s="32" t="s">
        <v>103</v>
      </c>
      <c r="B29" s="33">
        <v>56</v>
      </c>
      <c r="C29" s="32" t="s">
        <v>92</v>
      </c>
      <c r="D29" s="33">
        <v>2.08</v>
      </c>
      <c r="E29" s="33">
        <v>0.26</v>
      </c>
      <c r="F29" s="33">
        <v>0.49</v>
      </c>
    </row>
    <row r="30" spans="1:6" x14ac:dyDescent="0.2">
      <c r="A30" s="33"/>
      <c r="B30" s="33"/>
      <c r="C30" s="32" t="s">
        <v>104</v>
      </c>
      <c r="D30" s="33">
        <v>0.5</v>
      </c>
      <c r="E30" s="33">
        <v>0.12</v>
      </c>
      <c r="F30" s="33">
        <v>0.69</v>
      </c>
    </row>
    <row r="31" spans="1:6" x14ac:dyDescent="0.2">
      <c r="A31" s="32" t="s">
        <v>105</v>
      </c>
      <c r="B31" s="33">
        <v>56</v>
      </c>
      <c r="C31" s="32" t="s">
        <v>106</v>
      </c>
      <c r="D31" s="33">
        <v>1.67</v>
      </c>
      <c r="E31" s="33">
        <v>0.36</v>
      </c>
      <c r="F31" s="33">
        <v>0.42</v>
      </c>
    </row>
    <row r="32" spans="1:6" x14ac:dyDescent="0.2">
      <c r="A32" s="33"/>
      <c r="B32" s="33"/>
      <c r="C32" s="32" t="s">
        <v>107</v>
      </c>
      <c r="D32" s="33">
        <v>1.08</v>
      </c>
      <c r="E32" s="33">
        <v>0.15</v>
      </c>
      <c r="F32" s="33">
        <v>1.31</v>
      </c>
    </row>
    <row r="33" spans="1:6" x14ac:dyDescent="0.2">
      <c r="A33" s="32" t="s">
        <v>108</v>
      </c>
      <c r="B33" s="33">
        <v>60</v>
      </c>
      <c r="C33" s="32" t="s">
        <v>109</v>
      </c>
      <c r="D33" s="33">
        <v>2.08</v>
      </c>
      <c r="E33" s="33">
        <v>0.62</v>
      </c>
      <c r="F33" s="33">
        <v>0.52</v>
      </c>
    </row>
    <row r="34" spans="1:6" x14ac:dyDescent="0.2">
      <c r="A34" s="33"/>
      <c r="B34" s="33"/>
      <c r="C34" s="32" t="s">
        <v>104</v>
      </c>
      <c r="D34" s="33">
        <v>0.67</v>
      </c>
      <c r="E34" s="33">
        <v>7.0000000000000007E-2</v>
      </c>
      <c r="F34" s="33">
        <v>0.97</v>
      </c>
    </row>
    <row r="35" spans="1:6" x14ac:dyDescent="0.2">
      <c r="A35" s="160" t="s">
        <v>110</v>
      </c>
      <c r="B35" s="161"/>
      <c r="C35" s="32" t="s">
        <v>111</v>
      </c>
      <c r="D35" s="33">
        <v>0.12</v>
      </c>
      <c r="E35" s="33">
        <v>0.02</v>
      </c>
      <c r="F35" s="33">
        <v>0.06</v>
      </c>
    </row>
    <row r="36" spans="1:6" x14ac:dyDescent="0.2">
      <c r="A36" s="33"/>
      <c r="B36" s="33"/>
      <c r="C36" s="32" t="s">
        <v>112</v>
      </c>
      <c r="D36" s="33">
        <v>0.12</v>
      </c>
      <c r="E36" s="33">
        <v>0.02</v>
      </c>
      <c r="F36" s="33">
        <v>0.06</v>
      </c>
    </row>
    <row r="37" spans="1:6" x14ac:dyDescent="0.2">
      <c r="A37" s="160" t="s">
        <v>113</v>
      </c>
      <c r="B37" s="161"/>
      <c r="C37" s="32" t="s">
        <v>114</v>
      </c>
      <c r="D37" s="33">
        <v>2.25</v>
      </c>
      <c r="E37" s="33">
        <v>0.22</v>
      </c>
      <c r="F37" s="33">
        <v>1.87</v>
      </c>
    </row>
    <row r="38" spans="1:6" x14ac:dyDescent="0.2">
      <c r="A38" s="160" t="s">
        <v>116</v>
      </c>
      <c r="B38" s="161"/>
      <c r="C38" s="32" t="s">
        <v>117</v>
      </c>
      <c r="D38" s="33">
        <v>1.25</v>
      </c>
      <c r="E38" s="33">
        <v>0.44</v>
      </c>
      <c r="F38" s="33">
        <v>1.89</v>
      </c>
    </row>
    <row r="39" spans="1:6" x14ac:dyDescent="0.2">
      <c r="A39" s="160" t="s">
        <v>118</v>
      </c>
      <c r="B39" s="161"/>
      <c r="C39" s="32" t="s">
        <v>119</v>
      </c>
      <c r="D39" s="33">
        <v>1.88</v>
      </c>
      <c r="E39" s="33">
        <v>0.19</v>
      </c>
      <c r="F39" s="33">
        <v>1.4</v>
      </c>
    </row>
    <row r="40" spans="1:6" x14ac:dyDescent="0.2">
      <c r="A40" s="160" t="s">
        <v>120</v>
      </c>
      <c r="B40" s="161"/>
      <c r="C40" s="32" t="s">
        <v>121</v>
      </c>
      <c r="D40" s="33">
        <v>1.47</v>
      </c>
      <c r="E40" s="33">
        <v>0.2</v>
      </c>
      <c r="F40" s="33">
        <v>2.16</v>
      </c>
    </row>
    <row r="41" spans="1:6" x14ac:dyDescent="0.2">
      <c r="A41" s="160" t="s">
        <v>122</v>
      </c>
      <c r="B41" s="161"/>
      <c r="C41" s="32" t="s">
        <v>117</v>
      </c>
      <c r="D41" s="33">
        <v>1.3</v>
      </c>
      <c r="E41" s="33">
        <v>0.47</v>
      </c>
      <c r="F41" s="33">
        <v>1.87</v>
      </c>
    </row>
    <row r="42" spans="1:6" x14ac:dyDescent="0.2">
      <c r="A42" s="160" t="s">
        <v>123</v>
      </c>
      <c r="B42" s="161"/>
      <c r="C42" s="32" t="s">
        <v>124</v>
      </c>
      <c r="D42" s="33">
        <v>0.82</v>
      </c>
      <c r="E42" s="33">
        <v>0.39</v>
      </c>
      <c r="F42" s="32">
        <v>1.59</v>
      </c>
    </row>
    <row r="43" spans="1:6" x14ac:dyDescent="0.2">
      <c r="A43" s="160" t="s">
        <v>125</v>
      </c>
      <c r="B43" s="161"/>
      <c r="C43" s="32" t="s">
        <v>126</v>
      </c>
      <c r="D43" s="33">
        <v>2</v>
      </c>
      <c r="E43" s="33">
        <v>0.22</v>
      </c>
      <c r="F43" s="32">
        <v>1.66</v>
      </c>
    </row>
    <row r="44" spans="1:6" x14ac:dyDescent="0.2">
      <c r="A44" s="160" t="s">
        <v>127</v>
      </c>
      <c r="B44" s="161"/>
      <c r="C44" s="32" t="s">
        <v>128</v>
      </c>
      <c r="D44" s="33">
        <v>1.67</v>
      </c>
      <c r="E44" s="33">
        <v>0.27</v>
      </c>
      <c r="F44" s="32">
        <v>1.42</v>
      </c>
    </row>
    <row r="45" spans="1:6" x14ac:dyDescent="0.2">
      <c r="A45" s="160" t="s">
        <v>129</v>
      </c>
      <c r="B45" s="161"/>
      <c r="C45" s="32" t="s">
        <v>130</v>
      </c>
      <c r="D45" s="33">
        <v>1.97</v>
      </c>
      <c r="E45" s="33">
        <v>0.2</v>
      </c>
      <c r="F45" s="32">
        <v>2</v>
      </c>
    </row>
    <row r="46" spans="1:6" x14ac:dyDescent="0.2">
      <c r="A46" s="160" t="s">
        <v>115</v>
      </c>
      <c r="B46" s="161"/>
      <c r="C46" s="33"/>
      <c r="D46" s="33">
        <v>0.75</v>
      </c>
      <c r="E46" s="33">
        <v>0.06</v>
      </c>
      <c r="F46" s="33">
        <v>0.46</v>
      </c>
    </row>
    <row r="47" spans="1:6" x14ac:dyDescent="0.2">
      <c r="A47" s="160" t="s">
        <v>131</v>
      </c>
      <c r="B47" s="161"/>
      <c r="C47" s="32" t="s">
        <v>132</v>
      </c>
      <c r="D47" s="33">
        <v>2.79</v>
      </c>
      <c r="E47" s="33">
        <v>0.33</v>
      </c>
      <c r="F47" s="33">
        <v>2.3199999999999998</v>
      </c>
    </row>
    <row r="48" spans="1:6" x14ac:dyDescent="0.2">
      <c r="A48" s="160" t="s">
        <v>133</v>
      </c>
      <c r="B48" s="161"/>
      <c r="C48" s="32" t="s">
        <v>134</v>
      </c>
      <c r="D48" s="33">
        <v>1.1000000000000001</v>
      </c>
      <c r="E48" s="33">
        <v>0.25</v>
      </c>
      <c r="F48" s="33">
        <v>1.0900000000000001</v>
      </c>
    </row>
    <row r="49" spans="1:6" x14ac:dyDescent="0.2">
      <c r="A49" s="160" t="s">
        <v>135</v>
      </c>
      <c r="B49" s="161"/>
      <c r="C49" s="32" t="s">
        <v>136</v>
      </c>
      <c r="D49" s="33">
        <v>1.44</v>
      </c>
      <c r="E49" s="33">
        <v>0.19</v>
      </c>
      <c r="F49" s="33">
        <v>1.02</v>
      </c>
    </row>
    <row r="50" spans="1:6" x14ac:dyDescent="0.2">
      <c r="A50" s="160" t="s">
        <v>137</v>
      </c>
      <c r="B50" s="161"/>
      <c r="C50" s="32" t="s">
        <v>138</v>
      </c>
      <c r="D50" s="33">
        <v>1.6</v>
      </c>
      <c r="E50" s="33">
        <v>0.28000000000000003</v>
      </c>
      <c r="F50" s="33">
        <v>0.94</v>
      </c>
    </row>
    <row r="51" spans="1:6" x14ac:dyDescent="0.2">
      <c r="A51" s="160" t="s">
        <v>139</v>
      </c>
      <c r="B51" s="161"/>
      <c r="C51" s="32" t="s">
        <v>132</v>
      </c>
      <c r="D51" s="33">
        <v>1.36</v>
      </c>
      <c r="E51" s="33">
        <v>0.16</v>
      </c>
      <c r="F51" s="33">
        <v>1.45</v>
      </c>
    </row>
    <row r="52" spans="1:6" x14ac:dyDescent="0.2">
      <c r="A52" s="160" t="s">
        <v>140</v>
      </c>
      <c r="B52" s="161"/>
      <c r="C52" s="32" t="s">
        <v>141</v>
      </c>
      <c r="D52" s="33">
        <v>0.16</v>
      </c>
      <c r="E52" s="33">
        <v>0.04</v>
      </c>
      <c r="F52" s="33">
        <v>0.37</v>
      </c>
    </row>
    <row r="53" spans="1:6" x14ac:dyDescent="0.2">
      <c r="A53" s="160" t="s">
        <v>118</v>
      </c>
      <c r="B53" s="161"/>
      <c r="C53" s="32" t="s">
        <v>142</v>
      </c>
      <c r="D53" s="33">
        <v>1.88</v>
      </c>
      <c r="E53" s="33">
        <v>0.19</v>
      </c>
      <c r="F53" s="33">
        <v>1.4</v>
      </c>
    </row>
    <row r="54" spans="1:6" x14ac:dyDescent="0.2">
      <c r="A54" s="35"/>
      <c r="B54" s="35"/>
      <c r="C54" s="35"/>
      <c r="D54" s="36"/>
      <c r="E54" s="36"/>
      <c r="F54" s="36"/>
    </row>
    <row r="55" spans="1:6" x14ac:dyDescent="0.2">
      <c r="A55" s="9" t="s">
        <v>147</v>
      </c>
    </row>
    <row r="56" spans="1:6" x14ac:dyDescent="0.2">
      <c r="A56" s="157" t="s">
        <v>70</v>
      </c>
      <c r="B56" s="157"/>
      <c r="C56" s="37" t="s">
        <v>145</v>
      </c>
    </row>
    <row r="57" spans="1:6" x14ac:dyDescent="0.2">
      <c r="A57" s="163" t="s">
        <v>148</v>
      </c>
      <c r="B57" s="163"/>
      <c r="C57" s="33">
        <v>20</v>
      </c>
    </row>
    <row r="58" spans="1:6" x14ac:dyDescent="0.2">
      <c r="A58" s="163" t="s">
        <v>149</v>
      </c>
      <c r="B58" s="163"/>
      <c r="C58" s="32">
        <v>15</v>
      </c>
    </row>
    <row r="59" spans="1:6" x14ac:dyDescent="0.2">
      <c r="A59" s="163" t="s">
        <v>150</v>
      </c>
      <c r="B59" s="163"/>
      <c r="C59" s="32">
        <v>120</v>
      </c>
    </row>
    <row r="60" spans="1:6" x14ac:dyDescent="0.2">
      <c r="A60" s="163" t="s">
        <v>151</v>
      </c>
      <c r="B60" s="163"/>
      <c r="C60" s="33">
        <v>300</v>
      </c>
    </row>
    <row r="61" spans="1:6" x14ac:dyDescent="0.2">
      <c r="A61" s="163" t="s">
        <v>152</v>
      </c>
      <c r="B61" s="163"/>
      <c r="C61" s="32">
        <v>25</v>
      </c>
    </row>
    <row r="62" spans="1:6" x14ac:dyDescent="0.2">
      <c r="A62" s="163" t="s">
        <v>153</v>
      </c>
      <c r="B62" s="163"/>
      <c r="C62" s="32">
        <v>12</v>
      </c>
    </row>
    <row r="63" spans="1:6" x14ac:dyDescent="0.2">
      <c r="A63" s="163" t="s">
        <v>154</v>
      </c>
      <c r="B63" s="163"/>
      <c r="C63" s="33">
        <v>15</v>
      </c>
    </row>
    <row r="64" spans="1:6" x14ac:dyDescent="0.2">
      <c r="A64" s="163" t="s">
        <v>155</v>
      </c>
      <c r="B64" s="163"/>
      <c r="C64" s="33">
        <v>40</v>
      </c>
    </row>
    <row r="65" spans="1:3" x14ac:dyDescent="0.2">
      <c r="A65" s="163" t="s">
        <v>156</v>
      </c>
      <c r="B65" s="163"/>
      <c r="C65" s="32">
        <v>19</v>
      </c>
    </row>
    <row r="66" spans="1:3" x14ac:dyDescent="0.2">
      <c r="A66" s="163" t="s">
        <v>157</v>
      </c>
      <c r="B66" s="163"/>
      <c r="C66" s="32">
        <v>45</v>
      </c>
    </row>
    <row r="67" spans="1:3" x14ac:dyDescent="0.2">
      <c r="A67" s="163" t="s">
        <v>158</v>
      </c>
      <c r="B67" s="163"/>
      <c r="C67" s="32">
        <v>45</v>
      </c>
    </row>
    <row r="68" spans="1:3" x14ac:dyDescent="0.2">
      <c r="A68" s="163" t="s">
        <v>159</v>
      </c>
      <c r="B68" s="163"/>
      <c r="C68" s="32">
        <v>60</v>
      </c>
    </row>
    <row r="69" spans="1:3" x14ac:dyDescent="0.2">
      <c r="A69" s="163" t="s">
        <v>160</v>
      </c>
      <c r="B69" s="163"/>
      <c r="C69" s="32">
        <v>450</v>
      </c>
    </row>
    <row r="70" spans="1:3" x14ac:dyDescent="0.2">
      <c r="A70" s="163" t="s">
        <v>161</v>
      </c>
      <c r="B70" s="163"/>
      <c r="C70" s="33">
        <v>173</v>
      </c>
    </row>
    <row r="71" spans="1:3" x14ac:dyDescent="0.2">
      <c r="A71" s="163" t="s">
        <v>162</v>
      </c>
      <c r="B71" s="163"/>
      <c r="C71" s="32">
        <v>7</v>
      </c>
    </row>
    <row r="72" spans="1:3" x14ac:dyDescent="0.2">
      <c r="A72" s="163" t="s">
        <v>163</v>
      </c>
      <c r="B72" s="163"/>
      <c r="C72" s="32">
        <v>8</v>
      </c>
    </row>
    <row r="73" spans="1:3" x14ac:dyDescent="0.2">
      <c r="A73" s="163" t="s">
        <v>164</v>
      </c>
      <c r="B73" s="163"/>
      <c r="C73" s="32">
        <v>15</v>
      </c>
    </row>
    <row r="74" spans="1:3" x14ac:dyDescent="0.2">
      <c r="A74" s="163" t="s">
        <v>165</v>
      </c>
      <c r="B74" s="163"/>
      <c r="C74" s="33">
        <v>20</v>
      </c>
    </row>
    <row r="75" spans="1:3" x14ac:dyDescent="0.2">
      <c r="A75" s="163" t="s">
        <v>166</v>
      </c>
      <c r="B75" s="163"/>
      <c r="C75" s="32">
        <v>512</v>
      </c>
    </row>
    <row r="76" spans="1:3" x14ac:dyDescent="0.2">
      <c r="A76" s="163" t="s">
        <v>167</v>
      </c>
      <c r="B76" s="163"/>
      <c r="C76" s="33">
        <v>19</v>
      </c>
    </row>
    <row r="77" spans="1:3" x14ac:dyDescent="0.2">
      <c r="A77" s="163" t="s">
        <v>168</v>
      </c>
      <c r="B77" s="163"/>
      <c r="C77" s="32">
        <v>15</v>
      </c>
    </row>
    <row r="78" spans="1:3" x14ac:dyDescent="0.2">
      <c r="A78" s="163" t="s">
        <v>75</v>
      </c>
      <c r="B78" s="163"/>
      <c r="C78" s="32">
        <v>60</v>
      </c>
    </row>
    <row r="79" spans="1:3" x14ac:dyDescent="0.2">
      <c r="A79" s="163" t="s">
        <v>169</v>
      </c>
      <c r="B79" s="163"/>
      <c r="C79" s="33">
        <v>50</v>
      </c>
    </row>
    <row r="80" spans="1:3" x14ac:dyDescent="0.2">
      <c r="A80" s="163" t="s">
        <v>170</v>
      </c>
      <c r="B80" s="163"/>
      <c r="C80" s="32">
        <v>25</v>
      </c>
    </row>
    <row r="81" spans="1:6" x14ac:dyDescent="0.2">
      <c r="A81" s="163" t="s">
        <v>171</v>
      </c>
      <c r="B81" s="163"/>
      <c r="C81" s="33">
        <v>19</v>
      </c>
    </row>
    <row r="82" spans="1:6" x14ac:dyDescent="0.2">
      <c r="A82" s="163" t="s">
        <v>172</v>
      </c>
      <c r="B82" s="163"/>
      <c r="C82" s="32">
        <v>200</v>
      </c>
    </row>
    <row r="83" spans="1:6" x14ac:dyDescent="0.2">
      <c r="A83" t="s">
        <v>146</v>
      </c>
    </row>
    <row r="85" spans="1:6" x14ac:dyDescent="0.2">
      <c r="A85" t="s">
        <v>179</v>
      </c>
    </row>
    <row r="86" spans="1:6" x14ac:dyDescent="0.2">
      <c r="A86" s="38" t="s">
        <v>70</v>
      </c>
      <c r="B86" s="32" t="s">
        <v>183</v>
      </c>
      <c r="C86" s="39" t="s">
        <v>184</v>
      </c>
      <c r="D86" s="39" t="s">
        <v>185</v>
      </c>
      <c r="E86" s="39" t="s">
        <v>175</v>
      </c>
      <c r="F86" s="40" t="s">
        <v>177</v>
      </c>
    </row>
    <row r="87" spans="1:6" x14ac:dyDescent="0.2">
      <c r="A87" s="30"/>
      <c r="B87" s="30"/>
      <c r="C87" s="39" t="s">
        <v>173</v>
      </c>
      <c r="D87" s="39" t="s">
        <v>174</v>
      </c>
      <c r="E87" s="39" t="s">
        <v>176</v>
      </c>
      <c r="F87" s="39" t="s">
        <v>178</v>
      </c>
    </row>
    <row r="88" spans="1:6" x14ac:dyDescent="0.2">
      <c r="A88" s="34" t="s">
        <v>186</v>
      </c>
      <c r="B88" s="32" t="s">
        <v>187</v>
      </c>
      <c r="C88" s="40">
        <v>1.4</v>
      </c>
      <c r="D88" s="39">
        <v>40</v>
      </c>
      <c r="E88" s="39">
        <v>80</v>
      </c>
      <c r="F88" s="39" t="s">
        <v>188</v>
      </c>
    </row>
    <row r="89" spans="1:6" x14ac:dyDescent="0.2">
      <c r="A89" s="34" t="s">
        <v>189</v>
      </c>
      <c r="B89" s="32" t="s">
        <v>190</v>
      </c>
      <c r="C89" s="40">
        <v>2.7</v>
      </c>
      <c r="D89" s="40">
        <v>19</v>
      </c>
      <c r="E89" s="40">
        <v>87</v>
      </c>
      <c r="F89" s="41">
        <v>1585</v>
      </c>
    </row>
    <row r="90" spans="1:6" x14ac:dyDescent="0.2">
      <c r="A90" s="34" t="s">
        <v>191</v>
      </c>
      <c r="B90" s="32" t="s">
        <v>190</v>
      </c>
      <c r="C90" s="39">
        <v>3</v>
      </c>
      <c r="D90" s="42">
        <v>12</v>
      </c>
      <c r="E90" s="39" t="s">
        <v>192</v>
      </c>
      <c r="F90" s="39" t="s">
        <v>192</v>
      </c>
    </row>
    <row r="91" spans="1:6" x14ac:dyDescent="0.2">
      <c r="A91" s="34" t="s">
        <v>193</v>
      </c>
      <c r="B91" s="32" t="s">
        <v>190</v>
      </c>
      <c r="C91" s="39">
        <v>2.4</v>
      </c>
      <c r="D91" s="40">
        <v>5</v>
      </c>
      <c r="E91" s="40">
        <v>65</v>
      </c>
      <c r="F91" s="39" t="s">
        <v>188</v>
      </c>
    </row>
    <row r="92" spans="1:6" x14ac:dyDescent="0.2">
      <c r="A92" s="34" t="s">
        <v>194</v>
      </c>
      <c r="B92" s="32" t="s">
        <v>187</v>
      </c>
      <c r="C92" s="40">
        <v>2.7</v>
      </c>
      <c r="D92" s="39">
        <v>14</v>
      </c>
      <c r="E92" s="40">
        <v>37</v>
      </c>
      <c r="F92" s="40">
        <v>864</v>
      </c>
    </row>
    <row r="93" spans="1:6" x14ac:dyDescent="0.2">
      <c r="A93" s="34" t="s">
        <v>222</v>
      </c>
      <c r="B93" s="32" t="s">
        <v>187</v>
      </c>
      <c r="C93" s="40">
        <v>2.4</v>
      </c>
      <c r="D93" s="39">
        <v>19</v>
      </c>
      <c r="E93" s="40">
        <v>81</v>
      </c>
      <c r="F93" s="41">
        <v>1458</v>
      </c>
    </row>
    <row r="94" spans="1:6" x14ac:dyDescent="0.2">
      <c r="A94" s="34" t="s">
        <v>195</v>
      </c>
      <c r="B94" s="32" t="s">
        <v>190</v>
      </c>
      <c r="C94" s="40">
        <v>2.7</v>
      </c>
      <c r="D94" s="39">
        <v>18</v>
      </c>
      <c r="E94" s="40">
        <v>79</v>
      </c>
      <c r="F94" s="39" t="s">
        <v>188</v>
      </c>
    </row>
    <row r="95" spans="1:6" x14ac:dyDescent="0.2">
      <c r="A95" s="34" t="s">
        <v>196</v>
      </c>
      <c r="B95" s="32" t="s">
        <v>190</v>
      </c>
      <c r="C95" s="40">
        <v>3.7</v>
      </c>
      <c r="D95" s="39">
        <v>13</v>
      </c>
      <c r="E95" s="40">
        <v>83</v>
      </c>
      <c r="F95" s="43" t="s">
        <v>188</v>
      </c>
    </row>
    <row r="96" spans="1:6" x14ac:dyDescent="0.2">
      <c r="A96" s="34" t="s">
        <v>197</v>
      </c>
      <c r="B96" s="32" t="s">
        <v>187</v>
      </c>
      <c r="C96" s="40">
        <v>1.6</v>
      </c>
      <c r="D96" s="39">
        <v>30</v>
      </c>
      <c r="E96" s="40">
        <v>72</v>
      </c>
      <c r="F96" s="41">
        <v>1379</v>
      </c>
    </row>
    <row r="97" spans="1:6" x14ac:dyDescent="0.2">
      <c r="A97" s="34" t="s">
        <v>198</v>
      </c>
      <c r="B97" s="32" t="s">
        <v>187</v>
      </c>
      <c r="C97" s="40">
        <v>8</v>
      </c>
      <c r="D97" s="39">
        <v>6</v>
      </c>
      <c r="E97" s="40">
        <v>69</v>
      </c>
      <c r="F97" s="41">
        <v>1479</v>
      </c>
    </row>
    <row r="98" spans="1:6" x14ac:dyDescent="0.2">
      <c r="A98" s="34" t="s">
        <v>199</v>
      </c>
      <c r="B98" s="32" t="s">
        <v>187</v>
      </c>
      <c r="C98" s="40">
        <v>2.7</v>
      </c>
      <c r="D98" s="39">
        <v>16</v>
      </c>
      <c r="E98" s="40">
        <v>69</v>
      </c>
      <c r="F98" s="39" t="s">
        <v>192</v>
      </c>
    </row>
    <row r="99" spans="1:6" x14ac:dyDescent="0.2">
      <c r="A99" s="34" t="s">
        <v>200</v>
      </c>
      <c r="B99" s="32" t="s">
        <v>187</v>
      </c>
      <c r="C99" s="40">
        <v>3.1</v>
      </c>
      <c r="D99" s="39">
        <v>14</v>
      </c>
      <c r="E99" s="40">
        <v>80</v>
      </c>
      <c r="F99" s="39" t="s">
        <v>188</v>
      </c>
    </row>
    <row r="100" spans="1:6" x14ac:dyDescent="0.2">
      <c r="A100" s="34" t="s">
        <v>201</v>
      </c>
      <c r="B100" s="32" t="s">
        <v>187</v>
      </c>
      <c r="C100" s="40">
        <v>2.6</v>
      </c>
      <c r="D100" s="39">
        <v>16</v>
      </c>
      <c r="E100" s="40">
        <v>26</v>
      </c>
      <c r="F100" s="40">
        <v>783</v>
      </c>
    </row>
    <row r="101" spans="1:6" x14ac:dyDescent="0.2">
      <c r="A101" s="34" t="s">
        <v>202</v>
      </c>
      <c r="B101" s="32" t="s">
        <v>190</v>
      </c>
      <c r="C101" s="39">
        <v>2.5</v>
      </c>
      <c r="D101" s="39">
        <v>15</v>
      </c>
      <c r="E101" s="40">
        <v>69</v>
      </c>
      <c r="F101" s="39" t="s">
        <v>188</v>
      </c>
    </row>
    <row r="102" spans="1:6" x14ac:dyDescent="0.2">
      <c r="A102" s="44" t="s">
        <v>203</v>
      </c>
      <c r="B102" s="32" t="s">
        <v>204</v>
      </c>
      <c r="C102" s="39">
        <v>0.2</v>
      </c>
      <c r="D102" s="39">
        <v>140</v>
      </c>
      <c r="E102" s="39">
        <v>19</v>
      </c>
      <c r="F102" s="39" t="s">
        <v>188</v>
      </c>
    </row>
    <row r="103" spans="1:6" x14ac:dyDescent="0.2">
      <c r="A103" s="34" t="s">
        <v>205</v>
      </c>
      <c r="B103" s="32" t="s">
        <v>187</v>
      </c>
      <c r="C103" s="40">
        <v>2.5</v>
      </c>
      <c r="D103" s="39">
        <v>16</v>
      </c>
      <c r="E103" s="39" t="s">
        <v>206</v>
      </c>
      <c r="F103" s="39" t="s">
        <v>188</v>
      </c>
    </row>
    <row r="104" spans="1:6" x14ac:dyDescent="0.2">
      <c r="A104" s="34" t="s">
        <v>207</v>
      </c>
      <c r="B104" s="32" t="s">
        <v>187</v>
      </c>
      <c r="C104" s="40">
        <v>1.3</v>
      </c>
      <c r="D104" s="40">
        <v>32</v>
      </c>
      <c r="E104" s="39" t="s">
        <v>208</v>
      </c>
      <c r="F104" s="39" t="s">
        <v>188</v>
      </c>
    </row>
    <row r="105" spans="1:6" x14ac:dyDescent="0.2">
      <c r="A105" s="34" t="s">
        <v>209</v>
      </c>
      <c r="B105" s="32" t="s">
        <v>187</v>
      </c>
      <c r="C105" s="40">
        <v>0.7</v>
      </c>
      <c r="D105" s="40">
        <v>80</v>
      </c>
      <c r="E105" s="40">
        <v>12</v>
      </c>
      <c r="F105" s="40">
        <v>227</v>
      </c>
    </row>
    <row r="106" spans="1:6" x14ac:dyDescent="0.2">
      <c r="A106" s="34" t="s">
        <v>210</v>
      </c>
      <c r="B106" s="32" t="s">
        <v>187</v>
      </c>
      <c r="C106" s="40">
        <v>0.24099999999999999</v>
      </c>
      <c r="D106" s="40">
        <v>223</v>
      </c>
      <c r="E106" s="39" t="s">
        <v>206</v>
      </c>
      <c r="F106" s="39" t="s">
        <v>188</v>
      </c>
    </row>
    <row r="107" spans="1:6" x14ac:dyDescent="0.2">
      <c r="A107" s="34" t="s">
        <v>211</v>
      </c>
      <c r="B107" s="32" t="s">
        <v>187</v>
      </c>
      <c r="C107" s="40">
        <v>0.14000000000000001</v>
      </c>
      <c r="D107" s="40">
        <v>496</v>
      </c>
      <c r="E107" s="39" t="s">
        <v>206</v>
      </c>
      <c r="F107" s="39" t="s">
        <v>188</v>
      </c>
    </row>
    <row r="108" spans="1:6" x14ac:dyDescent="0.2">
      <c r="A108" s="34" t="s">
        <v>212</v>
      </c>
      <c r="B108" s="32" t="s">
        <v>190</v>
      </c>
      <c r="C108" s="40">
        <v>0.1</v>
      </c>
      <c r="D108" s="40">
        <v>563</v>
      </c>
      <c r="E108" s="40">
        <v>8</v>
      </c>
      <c r="F108" s="40">
        <v>259</v>
      </c>
    </row>
    <row r="109" spans="1:6" x14ac:dyDescent="0.2">
      <c r="A109" s="34" t="s">
        <v>213</v>
      </c>
      <c r="B109" s="32" t="s">
        <v>190</v>
      </c>
      <c r="C109" s="40">
        <v>0.13</v>
      </c>
      <c r="D109" s="40">
        <v>170</v>
      </c>
      <c r="E109" s="39" t="s">
        <v>206</v>
      </c>
      <c r="F109" s="39" t="s">
        <v>206</v>
      </c>
    </row>
    <row r="110" spans="1:6" x14ac:dyDescent="0.2">
      <c r="A110" s="34" t="s">
        <v>214</v>
      </c>
      <c r="B110" s="32" t="s">
        <v>190</v>
      </c>
      <c r="C110" s="39">
        <v>0.1</v>
      </c>
      <c r="D110" s="39">
        <v>625</v>
      </c>
      <c r="E110" s="39">
        <v>5.5</v>
      </c>
      <c r="F110" s="39">
        <v>219</v>
      </c>
    </row>
    <row r="111" spans="1:6" x14ac:dyDescent="0.2">
      <c r="A111" s="34" t="s">
        <v>77</v>
      </c>
      <c r="B111" s="32" t="s">
        <v>187</v>
      </c>
      <c r="C111" s="39">
        <v>0.24</v>
      </c>
      <c r="D111" s="39">
        <v>442</v>
      </c>
      <c r="E111" s="40">
        <v>39</v>
      </c>
      <c r="F111" s="40">
        <v>410</v>
      </c>
    </row>
    <row r="112" spans="1:6" x14ac:dyDescent="0.2">
      <c r="A112" s="34" t="s">
        <v>215</v>
      </c>
      <c r="B112" s="32" t="s">
        <v>216</v>
      </c>
      <c r="C112" s="39">
        <v>0.7</v>
      </c>
      <c r="D112" s="39">
        <v>772</v>
      </c>
      <c r="E112" s="40">
        <v>6</v>
      </c>
      <c r="F112" s="40">
        <v>250</v>
      </c>
    </row>
    <row r="113" spans="1:14" x14ac:dyDescent="0.2">
      <c r="A113" s="34" t="s">
        <v>172</v>
      </c>
      <c r="B113" s="32" t="s">
        <v>190</v>
      </c>
      <c r="C113" s="39" t="s">
        <v>206</v>
      </c>
      <c r="D113" s="39" t="s">
        <v>206</v>
      </c>
      <c r="E113" s="39" t="s">
        <v>206</v>
      </c>
      <c r="F113" s="39">
        <v>533</v>
      </c>
    </row>
    <row r="114" spans="1:14" ht="25.5" x14ac:dyDescent="0.2">
      <c r="A114" s="44" t="s">
        <v>220</v>
      </c>
      <c r="B114" s="39" t="s">
        <v>187</v>
      </c>
      <c r="C114" s="39">
        <v>0.09</v>
      </c>
      <c r="D114" s="39">
        <v>560</v>
      </c>
      <c r="E114" s="39" t="s">
        <v>206</v>
      </c>
      <c r="F114" s="39" t="s">
        <v>188</v>
      </c>
    </row>
    <row r="115" spans="1:14" ht="25.5" x14ac:dyDescent="0.2">
      <c r="A115" s="44" t="s">
        <v>221</v>
      </c>
      <c r="B115" s="39" t="s">
        <v>187</v>
      </c>
      <c r="C115" s="40">
        <v>0.09</v>
      </c>
      <c r="D115" s="40">
        <v>641</v>
      </c>
      <c r="E115" s="39" t="s">
        <v>206</v>
      </c>
      <c r="F115" s="39" t="s">
        <v>188</v>
      </c>
      <c r="I115" s="166" t="s">
        <v>367</v>
      </c>
      <c r="J115" s="167"/>
      <c r="K115" s="167"/>
      <c r="L115" s="167"/>
      <c r="M115" s="167"/>
      <c r="N115" s="168"/>
    </row>
    <row r="116" spans="1:14" x14ac:dyDescent="0.2">
      <c r="A116" s="34" t="s">
        <v>156</v>
      </c>
      <c r="B116" s="32" t="s">
        <v>187</v>
      </c>
      <c r="C116" s="40">
        <v>3.4</v>
      </c>
      <c r="D116" s="40">
        <v>17</v>
      </c>
      <c r="E116" s="40">
        <v>82</v>
      </c>
      <c r="F116" s="39" t="s">
        <v>188</v>
      </c>
      <c r="I116" s="38" t="s">
        <v>384</v>
      </c>
      <c r="J116" s="30"/>
      <c r="K116" s="38" t="s">
        <v>385</v>
      </c>
      <c r="L116" s="30"/>
      <c r="M116" s="30"/>
      <c r="N116" s="30"/>
    </row>
    <row r="117" spans="1:14" x14ac:dyDescent="0.2">
      <c r="A117" s="34" t="s">
        <v>167</v>
      </c>
      <c r="B117" s="32" t="s">
        <v>187</v>
      </c>
      <c r="C117" s="40">
        <v>1.9</v>
      </c>
      <c r="D117" s="40">
        <v>17</v>
      </c>
      <c r="E117" s="40">
        <v>53</v>
      </c>
      <c r="F117" s="39" t="s">
        <v>188</v>
      </c>
      <c r="I117" s="38" t="s">
        <v>383</v>
      </c>
      <c r="J117" s="38"/>
      <c r="K117" s="164" t="s">
        <v>386</v>
      </c>
      <c r="L117" s="165"/>
      <c r="M117" s="165"/>
      <c r="N117" s="165"/>
    </row>
    <row r="118" spans="1:14" x14ac:dyDescent="0.2">
      <c r="A118" s="34" t="s">
        <v>217</v>
      </c>
      <c r="B118" s="32" t="s">
        <v>190</v>
      </c>
      <c r="C118" s="40">
        <v>1</v>
      </c>
      <c r="D118" s="40">
        <v>53</v>
      </c>
      <c r="E118" s="40">
        <v>15</v>
      </c>
      <c r="F118" s="40">
        <v>429</v>
      </c>
      <c r="I118" s="30" t="s">
        <v>368</v>
      </c>
      <c r="J118" s="30" t="s">
        <v>369</v>
      </c>
      <c r="K118" s="30" t="s">
        <v>370</v>
      </c>
      <c r="L118" s="30" t="s">
        <v>371</v>
      </c>
      <c r="M118" s="30" t="s">
        <v>372</v>
      </c>
      <c r="N118" s="30"/>
    </row>
    <row r="119" spans="1:14" x14ac:dyDescent="0.2">
      <c r="A119" s="34" t="s">
        <v>218</v>
      </c>
      <c r="B119" s="32" t="s">
        <v>216</v>
      </c>
      <c r="C119" s="40">
        <v>3.1</v>
      </c>
      <c r="D119" s="40">
        <v>16</v>
      </c>
      <c r="E119" s="40">
        <v>70</v>
      </c>
      <c r="F119" s="41">
        <v>1296</v>
      </c>
      <c r="I119" s="30" t="s">
        <v>373</v>
      </c>
      <c r="J119" s="30"/>
      <c r="K119" s="30" t="s">
        <v>8</v>
      </c>
      <c r="L119" s="30" t="s">
        <v>374</v>
      </c>
      <c r="M119" s="30"/>
      <c r="N119" s="30"/>
    </row>
    <row r="120" spans="1:14" x14ac:dyDescent="0.2">
      <c r="A120" s="34" t="s">
        <v>219</v>
      </c>
      <c r="B120" s="32" t="s">
        <v>216</v>
      </c>
      <c r="C120" s="39" t="s">
        <v>208</v>
      </c>
      <c r="D120" s="39">
        <v>25</v>
      </c>
      <c r="E120" s="40">
        <v>93</v>
      </c>
      <c r="F120" s="40">
        <v>405</v>
      </c>
      <c r="I120" s="89">
        <v>1</v>
      </c>
      <c r="J120" s="38" t="s">
        <v>375</v>
      </c>
      <c r="K120" s="30">
        <v>1.1399999999999999</v>
      </c>
      <c r="L120" s="30">
        <v>44.4</v>
      </c>
      <c r="M120" s="30">
        <v>39</v>
      </c>
      <c r="N120" s="30"/>
    </row>
    <row r="121" spans="1:14" x14ac:dyDescent="0.2">
      <c r="A121" t="s">
        <v>44</v>
      </c>
      <c r="I121" s="40">
        <v>2</v>
      </c>
      <c r="J121" s="38" t="s">
        <v>376</v>
      </c>
      <c r="K121" s="30">
        <v>0.13</v>
      </c>
      <c r="L121" s="30">
        <v>35.130000000000003</v>
      </c>
      <c r="M121" s="30">
        <v>266</v>
      </c>
      <c r="N121" s="30"/>
    </row>
    <row r="122" spans="1:14" x14ac:dyDescent="0.2">
      <c r="A122" t="s">
        <v>180</v>
      </c>
      <c r="I122" s="40">
        <v>3</v>
      </c>
      <c r="J122" s="38" t="s">
        <v>377</v>
      </c>
      <c r="K122" s="30">
        <v>0.53</v>
      </c>
      <c r="L122" s="30">
        <v>45.24</v>
      </c>
      <c r="M122" s="30">
        <v>85</v>
      </c>
      <c r="N122" s="30"/>
    </row>
    <row r="123" spans="1:14" x14ac:dyDescent="0.2">
      <c r="A123" t="s">
        <v>181</v>
      </c>
      <c r="I123" s="40">
        <v>4</v>
      </c>
      <c r="J123" s="38" t="s">
        <v>378</v>
      </c>
      <c r="K123" s="30">
        <v>0.4</v>
      </c>
      <c r="L123" s="30">
        <v>41.82</v>
      </c>
      <c r="M123" s="30">
        <v>106</v>
      </c>
      <c r="N123" s="30"/>
    </row>
    <row r="124" spans="1:14" x14ac:dyDescent="0.2">
      <c r="A124" t="s">
        <v>182</v>
      </c>
      <c r="I124" s="40">
        <v>5</v>
      </c>
      <c r="J124" s="38" t="s">
        <v>379</v>
      </c>
      <c r="K124" s="30">
        <v>0.49</v>
      </c>
      <c r="L124" s="30">
        <v>42.5</v>
      </c>
      <c r="M124" s="30">
        <v>87</v>
      </c>
      <c r="N124" s="30"/>
    </row>
    <row r="125" spans="1:14" x14ac:dyDescent="0.2">
      <c r="I125" s="40">
        <v>6</v>
      </c>
      <c r="J125" s="38" t="s">
        <v>380</v>
      </c>
      <c r="K125" s="30">
        <v>0.28000000000000003</v>
      </c>
      <c r="L125" s="30">
        <v>47.31</v>
      </c>
      <c r="M125" s="30">
        <v>182</v>
      </c>
      <c r="N125" s="30"/>
    </row>
    <row r="126" spans="1:14" x14ac:dyDescent="0.2">
      <c r="A126" s="9" t="s">
        <v>252</v>
      </c>
      <c r="I126" s="40">
        <v>7</v>
      </c>
      <c r="J126" s="38" t="s">
        <v>381</v>
      </c>
      <c r="K126" s="30">
        <v>0.26</v>
      </c>
      <c r="L126" s="30">
        <v>45.84</v>
      </c>
      <c r="M126" s="30">
        <v>176</v>
      </c>
      <c r="N126" s="30"/>
    </row>
    <row r="127" spans="1:14" x14ac:dyDescent="0.2">
      <c r="B127" s="39" t="s">
        <v>175</v>
      </c>
      <c r="C127" s="39" t="s">
        <v>240</v>
      </c>
      <c r="D127" s="39" t="s">
        <v>184</v>
      </c>
      <c r="E127" s="39" t="s">
        <v>239</v>
      </c>
      <c r="F127" s="88" t="s">
        <v>241</v>
      </c>
      <c r="I127" s="40">
        <v>8</v>
      </c>
      <c r="J127" s="38" t="s">
        <v>382</v>
      </c>
      <c r="K127" s="30">
        <v>1.62</v>
      </c>
      <c r="L127" s="30">
        <v>39.83</v>
      </c>
      <c r="M127" s="30">
        <v>25</v>
      </c>
      <c r="N127" s="30"/>
    </row>
    <row r="128" spans="1:14" x14ac:dyDescent="0.2">
      <c r="A128" s="38" t="s">
        <v>223</v>
      </c>
      <c r="B128" s="39" t="s">
        <v>176</v>
      </c>
      <c r="C128" s="39"/>
      <c r="D128" s="39" t="s">
        <v>173</v>
      </c>
      <c r="E128" s="39" t="s">
        <v>174</v>
      </c>
      <c r="F128" s="88" t="s">
        <v>178</v>
      </c>
    </row>
    <row r="129" spans="1:6" x14ac:dyDescent="0.2">
      <c r="A129" s="46" t="s">
        <v>224</v>
      </c>
      <c r="B129" s="86" t="s">
        <v>243</v>
      </c>
      <c r="C129" s="86" t="s">
        <v>247</v>
      </c>
      <c r="D129" s="86" t="s">
        <v>238</v>
      </c>
      <c r="E129" s="86" t="s">
        <v>250</v>
      </c>
      <c r="F129" s="40">
        <v>1450</v>
      </c>
    </row>
    <row r="130" spans="1:6" x14ac:dyDescent="0.2">
      <c r="A130" s="46" t="s">
        <v>225</v>
      </c>
      <c r="B130" s="86">
        <v>39.700000000000003</v>
      </c>
      <c r="C130" s="86" t="s">
        <v>248</v>
      </c>
      <c r="D130" s="86" t="s">
        <v>249</v>
      </c>
      <c r="E130" s="86" t="s">
        <v>251</v>
      </c>
      <c r="F130" s="89">
        <v>335</v>
      </c>
    </row>
    <row r="131" spans="1:6" x14ac:dyDescent="0.2">
      <c r="A131" s="46" t="s">
        <v>226</v>
      </c>
      <c r="B131" s="86">
        <v>38.700000000000003</v>
      </c>
      <c r="C131" s="86">
        <v>44.14</v>
      </c>
      <c r="D131" s="86">
        <v>0.48</v>
      </c>
      <c r="E131" s="86">
        <v>92</v>
      </c>
      <c r="F131" s="39" t="s">
        <v>206</v>
      </c>
    </row>
    <row r="132" spans="1:6" x14ac:dyDescent="0.2">
      <c r="A132" s="46" t="s">
        <v>227</v>
      </c>
      <c r="B132" s="86" t="s">
        <v>206</v>
      </c>
      <c r="C132" s="87">
        <v>46.86</v>
      </c>
      <c r="D132" s="87">
        <v>0.62</v>
      </c>
      <c r="E132" s="86">
        <v>75.599999999999994</v>
      </c>
      <c r="F132" s="39" t="s">
        <v>206</v>
      </c>
    </row>
    <row r="133" spans="1:6" x14ac:dyDescent="0.2">
      <c r="A133" s="46" t="s">
        <v>228</v>
      </c>
      <c r="B133" s="87">
        <v>54.5</v>
      </c>
      <c r="C133" s="86">
        <v>48.22</v>
      </c>
      <c r="D133" s="87">
        <v>0.43</v>
      </c>
      <c r="E133" s="87">
        <v>112.1</v>
      </c>
      <c r="F133" s="39" t="s">
        <v>242</v>
      </c>
    </row>
    <row r="134" spans="1:6" x14ac:dyDescent="0.2">
      <c r="A134" s="46" t="s">
        <v>229</v>
      </c>
      <c r="B134" s="87">
        <v>95.8</v>
      </c>
      <c r="C134" s="86">
        <v>50.62</v>
      </c>
      <c r="D134" s="87">
        <v>0.11</v>
      </c>
      <c r="E134" s="87">
        <v>460.2</v>
      </c>
      <c r="F134" s="39" t="s">
        <v>206</v>
      </c>
    </row>
    <row r="135" spans="1:6" x14ac:dyDescent="0.2">
      <c r="A135" s="46" t="s">
        <v>230</v>
      </c>
      <c r="B135" s="87">
        <v>38.5</v>
      </c>
      <c r="C135" s="86">
        <v>44.84</v>
      </c>
      <c r="D135" s="87">
        <v>0.81</v>
      </c>
      <c r="E135" s="86">
        <v>55.4</v>
      </c>
      <c r="F135" s="39" t="s">
        <v>206</v>
      </c>
    </row>
    <row r="136" spans="1:6" x14ac:dyDescent="0.2">
      <c r="A136" s="46" t="s">
        <v>231</v>
      </c>
      <c r="B136" s="87">
        <v>54</v>
      </c>
      <c r="C136" s="86">
        <v>48.68</v>
      </c>
      <c r="D136" s="87">
        <v>0.71</v>
      </c>
      <c r="E136" s="90">
        <v>68.5</v>
      </c>
      <c r="F136" s="39" t="s">
        <v>206</v>
      </c>
    </row>
    <row r="137" spans="1:6" x14ac:dyDescent="0.2">
      <c r="A137" s="46" t="s">
        <v>232</v>
      </c>
      <c r="B137" s="86" t="s">
        <v>244</v>
      </c>
      <c r="C137" s="86">
        <v>41.04</v>
      </c>
      <c r="D137" s="87">
        <v>0.3</v>
      </c>
      <c r="E137" s="87">
        <v>136.80000000000001</v>
      </c>
      <c r="F137" s="39" t="s">
        <v>206</v>
      </c>
    </row>
    <row r="138" spans="1:6" x14ac:dyDescent="0.2">
      <c r="A138" s="46" t="s">
        <v>233</v>
      </c>
      <c r="B138" s="87">
        <v>32.799999999999997</v>
      </c>
      <c r="C138" s="86" t="s">
        <v>206</v>
      </c>
      <c r="D138" s="86" t="s">
        <v>206</v>
      </c>
      <c r="E138" s="86" t="s">
        <v>206</v>
      </c>
      <c r="F138" s="39" t="s">
        <v>206</v>
      </c>
    </row>
    <row r="139" spans="1:6" x14ac:dyDescent="0.2">
      <c r="A139" s="46" t="s">
        <v>234</v>
      </c>
      <c r="B139" s="86" t="s">
        <v>244</v>
      </c>
      <c r="C139" s="86">
        <v>49.99</v>
      </c>
      <c r="D139" s="87">
        <v>0.02</v>
      </c>
      <c r="E139" s="86">
        <v>2499.5</v>
      </c>
      <c r="F139" s="88">
        <v>200</v>
      </c>
    </row>
    <row r="140" spans="1:6" x14ac:dyDescent="0.2">
      <c r="A140" s="46" t="s">
        <v>235</v>
      </c>
      <c r="B140" s="87">
        <v>90</v>
      </c>
      <c r="C140" s="86">
        <v>40</v>
      </c>
      <c r="D140" s="87">
        <v>1.01</v>
      </c>
      <c r="E140" s="86">
        <v>39.6</v>
      </c>
      <c r="F140" s="88">
        <v>250</v>
      </c>
    </row>
    <row r="141" spans="1:6" x14ac:dyDescent="0.2">
      <c r="A141" s="46" t="s">
        <v>236</v>
      </c>
      <c r="B141" s="86" t="s">
        <v>245</v>
      </c>
      <c r="C141" s="86">
        <v>44.69</v>
      </c>
      <c r="D141" s="87">
        <v>0.22</v>
      </c>
      <c r="E141" s="87">
        <v>203.1</v>
      </c>
      <c r="F141" s="89">
        <v>550</v>
      </c>
    </row>
    <row r="142" spans="1:6" x14ac:dyDescent="0.2">
      <c r="A142" s="46" t="s">
        <v>237</v>
      </c>
      <c r="B142" s="86" t="s">
        <v>246</v>
      </c>
      <c r="C142" s="86">
        <v>42.38</v>
      </c>
      <c r="D142" s="87">
        <v>0.8</v>
      </c>
      <c r="E142" s="86">
        <v>54.5</v>
      </c>
      <c r="F142" s="89">
        <v>750</v>
      </c>
    </row>
  </sheetData>
  <mergeCells count="59">
    <mergeCell ref="K117:N117"/>
    <mergeCell ref="I115:N115"/>
    <mergeCell ref="A82:B82"/>
    <mergeCell ref="A56:B56"/>
    <mergeCell ref="A73:B73"/>
    <mergeCell ref="A74:B74"/>
    <mergeCell ref="A75:B75"/>
    <mergeCell ref="A76:B76"/>
    <mergeCell ref="A77:B77"/>
    <mergeCell ref="A78:B78"/>
    <mergeCell ref="A67:B67"/>
    <mergeCell ref="A68:B68"/>
    <mergeCell ref="A69:B69"/>
    <mergeCell ref="A70:B70"/>
    <mergeCell ref="A71:B71"/>
    <mergeCell ref="A58:B58"/>
    <mergeCell ref="A59:B59"/>
    <mergeCell ref="A79:B79"/>
    <mergeCell ref="A80:B80"/>
    <mergeCell ref="A81:B81"/>
    <mergeCell ref="A41:B41"/>
    <mergeCell ref="A37:B37"/>
    <mergeCell ref="A35:B35"/>
    <mergeCell ref="A72:B72"/>
    <mergeCell ref="A61:B61"/>
    <mergeCell ref="A62:B62"/>
    <mergeCell ref="A63:B63"/>
    <mergeCell ref="A64:B64"/>
    <mergeCell ref="A65:B65"/>
    <mergeCell ref="A66:B66"/>
    <mergeCell ref="A60:B60"/>
    <mergeCell ref="A52:B52"/>
    <mergeCell ref="A53:B53"/>
    <mergeCell ref="A51:B51"/>
    <mergeCell ref="A50:B50"/>
    <mergeCell ref="A57:B57"/>
    <mergeCell ref="A49:B49"/>
    <mergeCell ref="A48:B48"/>
    <mergeCell ref="A47:B47"/>
    <mergeCell ref="A46:B46"/>
    <mergeCell ref="A8:B8"/>
    <mergeCell ref="A9:B9"/>
    <mergeCell ref="A10:B10"/>
    <mergeCell ref="A11:B11"/>
    <mergeCell ref="B17:C17"/>
    <mergeCell ref="A42:B42"/>
    <mergeCell ref="A43:B43"/>
    <mergeCell ref="A44:B44"/>
    <mergeCell ref="A45:B45"/>
    <mergeCell ref="A38:B38"/>
    <mergeCell ref="A39:B39"/>
    <mergeCell ref="A40:B40"/>
    <mergeCell ref="A3:B3"/>
    <mergeCell ref="A7:B7"/>
    <mergeCell ref="C3:D3"/>
    <mergeCell ref="A1:G1"/>
    <mergeCell ref="A4:B4"/>
    <mergeCell ref="A5:B5"/>
    <mergeCell ref="A6:B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Coversheet</vt:lpstr>
      <vt:lpstr>Compost Calculation </vt:lpstr>
      <vt:lpstr>Ref. Tables</vt:lpstr>
    </vt:vector>
  </TitlesOfParts>
  <Company>USDA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amelia.drury</dc:creator>
  <cp:lastModifiedBy>Wheaton, Jeffrey - NRCS, Barrigada, GU</cp:lastModifiedBy>
  <cp:lastPrinted>2012-11-06T01:24:34Z</cp:lastPrinted>
  <dcterms:created xsi:type="dcterms:W3CDTF">2009-08-25T20:04:59Z</dcterms:created>
  <dcterms:modified xsi:type="dcterms:W3CDTF">2014-03-14T02:29:50Z</dcterms:modified>
</cp:coreProperties>
</file>