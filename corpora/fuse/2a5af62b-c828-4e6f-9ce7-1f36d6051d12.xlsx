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bookViews>
    <workbookView xWindow="435" yWindow="180" windowWidth="25215" windowHeight="15405" tabRatio="604"/>
  </bookViews>
  <sheets>
    <sheet name="SFR" sheetId="2" r:id="rId1"/>
    <sheet name="ADDITION " sheetId="8" r:id="rId2"/>
    <sheet name="NON-RESIDENTIAL " sheetId="7" r:id="rId3"/>
    <sheet name="MULTIFAMILY  " sheetId="6" r:id="rId4"/>
    <sheet name="TRADES" sheetId="5" r:id="rId5"/>
    <sheet name="CHART" sheetId="10" state="hidden" r:id="rId6"/>
    <sheet name="DATA" sheetId="3" state="hidden" r:id="rId7"/>
    <sheet name="Compatibility Report" sheetId="11" state="hidden" r:id="rId8"/>
  </sheets>
  <definedNames>
    <definedName name="_xlnm.Print_Titles" localSheetId="1">'ADDITION '!$1:$5</definedName>
    <definedName name="_xlnm.Print_Titles" localSheetId="0">SFR!$1:$7</definedName>
    <definedName name="_xlnm.Print_Titles" localSheetId="4">TRADES!$1:$6</definedName>
  </definedNames>
  <calcPr calcId="145621" concurrentCalc="0"/>
  <extLst>
    <ext xmlns:mx="http://schemas.microsoft.com/office/mac/excel/2008/main" uri="{7523E5D3-25F3-A5E0-1632-64F254C22452}">
      <mx:ArchID Flags="2"/>
    </ext>
  </extLst>
</workbook>
</file>

<file path=xl/calcChain.xml><?xml version="1.0" encoding="utf-8"?>
<calcChain xmlns="http://schemas.openxmlformats.org/spreadsheetml/2006/main">
  <c r="B449" i="5" l="1"/>
  <c r="B448" i="5"/>
  <c r="B274" i="5"/>
  <c r="B169" i="5"/>
  <c r="B69" i="8"/>
  <c r="M69" i="8"/>
  <c r="N49" i="2"/>
  <c r="B49" i="2"/>
</calcChain>
</file>

<file path=xl/sharedStrings.xml><?xml version="1.0" encoding="utf-8"?>
<sst xmlns="http://schemas.openxmlformats.org/spreadsheetml/2006/main" count="2244" uniqueCount="554">
  <si>
    <t>ADDRESS</t>
  </si>
  <si>
    <t>LEGAL DESCRIPTION</t>
  </si>
  <si>
    <t>PERMIT NUMBER</t>
  </si>
  <si>
    <t>DATE</t>
  </si>
  <si>
    <t>SQUARE
FOOTAGE</t>
  </si>
  <si>
    <t>VALUATION</t>
  </si>
  <si>
    <t>Permit
Year</t>
  </si>
  <si>
    <t>Permit
Number</t>
  </si>
  <si>
    <t>STATUS</t>
  </si>
  <si>
    <t>YMMDD</t>
  </si>
  <si>
    <t>APPLICATION
TYPE</t>
  </si>
  <si>
    <t>Street
Number</t>
  </si>
  <si>
    <t>Street
Name</t>
  </si>
  <si>
    <t>Unit</t>
  </si>
  <si>
    <t>Block</t>
  </si>
  <si>
    <t>Lot</t>
  </si>
  <si>
    <t>Permit
number</t>
  </si>
  <si>
    <t>NOTES</t>
  </si>
  <si>
    <t>SFR Starts</t>
  </si>
  <si>
    <t>Addition</t>
  </si>
  <si>
    <t>Electrical Permits</t>
  </si>
  <si>
    <t>Mechanical Permits</t>
  </si>
  <si>
    <t>Plumbing Permits</t>
  </si>
  <si>
    <t>Multi-Family</t>
  </si>
  <si>
    <t>Non-Residential</t>
  </si>
  <si>
    <t>SUBDIVISION</t>
  </si>
  <si>
    <t>CONTRACTOR</t>
  </si>
  <si>
    <t>Street
number</t>
  </si>
  <si>
    <t>Street Name</t>
  </si>
  <si>
    <t># OF
UNITS</t>
  </si>
  <si>
    <t>CITY OF RIO RANCHO, NEW MEXICO</t>
  </si>
  <si>
    <t xml:space="preserve"> </t>
  </si>
  <si>
    <t>Suffix</t>
  </si>
  <si>
    <t>Quadrant</t>
  </si>
  <si>
    <t xml:space="preserve"> ELECTRICAL</t>
  </si>
  <si>
    <r>
      <t xml:space="preserve">STAFF USE </t>
    </r>
    <r>
      <rPr>
        <b/>
        <u/>
        <vertAlign val="subscript"/>
        <sz val="5"/>
        <color indexed="10"/>
        <rFont val="Arial"/>
        <family val="2"/>
      </rPr>
      <t>ONLY</t>
    </r>
  </si>
  <si>
    <t>Status</t>
  </si>
  <si>
    <t xml:space="preserve"> LEGAL DESCRIPTION</t>
  </si>
  <si>
    <t>PERMIT</t>
  </si>
  <si>
    <t>Quandrant</t>
  </si>
  <si>
    <t>NONE</t>
  </si>
  <si>
    <t xml:space="preserve">FOR </t>
  </si>
  <si>
    <t>Compatibility Report for JULY 2013 Starts.xlsx</t>
  </si>
  <si>
    <t>Run on 8/13/2013 16:02</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</si>
  <si>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</si>
  <si>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</si>
  <si>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</si>
  <si>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</si>
  <si>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</si>
  <si>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</si>
  <si>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t>AR</t>
  </si>
  <si>
    <t>1A</t>
  </si>
  <si>
    <t>U16</t>
  </si>
  <si>
    <t>OAK</t>
  </si>
  <si>
    <t>U11</t>
  </si>
  <si>
    <t>GHR</t>
  </si>
  <si>
    <t>VH3</t>
  </si>
  <si>
    <t>U17</t>
  </si>
  <si>
    <t>CEDRO</t>
  </si>
  <si>
    <t>ADE</t>
  </si>
  <si>
    <t>CEREZA</t>
  </si>
  <si>
    <t>CH</t>
  </si>
  <si>
    <t>EL CAMINO</t>
  </si>
  <si>
    <t>CCRS</t>
  </si>
  <si>
    <t>U20</t>
  </si>
  <si>
    <t>LAS MEDANALES</t>
  </si>
  <si>
    <t>LCE3</t>
  </si>
  <si>
    <t>STARS</t>
  </si>
  <si>
    <t>MANZANO</t>
  </si>
  <si>
    <t>CN3</t>
  </si>
  <si>
    <t>HS33</t>
  </si>
  <si>
    <t>TC1</t>
  </si>
  <si>
    <t>SIERRA VERDE</t>
  </si>
  <si>
    <t>ST. ANDREWS</t>
  </si>
  <si>
    <t>3A</t>
  </si>
  <si>
    <t>SR</t>
  </si>
  <si>
    <t>VIOLETA</t>
  </si>
  <si>
    <t>TOS</t>
  </si>
  <si>
    <t>U13</t>
  </si>
  <si>
    <t>KALGAN</t>
  </si>
  <si>
    <t>U12</t>
  </si>
  <si>
    <t>PALO ALTO</t>
  </si>
  <si>
    <t>VDSF</t>
  </si>
  <si>
    <t>NOME</t>
  </si>
  <si>
    <t>LE3B</t>
  </si>
  <si>
    <t>PA2</t>
  </si>
  <si>
    <t>VHW1</t>
  </si>
  <si>
    <t>PHW</t>
  </si>
  <si>
    <t>CEDH</t>
  </si>
  <si>
    <t>CEDH3</t>
  </si>
  <si>
    <t>YDE</t>
  </si>
  <si>
    <t>COTTONTAIL</t>
  </si>
  <si>
    <t>CN1</t>
  </si>
  <si>
    <t>PHN2</t>
  </si>
  <si>
    <t>HIGH DESERT</t>
  </si>
  <si>
    <t>NH14</t>
  </si>
  <si>
    <t>CN2</t>
  </si>
  <si>
    <t>HURON</t>
  </si>
  <si>
    <t>REDONDO SANTA FE</t>
  </si>
  <si>
    <t>WEEPING WILLOW</t>
  </si>
  <si>
    <t>WILDER</t>
  </si>
  <si>
    <t>RRDG</t>
  </si>
  <si>
    <t>CABZ</t>
  </si>
  <si>
    <t>RD</t>
  </si>
  <si>
    <t>SE</t>
  </si>
  <si>
    <t>AP</t>
  </si>
  <si>
    <t>DRH SOUTHWEST CONST. INC</t>
  </si>
  <si>
    <t>CIR</t>
  </si>
  <si>
    <t>PULTE DEVELOPMENT NEW MEXICO,</t>
  </si>
  <si>
    <t>DR</t>
  </si>
  <si>
    <t>CC</t>
  </si>
  <si>
    <t>LP</t>
  </si>
  <si>
    <t>NW</t>
  </si>
  <si>
    <t>LC</t>
  </si>
  <si>
    <t>AVE</t>
  </si>
  <si>
    <t>NE</t>
  </si>
  <si>
    <t>CT</t>
  </si>
  <si>
    <t>WY</t>
  </si>
  <si>
    <t>LE</t>
  </si>
  <si>
    <t>SLG HOLDINGS</t>
  </si>
  <si>
    <t>SFR</t>
  </si>
  <si>
    <t>LN</t>
  </si>
  <si>
    <t>PC</t>
  </si>
  <si>
    <t>OWNER BUILDER</t>
  </si>
  <si>
    <t>ST</t>
  </si>
  <si>
    <t>SFR
TOTAL</t>
  </si>
  <si>
    <t>VALUATION
TOTAL</t>
  </si>
  <si>
    <t>GARR</t>
  </si>
  <si>
    <t>SW</t>
  </si>
  <si>
    <t>RRF</t>
  </si>
  <si>
    <t>ALL WEATHER ROOFING, INC</t>
  </si>
  <si>
    <t>GOODRICH ROOFING CO INC</t>
  </si>
  <si>
    <t>GAMBEL QUAIL</t>
  </si>
  <si>
    <t>DOYLE ROOF MASTERS</t>
  </si>
  <si>
    <t>CHERRY HILLS CONST.</t>
  </si>
  <si>
    <t>ALLSTATE ROOFING, LLC</t>
  </si>
  <si>
    <t>ADDITION
TOTAL</t>
  </si>
  <si>
    <t>WALSH</t>
  </si>
  <si>
    <t>LGI HOMES NM CONSTRUCTION LLC</t>
  </si>
  <si>
    <t>BIG HAWK</t>
  </si>
  <si>
    <t>COLINA SERENA</t>
  </si>
  <si>
    <t>LCE2</t>
  </si>
  <si>
    <t>PUENTA ALTO</t>
  </si>
  <si>
    <t>TQM, LLC</t>
  </si>
  <si>
    <t>WRANGELL</t>
  </si>
  <si>
    <t>LE4A</t>
  </si>
  <si>
    <t>MARI</t>
  </si>
  <si>
    <t>DESERT VIEW</t>
  </si>
  <si>
    <t>DVM</t>
  </si>
  <si>
    <t>24A</t>
  </si>
  <si>
    <t>MTV ENTERPRISES, LLC</t>
  </si>
  <si>
    <t>DESERT LUPINE</t>
  </si>
  <si>
    <t>NMED19</t>
  </si>
  <si>
    <t>DESERT SUNFLOWER</t>
  </si>
  <si>
    <t>BLUE SKY</t>
  </si>
  <si>
    <t>CLN2</t>
  </si>
  <si>
    <t>CLEARWATER</t>
  </si>
  <si>
    <t>OBEAH</t>
  </si>
  <si>
    <t>ROADRUNNER</t>
  </si>
  <si>
    <t>KENNECO CUSTOM ROOFING</t>
  </si>
  <si>
    <t>CCH</t>
  </si>
  <si>
    <t>LAKEVIEW</t>
  </si>
  <si>
    <t>CN1R1</t>
  </si>
  <si>
    <t>LANCOR ENTERPRISES INC</t>
  </si>
  <si>
    <t>BUNKER</t>
  </si>
  <si>
    <t>OUT TO BID</t>
  </si>
  <si>
    <t>GRANDE</t>
  </si>
  <si>
    <t>BLVD</t>
  </si>
  <si>
    <t>GS</t>
  </si>
  <si>
    <t>JACKIE</t>
  </si>
  <si>
    <t>CS</t>
  </si>
  <si>
    <t>H</t>
  </si>
  <si>
    <t>5A</t>
  </si>
  <si>
    <t>RCOM</t>
  </si>
  <si>
    <t>SOUTHERN</t>
  </si>
  <si>
    <t>UNSER</t>
  </si>
  <si>
    <t>O</t>
  </si>
  <si>
    <t>TCOM</t>
  </si>
  <si>
    <t>NM HIGHWAY 528</t>
  </si>
  <si>
    <t>IPE</t>
  </si>
  <si>
    <t>C</t>
  </si>
  <si>
    <t>4A</t>
  </si>
  <si>
    <t>RH</t>
  </si>
  <si>
    <t>1ST</t>
  </si>
  <si>
    <t>2ND</t>
  </si>
  <si>
    <t>ELEC</t>
  </si>
  <si>
    <t>ARROWHEAD RIDGE</t>
  </si>
  <si>
    <t>CARR</t>
  </si>
  <si>
    <t>CCCEH</t>
  </si>
  <si>
    <t>E</t>
  </si>
  <si>
    <t>F</t>
  </si>
  <si>
    <t>HP</t>
  </si>
  <si>
    <t>CCNTR</t>
  </si>
  <si>
    <t>ELER</t>
  </si>
  <si>
    <t>CAMPECHE</t>
  </si>
  <si>
    <t>CROWNPOINT</t>
  </si>
  <si>
    <t>EH14B</t>
  </si>
  <si>
    <t>FRAN</t>
  </si>
  <si>
    <t>STAR2</t>
  </si>
  <si>
    <t>GLEN HILLS</t>
  </si>
  <si>
    <t>EH6</t>
  </si>
  <si>
    <t>HUNTER</t>
  </si>
  <si>
    <t>WAPR</t>
  </si>
  <si>
    <t>B</t>
  </si>
  <si>
    <t>IRA</t>
  </si>
  <si>
    <t>NH05</t>
  </si>
  <si>
    <t>KIVA</t>
  </si>
  <si>
    <t>OH</t>
  </si>
  <si>
    <t>LA RESOLANA</t>
  </si>
  <si>
    <t>LANDING</t>
  </si>
  <si>
    <t>LOS REYES</t>
  </si>
  <si>
    <t>MAY</t>
  </si>
  <si>
    <t>18A</t>
  </si>
  <si>
    <t>VHW2</t>
  </si>
  <si>
    <t>PA3</t>
  </si>
  <si>
    <t>PEPPOLI</t>
  </si>
  <si>
    <t>AST</t>
  </si>
  <si>
    <t>ROBLE</t>
  </si>
  <si>
    <t>SANTA FE TRAIL</t>
  </si>
  <si>
    <t>SARATOGA</t>
  </si>
  <si>
    <t>SKAGWAY</t>
  </si>
  <si>
    <t>LE3A</t>
  </si>
  <si>
    <t>STRAWBERRY</t>
  </si>
  <si>
    <t>NH09</t>
  </si>
  <si>
    <t>TIWA</t>
  </si>
  <si>
    <t>TORREY PINES</t>
  </si>
  <si>
    <t>WASILLA</t>
  </si>
  <si>
    <t>10TH</t>
  </si>
  <si>
    <t>U10</t>
  </si>
  <si>
    <t>11TH</t>
  </si>
  <si>
    <t>15TH</t>
  </si>
  <si>
    <t>35TH</t>
  </si>
  <si>
    <t>ETPR</t>
  </si>
  <si>
    <t>CHESSMAN</t>
  </si>
  <si>
    <t>DELICIAS</t>
  </si>
  <si>
    <t>HGHR3</t>
  </si>
  <si>
    <t>LOS ALTOS</t>
  </si>
  <si>
    <t>NACELLE</t>
  </si>
  <si>
    <t>PALMYRA</t>
  </si>
  <si>
    <t>PRADO HERMOSA</t>
  </si>
  <si>
    <t>PA1</t>
  </si>
  <si>
    <t>RIO OSO</t>
  </si>
  <si>
    <t>4TH</t>
  </si>
  <si>
    <t>U08</t>
  </si>
  <si>
    <t>MECHANICAL</t>
  </si>
  <si>
    <t>MECC</t>
  </si>
  <si>
    <t>4A1</t>
  </si>
  <si>
    <t>MECR</t>
  </si>
  <si>
    <t>ARCHIBEQUE</t>
  </si>
  <si>
    <t>NAGOYA</t>
  </si>
  <si>
    <t>6A</t>
  </si>
  <si>
    <t>VISTA DE COLINAS</t>
  </si>
  <si>
    <t>VISTA ESTE</t>
  </si>
  <si>
    <t>MECHANICAL
TOTAL</t>
  </si>
  <si>
    <t>PLUMBING</t>
  </si>
  <si>
    <t>PLMC</t>
  </si>
  <si>
    <t>19A</t>
  </si>
  <si>
    <t>43A</t>
  </si>
  <si>
    <t>VH2</t>
  </si>
  <si>
    <t>A</t>
  </si>
  <si>
    <t>PLMR</t>
  </si>
  <si>
    <t>ARAPAHOE</t>
  </si>
  <si>
    <t>EH3</t>
  </si>
  <si>
    <t>EH7</t>
  </si>
  <si>
    <t>CACTUS</t>
  </si>
  <si>
    <t>RORPP2</t>
  </si>
  <si>
    <t>CATTLE</t>
  </si>
  <si>
    <t>HGHR</t>
  </si>
  <si>
    <t>EH10</t>
  </si>
  <si>
    <t>CORAL</t>
  </si>
  <si>
    <t>VH1</t>
  </si>
  <si>
    <t>YCC</t>
  </si>
  <si>
    <t>NH04</t>
  </si>
  <si>
    <t>FOXMOORE</t>
  </si>
  <si>
    <t>GOLDEN YARROW</t>
  </si>
  <si>
    <t>RH2</t>
  </si>
  <si>
    <t>BHR</t>
  </si>
  <si>
    <t>HOLLYBERRY</t>
  </si>
  <si>
    <t>GH2</t>
  </si>
  <si>
    <t>OERSTED</t>
  </si>
  <si>
    <t>ORCHID</t>
  </si>
  <si>
    <t>CEDH5</t>
  </si>
  <si>
    <t>CEDH2</t>
  </si>
  <si>
    <t>NH03</t>
  </si>
  <si>
    <t>PETUNIA</t>
  </si>
  <si>
    <t>CN2A</t>
  </si>
  <si>
    <t>RASPBERRY</t>
  </si>
  <si>
    <t>NH10</t>
  </si>
  <si>
    <t>RENAISSANCE</t>
  </si>
  <si>
    <t>REN</t>
  </si>
  <si>
    <t>SANDIA VISTA</t>
  </si>
  <si>
    <t>SIERRA</t>
  </si>
  <si>
    <t>SPRING</t>
  </si>
  <si>
    <t>NMED17</t>
  </si>
  <si>
    <t>SUMMER WINDS</t>
  </si>
  <si>
    <t>WH</t>
  </si>
  <si>
    <t>UTAH MEADOW</t>
  </si>
  <si>
    <t>VANCOUVER</t>
  </si>
  <si>
    <t>GH3</t>
  </si>
  <si>
    <t>20TH</t>
  </si>
  <si>
    <t>21ST</t>
  </si>
  <si>
    <t>TRADES
TOTAL</t>
  </si>
  <si>
    <t>JANUARY 2014 SINGLE FAMILY RESIDENTIAL STARTS</t>
  </si>
  <si>
    <t>JANUARY 2014 RESIDENTIAL ADDITIONS</t>
  </si>
  <si>
    <t>JANUARY 2014 NON-RESIDENTIAL DATA</t>
  </si>
  <si>
    <t>JANUARY 2014 MULTI-FAMILY</t>
  </si>
  <si>
    <t>JANUARY</t>
  </si>
  <si>
    <t>JANUARY 2014 TRADE PERMITS (ELECTRICAL, MECHANICAL, PLUMBING)</t>
  </si>
  <si>
    <t>PICEA</t>
  </si>
  <si>
    <t>LLANO VISTA</t>
  </si>
  <si>
    <t>MV1</t>
  </si>
  <si>
    <t>PLANO VISTA</t>
  </si>
  <si>
    <t>TR</t>
  </si>
  <si>
    <t>PECOS TRAIL</t>
  </si>
  <si>
    <t>REDONDO SIERRA</t>
  </si>
  <si>
    <t>VIS</t>
  </si>
  <si>
    <t>SVM</t>
  </si>
  <si>
    <t>OCO</t>
  </si>
  <si>
    <t>CHAYOTE</t>
  </si>
  <si>
    <t>SIGNATURE HOMES &amp; REMODELING</t>
  </si>
  <si>
    <t>FULL MOON</t>
  </si>
  <si>
    <t>CLN4</t>
  </si>
  <si>
    <t>VATAPA</t>
  </si>
  <si>
    <t>7TH</t>
  </si>
  <si>
    <t>U.S. GENERAL CONST</t>
  </si>
  <si>
    <t>9TH</t>
  </si>
  <si>
    <t>CANDELARIA HOMES LLC</t>
  </si>
  <si>
    <t>TDS</t>
  </si>
  <si>
    <t>REDWOOD</t>
  </si>
  <si>
    <t>SUMMERTREE HOME INC.</t>
  </si>
  <si>
    <t>COVENTRY HILLS</t>
  </si>
  <si>
    <t>BUILD-PRO LLC</t>
  </si>
  <si>
    <t>SWIFT BUILT OF NEW MEXICO, LLC</t>
  </si>
  <si>
    <t>NEZ PERCE</t>
  </si>
  <si>
    <t>RIO RUIDOSO</t>
  </si>
  <si>
    <t>DAB ENTERPRISES</t>
  </si>
  <si>
    <t>SANDY</t>
  </si>
  <si>
    <t>SUGAR RIDGE</t>
  </si>
  <si>
    <t>17A</t>
  </si>
  <si>
    <t>RICARDO CARRILLO CUSTOM HOMES</t>
  </si>
  <si>
    <t>CRESCENT CUSTOM HOMES, INC.</t>
  </si>
  <si>
    <t>CELEBRITY HOMES</t>
  </si>
  <si>
    <t>AMTEK BUILDERS</t>
  </si>
  <si>
    <t>36TH</t>
  </si>
  <si>
    <t>11B</t>
  </si>
  <si>
    <t>RIVER DANCE CONSTRUCTION, LLC</t>
  </si>
  <si>
    <t>POOL</t>
  </si>
  <si>
    <t>NEW MEXICO POOLS AND SPAS INC</t>
  </si>
  <si>
    <t>ALPHA</t>
  </si>
  <si>
    <t>MAGIC ROOFING AND CONSTRUCTION</t>
  </si>
  <si>
    <t>ASHKIRK</t>
  </si>
  <si>
    <t>BLUE QUAIL</t>
  </si>
  <si>
    <t>BLUEBERRY</t>
  </si>
  <si>
    <t>CABEZON</t>
  </si>
  <si>
    <t>1A1A1</t>
  </si>
  <si>
    <t>CALIFORNIA PINE</t>
  </si>
  <si>
    <t>HUMPHEY BUILDERS</t>
  </si>
  <si>
    <t>CASPER</t>
  </si>
  <si>
    <t>COMANCHE</t>
  </si>
  <si>
    <t>PDS</t>
  </si>
  <si>
    <t>CROW</t>
  </si>
  <si>
    <t>7A</t>
  </si>
  <si>
    <t>DOVE</t>
  </si>
  <si>
    <t>EL BARDO</t>
  </si>
  <si>
    <t>EDDIE'S CONST. LLC</t>
  </si>
  <si>
    <t>GRAY HAWK</t>
  </si>
  <si>
    <t>GHE</t>
  </si>
  <si>
    <t>RIGHT WAY ROOFING</t>
  </si>
  <si>
    <t>HAWK</t>
  </si>
  <si>
    <t>9A</t>
  </si>
  <si>
    <t>NH02</t>
  </si>
  <si>
    <t>DONNELLY ROOFING</t>
  </si>
  <si>
    <t>ITASCA</t>
  </si>
  <si>
    <t>140A</t>
  </si>
  <si>
    <t>BAC ENTERPRISES</t>
  </si>
  <si>
    <t>LYRA</t>
  </si>
  <si>
    <t>LIGHTNING ROOFING</t>
  </si>
  <si>
    <t>PEARL</t>
  </si>
  <si>
    <t>COUNTRY DECKS UNLIMITED H.D</t>
  </si>
  <si>
    <t>GREG VAN CLEVE BUILDERS &amp; FUTU</t>
  </si>
  <si>
    <t>ROUGH</t>
  </si>
  <si>
    <t>SAND DUNE</t>
  </si>
  <si>
    <t>ALDERMILL INC.</t>
  </si>
  <si>
    <t>CREGO ROOFING INC</t>
  </si>
  <si>
    <t>SPRUCE MOUNTAIN</t>
  </si>
  <si>
    <t>CN3R1</t>
  </si>
  <si>
    <t>WHITLOCK ENTERPRISES LLC</t>
  </si>
  <si>
    <t>SPYGLASS</t>
  </si>
  <si>
    <t>EST1</t>
  </si>
  <si>
    <t>STALLION</t>
  </si>
  <si>
    <t>AIR TIGHT ROOFING</t>
  </si>
  <si>
    <t>VEJA BAJA</t>
  </si>
  <si>
    <t>WAGON TRAIN</t>
  </si>
  <si>
    <t>PH</t>
  </si>
  <si>
    <t>A-2-Z ROOFING LLC SUITE A-198</t>
  </si>
  <si>
    <t>WEST ISLAND</t>
  </si>
  <si>
    <t>ENCL</t>
  </si>
  <si>
    <t>MASTER OF ALL TRADES</t>
  </si>
  <si>
    <t>WESTERN HILLS</t>
  </si>
  <si>
    <t>CASTILLO'S BUILDER</t>
  </si>
  <si>
    <t>14TH</t>
  </si>
  <si>
    <t>SHED</t>
  </si>
  <si>
    <t>CONSOLIDATED SOLAR TECHNOLOGIE</t>
  </si>
  <si>
    <t>MONTIANO</t>
  </si>
  <si>
    <t>VALUATION 
TOTAL</t>
  </si>
  <si>
    <t>BARBARA</t>
  </si>
  <si>
    <t>CREST VIEW</t>
  </si>
  <si>
    <t>MPR</t>
  </si>
  <si>
    <t>A7</t>
  </si>
  <si>
    <t>IRRIG</t>
  </si>
  <si>
    <t>5A1</t>
  </si>
  <si>
    <t>HILL</t>
  </si>
  <si>
    <t>PINNACLE</t>
  </si>
  <si>
    <t>HR</t>
  </si>
  <si>
    <t>10A</t>
  </si>
  <si>
    <t>2B</t>
  </si>
  <si>
    <t>CBCM</t>
  </si>
  <si>
    <t>ALLEGHENY</t>
  </si>
  <si>
    <t>BARONA</t>
  </si>
  <si>
    <t>RORP2</t>
  </si>
  <si>
    <t>CORTINA</t>
  </si>
  <si>
    <t>ATH</t>
  </si>
  <si>
    <t>DESERT PINON</t>
  </si>
  <si>
    <t>GOLF COURSE</t>
  </si>
  <si>
    <t>GOODWIN</t>
  </si>
  <si>
    <t>GREGG</t>
  </si>
  <si>
    <t>JANE</t>
  </si>
  <si>
    <t>JAPURA</t>
  </si>
  <si>
    <t>MACKENZIE</t>
  </si>
  <si>
    <t>EH1</t>
  </si>
  <si>
    <t>28B</t>
  </si>
  <si>
    <t>MINTURN</t>
  </si>
  <si>
    <t>LM</t>
  </si>
  <si>
    <t>NAVAJO</t>
  </si>
  <si>
    <t>PETROGLYPH</t>
  </si>
  <si>
    <t>PROCYON</t>
  </si>
  <si>
    <t>RANCHITOS</t>
  </si>
  <si>
    <t>RANCHO ORO</t>
  </si>
  <si>
    <t>RINCON DE ROMOS</t>
  </si>
  <si>
    <t>RIO VISTA</t>
  </si>
  <si>
    <t>SIENNA</t>
  </si>
  <si>
    <t>SIERRA NORTE</t>
  </si>
  <si>
    <t>SN2</t>
  </si>
  <si>
    <t>SONORA</t>
  </si>
  <si>
    <t>SUGAR</t>
  </si>
  <si>
    <t>SH2</t>
  </si>
  <si>
    <t>32A</t>
  </si>
  <si>
    <t>TIMOR</t>
  </si>
  <si>
    <t>CEDH4</t>
  </si>
  <si>
    <t>TRAMVIEW</t>
  </si>
  <si>
    <t>TREVISO</t>
  </si>
  <si>
    <t>URANIUM</t>
  </si>
  <si>
    <t>AA</t>
  </si>
  <si>
    <t>28A</t>
  </si>
  <si>
    <t>WHISPERING MEADOWS</t>
  </si>
  <si>
    <t>NMED11</t>
  </si>
  <si>
    <t>YUCATAN</t>
  </si>
  <si>
    <t>13TH</t>
  </si>
  <si>
    <t>LASER</t>
  </si>
  <si>
    <t>VH4</t>
  </si>
  <si>
    <t>1A1</t>
  </si>
  <si>
    <t>ARCE</t>
  </si>
  <si>
    <t>BOGIE</t>
  </si>
  <si>
    <t>BUCKAROO</t>
  </si>
  <si>
    <t>CALLE CONEJO</t>
  </si>
  <si>
    <t>CAMACHO</t>
  </si>
  <si>
    <t>27A</t>
  </si>
  <si>
    <t>CASTLE ROCK</t>
  </si>
  <si>
    <t>CHAPINGO</t>
  </si>
  <si>
    <t>EVEREST</t>
  </si>
  <si>
    <t>OAKMOUNT</t>
  </si>
  <si>
    <t>PERIDOT</t>
  </si>
  <si>
    <t>PUMICE</t>
  </si>
  <si>
    <t>PYRITE</t>
  </si>
  <si>
    <t>VHW3</t>
  </si>
  <si>
    <t>SLICE</t>
  </si>
  <si>
    <t>VALLEY MEADOWS</t>
  </si>
  <si>
    <t>NMED10</t>
  </si>
  <si>
    <t>WYOMING AUTUMN</t>
  </si>
  <si>
    <t>ACADIA</t>
  </si>
  <si>
    <t>CHR</t>
  </si>
  <si>
    <t>ALBANY HILLS</t>
  </si>
  <si>
    <t>EH4</t>
  </si>
  <si>
    <t>APACHE</t>
  </si>
  <si>
    <t>CEDH6</t>
  </si>
  <si>
    <t>APACHE PLUME</t>
  </si>
  <si>
    <t>ASTURIA</t>
  </si>
  <si>
    <t>BETH</t>
  </si>
  <si>
    <t>CALLE PLACITAS</t>
  </si>
  <si>
    <t>BERN</t>
  </si>
  <si>
    <t>CARRIZO</t>
  </si>
  <si>
    <t>CHICOMA</t>
  </si>
  <si>
    <t>CHIP</t>
  </si>
  <si>
    <t>CHRISTOPHER</t>
  </si>
  <si>
    <t>COCHITI</t>
  </si>
  <si>
    <t>NMED14</t>
  </si>
  <si>
    <t>DIAMOND PEAK</t>
  </si>
  <si>
    <t>HONDO</t>
  </si>
  <si>
    <t>12A</t>
  </si>
  <si>
    <t>LEE</t>
  </si>
  <si>
    <t>EH2</t>
  </si>
  <si>
    <t>MAPLE MEADOWS</t>
  </si>
  <si>
    <t>MEADOWLARK</t>
  </si>
  <si>
    <t>MC</t>
  </si>
  <si>
    <t>ML</t>
  </si>
  <si>
    <t>MINDORO</t>
  </si>
  <si>
    <t>SH2R2</t>
  </si>
  <si>
    <t>MIRADOR</t>
  </si>
  <si>
    <t>MDS</t>
  </si>
  <si>
    <t>MORNING MEADOWS</t>
  </si>
  <si>
    <t>NYASA</t>
  </si>
  <si>
    <t>PALENQUE</t>
  </si>
  <si>
    <t>PANORAMA HEIGHTS</t>
  </si>
  <si>
    <t>PEPE ORTIZ</t>
  </si>
  <si>
    <t>PLAYER</t>
  </si>
  <si>
    <t>PORTAFINO</t>
  </si>
  <si>
    <t>PURPLE ASTER</t>
  </si>
  <si>
    <t>REYNOSA</t>
  </si>
  <si>
    <t>RIO MIMBRES</t>
  </si>
  <si>
    <t>SHENANDOAH RIVER</t>
  </si>
  <si>
    <t>SHIPROCK</t>
  </si>
  <si>
    <t>EH14A</t>
  </si>
  <si>
    <t>SIDEWINDER</t>
  </si>
  <si>
    <t>NMED16</t>
  </si>
  <si>
    <t>RRSHOP</t>
  </si>
  <si>
    <t>TECAMAC</t>
  </si>
  <si>
    <t>TETON</t>
  </si>
  <si>
    <t>TROON</t>
  </si>
  <si>
    <t>CG</t>
  </si>
  <si>
    <t>TWIN BUTTES</t>
  </si>
  <si>
    <t>VERBENA</t>
  </si>
  <si>
    <t>NH07</t>
  </si>
  <si>
    <t>WHEELER PEAK</t>
  </si>
  <si>
    <t>WHITEWATER</t>
  </si>
  <si>
    <t>ELECTRICAL
TOTAL</t>
  </si>
  <si>
    <t>PLUMBING
TOTAL</t>
  </si>
  <si>
    <t>COUNTRY CLUB</t>
  </si>
  <si>
    <t>CCV</t>
  </si>
  <si>
    <t>10K QUALITY BUILDERS</t>
  </si>
  <si>
    <t>PLUMA, LLC DBA PLUMA CONSTRUCT</t>
  </si>
  <si>
    <t>BRYCON CORPORATION</t>
  </si>
  <si>
    <t>RICHARDSON &amp; RICHARDSON</t>
  </si>
  <si>
    <t>CALLE INDUSTRIAL</t>
  </si>
  <si>
    <t>COLLINS ENGINE GENERATOR</t>
  </si>
  <si>
    <t>DATA CELL SYSTEM INC</t>
  </si>
  <si>
    <t>OLEANDER</t>
  </si>
  <si>
    <t>PROGRESS</t>
  </si>
  <si>
    <t>U21</t>
  </si>
  <si>
    <t>REROOF EXISTING CARPORT</t>
  </si>
  <si>
    <t>BANK REMODEL</t>
  </si>
  <si>
    <t>RESTAURANT TI</t>
  </si>
  <si>
    <t>REROOF</t>
  </si>
  <si>
    <t>DENTAL  OFFICE TI</t>
  </si>
  <si>
    <t>FINANCE OFFICE TI</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</si>
</sst>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Red]#,##0"/>
    <numFmt numFmtId="165" formatCode="&quot;$&quot;#,##0;[Red]&quot;$&quot;#,##0"/>
    <numFmt numFmtId="166" formatCode="&quot;$&quot;#,##0"/>
  </numFmts>
  <fonts count="19" x14ac:knownFonts="1">
    <font>
      <sz val="10"/>
      <name val="Arial"/>
    </font>
    <font>
      <sz val="8"/>
      <name val="Arial"/>
      <family val="2"/>
    </font>
    <font>
      <b/>
      <u/>
      <sz val="8"/>
      <name val="Arial"/>
      <family val="2"/>
    </font>
    <font>
      <b/>
      <i/>
      <u/>
      <sz val="8"/>
      <name val="Arial"/>
      <family val="2"/>
    </font>
    <font>
      <u/>
      <sz val="8"/>
      <name val="Arial"/>
      <family val="2"/>
    </font>
    <font>
      <b/>
      <sz val="8"/>
      <name val="Arial"/>
      <family val="2"/>
    </font>
    <font>
      <sz val="6"/>
      <name val="Arial"/>
      <family val="2"/>
    </font>
    <font>
      <vertAlign val="subscript"/>
      <sz val="6"/>
      <name val="Arial"/>
      <family val="2"/>
    </font>
    <font>
      <b/>
      <vertAlign val="subscript"/>
      <sz val="5"/>
      <color indexed="10"/>
      <name val="Arial"/>
      <family val="2"/>
    </font>
    <font>
      <b/>
      <u/>
      <sz val="8"/>
      <name val="Arial"/>
      <family val="2"/>
    </font>
    <font>
      <b/>
      <sz val="8"/>
      <name val="Arial"/>
      <family val="2"/>
    </font>
    <font>
      <sz val="8"/>
      <name val="Arial"/>
      <family val="2"/>
    </font>
    <font>
      <u/>
      <sz val="8"/>
      <color theme="1"/>
      <name val="Calibri"/>
      <family val="2"/>
      <scheme val="minor"/>
    </font>
    <font>
      <b/>
      <i/>
      <u/>
      <sz val="8"/>
      <name val="Arial"/>
      <family val="2"/>
    </font>
    <font>
      <u/>
      <sz val="8"/>
      <name val="Arial"/>
      <family val="2"/>
    </font>
    <font>
      <b/>
      <u/>
      <vertAlign val="subscript"/>
      <sz val="5"/>
      <color indexed="10"/>
      <name val="Arial"/>
      <family val="2"/>
    </font>
    <font>
      <u/>
      <sz val="10"/>
      <color theme="10"/>
      <name val="Arial"/>
      <family val="2"/>
    </font>
    <font>
      <u/>
      <sz val="10"/>
      <color theme="11"/>
      <name val="Arial"/>
      <family val="2"/>
    </font>
    <font>
      <b/>
      <sz val="10"/>
      <name val="Arial"/>
      <family val="2"/>
    </font>
  </fonts>
  <fills count="8">
    <fill>
      <patternFill patternType="none"/>
    </fill>
    <fill>
      <patternFill patternType="gray125"/>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
      <patternFill patternType="solid">
        <fgColor theme="1"/>
        <bgColor indexed="64"/>
      </patternFill>
    </fill>
    <fill>
      <patternFill patternType="solid">
        <fgColor theme="0" tint="-4.9989318521683403E-2"/>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5">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cellStyleXfs>
  <cellXfs count="122">
    <xf numFmtId="0" fontId="0" fillId="0" borderId="0" xfId="0"/>
    <xf numFmtId="0" fontId="1" fillId="0" borderId="0" xfId="0" applyFont="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Font="1"/>
    <xf numFmtId="0" fontId="1" fillId="0" borderId="0" xfId="0" applyFont="1" applyBorder="1" applyAlignment="1">
      <alignment horizontal="center"/>
    </xf>
    <xf numFmtId="0" fontId="5" fillId="0" borderId="0" xfId="0" applyFont="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xf>
    <xf numFmtId="164" fontId="2" fillId="0" borderId="1" xfId="0" applyNumberFormat="1" applyFont="1" applyBorder="1" applyAlignment="1">
      <alignment horizontal="center" wrapText="1"/>
    </xf>
    <xf numFmtId="0" fontId="1" fillId="0" borderId="2" xfId="0" applyFont="1" applyBorder="1" applyAlignment="1">
      <alignment horizontal="center" wrapText="1"/>
    </xf>
    <xf numFmtId="0" fontId="4" fillId="0" borderId="2" xfId="0" applyFont="1" applyBorder="1" applyAlignment="1">
      <alignment horizontal="center" wrapText="1"/>
    </xf>
    <xf numFmtId="0" fontId="4" fillId="0" borderId="2" xfId="0" applyFont="1" applyBorder="1" applyAlignment="1">
      <alignment horizontal="center"/>
    </xf>
    <xf numFmtId="0" fontId="1" fillId="0" borderId="1" xfId="0" applyFont="1" applyBorder="1"/>
    <xf numFmtId="0" fontId="1" fillId="0" borderId="0" xfId="0" applyFont="1" applyBorder="1"/>
    <xf numFmtId="0" fontId="0" fillId="0" borderId="0" xfId="0" applyBorder="1"/>
    <xf numFmtId="165" fontId="1" fillId="0" borderId="0" xfId="0" applyNumberFormat="1" applyFont="1" applyAlignment="1">
      <alignment horizontal="center"/>
    </xf>
    <xf numFmtId="165" fontId="2" fillId="0" borderId="1" xfId="0" applyNumberFormat="1" applyFont="1" applyBorder="1" applyAlignment="1">
      <alignment horizontal="center"/>
    </xf>
    <xf numFmtId="0" fontId="3" fillId="0" borderId="1" xfId="0" applyFont="1" applyBorder="1" applyAlignment="1">
      <alignment horizontal="center"/>
    </xf>
    <xf numFmtId="0" fontId="2" fillId="0" borderId="0" xfId="0" applyFont="1" applyBorder="1" applyAlignment="1">
      <alignment horizontal="center"/>
    </xf>
    <xf numFmtId="0" fontId="1" fillId="0" borderId="0" xfId="0" applyFont="1" applyFill="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164" fontId="1" fillId="0" borderId="0" xfId="0" applyNumberFormat="1" applyFont="1" applyBorder="1" applyAlignment="1">
      <alignment horizontal="center"/>
    </xf>
    <xf numFmtId="164" fontId="2" fillId="0" borderId="0" xfId="0" applyNumberFormat="1" applyFont="1" applyFill="1" applyBorder="1" applyAlignment="1">
      <alignment horizontal="center"/>
    </xf>
    <xf numFmtId="164" fontId="1" fillId="3" borderId="4" xfId="0" applyNumberFormat="1" applyFont="1" applyFill="1" applyBorder="1" applyAlignment="1">
      <alignment horizontal="center"/>
    </xf>
    <xf numFmtId="0" fontId="1"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4" xfId="0" applyFont="1" applyFill="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5" fillId="0" borderId="7" xfId="0" applyFont="1" applyFill="1" applyBorder="1" applyAlignment="1">
      <alignment horizontal="center" wrapText="1"/>
    </xf>
    <xf numFmtId="0" fontId="5" fillId="0" borderId="7" xfId="0" applyFont="1" applyFill="1" applyBorder="1" applyAlignment="1">
      <alignment horizontal="center"/>
    </xf>
    <xf numFmtId="0" fontId="4" fillId="0" borderId="1" xfId="0" applyFont="1" applyBorder="1" applyAlignment="1">
      <alignment horizontal="center" wrapText="1"/>
    </xf>
    <xf numFmtId="0" fontId="5" fillId="0" borderId="0" xfId="0" applyFont="1" applyAlignment="1"/>
    <xf numFmtId="0" fontId="2" fillId="0" borderId="0" xfId="0" applyFont="1" applyAlignment="1"/>
    <xf numFmtId="165" fontId="1" fillId="0" borderId="0" xfId="0" applyNumberFormat="1" applyFont="1" applyBorder="1" applyAlignment="1">
      <alignment horizontal="center"/>
    </xf>
    <xf numFmtId="165" fontId="1" fillId="0" borderId="2" xfId="0" applyNumberFormat="1" applyFont="1" applyBorder="1" applyAlignment="1">
      <alignment horizontal="center"/>
    </xf>
    <xf numFmtId="165" fontId="1" fillId="2" borderId="5" xfId="0" applyNumberFormat="1" applyFont="1" applyFill="1" applyBorder="1" applyAlignment="1">
      <alignment horizontal="center"/>
    </xf>
    <xf numFmtId="0" fontId="6" fillId="0" borderId="0" xfId="0" applyFont="1" applyAlignment="1">
      <alignment horizontal="center"/>
    </xf>
    <xf numFmtId="165" fontId="5" fillId="0" borderId="0" xfId="0" applyNumberFormat="1" applyFont="1" applyFill="1" applyBorder="1" applyAlignment="1">
      <alignment horizontal="center"/>
    </xf>
    <xf numFmtId="165" fontId="1" fillId="3" borderId="4" xfId="0" applyNumberFormat="1" applyFont="1" applyFill="1" applyBorder="1" applyAlignment="1">
      <alignment horizontal="center"/>
    </xf>
    <xf numFmtId="0" fontId="1" fillId="4" borderId="1" xfId="0" applyFont="1" applyFill="1" applyBorder="1" applyAlignment="1">
      <alignment horizontal="center"/>
    </xf>
    <xf numFmtId="0" fontId="1" fillId="2" borderId="4" xfId="0" applyFont="1" applyFill="1" applyBorder="1" applyAlignment="1">
      <alignment horizontal="center"/>
    </xf>
    <xf numFmtId="164" fontId="1" fillId="0" borderId="2" xfId="0" applyNumberFormat="1" applyFont="1" applyBorder="1" applyAlignment="1">
      <alignment horizontal="center"/>
    </xf>
    <xf numFmtId="164" fontId="1" fillId="2" borderId="4" xfId="0" applyNumberFormat="1" applyFont="1" applyFill="1" applyBorder="1" applyAlignment="1">
      <alignment horizontal="center"/>
    </xf>
    <xf numFmtId="0" fontId="9" fillId="0" borderId="1" xfId="0" applyFont="1" applyBorder="1" applyAlignment="1">
      <alignment horizontal="center"/>
    </xf>
    <xf numFmtId="0" fontId="11" fillId="0" borderId="1" xfId="0" applyFont="1" applyBorder="1" applyAlignment="1">
      <alignment horizontal="center"/>
    </xf>
    <xf numFmtId="165" fontId="11" fillId="0" borderId="0" xfId="0" applyNumberFormat="1" applyFont="1" applyAlignment="1">
      <alignment horizontal="center"/>
    </xf>
    <xf numFmtId="0" fontId="11" fillId="0" borderId="0" xfId="0" applyFont="1" applyAlignment="1">
      <alignment horizontal="center" wrapText="1"/>
    </xf>
    <xf numFmtId="0" fontId="10" fillId="0" borderId="0" xfId="0" applyFont="1" applyAlignment="1">
      <alignment horizontal="center"/>
    </xf>
    <xf numFmtId="0" fontId="11" fillId="0" borderId="0" xfId="0" applyFont="1" applyAlignment="1">
      <alignment horizontal="center"/>
    </xf>
    <xf numFmtId="164" fontId="11" fillId="0" borderId="0" xfId="0" applyNumberFormat="1" applyFont="1" applyAlignment="1">
      <alignment horizontal="center"/>
    </xf>
    <xf numFmtId="0" fontId="13" fillId="0" borderId="0" xfId="0" applyFont="1" applyAlignment="1">
      <alignment horizontal="center"/>
    </xf>
    <xf numFmtId="0" fontId="9" fillId="0" borderId="1" xfId="0" applyFont="1" applyBorder="1" applyAlignment="1">
      <alignment horizontal="center" wrapText="1"/>
    </xf>
    <xf numFmtId="164" fontId="9" fillId="0" borderId="1" xfId="0" applyNumberFormat="1" applyFont="1" applyBorder="1" applyAlignment="1">
      <alignment horizontal="center" wrapText="1"/>
    </xf>
    <xf numFmtId="0" fontId="11" fillId="0" borderId="2" xfId="0" applyFont="1" applyBorder="1" applyAlignment="1">
      <alignment horizontal="center" wrapText="1"/>
    </xf>
    <xf numFmtId="0" fontId="14" fillId="0" borderId="2" xfId="0" applyFont="1" applyBorder="1" applyAlignment="1">
      <alignment horizontal="center" wrapText="1"/>
    </xf>
    <xf numFmtId="0" fontId="14" fillId="0" borderId="2" xfId="0" applyFont="1" applyBorder="1" applyAlignment="1">
      <alignment horizontal="center"/>
    </xf>
    <xf numFmtId="164" fontId="11" fillId="0" borderId="2" xfId="0" applyNumberFormat="1" applyFont="1" applyBorder="1" applyAlignment="1">
      <alignment horizontal="center"/>
    </xf>
    <xf numFmtId="0" fontId="11" fillId="0" borderId="2" xfId="0" applyFont="1" applyBorder="1" applyAlignment="1">
      <alignment horizontal="center"/>
    </xf>
    <xf numFmtId="0" fontId="11" fillId="2" borderId="1" xfId="0" applyFont="1" applyFill="1" applyBorder="1" applyAlignment="1">
      <alignment horizontal="center"/>
    </xf>
    <xf numFmtId="164" fontId="11" fillId="2" borderId="1" xfId="0" applyNumberFormat="1" applyFont="1" applyFill="1" applyBorder="1" applyAlignment="1">
      <alignment horizontal="center"/>
    </xf>
    <xf numFmtId="0" fontId="11" fillId="0" borderId="0" xfId="0" applyFont="1"/>
    <xf numFmtId="0" fontId="14" fillId="0" borderId="1" xfId="0" applyFont="1" applyBorder="1" applyAlignment="1">
      <alignment horizontal="center" wrapText="1"/>
    </xf>
    <xf numFmtId="0" fontId="14" fillId="0" borderId="0" xfId="0" applyFont="1" applyAlignment="1">
      <alignment horizontal="center"/>
    </xf>
    <xf numFmtId="0" fontId="11" fillId="0" borderId="1" xfId="0" applyFont="1" applyBorder="1"/>
    <xf numFmtId="0" fontId="11" fillId="4" borderId="3" xfId="0" applyFont="1" applyFill="1" applyBorder="1" applyAlignment="1">
      <alignment horizontal="center" wrapText="1"/>
    </xf>
    <xf numFmtId="0" fontId="14" fillId="4" borderId="4" xfId="0" applyFont="1" applyFill="1" applyBorder="1" applyAlignment="1">
      <alignment horizontal="center" wrapText="1"/>
    </xf>
    <xf numFmtId="0" fontId="14" fillId="4" borderId="4" xfId="0" applyFont="1" applyFill="1" applyBorder="1" applyAlignment="1">
      <alignment horizontal="center"/>
    </xf>
    <xf numFmtId="0" fontId="11" fillId="4" borderId="4" xfId="0" applyFont="1" applyFill="1" applyBorder="1" applyAlignment="1">
      <alignment horizontal="center"/>
    </xf>
    <xf numFmtId="0" fontId="11" fillId="4" borderId="5" xfId="0" applyFont="1" applyFill="1" applyBorder="1" applyAlignment="1">
      <alignment horizontal="center"/>
    </xf>
    <xf numFmtId="0" fontId="11" fillId="5" borderId="4" xfId="0" applyFont="1" applyFill="1" applyBorder="1"/>
    <xf numFmtId="0" fontId="11" fillId="5" borderId="5" xfId="0" applyFont="1" applyFill="1" applyBorder="1"/>
    <xf numFmtId="0" fontId="11" fillId="0" borderId="0"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1" fillId="0" borderId="11" xfId="0" applyFont="1" applyBorder="1" applyAlignment="1">
      <alignment horizontal="center"/>
    </xf>
    <xf numFmtId="0" fontId="5" fillId="0" borderId="1" xfId="0" applyFont="1" applyBorder="1" applyAlignment="1">
      <alignment horizontal="center" wrapText="1"/>
    </xf>
    <xf numFmtId="165" fontId="9" fillId="0" borderId="1" xfId="0" applyNumberFormat="1" applyFont="1" applyBorder="1" applyAlignment="1">
      <alignment horizontal="center"/>
    </xf>
    <xf numFmtId="165" fontId="11" fillId="0" borderId="8" xfId="0" applyNumberFormat="1" applyFont="1" applyBorder="1" applyAlignment="1">
      <alignment horizontal="center"/>
    </xf>
    <xf numFmtId="165" fontId="11" fillId="2" borderId="1" xfId="0" applyNumberFormat="1" applyFont="1" applyFill="1" applyBorder="1" applyAlignment="1">
      <alignment horizontal="center"/>
    </xf>
    <xf numFmtId="0" fontId="18" fillId="0" borderId="0" xfId="0" applyNumberFormat="1" applyFont="1" applyAlignment="1">
      <alignment vertical="top" wrapText="1"/>
    </xf>
    <xf numFmtId="0" fontId="0" fillId="0" borderId="0" xfId="0" applyNumberFormat="1" applyAlignment="1">
      <alignment vertical="top" wrapText="1"/>
    </xf>
    <xf numFmtId="0" fontId="0" fillId="0" borderId="12" xfId="0" applyNumberFormat="1" applyBorder="1" applyAlignment="1">
      <alignment vertical="top" wrapText="1"/>
    </xf>
    <xf numFmtId="0" fontId="0" fillId="0" borderId="13" xfId="0" applyNumberFormat="1" applyBorder="1" applyAlignment="1">
      <alignment vertical="top" wrapText="1"/>
    </xf>
    <xf numFmtId="0" fontId="18"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13" xfId="0" applyNumberFormat="1" applyBorder="1" applyAlignment="1">
      <alignment horizontal="center" vertical="top" wrapText="1"/>
    </xf>
    <xf numFmtId="0" fontId="0" fillId="0" borderId="14" xfId="0" applyNumberFormat="1" applyBorder="1" applyAlignment="1">
      <alignment horizontal="center" vertical="top" wrapText="1"/>
    </xf>
    <xf numFmtId="165" fontId="1" fillId="0" borderId="1" xfId="0" applyNumberFormat="1" applyFont="1" applyBorder="1" applyAlignment="1">
      <alignment horizontal="center"/>
    </xf>
    <xf numFmtId="0" fontId="5" fillId="0" borderId="1" xfId="0" applyFont="1" applyBorder="1" applyAlignment="1">
      <alignment horizontal="center"/>
    </xf>
    <xf numFmtId="165" fontId="5" fillId="0" borderId="1" xfId="0" applyNumberFormat="1" applyFont="1" applyBorder="1" applyAlignment="1">
      <alignment horizontal="center"/>
    </xf>
    <xf numFmtId="0" fontId="8" fillId="6" borderId="1" xfId="0" applyFont="1" applyFill="1" applyBorder="1" applyAlignment="1">
      <alignment horizontal="center"/>
    </xf>
    <xf numFmtId="0" fontId="7" fillId="6" borderId="1" xfId="0" applyFont="1" applyFill="1" applyBorder="1" applyAlignment="1">
      <alignment horizontal="center"/>
    </xf>
    <xf numFmtId="0" fontId="2" fillId="0" borderId="1" xfId="0" applyFont="1" applyFill="1" applyBorder="1" applyAlignment="1">
      <alignment horizontal="center" wrapText="1"/>
    </xf>
    <xf numFmtId="164" fontId="1" fillId="0" borderId="1" xfId="0" applyNumberFormat="1" applyFont="1" applyBorder="1" applyAlignment="1">
      <alignment horizontal="center"/>
    </xf>
    <xf numFmtId="0" fontId="1" fillId="0" borderId="1" xfId="0" applyFont="1" applyBorder="1" applyAlignment="1">
      <alignment horizontal="center" wrapText="1"/>
    </xf>
    <xf numFmtId="0" fontId="6" fillId="6" borderId="1" xfId="0" applyFont="1" applyFill="1" applyBorder="1" applyAlignment="1">
      <alignment horizontal="center"/>
    </xf>
    <xf numFmtId="166" fontId="1" fillId="0" borderId="1" xfId="0" applyNumberFormat="1" applyFont="1" applyBorder="1" applyAlignment="1">
      <alignment horizontal="center"/>
    </xf>
    <xf numFmtId="164" fontId="5" fillId="0" borderId="1" xfId="0" applyNumberFormat="1" applyFont="1" applyBorder="1" applyAlignment="1">
      <alignment horizontal="center" wrapText="1"/>
    </xf>
    <xf numFmtId="165" fontId="5" fillId="0" borderId="0" xfId="0" applyNumberFormat="1" applyFont="1" applyAlignment="1">
      <alignment horizontal="center"/>
    </xf>
    <xf numFmtId="0" fontId="5" fillId="0" borderId="0" xfId="0" applyFont="1" applyBorder="1" applyAlignment="1">
      <alignment horizontal="center"/>
    </xf>
    <xf numFmtId="0" fontId="18" fillId="0" borderId="0" xfId="0" applyFont="1" applyBorder="1"/>
    <xf numFmtId="0" fontId="18" fillId="0" borderId="0" xfId="0" applyFont="1"/>
    <xf numFmtId="0" fontId="4" fillId="0" borderId="1" xfId="0" applyFont="1" applyBorder="1" applyAlignment="1">
      <alignment horizontal="center"/>
    </xf>
    <xf numFmtId="0" fontId="1" fillId="7" borderId="1" xfId="0" applyFont="1" applyFill="1" applyBorder="1" applyAlignment="1">
      <alignment horizontal="center"/>
    </xf>
    <xf numFmtId="0" fontId="2" fillId="0" borderId="3" xfId="0" applyFont="1" applyBorder="1" applyAlignment="1">
      <alignment horizontal="center" wrapText="1"/>
    </xf>
    <xf numFmtId="0" fontId="0" fillId="0" borderId="5" xfId="0" applyBorder="1" applyAlignment="1">
      <alignment horizontal="center"/>
    </xf>
    <xf numFmtId="0" fontId="9" fillId="0" borderId="3" xfId="0" applyFont="1" applyBorder="1" applyAlignment="1">
      <alignment horizontal="center"/>
    </xf>
    <xf numFmtId="0" fontId="11" fillId="0" borderId="4" xfId="0" applyFont="1" applyBorder="1" applyAlignment="1">
      <alignment horizontal="center"/>
    </xf>
    <xf numFmtId="0" fontId="11" fillId="0" borderId="5" xfId="0" applyFont="1" applyBorder="1" applyAlignment="1">
      <alignment horizontal="center"/>
    </xf>
    <xf numFmtId="0" fontId="14" fillId="0" borderId="3" xfId="0" applyFont="1" applyBorder="1" applyAlignment="1">
      <alignment horizontal="center" wrapText="1" shrinkToFit="1"/>
    </xf>
    <xf numFmtId="0" fontId="12" fillId="0" borderId="5" xfId="0" applyFont="1" applyBorder="1" applyAlignment="1">
      <alignment horizontal="center" shrinkToFit="1"/>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CITY OF RIO RANCHO, NM</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DEVELOPMENT SERVICES DEPARTMENT</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CONSTRUCTION STARTS </a:t>
            </a:r>
          </a:p>
          <a:p>
            <a:pPr>
              <a:defRPr sz="1200" b="1" i="0" u="none" strike="noStrike" baseline="0">
                <a:solidFill>
                  <a:srgbClr val="000000"/>
                </a:solidFill>
                <a:latin typeface="Arial"/>
                <a:ea typeface="Arial"/>
                <a:cs typeface="Arial"/>
              </a:defRPr>
            </a:pPr>
            <a:r>
              <a:rPr lang="en-US" sz="1200" b="1" i="0" u="none" strike="noStrike" baseline="0">
                <a:solidFill>
                  <a:srgbClr val="FF9900"/>
                </a:solidFill>
                <a:latin typeface="Arial"/>
                <a:cs typeface="Arial"/>
              </a:rPr>
              <a:t> APRIL 2011</a:t>
            </a: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a:p>
        </c:rich>
      </c:tx>
      <c:layout>
        <c:manualLayout>
          <c:xMode val="edge"/>
          <c:yMode val="edge"/>
          <c:x val="0.31520532741398399"/>
          <c:y val="1.41043723554302E-2"/>
        </c:manualLayout>
      </c:layout>
      <c:overlay val="0"/>
      <c:spPr>
        <a:noFill/>
        <a:ln w="25400">
          <a:noFill/>
        </a:ln>
      </c:spPr>
    </c:title>
    <c:autoTitleDeleted val="0"/>
    <c:plotArea>
      <c:layout>
        <c:manualLayout>
          <c:layoutTarget val="inner"/>
          <c:xMode val="edge"/>
          <c:yMode val="edge"/>
          <c:x val="0.20976692563818"/>
          <c:y val="0.29478138222849098"/>
          <c:w val="0.40288568257491703"/>
          <c:h val="0.51198871650211597"/>
        </c:manualLayout>
      </c:layout>
      <c:pieChart>
        <c:varyColors val="1"/>
        <c:ser>
          <c:idx val="0"/>
          <c:order val="0"/>
          <c:spPr>
            <a:solidFill>
              <a:srgbClr val="9999FF"/>
            </a:solidFill>
            <a:ln w="12700">
              <a:solidFill>
                <a:srgbClr val="000000"/>
              </a:solidFill>
              <a:prstDash val="solid"/>
            </a:ln>
          </c:spPr>
          <c:dPt>
            <c:idx val="0"/>
            <c:bubble3D val="0"/>
          </c:dPt>
          <c:dPt>
            <c:idx val="1"/>
            <c:bubble3D val="0"/>
            <c:spPr>
              <a:solidFill>
                <a:srgbClr val="993366"/>
              </a:solidFill>
              <a:ln w="12700">
                <a:solidFill>
                  <a:srgbClr val="000000"/>
                </a:solidFill>
                <a:prstDash val="solid"/>
              </a:ln>
            </c:spPr>
          </c:dPt>
          <c:dPt>
            <c:idx val="2"/>
            <c:bubble3D val="0"/>
            <c:spPr>
              <a:solidFill>
                <a:srgbClr val="FFFFCC"/>
              </a:solidFill>
              <a:ln w="12700">
                <a:solidFill>
                  <a:srgbClr val="000000"/>
                </a:solidFill>
                <a:prstDash val="solid"/>
              </a:ln>
            </c:spPr>
          </c:dPt>
          <c:dPt>
            <c:idx val="3"/>
            <c:bubble3D val="0"/>
            <c:spPr>
              <a:solidFill>
                <a:srgbClr val="CCFFFF"/>
              </a:solidFill>
              <a:ln w="12700">
                <a:solidFill>
                  <a:srgbClr val="000000"/>
                </a:solidFill>
                <a:prstDash val="solid"/>
              </a:ln>
            </c:spPr>
          </c:dPt>
          <c:dPt>
            <c:idx val="4"/>
            <c:bubble3D val="0"/>
            <c:spPr>
              <a:solidFill>
                <a:srgbClr val="660066"/>
              </a:solidFill>
              <a:ln w="12700">
                <a:solidFill>
                  <a:srgbClr val="000000"/>
                </a:solidFill>
                <a:prstDash val="solid"/>
              </a:ln>
            </c:spPr>
          </c:dPt>
          <c:dPt>
            <c:idx val="5"/>
            <c:bubble3D val="0"/>
            <c:spPr>
              <a:solidFill>
                <a:srgbClr val="FF8080"/>
              </a:solidFill>
              <a:ln w="12700">
                <a:solidFill>
                  <a:srgbClr val="000000"/>
                </a:solidFill>
                <a:prstDash val="solid"/>
              </a:ln>
            </c:spPr>
          </c:dPt>
          <c:dPt>
            <c:idx val="6"/>
            <c:bubble3D val="0"/>
            <c:spPr>
              <a:solidFill>
                <a:srgbClr val="0066CC"/>
              </a:solidFill>
              <a:ln w="12700">
                <a:solidFill>
                  <a:srgbClr val="000000"/>
                </a:solidFill>
                <a:prstDash val="solid"/>
              </a:ln>
            </c:spPr>
          </c:dPt>
          <c:dLbls>
            <c:dLbl>
              <c:idx val="0"/>
              <c:layout>
                <c:manualLayout>
                  <c:xMode val="edge"/>
                  <c:yMode val="edge"/>
                  <c:x val="0.64372918978912297"/>
                  <c:y val="0.31734837799717902"/>
                </c:manualLayout>
              </c:layout>
              <c:dLblPos val="bestFit"/>
              <c:showLegendKey val="1"/>
              <c:showVal val="0"/>
              <c:showCatName val="1"/>
              <c:showSerName val="0"/>
              <c:showPercent val="1"/>
              <c:showBubbleSize val="0"/>
            </c:dLbl>
            <c:dLbl>
              <c:idx val="1"/>
              <c:layout>
                <c:manualLayout>
                  <c:xMode val="edge"/>
                  <c:yMode val="edge"/>
                  <c:x val="0.70477247502774698"/>
                  <c:y val="0.53596614950634702"/>
                </c:manualLayout>
              </c:layout>
              <c:dLblPos val="bestFit"/>
              <c:showLegendKey val="1"/>
              <c:showVal val="0"/>
              <c:showCatName val="1"/>
              <c:showSerName val="0"/>
              <c:showPercent val="1"/>
              <c:showBubbleSize val="0"/>
            </c:dLbl>
            <c:dLbl>
              <c:idx val="2"/>
              <c:layout>
                <c:manualLayout>
                  <c:xMode val="edge"/>
                  <c:yMode val="edge"/>
                  <c:x val="0.60155382907880095"/>
                  <c:y val="0.69534555712270796"/>
                </c:manualLayout>
              </c:layout>
              <c:dLblPos val="bestFit"/>
              <c:showLegendKey val="1"/>
              <c:showVal val="0"/>
              <c:showCatName val="1"/>
              <c:showSerName val="0"/>
              <c:showPercent val="1"/>
              <c:showBubbleSize val="0"/>
            </c:dLbl>
            <c:dLbl>
              <c:idx val="3"/>
              <c:layout>
                <c:manualLayout>
                  <c:xMode val="edge"/>
                  <c:yMode val="edge"/>
                  <c:x val="0.13651498335183099"/>
                  <c:y val="0.79548660084626199"/>
                </c:manualLayout>
              </c:layout>
              <c:dLblPos val="bestFit"/>
              <c:showLegendKey val="1"/>
              <c:showVal val="0"/>
              <c:showCatName val="1"/>
              <c:showSerName val="0"/>
              <c:showPercent val="1"/>
              <c:showBubbleSize val="0"/>
            </c:dLbl>
            <c:dLbl>
              <c:idx val="4"/>
              <c:layout>
                <c:manualLayout>
                  <c:xMode val="edge"/>
                  <c:yMode val="edge"/>
                  <c:x val="7.7691453940066602E-2"/>
                  <c:y val="0.349788434414669"/>
                </c:manualLayout>
              </c:layout>
              <c:dLblPos val="bestFit"/>
              <c:showLegendKey val="1"/>
              <c:showVal val="0"/>
              <c:showCatName val="1"/>
              <c:showSerName val="0"/>
              <c:showPercent val="1"/>
              <c:showBubbleSize val="0"/>
            </c:dLbl>
            <c:dLbl>
              <c:idx val="5"/>
              <c:layout>
                <c:manualLayout>
                  <c:xMode val="edge"/>
                  <c:yMode val="edge"/>
                  <c:x val="0.221975582685905"/>
                  <c:y val="0.21438645980253901"/>
                </c:manualLayout>
              </c:layout>
              <c:dLblPos val="bestFit"/>
              <c:showLegendKey val="1"/>
              <c:showVal val="0"/>
              <c:showCatName val="1"/>
              <c:showSerName val="0"/>
              <c:showPercent val="1"/>
              <c:showBubbleSize val="0"/>
            </c:dLbl>
            <c:dLbl>
              <c:idx val="6"/>
              <c:layout>
                <c:manualLayout>
                  <c:xMode val="edge"/>
                  <c:yMode val="edge"/>
                  <c:x val="0.36847946725860198"/>
                  <c:y val="0.20028208744710899"/>
                </c:manualLayout>
              </c:layout>
              <c:dLblPos val="bestFit"/>
              <c:showLegendKey val="1"/>
              <c:showVal val="0"/>
              <c:showCatName val="1"/>
              <c:showSerName val="0"/>
              <c:showPercent val="1"/>
              <c:showBubbleSize val="0"/>
            </c:dLbl>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dLbls>
          <c:cat>
            <c:strRef>
              <c:f>DATA!$A$1:$A$7</c:f>
              <c:strCache>
                <c:ptCount val="7"/>
                <c:pt idx="0">
                  <c:v>SFR Starts</c:v>
                </c:pt>
                <c:pt idx="1">
                  <c:v>Addition</c:v>
                </c:pt>
                <c:pt idx="2">
                  <c:v>Electrical Permits</c:v>
                </c:pt>
                <c:pt idx="3">
                  <c:v>Mechanical Permits</c:v>
                </c:pt>
                <c:pt idx="4">
                  <c:v>Plumbing Permits</c:v>
                </c:pt>
                <c:pt idx="5">
                  <c:v>Multi-Family</c:v>
                </c:pt>
                <c:pt idx="6">
                  <c:v>Non-Residential</c:v>
                </c:pt>
              </c:strCache>
            </c:strRef>
          </c:cat>
          <c:val>
            <c:numRef>
              <c:f>DATA!$C$1:$C$7</c:f>
              <c:numCache>
                <c:formatCode>General</c:formatCode>
                <c:ptCount val="7"/>
                <c:pt idx="0">
                  <c:v>44</c:v>
                </c:pt>
                <c:pt idx="1">
                  <c:v>50</c:v>
                </c:pt>
                <c:pt idx="2">
                  <c:v>122</c:v>
                </c:pt>
                <c:pt idx="3">
                  <c:v>80</c:v>
                </c:pt>
                <c:pt idx="4">
                  <c:v>130</c:v>
                </c:pt>
                <c:pt idx="5">
                  <c:v>0</c:v>
                </c:pt>
                <c:pt idx="6">
                  <c:v>2</c:v>
                </c:pt>
              </c:numCache>
            </c:numRef>
          </c:val>
        </c:ser>
        <c:dLbls>
          <c:showLegendKey val="1"/>
          <c:showVal val="0"/>
          <c:showCatName val="1"/>
          <c:showSerName val="0"/>
          <c:showPercent val="1"/>
          <c:showBubbleSize val="0"/>
          <c:showLeaderLines val="1"/>
        </c:dLbls>
        <c:firstSliceAng val="0"/>
      </c:pieChart>
      <c:spPr>
        <a:noFill/>
        <a:ln w="25400">
          <a:noFill/>
        </a:ln>
      </c:spPr>
    </c:plotArea>
    <c:legend>
      <c:legendPos val="r"/>
      <c:layout>
        <c:manualLayout>
          <c:xMode val="edge"/>
          <c:yMode val="edge"/>
          <c:x val="0.79467258601553803"/>
          <c:y val="0.18617771509167799"/>
          <c:w val="0.18091009988901199"/>
          <c:h val="0.6882933709449929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0.5" bottom="0.5" header="0.5" footer="0.5"/>
  <pageSetup orientation="landscape"/>
  <headerFooter alignWithMargins="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123825</xdr:colOff>
      <xdr:row>2</xdr:row>
      <xdr:rowOff>123825</xdr:rowOff>
    </xdr:to>
    <xdr:pic>
      <xdr:nvPicPr>
        <xdr:cNvPr id="1025"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619125</xdr:colOff>
      <xdr:row>0</xdr:row>
      <xdr:rowOff>0</xdr:rowOff>
    </xdr:from>
    <xdr:to>
      <xdr:col>14</xdr:col>
      <xdr:colOff>1428750</xdr:colOff>
      <xdr:row>2</xdr:row>
      <xdr:rowOff>123825</xdr:rowOff>
    </xdr:to>
    <xdr:pic>
      <xdr:nvPicPr>
        <xdr:cNvPr id="1026"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7375"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28575</xdr:colOff>
      <xdr:row>2</xdr:row>
      <xdr:rowOff>123825</xdr:rowOff>
    </xdr:to>
    <xdr:pic>
      <xdr:nvPicPr>
        <xdr:cNvPr id="2049"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95250</xdr:colOff>
      <xdr:row>0</xdr:row>
      <xdr:rowOff>0</xdr:rowOff>
    </xdr:from>
    <xdr:to>
      <xdr:col>13</xdr:col>
      <xdr:colOff>904875</xdr:colOff>
      <xdr:row>2</xdr:row>
      <xdr:rowOff>123825</xdr:rowOff>
    </xdr:to>
    <xdr:pic>
      <xdr:nvPicPr>
        <xdr:cNvPr id="2050"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5725"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57150</xdr:colOff>
      <xdr:row>2</xdr:row>
      <xdr:rowOff>123825</xdr:rowOff>
    </xdr:to>
    <xdr:pic>
      <xdr:nvPicPr>
        <xdr:cNvPr id="3073"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447675</xdr:colOff>
      <xdr:row>0</xdr:row>
      <xdr:rowOff>76200</xdr:rowOff>
    </xdr:from>
    <xdr:to>
      <xdr:col>14</xdr:col>
      <xdr:colOff>1257300</xdr:colOff>
      <xdr:row>3</xdr:row>
      <xdr:rowOff>57150</xdr:rowOff>
    </xdr:to>
    <xdr:pic>
      <xdr:nvPicPr>
        <xdr:cNvPr id="3074"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29700" y="7620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3</xdr:row>
      <xdr:rowOff>0</xdr:rowOff>
    </xdr:from>
    <xdr:to>
      <xdr:col>0</xdr:col>
      <xdr:colOff>628650</xdr:colOff>
      <xdr:row>5</xdr:row>
      <xdr:rowOff>85725</xdr:rowOff>
    </xdr:to>
    <xdr:pic>
      <xdr:nvPicPr>
        <xdr:cNvPr id="4" name="Picture 3"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40957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114300</xdr:colOff>
      <xdr:row>3</xdr:row>
      <xdr:rowOff>19050</xdr:rowOff>
    </xdr:from>
    <xdr:to>
      <xdr:col>12</xdr:col>
      <xdr:colOff>161925</xdr:colOff>
      <xdr:row>5</xdr:row>
      <xdr:rowOff>104775</xdr:rowOff>
    </xdr:to>
    <xdr:pic>
      <xdr:nvPicPr>
        <xdr:cNvPr id="5" name="Picture 4"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9450" y="19050"/>
          <a:ext cx="6572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809625</xdr:colOff>
      <xdr:row>2</xdr:row>
      <xdr:rowOff>123825</xdr:rowOff>
    </xdr:to>
    <xdr:pic>
      <xdr:nvPicPr>
        <xdr:cNvPr id="5121"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47625</xdr:colOff>
      <xdr:row>0</xdr:row>
      <xdr:rowOff>0</xdr:rowOff>
    </xdr:from>
    <xdr:to>
      <xdr:col>9</xdr:col>
      <xdr:colOff>247650</xdr:colOff>
      <xdr:row>2</xdr:row>
      <xdr:rowOff>123825</xdr:rowOff>
    </xdr:to>
    <xdr:pic>
      <xdr:nvPicPr>
        <xdr:cNvPr id="5122"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582025" cy="67532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49"/>
  <sheetViews>
    <sheetView tabSelected="1" zoomScale="120" zoomScaleNormal="120" zoomScalePageLayoutView="120" workbookViewId="0">
      <selection activeCell="A4" sqref="A4"/>
    </sheetView>
  </sheetViews>
  <sheetFormatPr defaultColWidth="8.85546875" defaultRowHeight="12.75" x14ac:dyDescent="0.2"/>
  <cols>
    <col min="1" max="1" width="10.28515625" style="1" customWidth="1"/>
    <col min="2" max="2" width="7.42578125" style="1" customWidth="1"/>
    <col min="3" max="3" width="19" style="1" customWidth="1"/>
    <col min="4" max="4" width="7" style="1" customWidth="1"/>
    <col min="5" max="5" width="8.85546875" style="1"/>
    <col min="6" max="6" width="7.42578125" style="1" customWidth="1"/>
    <col min="7" max="7" width="6" style="1" customWidth="1"/>
    <col min="8" max="9" width="6.42578125" style="1" customWidth="1"/>
    <col min="10" max="10" width="8.7109375" style="1" customWidth="1"/>
    <col min="11" max="11" width="8.42578125" style="3" customWidth="1"/>
    <col min="12" max="12" width="8.42578125" style="18" customWidth="1"/>
    <col min="13" max="13" width="10.140625" style="3" customWidth="1"/>
    <col min="14" max="14" width="11.28515625" style="44" customWidth="1"/>
    <col min="15" max="15" width="34.85546875" style="5" customWidth="1"/>
  </cols>
  <sheetData>
    <row r="1" spans="1:17" s="4" customFormat="1" ht="11.25" x14ac:dyDescent="0.2">
      <c r="A1" s="1"/>
      <c r="B1" s="1"/>
      <c r="C1" s="1"/>
      <c r="D1" s="1"/>
      <c r="E1" s="1"/>
      <c r="F1" s="1"/>
      <c r="G1" s="1"/>
      <c r="H1" s="1"/>
      <c r="I1" s="6" t="s">
        <v>30</v>
      </c>
      <c r="J1" s="1"/>
      <c r="K1" s="1"/>
      <c r="L1" s="1"/>
      <c r="M1" s="3"/>
      <c r="N1" s="18"/>
      <c r="O1" s="1"/>
      <c r="P1" s="16"/>
      <c r="Q1" s="16"/>
    </row>
    <row r="2" spans="1:17" s="4" customFormat="1" ht="11.25" customHeight="1" x14ac:dyDescent="0.2">
      <c r="A2" s="1"/>
      <c r="B2" s="1"/>
      <c r="C2" s="1"/>
      <c r="D2" s="1"/>
      <c r="E2" s="1"/>
      <c r="F2" s="1"/>
      <c r="G2" s="1"/>
      <c r="H2" s="1"/>
      <c r="I2" s="2" t="s">
        <v>302</v>
      </c>
      <c r="J2" s="1"/>
      <c r="K2" s="1"/>
      <c r="L2" s="1"/>
      <c r="M2" s="3"/>
      <c r="N2" s="18"/>
      <c r="O2" s="1"/>
      <c r="P2" s="16"/>
      <c r="Q2" s="16"/>
    </row>
    <row r="3" spans="1:17" s="4" customFormat="1" ht="11.25" customHeight="1" x14ac:dyDescent="0.2">
      <c r="A3" s="1"/>
      <c r="B3" s="1"/>
      <c r="C3" s="1"/>
      <c r="D3" s="1"/>
      <c r="E3" s="1"/>
      <c r="F3" s="1"/>
      <c r="G3" s="1"/>
      <c r="H3" s="1"/>
      <c r="I3" s="2"/>
      <c r="J3" s="1"/>
      <c r="K3" s="1"/>
      <c r="L3" s="1"/>
      <c r="M3" s="3"/>
      <c r="N3" s="18"/>
      <c r="O3" s="1"/>
      <c r="P3" s="16"/>
      <c r="Q3" s="16"/>
    </row>
    <row r="4" spans="1:17" s="4" customFormat="1" ht="11.25" customHeight="1" x14ac:dyDescent="0.2">
      <c r="A4" s="5"/>
      <c r="B4" s="5"/>
      <c r="C4" s="5"/>
      <c r="D4" s="5"/>
      <c r="E4" s="5"/>
      <c r="F4" s="5"/>
      <c r="G4" s="5"/>
      <c r="H4" s="5"/>
      <c r="I4" s="21"/>
      <c r="J4" s="5"/>
      <c r="K4" s="5"/>
      <c r="L4" s="5"/>
      <c r="M4" s="28"/>
      <c r="N4" s="44"/>
      <c r="O4" s="5"/>
      <c r="P4" s="16"/>
      <c r="Q4" s="16"/>
    </row>
    <row r="5" spans="1:17" s="4" customFormat="1" ht="24.75" customHeight="1" x14ac:dyDescent="0.2">
      <c r="A5" s="36" t="s">
        <v>25</v>
      </c>
      <c r="B5" s="36"/>
      <c r="C5" s="37" t="s">
        <v>0</v>
      </c>
      <c r="D5" s="37"/>
      <c r="E5" s="38"/>
      <c r="F5" s="38"/>
      <c r="G5" s="9" t="s">
        <v>1</v>
      </c>
      <c r="H5" s="9"/>
      <c r="I5" s="20"/>
      <c r="J5" s="9" t="s">
        <v>2</v>
      </c>
      <c r="K5" s="9"/>
      <c r="L5" s="9" t="s">
        <v>3</v>
      </c>
      <c r="M5" s="11" t="s">
        <v>4</v>
      </c>
      <c r="N5" s="19" t="s">
        <v>5</v>
      </c>
      <c r="O5" s="9" t="s">
        <v>26</v>
      </c>
      <c r="P5" s="16"/>
      <c r="Q5" s="16"/>
    </row>
    <row r="6" spans="1:17" s="4" customFormat="1" ht="22.5" x14ac:dyDescent="0.2">
      <c r="A6" s="34"/>
      <c r="B6" s="39" t="s">
        <v>27</v>
      </c>
      <c r="C6" s="40" t="s">
        <v>28</v>
      </c>
      <c r="D6" s="40" t="s">
        <v>32</v>
      </c>
      <c r="E6" s="40" t="s">
        <v>33</v>
      </c>
      <c r="F6" s="23" t="s">
        <v>13</v>
      </c>
      <c r="G6" s="23" t="s">
        <v>14</v>
      </c>
      <c r="H6" s="23" t="s">
        <v>15</v>
      </c>
      <c r="I6" s="24" t="s">
        <v>6</v>
      </c>
      <c r="J6" s="24" t="s">
        <v>7</v>
      </c>
      <c r="K6" s="23" t="s">
        <v>36</v>
      </c>
      <c r="L6" s="23" t="s">
        <v>9</v>
      </c>
      <c r="M6" s="29"/>
      <c r="N6" s="48"/>
      <c r="O6" s="35"/>
      <c r="P6" s="16"/>
      <c r="Q6" s="16"/>
    </row>
    <row r="7" spans="1:17" s="4" customFormat="1" ht="12.95" customHeight="1" x14ac:dyDescent="0.2">
      <c r="A7" s="25"/>
      <c r="B7" s="26"/>
      <c r="C7" s="26"/>
      <c r="D7" s="26"/>
      <c r="E7" s="26"/>
      <c r="F7" s="26"/>
      <c r="G7" s="26"/>
      <c r="H7" s="26"/>
      <c r="I7" s="26"/>
      <c r="J7" s="26"/>
      <c r="K7" s="26"/>
      <c r="L7" s="26"/>
      <c r="M7" s="30"/>
      <c r="N7" s="49"/>
      <c r="O7" s="27"/>
      <c r="P7" s="16"/>
      <c r="Q7" s="16"/>
    </row>
    <row r="8" spans="1:17" s="4" customFormat="1" ht="11.25" x14ac:dyDescent="0.2">
      <c r="A8" s="8" t="s">
        <v>102</v>
      </c>
      <c r="B8" s="8">
        <v>2824</v>
      </c>
      <c r="C8" s="8" t="s">
        <v>308</v>
      </c>
      <c r="D8" s="8" t="s">
        <v>121</v>
      </c>
      <c r="E8" s="8" t="s">
        <v>104</v>
      </c>
      <c r="F8" s="8" t="s">
        <v>59</v>
      </c>
      <c r="G8" s="8">
        <v>7</v>
      </c>
      <c r="H8" s="8">
        <v>8</v>
      </c>
      <c r="I8" s="8">
        <v>14</v>
      </c>
      <c r="J8" s="8">
        <v>482</v>
      </c>
      <c r="K8" s="8" t="s">
        <v>122</v>
      </c>
      <c r="L8" s="8">
        <v>140124</v>
      </c>
      <c r="M8" s="104">
        <v>3231</v>
      </c>
      <c r="N8" s="107">
        <v>217156</v>
      </c>
      <c r="O8" s="8" t="s">
        <v>106</v>
      </c>
    </row>
    <row r="9" spans="1:17" s="4" customFormat="1" ht="11.25" x14ac:dyDescent="0.2">
      <c r="A9" s="8" t="s">
        <v>110</v>
      </c>
      <c r="B9" s="8">
        <v>165</v>
      </c>
      <c r="C9" s="8" t="s">
        <v>62</v>
      </c>
      <c r="D9" s="8" t="s">
        <v>111</v>
      </c>
      <c r="E9" s="8" t="s">
        <v>112</v>
      </c>
      <c r="F9" s="8" t="s">
        <v>63</v>
      </c>
      <c r="G9" s="8">
        <v>2</v>
      </c>
      <c r="H9" s="8">
        <v>41</v>
      </c>
      <c r="I9" s="8">
        <v>14</v>
      </c>
      <c r="J9" s="8">
        <v>641</v>
      </c>
      <c r="K9" s="8" t="s">
        <v>122</v>
      </c>
      <c r="L9" s="8">
        <v>140130</v>
      </c>
      <c r="M9" s="104">
        <v>2335</v>
      </c>
      <c r="N9" s="107">
        <v>156935</v>
      </c>
      <c r="O9" s="8" t="s">
        <v>138</v>
      </c>
    </row>
    <row r="10" spans="1:17" s="4" customFormat="1" ht="11.25" x14ac:dyDescent="0.2">
      <c r="A10" s="8" t="s">
        <v>110</v>
      </c>
      <c r="B10" s="8">
        <v>169</v>
      </c>
      <c r="C10" s="8" t="s">
        <v>62</v>
      </c>
      <c r="D10" s="8" t="s">
        <v>111</v>
      </c>
      <c r="E10" s="8" t="s">
        <v>112</v>
      </c>
      <c r="F10" s="8" t="s">
        <v>63</v>
      </c>
      <c r="G10" s="8">
        <v>2</v>
      </c>
      <c r="H10" s="8">
        <v>42</v>
      </c>
      <c r="I10" s="8">
        <v>14</v>
      </c>
      <c r="J10" s="8">
        <v>551</v>
      </c>
      <c r="K10" s="8" t="s">
        <v>122</v>
      </c>
      <c r="L10" s="8">
        <v>140127</v>
      </c>
      <c r="M10" s="104">
        <v>2504</v>
      </c>
      <c r="N10" s="107">
        <v>168294</v>
      </c>
      <c r="O10" s="8" t="s">
        <v>138</v>
      </c>
    </row>
    <row r="11" spans="1:17" s="4" customFormat="1" ht="11.25" x14ac:dyDescent="0.2">
      <c r="A11" s="8" t="s">
        <v>110</v>
      </c>
      <c r="B11" s="8">
        <v>173</v>
      </c>
      <c r="C11" s="8" t="s">
        <v>62</v>
      </c>
      <c r="D11" s="8" t="s">
        <v>111</v>
      </c>
      <c r="E11" s="8" t="s">
        <v>112</v>
      </c>
      <c r="F11" s="8" t="s">
        <v>63</v>
      </c>
      <c r="G11" s="8">
        <v>2</v>
      </c>
      <c r="H11" s="8">
        <v>43</v>
      </c>
      <c r="I11" s="8">
        <v>14</v>
      </c>
      <c r="J11" s="8">
        <v>555</v>
      </c>
      <c r="K11" s="8" t="s">
        <v>122</v>
      </c>
      <c r="L11" s="8">
        <v>140127</v>
      </c>
      <c r="M11" s="104">
        <v>2976</v>
      </c>
      <c r="N11" s="107">
        <v>200017</v>
      </c>
      <c r="O11" s="8" t="s">
        <v>138</v>
      </c>
    </row>
    <row r="12" spans="1:17" s="4" customFormat="1" ht="11.25" x14ac:dyDescent="0.2">
      <c r="A12" s="8" t="s">
        <v>110</v>
      </c>
      <c r="B12" s="8">
        <v>177</v>
      </c>
      <c r="C12" s="8" t="s">
        <v>62</v>
      </c>
      <c r="D12" s="8" t="s">
        <v>111</v>
      </c>
      <c r="E12" s="8" t="s">
        <v>112</v>
      </c>
      <c r="F12" s="8" t="s">
        <v>63</v>
      </c>
      <c r="G12" s="8">
        <v>2</v>
      </c>
      <c r="H12" s="8">
        <v>44</v>
      </c>
      <c r="I12" s="8">
        <v>14</v>
      </c>
      <c r="J12" s="8">
        <v>554</v>
      </c>
      <c r="K12" s="8" t="s">
        <v>122</v>
      </c>
      <c r="L12" s="8">
        <v>140127</v>
      </c>
      <c r="M12" s="104">
        <v>1973</v>
      </c>
      <c r="N12" s="107">
        <v>132605</v>
      </c>
      <c r="O12" s="8" t="s">
        <v>138</v>
      </c>
    </row>
    <row r="13" spans="1:17" s="4" customFormat="1" ht="11.25" x14ac:dyDescent="0.2">
      <c r="A13" s="8" t="s">
        <v>110</v>
      </c>
      <c r="B13" s="8">
        <v>181</v>
      </c>
      <c r="C13" s="8" t="s">
        <v>62</v>
      </c>
      <c r="D13" s="8" t="s">
        <v>111</v>
      </c>
      <c r="E13" s="8" t="s">
        <v>112</v>
      </c>
      <c r="F13" s="8" t="s">
        <v>63</v>
      </c>
      <c r="G13" s="8">
        <v>2</v>
      </c>
      <c r="H13" s="8">
        <v>45</v>
      </c>
      <c r="I13" s="8">
        <v>14</v>
      </c>
      <c r="J13" s="8">
        <v>343</v>
      </c>
      <c r="K13" s="8" t="s">
        <v>105</v>
      </c>
      <c r="L13" s="8">
        <v>140116</v>
      </c>
      <c r="M13" s="104">
        <v>2131</v>
      </c>
      <c r="N13" s="107">
        <v>143225</v>
      </c>
      <c r="O13" s="8" t="s">
        <v>138</v>
      </c>
    </row>
    <row r="14" spans="1:17" s="4" customFormat="1" ht="11.25" x14ac:dyDescent="0.2">
      <c r="A14" s="8" t="s">
        <v>110</v>
      </c>
      <c r="B14" s="8">
        <v>185</v>
      </c>
      <c r="C14" s="8" t="s">
        <v>62</v>
      </c>
      <c r="D14" s="8" t="s">
        <v>111</v>
      </c>
      <c r="E14" s="8" t="s">
        <v>112</v>
      </c>
      <c r="F14" s="8" t="s">
        <v>63</v>
      </c>
      <c r="G14" s="8">
        <v>2</v>
      </c>
      <c r="H14" s="8">
        <v>46</v>
      </c>
      <c r="I14" s="8">
        <v>14</v>
      </c>
      <c r="J14" s="8">
        <v>342</v>
      </c>
      <c r="K14" s="8" t="s">
        <v>105</v>
      </c>
      <c r="L14" s="8">
        <v>140116</v>
      </c>
      <c r="M14" s="104">
        <v>2504</v>
      </c>
      <c r="N14" s="107">
        <v>168294</v>
      </c>
      <c r="O14" s="8" t="s">
        <v>138</v>
      </c>
    </row>
    <row r="15" spans="1:17" s="4" customFormat="1" ht="11.25" x14ac:dyDescent="0.2">
      <c r="A15" s="8" t="s">
        <v>110</v>
      </c>
      <c r="B15" s="8">
        <v>189</v>
      </c>
      <c r="C15" s="8" t="s">
        <v>62</v>
      </c>
      <c r="D15" s="8" t="s">
        <v>111</v>
      </c>
      <c r="E15" s="8" t="s">
        <v>112</v>
      </c>
      <c r="F15" s="8" t="s">
        <v>63</v>
      </c>
      <c r="G15" s="8">
        <v>2</v>
      </c>
      <c r="H15" s="8">
        <v>47</v>
      </c>
      <c r="I15" s="8">
        <v>14</v>
      </c>
      <c r="J15" s="8">
        <v>341</v>
      </c>
      <c r="K15" s="8" t="s">
        <v>105</v>
      </c>
      <c r="L15" s="8">
        <v>140116</v>
      </c>
      <c r="M15" s="104">
        <v>2976</v>
      </c>
      <c r="N15" s="107">
        <v>200017</v>
      </c>
      <c r="O15" s="8" t="s">
        <v>138</v>
      </c>
    </row>
    <row r="16" spans="1:17" s="4" customFormat="1" ht="11.25" x14ac:dyDescent="0.2">
      <c r="A16" s="8" t="s">
        <v>110</v>
      </c>
      <c r="B16" s="8">
        <v>193</v>
      </c>
      <c r="C16" s="8" t="s">
        <v>62</v>
      </c>
      <c r="D16" s="8" t="s">
        <v>111</v>
      </c>
      <c r="E16" s="8" t="s">
        <v>112</v>
      </c>
      <c r="F16" s="8" t="s">
        <v>63</v>
      </c>
      <c r="G16" s="8">
        <v>2</v>
      </c>
      <c r="H16" s="8">
        <v>48</v>
      </c>
      <c r="I16" s="8">
        <v>14</v>
      </c>
      <c r="J16" s="8">
        <v>340</v>
      </c>
      <c r="K16" s="8" t="s">
        <v>105</v>
      </c>
      <c r="L16" s="8">
        <v>140116</v>
      </c>
      <c r="M16" s="104">
        <v>2504</v>
      </c>
      <c r="N16" s="107">
        <v>168294</v>
      </c>
      <c r="O16" s="8" t="s">
        <v>138</v>
      </c>
    </row>
    <row r="17" spans="1:15" s="4" customFormat="1" ht="11.25" x14ac:dyDescent="0.2">
      <c r="A17" s="8" t="s">
        <v>110</v>
      </c>
      <c r="B17" s="8">
        <v>200</v>
      </c>
      <c r="C17" s="8" t="s">
        <v>62</v>
      </c>
      <c r="D17" s="8" t="s">
        <v>111</v>
      </c>
      <c r="E17" s="8" t="s">
        <v>112</v>
      </c>
      <c r="F17" s="8" t="s">
        <v>63</v>
      </c>
      <c r="G17" s="8">
        <v>8</v>
      </c>
      <c r="H17" s="8">
        <v>158</v>
      </c>
      <c r="I17" s="8">
        <v>14</v>
      </c>
      <c r="J17" s="8">
        <v>21</v>
      </c>
      <c r="K17" s="8" t="s">
        <v>105</v>
      </c>
      <c r="L17" s="8">
        <v>140102</v>
      </c>
      <c r="M17" s="104">
        <v>2131</v>
      </c>
      <c r="N17" s="107">
        <v>143225</v>
      </c>
      <c r="O17" s="8" t="s">
        <v>138</v>
      </c>
    </row>
    <row r="18" spans="1:15" s="4" customFormat="1" ht="11.25" x14ac:dyDescent="0.2">
      <c r="A18" s="8" t="s">
        <v>110</v>
      </c>
      <c r="B18" s="8">
        <v>204</v>
      </c>
      <c r="C18" s="8" t="s">
        <v>62</v>
      </c>
      <c r="D18" s="8" t="s">
        <v>111</v>
      </c>
      <c r="E18" s="8" t="s">
        <v>112</v>
      </c>
      <c r="F18" s="8" t="s">
        <v>63</v>
      </c>
      <c r="G18" s="8">
        <v>8</v>
      </c>
      <c r="H18" s="8">
        <v>159</v>
      </c>
      <c r="I18" s="8">
        <v>14</v>
      </c>
      <c r="J18" s="8">
        <v>12</v>
      </c>
      <c r="K18" s="8" t="s">
        <v>105</v>
      </c>
      <c r="L18" s="8">
        <v>140102</v>
      </c>
      <c r="M18" s="104">
        <v>1973</v>
      </c>
      <c r="N18" s="107">
        <v>132605</v>
      </c>
      <c r="O18" s="8" t="s">
        <v>138</v>
      </c>
    </row>
    <row r="19" spans="1:15" s="4" customFormat="1" ht="11.25" x14ac:dyDescent="0.2">
      <c r="A19" s="8" t="s">
        <v>110</v>
      </c>
      <c r="B19" s="8">
        <v>208</v>
      </c>
      <c r="C19" s="8" t="s">
        <v>62</v>
      </c>
      <c r="D19" s="8" t="s">
        <v>111</v>
      </c>
      <c r="E19" s="8" t="s">
        <v>112</v>
      </c>
      <c r="F19" s="8" t="s">
        <v>63</v>
      </c>
      <c r="G19" s="8">
        <v>8</v>
      </c>
      <c r="H19" s="8">
        <v>160</v>
      </c>
      <c r="I19" s="8">
        <v>14</v>
      </c>
      <c r="J19" s="8">
        <v>14</v>
      </c>
      <c r="K19" s="8" t="s">
        <v>105</v>
      </c>
      <c r="L19" s="8">
        <v>140102</v>
      </c>
      <c r="M19" s="104">
        <v>2131</v>
      </c>
      <c r="N19" s="107">
        <v>143225</v>
      </c>
      <c r="O19" s="8" t="s">
        <v>138</v>
      </c>
    </row>
    <row r="20" spans="1:15" s="4" customFormat="1" ht="11.25" x14ac:dyDescent="0.2">
      <c r="A20" s="8" t="s">
        <v>110</v>
      </c>
      <c r="B20" s="8">
        <v>212</v>
      </c>
      <c r="C20" s="8" t="s">
        <v>62</v>
      </c>
      <c r="D20" s="8" t="s">
        <v>111</v>
      </c>
      <c r="E20" s="8" t="s">
        <v>112</v>
      </c>
      <c r="F20" s="8" t="s">
        <v>63</v>
      </c>
      <c r="G20" s="8">
        <v>8</v>
      </c>
      <c r="H20" s="8">
        <v>161</v>
      </c>
      <c r="I20" s="8">
        <v>14</v>
      </c>
      <c r="J20" s="8">
        <v>13</v>
      </c>
      <c r="K20" s="8" t="s">
        <v>105</v>
      </c>
      <c r="L20" s="8">
        <v>140102</v>
      </c>
      <c r="M20" s="104">
        <v>1973</v>
      </c>
      <c r="N20" s="107">
        <v>132605</v>
      </c>
      <c r="O20" s="8" t="s">
        <v>138</v>
      </c>
    </row>
    <row r="21" spans="1:15" s="4" customFormat="1" ht="11.25" x14ac:dyDescent="0.2">
      <c r="A21" s="8" t="s">
        <v>110</v>
      </c>
      <c r="B21" s="8">
        <v>26</v>
      </c>
      <c r="C21" s="8" t="s">
        <v>208</v>
      </c>
      <c r="D21" s="8" t="s">
        <v>114</v>
      </c>
      <c r="E21" s="8" t="s">
        <v>112</v>
      </c>
      <c r="F21" s="8" t="s">
        <v>63</v>
      </c>
      <c r="G21" s="8">
        <v>8</v>
      </c>
      <c r="H21" s="8">
        <v>157</v>
      </c>
      <c r="I21" s="8">
        <v>14</v>
      </c>
      <c r="J21" s="8">
        <v>558</v>
      </c>
      <c r="K21" s="8" t="s">
        <v>122</v>
      </c>
      <c r="L21" s="8">
        <v>140127</v>
      </c>
      <c r="M21" s="104">
        <v>2131</v>
      </c>
      <c r="N21" s="107">
        <v>143358</v>
      </c>
      <c r="O21" s="8" t="s">
        <v>138</v>
      </c>
    </row>
    <row r="22" spans="1:15" s="4" customFormat="1" ht="11.25" x14ac:dyDescent="0.2">
      <c r="A22" s="8" t="s">
        <v>110</v>
      </c>
      <c r="B22" s="8">
        <v>30</v>
      </c>
      <c r="C22" s="8" t="s">
        <v>208</v>
      </c>
      <c r="D22" s="8" t="s">
        <v>114</v>
      </c>
      <c r="E22" s="8" t="s">
        <v>112</v>
      </c>
      <c r="F22" s="8" t="s">
        <v>63</v>
      </c>
      <c r="G22" s="8">
        <v>8</v>
      </c>
      <c r="H22" s="8">
        <v>156</v>
      </c>
      <c r="I22" s="8">
        <v>14</v>
      </c>
      <c r="J22" s="8">
        <v>556</v>
      </c>
      <c r="K22" s="8" t="s">
        <v>122</v>
      </c>
      <c r="L22" s="8">
        <v>140127</v>
      </c>
      <c r="M22" s="104">
        <v>1973</v>
      </c>
      <c r="N22" s="107">
        <v>132605</v>
      </c>
      <c r="O22" s="8" t="s">
        <v>138</v>
      </c>
    </row>
    <row r="23" spans="1:15" s="4" customFormat="1" ht="11.25" x14ac:dyDescent="0.2">
      <c r="A23" s="8" t="s">
        <v>110</v>
      </c>
      <c r="B23" s="8">
        <v>34</v>
      </c>
      <c r="C23" s="8" t="s">
        <v>208</v>
      </c>
      <c r="D23" s="8" t="s">
        <v>114</v>
      </c>
      <c r="E23" s="8" t="s">
        <v>112</v>
      </c>
      <c r="F23" s="8" t="s">
        <v>63</v>
      </c>
      <c r="G23" s="8">
        <v>8</v>
      </c>
      <c r="H23" s="8">
        <v>155</v>
      </c>
      <c r="I23" s="8">
        <v>14</v>
      </c>
      <c r="J23" s="8">
        <v>557</v>
      </c>
      <c r="K23" s="8" t="s">
        <v>122</v>
      </c>
      <c r="L23" s="8">
        <v>140127</v>
      </c>
      <c r="M23" s="104">
        <v>2131</v>
      </c>
      <c r="N23" s="107">
        <v>143358</v>
      </c>
      <c r="O23" s="8" t="s">
        <v>138</v>
      </c>
    </row>
    <row r="24" spans="1:15" s="4" customFormat="1" ht="11.25" x14ac:dyDescent="0.2">
      <c r="A24" s="8" t="s">
        <v>110</v>
      </c>
      <c r="B24" s="8">
        <v>38</v>
      </c>
      <c r="C24" s="8" t="s">
        <v>208</v>
      </c>
      <c r="D24" s="8" t="s">
        <v>114</v>
      </c>
      <c r="E24" s="8" t="s">
        <v>112</v>
      </c>
      <c r="F24" s="8" t="s">
        <v>63</v>
      </c>
      <c r="G24" s="8">
        <v>8</v>
      </c>
      <c r="H24" s="8">
        <v>154</v>
      </c>
      <c r="I24" s="8">
        <v>14</v>
      </c>
      <c r="J24" s="8">
        <v>642</v>
      </c>
      <c r="K24" s="8" t="s">
        <v>122</v>
      </c>
      <c r="L24" s="8">
        <v>140130</v>
      </c>
      <c r="M24" s="104">
        <v>2335</v>
      </c>
      <c r="N24" s="107">
        <v>156935</v>
      </c>
      <c r="O24" s="8" t="s">
        <v>138</v>
      </c>
    </row>
    <row r="25" spans="1:15" s="4" customFormat="1" ht="11.25" x14ac:dyDescent="0.2">
      <c r="A25" s="8" t="s">
        <v>113</v>
      </c>
      <c r="B25" s="8">
        <v>106</v>
      </c>
      <c r="C25" s="8" t="s">
        <v>65</v>
      </c>
      <c r="D25" s="8" t="s">
        <v>116</v>
      </c>
      <c r="E25" s="8" t="s">
        <v>115</v>
      </c>
      <c r="F25" s="8" t="s">
        <v>66</v>
      </c>
      <c r="G25" s="8">
        <v>4</v>
      </c>
      <c r="H25" s="8">
        <v>9</v>
      </c>
      <c r="I25" s="8">
        <v>14</v>
      </c>
      <c r="J25" s="8">
        <v>346</v>
      </c>
      <c r="K25" s="8" t="s">
        <v>105</v>
      </c>
      <c r="L25" s="8">
        <v>140116</v>
      </c>
      <c r="M25" s="104">
        <v>2661</v>
      </c>
      <c r="N25" s="107">
        <v>178846</v>
      </c>
      <c r="O25" s="8" t="s">
        <v>108</v>
      </c>
    </row>
    <row r="26" spans="1:15" s="4" customFormat="1" ht="11.25" x14ac:dyDescent="0.2">
      <c r="A26" s="8" t="s">
        <v>113</v>
      </c>
      <c r="B26" s="8">
        <v>3365</v>
      </c>
      <c r="C26" s="8" t="s">
        <v>309</v>
      </c>
      <c r="D26" s="8" t="s">
        <v>111</v>
      </c>
      <c r="E26" s="8" t="s">
        <v>115</v>
      </c>
      <c r="F26" s="8" t="s">
        <v>310</v>
      </c>
      <c r="G26" s="8">
        <v>3</v>
      </c>
      <c r="H26" s="8">
        <v>2</v>
      </c>
      <c r="I26" s="8">
        <v>14</v>
      </c>
      <c r="J26" s="8">
        <v>504</v>
      </c>
      <c r="K26" s="8" t="s">
        <v>105</v>
      </c>
      <c r="L26" s="8">
        <v>140124</v>
      </c>
      <c r="M26" s="104">
        <v>3179</v>
      </c>
      <c r="N26" s="107">
        <v>213661</v>
      </c>
      <c r="O26" s="8" t="s">
        <v>119</v>
      </c>
    </row>
    <row r="27" spans="1:15" s="4" customFormat="1" ht="11.25" x14ac:dyDescent="0.2">
      <c r="A27" s="8" t="s">
        <v>113</v>
      </c>
      <c r="B27" s="8">
        <v>3369</v>
      </c>
      <c r="C27" s="8" t="s">
        <v>309</v>
      </c>
      <c r="D27" s="8" t="s">
        <v>111</v>
      </c>
      <c r="E27" s="8" t="s">
        <v>115</v>
      </c>
      <c r="F27" s="8" t="s">
        <v>310</v>
      </c>
      <c r="G27" s="8">
        <v>3</v>
      </c>
      <c r="H27" s="8">
        <v>1</v>
      </c>
      <c r="I27" s="8">
        <v>14</v>
      </c>
      <c r="J27" s="8">
        <v>505</v>
      </c>
      <c r="K27" s="8" t="s">
        <v>105</v>
      </c>
      <c r="L27" s="8">
        <v>140124</v>
      </c>
      <c r="M27" s="104">
        <v>3233</v>
      </c>
      <c r="N27" s="107">
        <v>217290</v>
      </c>
      <c r="O27" s="8" t="s">
        <v>119</v>
      </c>
    </row>
    <row r="28" spans="1:15" s="4" customFormat="1" ht="11.25" x14ac:dyDescent="0.2">
      <c r="A28" s="8" t="s">
        <v>113</v>
      </c>
      <c r="B28" s="8">
        <v>744</v>
      </c>
      <c r="C28" s="8" t="s">
        <v>81</v>
      </c>
      <c r="D28" s="8" t="s">
        <v>109</v>
      </c>
      <c r="E28" s="8" t="s">
        <v>115</v>
      </c>
      <c r="F28" s="8" t="s">
        <v>214</v>
      </c>
      <c r="G28" s="8">
        <v>2</v>
      </c>
      <c r="H28" s="8">
        <v>4</v>
      </c>
      <c r="I28" s="8">
        <v>14</v>
      </c>
      <c r="J28" s="8">
        <v>168</v>
      </c>
      <c r="K28" s="8" t="s">
        <v>105</v>
      </c>
      <c r="L28" s="8">
        <v>140109</v>
      </c>
      <c r="M28" s="104">
        <v>3644</v>
      </c>
      <c r="N28" s="107">
        <v>244913</v>
      </c>
      <c r="O28" s="8" t="s">
        <v>108</v>
      </c>
    </row>
    <row r="29" spans="1:15" x14ac:dyDescent="0.2">
      <c r="A29" s="8" t="s">
        <v>113</v>
      </c>
      <c r="B29" s="8">
        <v>3617</v>
      </c>
      <c r="C29" s="8" t="s">
        <v>311</v>
      </c>
      <c r="D29" s="8" t="s">
        <v>103</v>
      </c>
      <c r="E29" s="8" t="s">
        <v>115</v>
      </c>
      <c r="F29" s="8" t="s">
        <v>66</v>
      </c>
      <c r="G29" s="8">
        <v>2</v>
      </c>
      <c r="H29" s="8">
        <v>19</v>
      </c>
      <c r="I29" s="8">
        <v>14</v>
      </c>
      <c r="J29" s="8">
        <v>167</v>
      </c>
      <c r="K29" s="8" t="s">
        <v>105</v>
      </c>
      <c r="L29" s="8">
        <v>140109</v>
      </c>
      <c r="M29" s="104">
        <v>3172</v>
      </c>
      <c r="N29" s="107">
        <v>213190</v>
      </c>
      <c r="O29" s="8" t="s">
        <v>108</v>
      </c>
    </row>
    <row r="30" spans="1:15" x14ac:dyDescent="0.2">
      <c r="A30" s="8" t="s">
        <v>113</v>
      </c>
      <c r="B30" s="8">
        <v>622</v>
      </c>
      <c r="C30" s="8" t="s">
        <v>252</v>
      </c>
      <c r="D30" s="8" t="s">
        <v>312</v>
      </c>
      <c r="E30" s="8" t="s">
        <v>115</v>
      </c>
      <c r="F30" s="8" t="s">
        <v>71</v>
      </c>
      <c r="G30" s="8">
        <v>2</v>
      </c>
      <c r="H30" s="8">
        <v>9</v>
      </c>
      <c r="I30" s="8">
        <v>14</v>
      </c>
      <c r="J30" s="8">
        <v>169</v>
      </c>
      <c r="K30" s="8" t="s">
        <v>105</v>
      </c>
      <c r="L30" s="8">
        <v>140109</v>
      </c>
      <c r="M30" s="104">
        <v>3854</v>
      </c>
      <c r="N30" s="107">
        <v>259027</v>
      </c>
      <c r="O30" s="8" t="s">
        <v>108</v>
      </c>
    </row>
    <row r="31" spans="1:15" x14ac:dyDescent="0.2">
      <c r="A31" s="8" t="s">
        <v>118</v>
      </c>
      <c r="B31" s="8">
        <v>7332</v>
      </c>
      <c r="C31" s="8" t="s">
        <v>83</v>
      </c>
      <c r="D31" s="8" t="s">
        <v>109</v>
      </c>
      <c r="E31" s="8" t="s">
        <v>115</v>
      </c>
      <c r="F31" s="8" t="s">
        <v>84</v>
      </c>
      <c r="G31" s="8">
        <v>1</v>
      </c>
      <c r="H31" s="8">
        <v>5</v>
      </c>
      <c r="I31" s="8">
        <v>14</v>
      </c>
      <c r="J31" s="8">
        <v>313</v>
      </c>
      <c r="K31" s="8" t="s">
        <v>105</v>
      </c>
      <c r="L31" s="8">
        <v>140115</v>
      </c>
      <c r="M31" s="104">
        <v>3457</v>
      </c>
      <c r="N31" s="107">
        <v>232345</v>
      </c>
      <c r="O31" s="8" t="s">
        <v>143</v>
      </c>
    </row>
    <row r="32" spans="1:15" x14ac:dyDescent="0.2">
      <c r="A32" s="8" t="s">
        <v>118</v>
      </c>
      <c r="B32" s="8">
        <v>7027</v>
      </c>
      <c r="C32" s="8" t="s">
        <v>144</v>
      </c>
      <c r="D32" s="8" t="s">
        <v>111</v>
      </c>
      <c r="E32" s="8" t="s">
        <v>115</v>
      </c>
      <c r="F32" s="8" t="s">
        <v>145</v>
      </c>
      <c r="G32" s="8">
        <v>8</v>
      </c>
      <c r="H32" s="8">
        <v>2</v>
      </c>
      <c r="I32" s="8">
        <v>14</v>
      </c>
      <c r="J32" s="8">
        <v>697</v>
      </c>
      <c r="K32" s="8" t="s">
        <v>122</v>
      </c>
      <c r="L32" s="8">
        <v>140131</v>
      </c>
      <c r="M32" s="104">
        <v>3013</v>
      </c>
      <c r="N32" s="107">
        <v>202504</v>
      </c>
      <c r="O32" s="8" t="s">
        <v>143</v>
      </c>
    </row>
    <row r="33" spans="1:15" x14ac:dyDescent="0.2">
      <c r="A33" s="8" t="s">
        <v>146</v>
      </c>
      <c r="B33" s="8">
        <v>6102</v>
      </c>
      <c r="C33" s="8" t="s">
        <v>313</v>
      </c>
      <c r="D33" s="8" t="s">
        <v>109</v>
      </c>
      <c r="E33" s="8" t="s">
        <v>115</v>
      </c>
      <c r="F33" s="8" t="s">
        <v>82</v>
      </c>
      <c r="G33" s="8">
        <v>4</v>
      </c>
      <c r="H33" s="8">
        <v>5</v>
      </c>
      <c r="I33" s="8">
        <v>14</v>
      </c>
      <c r="J33" s="8">
        <v>670</v>
      </c>
      <c r="K33" s="8" t="s">
        <v>122</v>
      </c>
      <c r="L33" s="8">
        <v>140131</v>
      </c>
      <c r="M33" s="104">
        <v>3184</v>
      </c>
      <c r="N33" s="107">
        <v>213997</v>
      </c>
      <c r="O33" s="8" t="s">
        <v>150</v>
      </c>
    </row>
    <row r="34" spans="1:15" x14ac:dyDescent="0.2">
      <c r="A34" s="8" t="s">
        <v>146</v>
      </c>
      <c r="B34" s="8">
        <v>6048</v>
      </c>
      <c r="C34" s="8" t="s">
        <v>314</v>
      </c>
      <c r="D34" s="8" t="s">
        <v>315</v>
      </c>
      <c r="E34" s="8" t="s">
        <v>115</v>
      </c>
      <c r="F34" s="8" t="s">
        <v>316</v>
      </c>
      <c r="G34" s="8">
        <v>1</v>
      </c>
      <c r="H34" s="8">
        <v>20</v>
      </c>
      <c r="I34" s="8">
        <v>14</v>
      </c>
      <c r="J34" s="8">
        <v>125</v>
      </c>
      <c r="K34" s="8" t="s">
        <v>105</v>
      </c>
      <c r="L34" s="8">
        <v>140108</v>
      </c>
      <c r="M34" s="104">
        <v>3811</v>
      </c>
      <c r="N34" s="107">
        <v>256137</v>
      </c>
      <c r="O34" s="8" t="s">
        <v>150</v>
      </c>
    </row>
    <row r="35" spans="1:15" x14ac:dyDescent="0.2">
      <c r="A35" s="8" t="s">
        <v>317</v>
      </c>
      <c r="B35" s="8">
        <v>720</v>
      </c>
      <c r="C35" s="8" t="s">
        <v>224</v>
      </c>
      <c r="D35" s="8" t="s">
        <v>121</v>
      </c>
      <c r="E35" s="8" t="s">
        <v>115</v>
      </c>
      <c r="F35" s="8" t="s">
        <v>207</v>
      </c>
      <c r="G35" s="8">
        <v>2</v>
      </c>
      <c r="H35" s="8">
        <v>3</v>
      </c>
      <c r="I35" s="8">
        <v>14</v>
      </c>
      <c r="J35" s="8">
        <v>257</v>
      </c>
      <c r="K35" s="8" t="s">
        <v>105</v>
      </c>
      <c r="L35" s="8">
        <v>140114</v>
      </c>
      <c r="M35" s="104">
        <v>3547</v>
      </c>
      <c r="N35" s="107">
        <v>238394</v>
      </c>
      <c r="O35" s="8" t="s">
        <v>119</v>
      </c>
    </row>
    <row r="36" spans="1:15" x14ac:dyDescent="0.2">
      <c r="A36" s="8" t="s">
        <v>120</v>
      </c>
      <c r="B36" s="8">
        <v>3418</v>
      </c>
      <c r="C36" s="8" t="s">
        <v>318</v>
      </c>
      <c r="D36" s="8" t="s">
        <v>103</v>
      </c>
      <c r="E36" s="8" t="s">
        <v>115</v>
      </c>
      <c r="F36" s="8" t="s">
        <v>64</v>
      </c>
      <c r="G36" s="8">
        <v>102</v>
      </c>
      <c r="H36" s="8">
        <v>57</v>
      </c>
      <c r="I36" s="8">
        <v>14</v>
      </c>
      <c r="J36" s="8">
        <v>335</v>
      </c>
      <c r="K36" s="8" t="s">
        <v>122</v>
      </c>
      <c r="L36" s="8">
        <v>140116</v>
      </c>
      <c r="M36" s="104">
        <v>7418</v>
      </c>
      <c r="N36" s="107">
        <v>498564</v>
      </c>
      <c r="O36" s="8" t="s">
        <v>319</v>
      </c>
    </row>
    <row r="37" spans="1:15" x14ac:dyDescent="0.2">
      <c r="A37" s="8" t="s">
        <v>120</v>
      </c>
      <c r="B37" s="8">
        <v>2702</v>
      </c>
      <c r="C37" s="8" t="s">
        <v>320</v>
      </c>
      <c r="D37" s="8" t="s">
        <v>116</v>
      </c>
      <c r="E37" s="8" t="s">
        <v>115</v>
      </c>
      <c r="F37" s="8" t="s">
        <v>321</v>
      </c>
      <c r="G37" s="8">
        <v>1</v>
      </c>
      <c r="H37" s="8">
        <v>10</v>
      </c>
      <c r="I37" s="8">
        <v>14</v>
      </c>
      <c r="J37" s="8">
        <v>509</v>
      </c>
      <c r="K37" s="8" t="s">
        <v>122</v>
      </c>
      <c r="L37" s="8">
        <v>140124</v>
      </c>
      <c r="M37" s="104">
        <v>2420</v>
      </c>
      <c r="N37" s="107">
        <v>162648</v>
      </c>
      <c r="O37" s="8" t="s">
        <v>106</v>
      </c>
    </row>
    <row r="38" spans="1:15" x14ac:dyDescent="0.2">
      <c r="A38" s="8" t="s">
        <v>120</v>
      </c>
      <c r="B38" s="8">
        <v>2703</v>
      </c>
      <c r="C38" s="8" t="s">
        <v>320</v>
      </c>
      <c r="D38" s="8" t="s">
        <v>116</v>
      </c>
      <c r="E38" s="8" t="s">
        <v>115</v>
      </c>
      <c r="F38" s="8" t="s">
        <v>321</v>
      </c>
      <c r="G38" s="8">
        <v>1</v>
      </c>
      <c r="H38" s="8">
        <v>1</v>
      </c>
      <c r="I38" s="8">
        <v>14</v>
      </c>
      <c r="J38" s="8">
        <v>486</v>
      </c>
      <c r="K38" s="8" t="s">
        <v>122</v>
      </c>
      <c r="L38" s="8">
        <v>140124</v>
      </c>
      <c r="M38" s="104">
        <v>3318</v>
      </c>
      <c r="N38" s="107">
        <v>223003</v>
      </c>
      <c r="O38" s="8" t="s">
        <v>106</v>
      </c>
    </row>
    <row r="39" spans="1:15" x14ac:dyDescent="0.2">
      <c r="A39" s="8" t="s">
        <v>120</v>
      </c>
      <c r="B39" s="8">
        <v>2706</v>
      </c>
      <c r="C39" s="8" t="s">
        <v>320</v>
      </c>
      <c r="D39" s="8" t="s">
        <v>116</v>
      </c>
      <c r="E39" s="8" t="s">
        <v>115</v>
      </c>
      <c r="F39" s="8" t="s">
        <v>321</v>
      </c>
      <c r="G39" s="8">
        <v>1</v>
      </c>
      <c r="H39" s="8">
        <v>9</v>
      </c>
      <c r="I39" s="8">
        <v>14</v>
      </c>
      <c r="J39" s="8">
        <v>489</v>
      </c>
      <c r="K39" s="8" t="s">
        <v>122</v>
      </c>
      <c r="L39" s="8">
        <v>140124</v>
      </c>
      <c r="M39" s="104">
        <v>1940</v>
      </c>
      <c r="N39" s="107">
        <v>130387</v>
      </c>
      <c r="O39" s="8" t="s">
        <v>106</v>
      </c>
    </row>
    <row r="40" spans="1:15" x14ac:dyDescent="0.2">
      <c r="A40" s="8" t="s">
        <v>120</v>
      </c>
      <c r="B40" s="8">
        <v>2707</v>
      </c>
      <c r="C40" s="8" t="s">
        <v>320</v>
      </c>
      <c r="D40" s="8" t="s">
        <v>116</v>
      </c>
      <c r="E40" s="8" t="s">
        <v>115</v>
      </c>
      <c r="F40" s="8" t="s">
        <v>321</v>
      </c>
      <c r="G40" s="8">
        <v>1</v>
      </c>
      <c r="H40" s="8">
        <v>2</v>
      </c>
      <c r="I40" s="8">
        <v>14</v>
      </c>
      <c r="J40" s="8">
        <v>487</v>
      </c>
      <c r="K40" s="8" t="s">
        <v>122</v>
      </c>
      <c r="L40" s="8">
        <v>140124</v>
      </c>
      <c r="M40" s="104">
        <v>2282</v>
      </c>
      <c r="N40" s="107">
        <v>153373</v>
      </c>
      <c r="O40" s="8" t="s">
        <v>106</v>
      </c>
    </row>
    <row r="41" spans="1:15" x14ac:dyDescent="0.2">
      <c r="A41" s="8" t="s">
        <v>120</v>
      </c>
      <c r="B41" s="8">
        <v>225</v>
      </c>
      <c r="C41" s="8" t="s">
        <v>209</v>
      </c>
      <c r="D41" s="8" t="s">
        <v>312</v>
      </c>
      <c r="E41" s="8" t="s">
        <v>115</v>
      </c>
      <c r="F41" s="8" t="s">
        <v>202</v>
      </c>
      <c r="G41" s="8" t="s">
        <v>203</v>
      </c>
      <c r="H41" s="8">
        <v>21</v>
      </c>
      <c r="I41" s="8">
        <v>14</v>
      </c>
      <c r="J41" s="8">
        <v>488</v>
      </c>
      <c r="K41" s="8" t="s">
        <v>122</v>
      </c>
      <c r="L41" s="8">
        <v>140124</v>
      </c>
      <c r="M41" s="104">
        <v>2282</v>
      </c>
      <c r="N41" s="107">
        <v>153373</v>
      </c>
      <c r="O41" s="8" t="s">
        <v>106</v>
      </c>
    </row>
    <row r="42" spans="1:15" x14ac:dyDescent="0.2">
      <c r="A42" s="8" t="s">
        <v>120</v>
      </c>
      <c r="B42" s="8">
        <v>233</v>
      </c>
      <c r="C42" s="8" t="s">
        <v>209</v>
      </c>
      <c r="D42" s="8" t="s">
        <v>312</v>
      </c>
      <c r="E42" s="8" t="s">
        <v>115</v>
      </c>
      <c r="F42" s="8" t="s">
        <v>202</v>
      </c>
      <c r="G42" s="8" t="s">
        <v>203</v>
      </c>
      <c r="H42" s="8">
        <v>23</v>
      </c>
      <c r="I42" s="8">
        <v>14</v>
      </c>
      <c r="J42" s="8">
        <v>510</v>
      </c>
      <c r="K42" s="8" t="s">
        <v>122</v>
      </c>
      <c r="L42" s="8">
        <v>140124</v>
      </c>
      <c r="M42" s="104">
        <v>2165</v>
      </c>
      <c r="N42" s="107">
        <v>145510</v>
      </c>
      <c r="O42" s="8" t="s">
        <v>106</v>
      </c>
    </row>
    <row r="43" spans="1:15" x14ac:dyDescent="0.2">
      <c r="A43" s="8" t="s">
        <v>120</v>
      </c>
      <c r="B43" s="8">
        <v>3129</v>
      </c>
      <c r="C43" s="8" t="s">
        <v>322</v>
      </c>
      <c r="D43" s="8" t="s">
        <v>103</v>
      </c>
      <c r="E43" s="8" t="s">
        <v>115</v>
      </c>
      <c r="F43" s="8" t="s">
        <v>64</v>
      </c>
      <c r="G43" s="8">
        <v>98</v>
      </c>
      <c r="H43" s="8">
        <v>4</v>
      </c>
      <c r="I43" s="8">
        <v>14</v>
      </c>
      <c r="J43" s="8">
        <v>612</v>
      </c>
      <c r="K43" s="8" t="s">
        <v>122</v>
      </c>
      <c r="L43" s="8">
        <v>140129</v>
      </c>
      <c r="M43" s="104">
        <v>2989</v>
      </c>
      <c r="N43" s="107">
        <v>200891</v>
      </c>
      <c r="O43" s="8" t="s">
        <v>123</v>
      </c>
    </row>
    <row r="44" spans="1:15" x14ac:dyDescent="0.2">
      <c r="A44" s="8" t="s">
        <v>120</v>
      </c>
      <c r="B44" s="8">
        <v>805</v>
      </c>
      <c r="C44" s="8" t="s">
        <v>323</v>
      </c>
      <c r="D44" s="8" t="s">
        <v>124</v>
      </c>
      <c r="E44" s="8" t="s">
        <v>115</v>
      </c>
      <c r="F44" s="8" t="s">
        <v>54</v>
      </c>
      <c r="G44" s="8">
        <v>7</v>
      </c>
      <c r="H44" s="8">
        <v>52</v>
      </c>
      <c r="I44" s="8">
        <v>14</v>
      </c>
      <c r="J44" s="8">
        <v>267</v>
      </c>
      <c r="K44" s="8" t="s">
        <v>105</v>
      </c>
      <c r="L44" s="8">
        <v>140114</v>
      </c>
      <c r="M44" s="104">
        <v>4274</v>
      </c>
      <c r="N44" s="107">
        <v>330000</v>
      </c>
      <c r="O44" s="8" t="s">
        <v>324</v>
      </c>
    </row>
    <row r="45" spans="1:15" x14ac:dyDescent="0.2">
      <c r="A45" s="8" t="s">
        <v>120</v>
      </c>
      <c r="B45" s="8">
        <v>809</v>
      </c>
      <c r="C45" s="8" t="s">
        <v>323</v>
      </c>
      <c r="D45" s="8" t="s">
        <v>124</v>
      </c>
      <c r="E45" s="8" t="s">
        <v>115</v>
      </c>
      <c r="F45" s="8" t="s">
        <v>54</v>
      </c>
      <c r="G45" s="8">
        <v>7</v>
      </c>
      <c r="H45" s="8">
        <v>51</v>
      </c>
      <c r="I45" s="8">
        <v>14</v>
      </c>
      <c r="J45" s="8">
        <v>268</v>
      </c>
      <c r="K45" s="8" t="s">
        <v>105</v>
      </c>
      <c r="L45" s="8">
        <v>140114</v>
      </c>
      <c r="M45" s="104">
        <v>6364</v>
      </c>
      <c r="N45" s="107">
        <v>530000</v>
      </c>
      <c r="O45" s="8" t="s">
        <v>324</v>
      </c>
    </row>
    <row r="46" spans="1:15" x14ac:dyDescent="0.2">
      <c r="A46" s="8" t="s">
        <v>120</v>
      </c>
      <c r="B46" s="8">
        <v>504</v>
      </c>
      <c r="C46" s="8" t="s">
        <v>325</v>
      </c>
      <c r="D46" s="8" t="s">
        <v>124</v>
      </c>
      <c r="E46" s="8" t="s">
        <v>115</v>
      </c>
      <c r="F46" s="8" t="s">
        <v>54</v>
      </c>
      <c r="G46" s="8">
        <v>10</v>
      </c>
      <c r="H46" s="8">
        <v>8</v>
      </c>
      <c r="I46" s="8">
        <v>14</v>
      </c>
      <c r="J46" s="8">
        <v>270</v>
      </c>
      <c r="K46" s="8" t="s">
        <v>122</v>
      </c>
      <c r="L46" s="8">
        <v>140114</v>
      </c>
      <c r="M46" s="104">
        <v>4119</v>
      </c>
      <c r="N46" s="107">
        <v>276838</v>
      </c>
      <c r="O46" s="8" t="s">
        <v>326</v>
      </c>
    </row>
    <row r="47" spans="1:15" x14ac:dyDescent="0.2">
      <c r="A47" s="8" t="s">
        <v>327</v>
      </c>
      <c r="B47" s="8">
        <v>618</v>
      </c>
      <c r="C47" s="8" t="s">
        <v>328</v>
      </c>
      <c r="D47" s="8" t="s">
        <v>124</v>
      </c>
      <c r="E47" s="8" t="s">
        <v>128</v>
      </c>
      <c r="F47" s="8" t="s">
        <v>327</v>
      </c>
      <c r="G47" s="8">
        <v>1</v>
      </c>
      <c r="H47" s="8">
        <v>5</v>
      </c>
      <c r="I47" s="8">
        <v>14</v>
      </c>
      <c r="J47" s="8">
        <v>275</v>
      </c>
      <c r="K47" s="8" t="s">
        <v>105</v>
      </c>
      <c r="L47" s="8">
        <v>140114</v>
      </c>
      <c r="M47" s="104">
        <v>2196</v>
      </c>
      <c r="N47" s="107">
        <v>147593</v>
      </c>
      <c r="O47" s="8" t="s">
        <v>329</v>
      </c>
    </row>
    <row r="49" spans="1:14" ht="22.5" x14ac:dyDescent="0.2">
      <c r="A49" s="86" t="s">
        <v>125</v>
      </c>
      <c r="B49" s="99">
        <f>SUM(47-7)</f>
        <v>40</v>
      </c>
      <c r="M49" s="108" t="s">
        <v>126</v>
      </c>
      <c r="N49" s="100">
        <f>SUM(N8:N47)</f>
        <v>8105237</v>
      </c>
    </row>
  </sheetData>
  <phoneticPr fontId="1" type="noConversion"/>
  <pageMargins left="0.25" right="0.25" top="0.5" bottom="0.5" header="0.5" footer="0.5"/>
  <pageSetup scale="74" orientation="landscape" r:id="rId1"/>
  <headerFooter alignWithMargins="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BB69"/>
  <sheetViews>
    <sheetView zoomScale="125" zoomScaleNormal="125" zoomScalePageLayoutView="125" workbookViewId="0">
      <selection activeCell="A5" sqref="A5"/>
    </sheetView>
  </sheetViews>
  <sheetFormatPr defaultColWidth="8.85546875" defaultRowHeight="12.75" x14ac:dyDescent="0.2"/>
  <cols>
    <col min="1" max="1" width="11.7109375" style="1" customWidth="1"/>
    <col min="2" max="2" width="8.85546875" style="1"/>
    <col min="3" max="3" width="15.85546875" style="1" customWidth="1"/>
    <col min="4" max="4" width="7.42578125" style="1" customWidth="1"/>
    <col min="5" max="5" width="7.140625" style="1" customWidth="1"/>
    <col min="6" max="6" width="7" style="1" customWidth="1"/>
    <col min="7" max="7" width="5" style="1" customWidth="1"/>
    <col min="8" max="8" width="6.85546875" style="1" customWidth="1"/>
    <col min="9" max="9" width="6" style="1" customWidth="1"/>
    <col min="10" max="10" width="8.7109375" style="1" customWidth="1"/>
    <col min="11" max="11" width="7.42578125" style="18" customWidth="1"/>
    <col min="12" max="12" width="9.140625" style="28" customWidth="1"/>
    <col min="13" max="13" width="10.85546875" style="44" customWidth="1"/>
    <col min="14" max="14" width="32" style="5" customWidth="1"/>
    <col min="15" max="52" width="8.85546875" style="17"/>
  </cols>
  <sheetData>
    <row r="1" spans="1:54" s="4" customFormat="1" ht="11.25" x14ac:dyDescent="0.2">
      <c r="A1" s="1"/>
      <c r="B1" s="1"/>
      <c r="C1" s="1"/>
      <c r="D1" s="42" t="s">
        <v>30</v>
      </c>
      <c r="E1" s="1"/>
      <c r="F1" s="1"/>
      <c r="G1" s="1"/>
      <c r="H1" s="1"/>
      <c r="I1" s="1"/>
      <c r="J1" s="1"/>
      <c r="K1" s="18"/>
      <c r="L1" s="28"/>
      <c r="M1" s="44"/>
      <c r="N1" s="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row>
    <row r="2" spans="1:54" s="4" customFormat="1" ht="11.25" x14ac:dyDescent="0.2">
      <c r="A2" s="1"/>
      <c r="B2" s="1"/>
      <c r="C2" s="1"/>
      <c r="D2" s="43" t="s">
        <v>303</v>
      </c>
      <c r="E2" s="1"/>
      <c r="F2" s="1"/>
      <c r="G2" s="1"/>
      <c r="H2" s="1"/>
      <c r="I2" s="1"/>
      <c r="J2" s="1"/>
      <c r="K2" s="18"/>
      <c r="L2" s="28"/>
      <c r="M2" s="44"/>
      <c r="N2" s="5"/>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4" s="4" customFormat="1" ht="11.25" x14ac:dyDescent="0.2">
      <c r="A3" s="1"/>
      <c r="B3" s="1"/>
      <c r="C3" s="1"/>
      <c r="D3" s="2"/>
      <c r="E3" s="1"/>
      <c r="F3" s="1"/>
      <c r="G3" s="1"/>
      <c r="H3" s="1"/>
      <c r="I3" s="1"/>
      <c r="J3" s="1"/>
      <c r="K3" s="18"/>
      <c r="L3" s="28"/>
      <c r="M3" s="44"/>
      <c r="N3" s="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row>
    <row r="4" spans="1:54" s="15" customFormat="1" ht="22.5" x14ac:dyDescent="0.2">
      <c r="A4" s="7" t="s">
        <v>10</v>
      </c>
      <c r="B4" s="8"/>
      <c r="C4" s="8"/>
      <c r="D4" s="9" t="s">
        <v>0</v>
      </c>
      <c r="E4" s="9"/>
      <c r="F4" s="8"/>
      <c r="G4" s="9" t="s">
        <v>1</v>
      </c>
      <c r="H4" s="8"/>
      <c r="I4" s="115" t="s">
        <v>2</v>
      </c>
      <c r="J4" s="116"/>
      <c r="K4" s="9" t="s">
        <v>3</v>
      </c>
      <c r="L4" s="11" t="s">
        <v>4</v>
      </c>
      <c r="M4" s="19" t="s">
        <v>5</v>
      </c>
      <c r="N4" s="54" t="s">
        <v>26</v>
      </c>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row>
    <row r="5" spans="1:54" s="15" customFormat="1" ht="22.5" x14ac:dyDescent="0.2">
      <c r="A5" s="12"/>
      <c r="B5" s="13" t="s">
        <v>11</v>
      </c>
      <c r="C5" s="13" t="s">
        <v>12</v>
      </c>
      <c r="D5" s="13" t="s">
        <v>32</v>
      </c>
      <c r="E5" s="13" t="s">
        <v>33</v>
      </c>
      <c r="F5" s="14" t="s">
        <v>13</v>
      </c>
      <c r="G5" s="13" t="s">
        <v>14</v>
      </c>
      <c r="H5" s="13" t="s">
        <v>15</v>
      </c>
      <c r="I5" s="13" t="s">
        <v>6</v>
      </c>
      <c r="J5" s="13" t="s">
        <v>16</v>
      </c>
      <c r="K5" s="13" t="s">
        <v>9</v>
      </c>
      <c r="L5" s="52"/>
      <c r="M5" s="45"/>
      <c r="N5" s="8"/>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s="15" customFormat="1" ht="11.25" x14ac:dyDescent="0.2">
      <c r="A6" s="31"/>
      <c r="B6" s="32"/>
      <c r="C6" s="32"/>
      <c r="D6" s="32"/>
      <c r="E6" s="32"/>
      <c r="F6" s="33"/>
      <c r="G6" s="32"/>
      <c r="H6" s="32"/>
      <c r="I6" s="32"/>
      <c r="J6" s="32"/>
      <c r="K6" s="32"/>
      <c r="L6" s="53"/>
      <c r="M6" s="46"/>
      <c r="N6" s="10"/>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row>
    <row r="7" spans="1:54" x14ac:dyDescent="0.2">
      <c r="A7" s="8" t="s">
        <v>50</v>
      </c>
      <c r="B7" s="8">
        <v>556</v>
      </c>
      <c r="C7" s="8" t="s">
        <v>248</v>
      </c>
      <c r="D7" s="8" t="s">
        <v>114</v>
      </c>
      <c r="E7" s="8" t="s">
        <v>104</v>
      </c>
      <c r="F7" s="8" t="s">
        <v>89</v>
      </c>
      <c r="G7" s="8">
        <v>24</v>
      </c>
      <c r="H7" s="8">
        <v>4</v>
      </c>
      <c r="I7" s="8">
        <v>13</v>
      </c>
      <c r="J7" s="8">
        <v>8362</v>
      </c>
      <c r="K7" s="8">
        <v>140102</v>
      </c>
      <c r="L7" s="104">
        <v>120</v>
      </c>
      <c r="M7" s="98">
        <v>5039</v>
      </c>
      <c r="N7" s="8" t="s">
        <v>123</v>
      </c>
    </row>
    <row r="8" spans="1:54" x14ac:dyDescent="0.2">
      <c r="A8" s="8" t="s">
        <v>50</v>
      </c>
      <c r="B8" s="8">
        <v>2505</v>
      </c>
      <c r="C8" s="8" t="s">
        <v>194</v>
      </c>
      <c r="D8" s="8" t="s">
        <v>103</v>
      </c>
      <c r="E8" s="8" t="s">
        <v>115</v>
      </c>
      <c r="F8" s="8" t="s">
        <v>57</v>
      </c>
      <c r="G8" s="8">
        <v>97</v>
      </c>
      <c r="H8" s="8">
        <v>12</v>
      </c>
      <c r="I8" s="8">
        <v>14</v>
      </c>
      <c r="J8" s="8">
        <v>372</v>
      </c>
      <c r="K8" s="8">
        <v>140117</v>
      </c>
      <c r="L8" s="104">
        <v>852</v>
      </c>
      <c r="M8" s="98">
        <v>35775</v>
      </c>
      <c r="N8" s="8" t="s">
        <v>123</v>
      </c>
    </row>
    <row r="9" spans="1:54" x14ac:dyDescent="0.2">
      <c r="A9" s="8" t="s">
        <v>50</v>
      </c>
      <c r="B9" s="8">
        <v>6464</v>
      </c>
      <c r="C9" s="8" t="s">
        <v>330</v>
      </c>
      <c r="D9" s="8" t="s">
        <v>109</v>
      </c>
      <c r="E9" s="8" t="s">
        <v>115</v>
      </c>
      <c r="F9" s="8" t="s">
        <v>263</v>
      </c>
      <c r="G9" s="8">
        <v>6</v>
      </c>
      <c r="H9" s="8">
        <v>1</v>
      </c>
      <c r="I9" s="8">
        <v>14</v>
      </c>
      <c r="J9" s="8">
        <v>115</v>
      </c>
      <c r="K9" s="8">
        <v>140107</v>
      </c>
      <c r="L9" s="104">
        <v>507</v>
      </c>
      <c r="M9" s="98">
        <v>27000</v>
      </c>
      <c r="N9" s="8" t="s">
        <v>331</v>
      </c>
    </row>
    <row r="10" spans="1:54" x14ac:dyDescent="0.2">
      <c r="A10" s="8" t="s">
        <v>50</v>
      </c>
      <c r="B10" s="8">
        <v>308</v>
      </c>
      <c r="C10" s="8" t="s">
        <v>209</v>
      </c>
      <c r="D10" s="8" t="s">
        <v>312</v>
      </c>
      <c r="E10" s="8" t="s">
        <v>115</v>
      </c>
      <c r="F10" s="8" t="s">
        <v>202</v>
      </c>
      <c r="G10" s="8" t="s">
        <v>180</v>
      </c>
      <c r="H10" s="8">
        <v>19</v>
      </c>
      <c r="I10" s="8">
        <v>14</v>
      </c>
      <c r="J10" s="8">
        <v>7</v>
      </c>
      <c r="K10" s="8">
        <v>140102</v>
      </c>
      <c r="L10" s="104">
        <v>300</v>
      </c>
      <c r="M10" s="98">
        <v>5200</v>
      </c>
      <c r="N10" s="8" t="s">
        <v>332</v>
      </c>
    </row>
    <row r="11" spans="1:54" x14ac:dyDescent="0.2">
      <c r="A11" s="8" t="s">
        <v>50</v>
      </c>
      <c r="B11" s="8">
        <v>1541</v>
      </c>
      <c r="C11" s="8" t="s">
        <v>333</v>
      </c>
      <c r="D11" s="8" t="s">
        <v>111</v>
      </c>
      <c r="E11" s="8" t="s">
        <v>115</v>
      </c>
      <c r="F11" s="8" t="s">
        <v>57</v>
      </c>
      <c r="G11" s="8">
        <v>70</v>
      </c>
      <c r="H11" s="8">
        <v>23</v>
      </c>
      <c r="I11" s="8">
        <v>14</v>
      </c>
      <c r="J11" s="8">
        <v>692</v>
      </c>
      <c r="K11" s="8">
        <v>140131</v>
      </c>
      <c r="L11" s="104">
        <v>460</v>
      </c>
      <c r="M11" s="98">
        <v>25000</v>
      </c>
      <c r="N11" s="8" t="s">
        <v>163</v>
      </c>
    </row>
    <row r="12" spans="1:54" x14ac:dyDescent="0.2">
      <c r="A12" s="8" t="s">
        <v>50</v>
      </c>
      <c r="B12" s="8">
        <v>600</v>
      </c>
      <c r="C12" s="8" t="s">
        <v>334</v>
      </c>
      <c r="D12" s="8" t="s">
        <v>103</v>
      </c>
      <c r="E12" s="8" t="s">
        <v>115</v>
      </c>
      <c r="F12" s="8" t="s">
        <v>57</v>
      </c>
      <c r="G12" s="8">
        <v>165</v>
      </c>
      <c r="H12" s="8" t="s">
        <v>181</v>
      </c>
      <c r="I12" s="8">
        <v>14</v>
      </c>
      <c r="J12" s="8">
        <v>461</v>
      </c>
      <c r="K12" s="8">
        <v>140123</v>
      </c>
      <c r="L12" s="104">
        <v>317</v>
      </c>
      <c r="M12" s="98">
        <v>13311</v>
      </c>
      <c r="N12" s="8" t="s">
        <v>335</v>
      </c>
    </row>
    <row r="13" spans="1:54" x14ac:dyDescent="0.2">
      <c r="A13" s="8" t="s">
        <v>50</v>
      </c>
      <c r="B13" s="8">
        <v>107</v>
      </c>
      <c r="C13" s="8" t="s">
        <v>336</v>
      </c>
      <c r="D13" s="8" t="s">
        <v>116</v>
      </c>
      <c r="E13" s="8" t="s">
        <v>115</v>
      </c>
      <c r="F13" s="8" t="s">
        <v>275</v>
      </c>
      <c r="G13" s="8">
        <v>5</v>
      </c>
      <c r="H13" s="8">
        <v>53</v>
      </c>
      <c r="I13" s="8">
        <v>14</v>
      </c>
      <c r="J13" s="8">
        <v>258</v>
      </c>
      <c r="K13" s="8">
        <v>140114</v>
      </c>
      <c r="L13" s="104">
        <v>701</v>
      </c>
      <c r="M13" s="98">
        <v>47114</v>
      </c>
      <c r="N13" s="8" t="s">
        <v>119</v>
      </c>
    </row>
    <row r="14" spans="1:54" x14ac:dyDescent="0.2">
      <c r="A14" s="8" t="s">
        <v>50</v>
      </c>
      <c r="B14" s="8">
        <v>205</v>
      </c>
      <c r="C14" s="8" t="s">
        <v>337</v>
      </c>
      <c r="D14" s="8" t="s">
        <v>111</v>
      </c>
      <c r="E14" s="8" t="s">
        <v>104</v>
      </c>
      <c r="F14" s="8" t="s">
        <v>75</v>
      </c>
      <c r="G14" s="8">
        <v>2</v>
      </c>
      <c r="H14" s="8" t="s">
        <v>338</v>
      </c>
      <c r="I14" s="8">
        <v>14</v>
      </c>
      <c r="J14" s="8">
        <v>663</v>
      </c>
      <c r="K14" s="8">
        <v>140131</v>
      </c>
      <c r="L14" s="104">
        <v>982</v>
      </c>
      <c r="M14" s="98">
        <v>13394</v>
      </c>
      <c r="N14" s="8" t="s">
        <v>339</v>
      </c>
    </row>
    <row r="15" spans="1:54" x14ac:dyDescent="0.2">
      <c r="A15" s="8" t="s">
        <v>50</v>
      </c>
      <c r="B15" s="8">
        <v>420</v>
      </c>
      <c r="C15" s="8" t="s">
        <v>227</v>
      </c>
      <c r="D15" s="8" t="s">
        <v>124</v>
      </c>
      <c r="E15" s="8" t="s">
        <v>115</v>
      </c>
      <c r="F15" s="8" t="s">
        <v>54</v>
      </c>
      <c r="G15" s="8">
        <v>32</v>
      </c>
      <c r="H15" s="8">
        <v>20</v>
      </c>
      <c r="I15" s="8">
        <v>14</v>
      </c>
      <c r="J15" s="8">
        <v>484</v>
      </c>
      <c r="K15" s="8">
        <v>140124</v>
      </c>
      <c r="L15" s="104">
        <v>1059</v>
      </c>
      <c r="M15" s="98">
        <v>59000</v>
      </c>
      <c r="N15" s="8" t="s">
        <v>340</v>
      </c>
    </row>
    <row r="16" spans="1:54" x14ac:dyDescent="0.2">
      <c r="A16" s="8" t="s">
        <v>127</v>
      </c>
      <c r="B16" s="8">
        <v>1121</v>
      </c>
      <c r="C16" s="8" t="s">
        <v>229</v>
      </c>
      <c r="D16" s="8" t="s">
        <v>124</v>
      </c>
      <c r="E16" s="8" t="s">
        <v>104</v>
      </c>
      <c r="F16" s="8" t="s">
        <v>228</v>
      </c>
      <c r="G16" s="8">
        <v>8</v>
      </c>
      <c r="H16" s="8">
        <v>16</v>
      </c>
      <c r="I16" s="8">
        <v>14</v>
      </c>
      <c r="J16" s="8">
        <v>464</v>
      </c>
      <c r="K16" s="8">
        <v>140123</v>
      </c>
      <c r="L16" s="104">
        <v>1056</v>
      </c>
      <c r="M16" s="98">
        <v>24478</v>
      </c>
      <c r="N16" s="8" t="s">
        <v>341</v>
      </c>
    </row>
    <row r="17" spans="1:14" x14ac:dyDescent="0.2">
      <c r="A17" s="8" t="s">
        <v>127</v>
      </c>
      <c r="B17" s="8">
        <v>1705</v>
      </c>
      <c r="C17" s="8" t="s">
        <v>230</v>
      </c>
      <c r="D17" s="8" t="s">
        <v>124</v>
      </c>
      <c r="E17" s="8" t="s">
        <v>104</v>
      </c>
      <c r="F17" s="8" t="s">
        <v>228</v>
      </c>
      <c r="G17" s="8">
        <v>31</v>
      </c>
      <c r="H17" s="8">
        <v>28</v>
      </c>
      <c r="I17" s="8">
        <v>14</v>
      </c>
      <c r="J17" s="8">
        <v>205</v>
      </c>
      <c r="K17" s="8">
        <v>140110</v>
      </c>
      <c r="L17" s="104">
        <v>1500</v>
      </c>
      <c r="M17" s="98">
        <v>34770</v>
      </c>
      <c r="N17" s="8" t="s">
        <v>342</v>
      </c>
    </row>
    <row r="18" spans="1:14" x14ac:dyDescent="0.2">
      <c r="A18" s="8" t="s">
        <v>127</v>
      </c>
      <c r="B18" s="8">
        <v>4618</v>
      </c>
      <c r="C18" s="8" t="s">
        <v>230</v>
      </c>
      <c r="D18" s="8" t="s">
        <v>114</v>
      </c>
      <c r="E18" s="8" t="s">
        <v>115</v>
      </c>
      <c r="F18" s="8" t="s">
        <v>57</v>
      </c>
      <c r="G18" s="8">
        <v>49</v>
      </c>
      <c r="H18" s="8">
        <v>22</v>
      </c>
      <c r="I18" s="8">
        <v>14</v>
      </c>
      <c r="J18" s="8">
        <v>597</v>
      </c>
      <c r="K18" s="8">
        <v>140128</v>
      </c>
      <c r="L18" s="104">
        <v>1200</v>
      </c>
      <c r="M18" s="98">
        <v>27816</v>
      </c>
      <c r="N18" s="8" t="s">
        <v>123</v>
      </c>
    </row>
    <row r="19" spans="1:14" x14ac:dyDescent="0.2">
      <c r="A19" s="8" t="s">
        <v>127</v>
      </c>
      <c r="B19" s="8">
        <v>1002</v>
      </c>
      <c r="C19" s="8" t="s">
        <v>343</v>
      </c>
      <c r="D19" s="8" t="s">
        <v>124</v>
      </c>
      <c r="E19" s="8" t="s">
        <v>104</v>
      </c>
      <c r="F19" s="8" t="s">
        <v>52</v>
      </c>
      <c r="G19" s="8" t="s">
        <v>344</v>
      </c>
      <c r="H19" s="8">
        <v>3</v>
      </c>
      <c r="I19" s="8">
        <v>14</v>
      </c>
      <c r="J19" s="8">
        <v>420</v>
      </c>
      <c r="K19" s="8">
        <v>140122</v>
      </c>
      <c r="L19" s="104">
        <v>1408</v>
      </c>
      <c r="M19" s="98">
        <v>46464</v>
      </c>
      <c r="N19" s="8" t="s">
        <v>345</v>
      </c>
    </row>
    <row r="20" spans="1:14" x14ac:dyDescent="0.2">
      <c r="A20" s="8" t="s">
        <v>346</v>
      </c>
      <c r="B20" s="8">
        <v>3109</v>
      </c>
      <c r="C20" s="8" t="s">
        <v>194</v>
      </c>
      <c r="D20" s="8" t="s">
        <v>103</v>
      </c>
      <c r="E20" s="8" t="s">
        <v>115</v>
      </c>
      <c r="F20" s="8" t="s">
        <v>64</v>
      </c>
      <c r="G20" s="8">
        <v>107</v>
      </c>
      <c r="H20" s="8">
        <v>62</v>
      </c>
      <c r="I20" s="8">
        <v>14</v>
      </c>
      <c r="J20" s="8">
        <v>179</v>
      </c>
      <c r="K20" s="8">
        <v>140109</v>
      </c>
      <c r="L20" s="104">
        <v>450</v>
      </c>
      <c r="M20" s="98">
        <v>27945</v>
      </c>
      <c r="N20" s="8" t="s">
        <v>347</v>
      </c>
    </row>
    <row r="21" spans="1:14" x14ac:dyDescent="0.2">
      <c r="A21" s="8" t="s">
        <v>129</v>
      </c>
      <c r="B21" s="8">
        <v>1805</v>
      </c>
      <c r="C21" s="8" t="s">
        <v>348</v>
      </c>
      <c r="D21" s="8" t="s">
        <v>116</v>
      </c>
      <c r="E21" s="8" t="s">
        <v>104</v>
      </c>
      <c r="F21" s="8" t="s">
        <v>67</v>
      </c>
      <c r="G21" s="8">
        <v>7</v>
      </c>
      <c r="H21" s="8">
        <v>3</v>
      </c>
      <c r="I21" s="8">
        <v>14</v>
      </c>
      <c r="J21" s="8">
        <v>452</v>
      </c>
      <c r="K21" s="8">
        <v>140122</v>
      </c>
      <c r="L21" s="104">
        <v>2900</v>
      </c>
      <c r="M21" s="98">
        <v>13100</v>
      </c>
      <c r="N21" s="8" t="s">
        <v>349</v>
      </c>
    </row>
    <row r="22" spans="1:14" x14ac:dyDescent="0.2">
      <c r="A22" s="8" t="s">
        <v>129</v>
      </c>
      <c r="B22" s="8">
        <v>3144</v>
      </c>
      <c r="C22" s="8" t="s">
        <v>350</v>
      </c>
      <c r="D22" s="8" t="s">
        <v>111</v>
      </c>
      <c r="E22" s="8" t="s">
        <v>104</v>
      </c>
      <c r="F22" s="8" t="s">
        <v>55</v>
      </c>
      <c r="G22" s="8">
        <v>3</v>
      </c>
      <c r="H22" s="8">
        <v>14</v>
      </c>
      <c r="I22" s="8">
        <v>14</v>
      </c>
      <c r="J22" s="8">
        <v>478</v>
      </c>
      <c r="K22" s="8">
        <v>140124</v>
      </c>
      <c r="L22" s="104">
        <v>3000</v>
      </c>
      <c r="M22" s="98">
        <v>13613</v>
      </c>
      <c r="N22" s="8" t="s">
        <v>133</v>
      </c>
    </row>
    <row r="23" spans="1:14" x14ac:dyDescent="0.2">
      <c r="A23" s="8" t="s">
        <v>129</v>
      </c>
      <c r="B23" s="8">
        <v>6512</v>
      </c>
      <c r="C23" s="8" t="s">
        <v>351</v>
      </c>
      <c r="D23" s="8" t="s">
        <v>103</v>
      </c>
      <c r="E23" s="8" t="s">
        <v>115</v>
      </c>
      <c r="F23" s="8" t="s">
        <v>92</v>
      </c>
      <c r="G23" s="8">
        <v>3</v>
      </c>
      <c r="H23" s="8">
        <v>3</v>
      </c>
      <c r="I23" s="8">
        <v>14</v>
      </c>
      <c r="J23" s="8">
        <v>632</v>
      </c>
      <c r="K23" s="8">
        <v>140130</v>
      </c>
      <c r="L23" s="104">
        <v>3167</v>
      </c>
      <c r="M23" s="98">
        <v>8734</v>
      </c>
      <c r="N23" s="8" t="s">
        <v>130</v>
      </c>
    </row>
    <row r="24" spans="1:14" x14ac:dyDescent="0.2">
      <c r="A24" s="8" t="s">
        <v>129</v>
      </c>
      <c r="B24" s="8">
        <v>1761</v>
      </c>
      <c r="C24" s="8" t="s">
        <v>352</v>
      </c>
      <c r="D24" s="8" t="s">
        <v>109</v>
      </c>
      <c r="E24" s="8" t="s">
        <v>115</v>
      </c>
      <c r="F24" s="8" t="s">
        <v>223</v>
      </c>
      <c r="G24" s="8"/>
      <c r="H24" s="8">
        <v>16</v>
      </c>
      <c r="I24" s="8">
        <v>14</v>
      </c>
      <c r="J24" s="8">
        <v>471</v>
      </c>
      <c r="K24" s="8">
        <v>140123</v>
      </c>
      <c r="L24" s="104">
        <v>2633</v>
      </c>
      <c r="M24" s="98">
        <v>8923</v>
      </c>
      <c r="N24" s="8" t="s">
        <v>159</v>
      </c>
    </row>
    <row r="25" spans="1:14" x14ac:dyDescent="0.2">
      <c r="A25" s="8" t="s">
        <v>129</v>
      </c>
      <c r="B25" s="8">
        <v>2905</v>
      </c>
      <c r="C25" s="8" t="s">
        <v>353</v>
      </c>
      <c r="D25" s="8" t="s">
        <v>167</v>
      </c>
      <c r="E25" s="8" t="s">
        <v>104</v>
      </c>
      <c r="F25" s="8" t="s">
        <v>52</v>
      </c>
      <c r="G25" s="8">
        <v>70</v>
      </c>
      <c r="H25" s="8" t="s">
        <v>354</v>
      </c>
      <c r="I25" s="8">
        <v>14</v>
      </c>
      <c r="J25" s="8">
        <v>285</v>
      </c>
      <c r="K25" s="8">
        <v>140114</v>
      </c>
      <c r="L25" s="104">
        <v>22800</v>
      </c>
      <c r="M25" s="98">
        <v>68911</v>
      </c>
      <c r="N25" s="8" t="s">
        <v>131</v>
      </c>
    </row>
    <row r="26" spans="1:14" x14ac:dyDescent="0.2">
      <c r="A26" s="8" t="s">
        <v>129</v>
      </c>
      <c r="B26" s="8">
        <v>1089</v>
      </c>
      <c r="C26" s="8" t="s">
        <v>264</v>
      </c>
      <c r="D26" s="8" t="s">
        <v>109</v>
      </c>
      <c r="E26" s="8" t="s">
        <v>115</v>
      </c>
      <c r="F26" s="8" t="s">
        <v>95</v>
      </c>
      <c r="G26" s="8">
        <v>2</v>
      </c>
      <c r="H26" s="8">
        <v>16</v>
      </c>
      <c r="I26" s="8">
        <v>14</v>
      </c>
      <c r="J26" s="8">
        <v>513</v>
      </c>
      <c r="K26" s="8">
        <v>140124</v>
      </c>
      <c r="L26" s="104">
        <v>2000</v>
      </c>
      <c r="M26" s="98">
        <v>6620</v>
      </c>
      <c r="N26" s="8" t="s">
        <v>130</v>
      </c>
    </row>
    <row r="27" spans="1:14" x14ac:dyDescent="0.2">
      <c r="A27" s="8" t="s">
        <v>129</v>
      </c>
      <c r="B27" s="8">
        <v>98</v>
      </c>
      <c r="C27" s="8" t="s">
        <v>355</v>
      </c>
      <c r="D27" s="8" t="s">
        <v>103</v>
      </c>
      <c r="E27" s="8" t="s">
        <v>115</v>
      </c>
      <c r="F27" s="8" t="s">
        <v>275</v>
      </c>
      <c r="G27" s="8">
        <v>6</v>
      </c>
      <c r="H27" s="8">
        <v>11</v>
      </c>
      <c r="I27" s="8">
        <v>14</v>
      </c>
      <c r="J27" s="8">
        <v>440</v>
      </c>
      <c r="K27" s="8">
        <v>140122</v>
      </c>
      <c r="L27" s="104">
        <v>0</v>
      </c>
      <c r="M27" s="98">
        <v>0</v>
      </c>
      <c r="N27" s="8" t="s">
        <v>356</v>
      </c>
    </row>
    <row r="28" spans="1:14" x14ac:dyDescent="0.2">
      <c r="A28" s="8" t="s">
        <v>129</v>
      </c>
      <c r="B28" s="8">
        <v>521</v>
      </c>
      <c r="C28" s="8" t="s">
        <v>357</v>
      </c>
      <c r="D28" s="8" t="s">
        <v>103</v>
      </c>
      <c r="E28" s="8" t="s">
        <v>104</v>
      </c>
      <c r="F28" s="8" t="s">
        <v>87</v>
      </c>
      <c r="G28" s="8">
        <v>5</v>
      </c>
      <c r="H28" s="8">
        <v>31</v>
      </c>
      <c r="I28" s="8">
        <v>14</v>
      </c>
      <c r="J28" s="8">
        <v>671</v>
      </c>
      <c r="K28" s="8">
        <v>140131</v>
      </c>
      <c r="L28" s="104">
        <v>2700</v>
      </c>
      <c r="M28" s="98">
        <v>9630</v>
      </c>
      <c r="N28" s="8" t="s">
        <v>349</v>
      </c>
    </row>
    <row r="29" spans="1:14" x14ac:dyDescent="0.2">
      <c r="A29" s="8" t="s">
        <v>129</v>
      </c>
      <c r="B29" s="8">
        <v>560</v>
      </c>
      <c r="C29" s="8" t="s">
        <v>358</v>
      </c>
      <c r="D29" s="8" t="s">
        <v>103</v>
      </c>
      <c r="E29" s="8" t="s">
        <v>104</v>
      </c>
      <c r="F29" s="8" t="s">
        <v>359</v>
      </c>
      <c r="G29" s="8">
        <v>3</v>
      </c>
      <c r="H29" s="8">
        <v>20</v>
      </c>
      <c r="I29" s="8">
        <v>14</v>
      </c>
      <c r="J29" s="8">
        <v>281</v>
      </c>
      <c r="K29" s="8">
        <v>140114</v>
      </c>
      <c r="L29" s="104">
        <v>2715</v>
      </c>
      <c r="M29" s="98">
        <v>9066</v>
      </c>
      <c r="N29" s="8" t="s">
        <v>135</v>
      </c>
    </row>
    <row r="30" spans="1:14" x14ac:dyDescent="0.2">
      <c r="A30" s="8" t="s">
        <v>129</v>
      </c>
      <c r="B30" s="8">
        <v>242</v>
      </c>
      <c r="C30" s="8" t="s">
        <v>269</v>
      </c>
      <c r="D30" s="8" t="s">
        <v>109</v>
      </c>
      <c r="E30" s="8" t="s">
        <v>115</v>
      </c>
      <c r="F30" s="8" t="s">
        <v>270</v>
      </c>
      <c r="G30" s="8">
        <v>8</v>
      </c>
      <c r="H30" s="8">
        <v>16</v>
      </c>
      <c r="I30" s="8">
        <v>14</v>
      </c>
      <c r="J30" s="8">
        <v>451</v>
      </c>
      <c r="K30" s="8">
        <v>140122</v>
      </c>
      <c r="L30" s="104">
        <v>0</v>
      </c>
      <c r="M30" s="98">
        <v>0</v>
      </c>
      <c r="N30" s="8" t="s">
        <v>349</v>
      </c>
    </row>
    <row r="31" spans="1:14" x14ac:dyDescent="0.2">
      <c r="A31" s="8" t="s">
        <v>129</v>
      </c>
      <c r="B31" s="8">
        <v>6051</v>
      </c>
      <c r="C31" s="8" t="s">
        <v>91</v>
      </c>
      <c r="D31" s="8" t="s">
        <v>103</v>
      </c>
      <c r="E31" s="8" t="s">
        <v>115</v>
      </c>
      <c r="F31" s="8" t="s">
        <v>92</v>
      </c>
      <c r="G31" s="8">
        <v>25</v>
      </c>
      <c r="H31" s="8">
        <v>14</v>
      </c>
      <c r="I31" s="8">
        <v>14</v>
      </c>
      <c r="J31" s="8">
        <v>360</v>
      </c>
      <c r="K31" s="8">
        <v>140117</v>
      </c>
      <c r="L31" s="104">
        <v>2979</v>
      </c>
      <c r="M31" s="98">
        <v>8953</v>
      </c>
      <c r="N31" s="8" t="s">
        <v>135</v>
      </c>
    </row>
    <row r="32" spans="1:14" x14ac:dyDescent="0.2">
      <c r="A32" s="8" t="s">
        <v>129</v>
      </c>
      <c r="B32" s="8">
        <v>6387</v>
      </c>
      <c r="C32" s="8" t="s">
        <v>360</v>
      </c>
      <c r="D32" s="8" t="s">
        <v>103</v>
      </c>
      <c r="E32" s="8" t="s">
        <v>115</v>
      </c>
      <c r="F32" s="8" t="s">
        <v>162</v>
      </c>
      <c r="G32" s="8" t="s">
        <v>361</v>
      </c>
      <c r="H32" s="8">
        <v>20</v>
      </c>
      <c r="I32" s="8">
        <v>14</v>
      </c>
      <c r="J32" s="8">
        <v>682</v>
      </c>
      <c r="K32" s="8">
        <v>140131</v>
      </c>
      <c r="L32" s="104">
        <v>2500</v>
      </c>
      <c r="M32" s="98">
        <v>7087</v>
      </c>
      <c r="N32" s="8" t="s">
        <v>130</v>
      </c>
    </row>
    <row r="33" spans="1:14" x14ac:dyDescent="0.2">
      <c r="A33" s="8" t="s">
        <v>129</v>
      </c>
      <c r="B33" s="8">
        <v>6521</v>
      </c>
      <c r="C33" s="8" t="s">
        <v>362</v>
      </c>
      <c r="D33" s="8" t="s">
        <v>116</v>
      </c>
      <c r="E33" s="8" t="s">
        <v>115</v>
      </c>
      <c r="F33" s="8" t="s">
        <v>92</v>
      </c>
      <c r="G33" s="8">
        <v>22</v>
      </c>
      <c r="H33" s="8">
        <v>40</v>
      </c>
      <c r="I33" s="8">
        <v>14</v>
      </c>
      <c r="J33" s="8">
        <v>282</v>
      </c>
      <c r="K33" s="8">
        <v>140114</v>
      </c>
      <c r="L33" s="104">
        <v>4300</v>
      </c>
      <c r="M33" s="98">
        <v>12958</v>
      </c>
      <c r="N33" s="8" t="s">
        <v>130</v>
      </c>
    </row>
    <row r="34" spans="1:14" x14ac:dyDescent="0.2">
      <c r="A34" s="8" t="s">
        <v>129</v>
      </c>
      <c r="B34" s="8">
        <v>4707</v>
      </c>
      <c r="C34" s="8" t="s">
        <v>363</v>
      </c>
      <c r="D34" s="8" t="s">
        <v>116</v>
      </c>
      <c r="E34" s="8" t="s">
        <v>104</v>
      </c>
      <c r="F34" s="8" t="s">
        <v>61</v>
      </c>
      <c r="G34" s="8">
        <v>14</v>
      </c>
      <c r="H34" s="8">
        <v>37</v>
      </c>
      <c r="I34" s="8">
        <v>14</v>
      </c>
      <c r="J34" s="8">
        <v>472</v>
      </c>
      <c r="K34" s="8">
        <v>140123</v>
      </c>
      <c r="L34" s="104">
        <v>368</v>
      </c>
      <c r="M34" s="98">
        <v>1480</v>
      </c>
      <c r="N34" s="8" t="s">
        <v>159</v>
      </c>
    </row>
    <row r="35" spans="1:14" x14ac:dyDescent="0.2">
      <c r="A35" s="8" t="s">
        <v>129</v>
      </c>
      <c r="B35" s="8">
        <v>6345</v>
      </c>
      <c r="C35" s="8" t="s">
        <v>132</v>
      </c>
      <c r="D35" s="8" t="s">
        <v>103</v>
      </c>
      <c r="E35" s="8" t="s">
        <v>115</v>
      </c>
      <c r="F35" s="8" t="s">
        <v>162</v>
      </c>
      <c r="G35" s="8" t="s">
        <v>250</v>
      </c>
      <c r="H35" s="8">
        <v>2</v>
      </c>
      <c r="I35" s="8">
        <v>14</v>
      </c>
      <c r="J35" s="8">
        <v>283</v>
      </c>
      <c r="K35" s="8">
        <v>140114</v>
      </c>
      <c r="L35" s="104">
        <v>2867</v>
      </c>
      <c r="M35" s="98">
        <v>8246</v>
      </c>
      <c r="N35" s="8" t="s">
        <v>130</v>
      </c>
    </row>
    <row r="36" spans="1:14" x14ac:dyDescent="0.2">
      <c r="A36" s="8" t="s">
        <v>129</v>
      </c>
      <c r="B36" s="8">
        <v>6493</v>
      </c>
      <c r="C36" s="8" t="s">
        <v>132</v>
      </c>
      <c r="D36" s="8" t="s">
        <v>103</v>
      </c>
      <c r="E36" s="8" t="s">
        <v>115</v>
      </c>
      <c r="F36" s="8" t="s">
        <v>92</v>
      </c>
      <c r="G36" s="8">
        <v>4</v>
      </c>
      <c r="H36" s="8">
        <v>17</v>
      </c>
      <c r="I36" s="8">
        <v>14</v>
      </c>
      <c r="J36" s="8">
        <v>330</v>
      </c>
      <c r="K36" s="8">
        <v>140116</v>
      </c>
      <c r="L36" s="104">
        <v>2166</v>
      </c>
      <c r="M36" s="98">
        <v>7591</v>
      </c>
      <c r="N36" s="8" t="s">
        <v>130</v>
      </c>
    </row>
    <row r="37" spans="1:14" x14ac:dyDescent="0.2">
      <c r="A37" s="8" t="s">
        <v>129</v>
      </c>
      <c r="B37" s="8">
        <v>6500</v>
      </c>
      <c r="C37" s="8" t="s">
        <v>132</v>
      </c>
      <c r="D37" s="8" t="s">
        <v>103</v>
      </c>
      <c r="E37" s="8" t="s">
        <v>115</v>
      </c>
      <c r="F37" s="8" t="s">
        <v>92</v>
      </c>
      <c r="G37" s="8">
        <v>5</v>
      </c>
      <c r="H37" s="8">
        <v>6</v>
      </c>
      <c r="I37" s="8">
        <v>14</v>
      </c>
      <c r="J37" s="8">
        <v>329</v>
      </c>
      <c r="K37" s="8">
        <v>140116</v>
      </c>
      <c r="L37" s="104">
        <v>3533</v>
      </c>
      <c r="M37" s="98">
        <v>10701</v>
      </c>
      <c r="N37" s="8" t="s">
        <v>130</v>
      </c>
    </row>
    <row r="38" spans="1:14" x14ac:dyDescent="0.2">
      <c r="A38" s="8" t="s">
        <v>129</v>
      </c>
      <c r="B38" s="8">
        <v>6941</v>
      </c>
      <c r="C38" s="8" t="s">
        <v>199</v>
      </c>
      <c r="D38" s="8" t="s">
        <v>109</v>
      </c>
      <c r="E38" s="8" t="s">
        <v>115</v>
      </c>
      <c r="F38" s="8" t="s">
        <v>200</v>
      </c>
      <c r="G38" s="8">
        <v>2</v>
      </c>
      <c r="H38" s="8">
        <v>1</v>
      </c>
      <c r="I38" s="8">
        <v>14</v>
      </c>
      <c r="J38" s="8">
        <v>99</v>
      </c>
      <c r="K38" s="8">
        <v>140107</v>
      </c>
      <c r="L38" s="104">
        <v>4000</v>
      </c>
      <c r="M38" s="98">
        <v>8000</v>
      </c>
      <c r="N38" s="8" t="s">
        <v>364</v>
      </c>
    </row>
    <row r="39" spans="1:14" x14ac:dyDescent="0.2">
      <c r="A39" s="8" t="s">
        <v>129</v>
      </c>
      <c r="B39" s="8">
        <v>743</v>
      </c>
      <c r="C39" s="8" t="s">
        <v>365</v>
      </c>
      <c r="D39" s="8" t="s">
        <v>109</v>
      </c>
      <c r="E39" s="8" t="s">
        <v>115</v>
      </c>
      <c r="F39" s="8" t="s">
        <v>366</v>
      </c>
      <c r="G39" s="8">
        <v>1</v>
      </c>
      <c r="H39" s="8">
        <v>17</v>
      </c>
      <c r="I39" s="8">
        <v>14</v>
      </c>
      <c r="J39" s="8">
        <v>262</v>
      </c>
      <c r="K39" s="8">
        <v>140114</v>
      </c>
      <c r="L39" s="104">
        <v>0</v>
      </c>
      <c r="M39" s="98">
        <v>0</v>
      </c>
      <c r="N39" s="8" t="s">
        <v>367</v>
      </c>
    </row>
    <row r="40" spans="1:14" x14ac:dyDescent="0.2">
      <c r="A40" s="8" t="s">
        <v>129</v>
      </c>
      <c r="B40" s="8">
        <v>6301</v>
      </c>
      <c r="C40" s="8" t="s">
        <v>368</v>
      </c>
      <c r="D40" s="8" t="s">
        <v>103</v>
      </c>
      <c r="E40" s="8" t="s">
        <v>115</v>
      </c>
      <c r="F40" s="8" t="s">
        <v>162</v>
      </c>
      <c r="G40" s="8" t="s">
        <v>369</v>
      </c>
      <c r="H40" s="8">
        <v>10</v>
      </c>
      <c r="I40" s="8">
        <v>14</v>
      </c>
      <c r="J40" s="8">
        <v>680</v>
      </c>
      <c r="K40" s="8">
        <v>140131</v>
      </c>
      <c r="L40" s="104">
        <v>2300</v>
      </c>
      <c r="M40" s="98">
        <v>5943</v>
      </c>
      <c r="N40" s="8" t="s">
        <v>130</v>
      </c>
    </row>
    <row r="41" spans="1:14" x14ac:dyDescent="0.2">
      <c r="A41" s="8" t="s">
        <v>129</v>
      </c>
      <c r="B41" s="8">
        <v>2165</v>
      </c>
      <c r="C41" s="8" t="s">
        <v>94</v>
      </c>
      <c r="D41" s="8" t="s">
        <v>107</v>
      </c>
      <c r="E41" s="8" t="s">
        <v>115</v>
      </c>
      <c r="F41" s="8" t="s">
        <v>95</v>
      </c>
      <c r="G41" s="8">
        <v>1</v>
      </c>
      <c r="H41" s="8">
        <v>12</v>
      </c>
      <c r="I41" s="8">
        <v>14</v>
      </c>
      <c r="J41" s="8">
        <v>18</v>
      </c>
      <c r="K41" s="8">
        <v>140102</v>
      </c>
      <c r="L41" s="104">
        <v>2237</v>
      </c>
      <c r="M41" s="98">
        <v>5787</v>
      </c>
      <c r="N41" s="8" t="s">
        <v>130</v>
      </c>
    </row>
    <row r="42" spans="1:14" x14ac:dyDescent="0.2">
      <c r="A42" s="8" t="s">
        <v>129</v>
      </c>
      <c r="B42" s="8">
        <v>1664</v>
      </c>
      <c r="C42" s="8" t="s">
        <v>277</v>
      </c>
      <c r="D42" s="8" t="s">
        <v>116</v>
      </c>
      <c r="E42" s="8" t="s">
        <v>115</v>
      </c>
      <c r="F42" s="8" t="s">
        <v>370</v>
      </c>
      <c r="G42" s="8">
        <v>8</v>
      </c>
      <c r="H42" s="8">
        <v>12</v>
      </c>
      <c r="I42" s="8">
        <v>14</v>
      </c>
      <c r="J42" s="8">
        <v>567</v>
      </c>
      <c r="K42" s="8">
        <v>140128</v>
      </c>
      <c r="L42" s="104">
        <v>1250</v>
      </c>
      <c r="M42" s="98">
        <v>5520</v>
      </c>
      <c r="N42" s="8" t="s">
        <v>371</v>
      </c>
    </row>
    <row r="43" spans="1:14" x14ac:dyDescent="0.2">
      <c r="A43" s="8" t="s">
        <v>129</v>
      </c>
      <c r="B43" s="8">
        <v>135</v>
      </c>
      <c r="C43" s="8" t="s">
        <v>372</v>
      </c>
      <c r="D43" s="8" t="s">
        <v>103</v>
      </c>
      <c r="E43" s="8" t="s">
        <v>104</v>
      </c>
      <c r="F43" s="8" t="s">
        <v>54</v>
      </c>
      <c r="G43" s="8" t="s">
        <v>373</v>
      </c>
      <c r="H43" s="8">
        <v>4</v>
      </c>
      <c r="I43" s="8">
        <v>14</v>
      </c>
      <c r="J43" s="8">
        <v>424</v>
      </c>
      <c r="K43" s="8">
        <v>140122</v>
      </c>
      <c r="L43" s="104">
        <v>1464</v>
      </c>
      <c r="M43" s="98">
        <v>10679</v>
      </c>
      <c r="N43" s="8" t="s">
        <v>374</v>
      </c>
    </row>
    <row r="44" spans="1:14" x14ac:dyDescent="0.2">
      <c r="A44" s="8" t="s">
        <v>129</v>
      </c>
      <c r="B44" s="8">
        <v>1792</v>
      </c>
      <c r="C44" s="8" t="s">
        <v>375</v>
      </c>
      <c r="D44" s="8" t="s">
        <v>116</v>
      </c>
      <c r="E44" s="8" t="s">
        <v>104</v>
      </c>
      <c r="F44" s="8" t="s">
        <v>67</v>
      </c>
      <c r="G44" s="8">
        <v>7</v>
      </c>
      <c r="H44" s="8">
        <v>15</v>
      </c>
      <c r="I44" s="8">
        <v>14</v>
      </c>
      <c r="J44" s="8">
        <v>5</v>
      </c>
      <c r="K44" s="8">
        <v>140102</v>
      </c>
      <c r="L44" s="104">
        <v>0</v>
      </c>
      <c r="M44" s="98">
        <v>0</v>
      </c>
      <c r="N44" s="8" t="s">
        <v>376</v>
      </c>
    </row>
    <row r="45" spans="1:14" x14ac:dyDescent="0.2">
      <c r="A45" s="8" t="s">
        <v>129</v>
      </c>
      <c r="B45" s="8">
        <v>184</v>
      </c>
      <c r="C45" s="8" t="s">
        <v>377</v>
      </c>
      <c r="D45" s="8" t="s">
        <v>109</v>
      </c>
      <c r="E45" s="8" t="s">
        <v>115</v>
      </c>
      <c r="F45" s="8" t="s">
        <v>270</v>
      </c>
      <c r="G45" s="8">
        <v>1</v>
      </c>
      <c r="H45" s="8">
        <v>18</v>
      </c>
      <c r="I45" s="8">
        <v>14</v>
      </c>
      <c r="J45" s="8">
        <v>466</v>
      </c>
      <c r="K45" s="8">
        <v>140123</v>
      </c>
      <c r="L45" s="104">
        <v>1100</v>
      </c>
      <c r="M45" s="98">
        <v>2945</v>
      </c>
      <c r="N45" s="8" t="s">
        <v>378</v>
      </c>
    </row>
    <row r="46" spans="1:14" x14ac:dyDescent="0.2">
      <c r="A46" s="8" t="s">
        <v>129</v>
      </c>
      <c r="B46" s="8">
        <v>6387</v>
      </c>
      <c r="C46" s="8" t="s">
        <v>158</v>
      </c>
      <c r="D46" s="8" t="s">
        <v>111</v>
      </c>
      <c r="E46" s="8" t="s">
        <v>115</v>
      </c>
      <c r="F46" s="8" t="s">
        <v>162</v>
      </c>
      <c r="G46" s="8" t="s">
        <v>369</v>
      </c>
      <c r="H46" s="8">
        <v>2</v>
      </c>
      <c r="I46" s="8">
        <v>14</v>
      </c>
      <c r="J46" s="8">
        <v>661</v>
      </c>
      <c r="K46" s="8">
        <v>140131</v>
      </c>
      <c r="L46" s="104">
        <v>2200</v>
      </c>
      <c r="M46" s="98">
        <v>6200</v>
      </c>
      <c r="N46" s="8" t="s">
        <v>379</v>
      </c>
    </row>
    <row r="47" spans="1:14" x14ac:dyDescent="0.2">
      <c r="A47" s="8" t="s">
        <v>129</v>
      </c>
      <c r="B47" s="8">
        <v>501</v>
      </c>
      <c r="C47" s="8" t="s">
        <v>380</v>
      </c>
      <c r="D47" s="8" t="s">
        <v>116</v>
      </c>
      <c r="E47" s="8" t="s">
        <v>104</v>
      </c>
      <c r="F47" s="8" t="s">
        <v>87</v>
      </c>
      <c r="G47" s="8">
        <v>5</v>
      </c>
      <c r="H47" s="8">
        <v>27</v>
      </c>
      <c r="I47" s="8">
        <v>14</v>
      </c>
      <c r="J47" s="8">
        <v>576</v>
      </c>
      <c r="K47" s="8">
        <v>140128</v>
      </c>
      <c r="L47" s="104">
        <v>1490</v>
      </c>
      <c r="M47" s="98">
        <v>4047</v>
      </c>
      <c r="N47" s="8" t="s">
        <v>123</v>
      </c>
    </row>
    <row r="48" spans="1:14" x14ac:dyDescent="0.2">
      <c r="A48" s="8" t="s">
        <v>129</v>
      </c>
      <c r="B48" s="8">
        <v>1092</v>
      </c>
      <c r="C48" s="8" t="s">
        <v>381</v>
      </c>
      <c r="D48" s="8" t="s">
        <v>103</v>
      </c>
      <c r="E48" s="8" t="s">
        <v>115</v>
      </c>
      <c r="F48" s="8" t="s">
        <v>95</v>
      </c>
      <c r="G48" s="8">
        <v>4</v>
      </c>
      <c r="H48" s="8">
        <v>20</v>
      </c>
      <c r="I48" s="8">
        <v>14</v>
      </c>
      <c r="J48" s="8">
        <v>681</v>
      </c>
      <c r="K48" s="8">
        <v>140131</v>
      </c>
      <c r="L48" s="104">
        <v>2100</v>
      </c>
      <c r="M48" s="98">
        <v>5386</v>
      </c>
      <c r="N48" s="8" t="s">
        <v>130</v>
      </c>
    </row>
    <row r="49" spans="1:14" x14ac:dyDescent="0.2">
      <c r="A49" s="8" t="s">
        <v>129</v>
      </c>
      <c r="B49" s="8">
        <v>1048</v>
      </c>
      <c r="C49" s="8" t="s">
        <v>290</v>
      </c>
      <c r="D49" s="8" t="s">
        <v>103</v>
      </c>
      <c r="E49" s="8" t="s">
        <v>115</v>
      </c>
      <c r="F49" s="8" t="s">
        <v>92</v>
      </c>
      <c r="G49" s="8">
        <v>24</v>
      </c>
      <c r="H49" s="8">
        <v>13</v>
      </c>
      <c r="I49" s="8">
        <v>14</v>
      </c>
      <c r="J49" s="8">
        <v>98</v>
      </c>
      <c r="K49" s="8">
        <v>140107</v>
      </c>
      <c r="L49" s="104">
        <v>0</v>
      </c>
      <c r="M49" s="98">
        <v>0</v>
      </c>
      <c r="N49" s="8" t="s">
        <v>130</v>
      </c>
    </row>
    <row r="50" spans="1:14" x14ac:dyDescent="0.2">
      <c r="A50" s="8" t="s">
        <v>129</v>
      </c>
      <c r="B50" s="8">
        <v>2100</v>
      </c>
      <c r="C50" s="8" t="s">
        <v>291</v>
      </c>
      <c r="D50" s="8" t="s">
        <v>121</v>
      </c>
      <c r="E50" s="8" t="s">
        <v>115</v>
      </c>
      <c r="F50" s="8" t="s">
        <v>95</v>
      </c>
      <c r="G50" s="8">
        <v>5</v>
      </c>
      <c r="H50" s="8">
        <v>1</v>
      </c>
      <c r="I50" s="8">
        <v>14</v>
      </c>
      <c r="J50" s="8">
        <v>377</v>
      </c>
      <c r="K50" s="8">
        <v>140117</v>
      </c>
      <c r="L50" s="104">
        <v>0</v>
      </c>
      <c r="M50" s="98">
        <v>0</v>
      </c>
      <c r="N50" s="8" t="s">
        <v>130</v>
      </c>
    </row>
    <row r="51" spans="1:14" x14ac:dyDescent="0.2">
      <c r="A51" s="8" t="s">
        <v>129</v>
      </c>
      <c r="B51" s="8">
        <v>601</v>
      </c>
      <c r="C51" s="8" t="s">
        <v>72</v>
      </c>
      <c r="D51" s="8" t="s">
        <v>117</v>
      </c>
      <c r="E51" s="8" t="s">
        <v>115</v>
      </c>
      <c r="F51" s="8" t="s">
        <v>71</v>
      </c>
      <c r="G51" s="8">
        <v>3</v>
      </c>
      <c r="H51" s="8" t="s">
        <v>172</v>
      </c>
      <c r="I51" s="8">
        <v>14</v>
      </c>
      <c r="J51" s="8">
        <v>664</v>
      </c>
      <c r="K51" s="8">
        <v>140131</v>
      </c>
      <c r="L51" s="104">
        <v>84</v>
      </c>
      <c r="M51" s="98">
        <v>5800</v>
      </c>
      <c r="N51" s="8" t="s">
        <v>382</v>
      </c>
    </row>
    <row r="52" spans="1:14" x14ac:dyDescent="0.2">
      <c r="A52" s="8" t="s">
        <v>129</v>
      </c>
      <c r="B52" s="8">
        <v>1706</v>
      </c>
      <c r="C52" s="8" t="s">
        <v>174</v>
      </c>
      <c r="D52" s="8" t="s">
        <v>167</v>
      </c>
      <c r="E52" s="8" t="s">
        <v>104</v>
      </c>
      <c r="F52" s="8" t="s">
        <v>228</v>
      </c>
      <c r="G52" s="8" t="s">
        <v>259</v>
      </c>
      <c r="H52" s="8">
        <v>1</v>
      </c>
      <c r="I52" s="8">
        <v>14</v>
      </c>
      <c r="J52" s="8">
        <v>522</v>
      </c>
      <c r="K52" s="8">
        <v>140127</v>
      </c>
      <c r="L52" s="104">
        <v>2500</v>
      </c>
      <c r="M52" s="98">
        <v>10000</v>
      </c>
      <c r="N52" s="8" t="s">
        <v>383</v>
      </c>
    </row>
    <row r="53" spans="1:14" x14ac:dyDescent="0.2">
      <c r="A53" s="8" t="s">
        <v>129</v>
      </c>
      <c r="B53" s="8">
        <v>7233</v>
      </c>
      <c r="C53" s="8" t="s">
        <v>384</v>
      </c>
      <c r="D53" s="8" t="s">
        <v>111</v>
      </c>
      <c r="E53" s="8" t="s">
        <v>115</v>
      </c>
      <c r="F53" s="8" t="s">
        <v>385</v>
      </c>
      <c r="G53" s="8">
        <v>1</v>
      </c>
      <c r="H53" s="8">
        <v>9</v>
      </c>
      <c r="I53" s="8">
        <v>14</v>
      </c>
      <c r="J53" s="8">
        <v>88</v>
      </c>
      <c r="K53" s="8">
        <v>140107</v>
      </c>
      <c r="L53" s="104">
        <v>2830</v>
      </c>
      <c r="M53" s="98">
        <v>13149</v>
      </c>
      <c r="N53" s="8" t="s">
        <v>386</v>
      </c>
    </row>
    <row r="54" spans="1:14" x14ac:dyDescent="0.2">
      <c r="A54" s="8" t="s">
        <v>129</v>
      </c>
      <c r="B54" s="8">
        <v>3752</v>
      </c>
      <c r="C54" s="8" t="s">
        <v>387</v>
      </c>
      <c r="D54" s="8" t="s">
        <v>111</v>
      </c>
      <c r="E54" s="8" t="s">
        <v>104</v>
      </c>
      <c r="F54" s="8" t="s">
        <v>388</v>
      </c>
      <c r="G54" s="8">
        <v>1</v>
      </c>
      <c r="H54" s="8">
        <v>19</v>
      </c>
      <c r="I54" s="8">
        <v>14</v>
      </c>
      <c r="J54" s="8">
        <v>564</v>
      </c>
      <c r="K54" s="8">
        <v>140128</v>
      </c>
      <c r="L54" s="104">
        <v>0</v>
      </c>
      <c r="M54" s="98">
        <v>0</v>
      </c>
      <c r="N54" s="8" t="s">
        <v>134</v>
      </c>
    </row>
    <row r="55" spans="1:14" x14ac:dyDescent="0.2">
      <c r="A55" s="8" t="s">
        <v>129</v>
      </c>
      <c r="B55" s="8">
        <v>432</v>
      </c>
      <c r="C55" s="8" t="s">
        <v>389</v>
      </c>
      <c r="D55" s="8" t="s">
        <v>103</v>
      </c>
      <c r="E55" s="8" t="s">
        <v>104</v>
      </c>
      <c r="F55" s="8" t="s">
        <v>295</v>
      </c>
      <c r="G55" s="8">
        <v>17</v>
      </c>
      <c r="H55" s="8">
        <v>4</v>
      </c>
      <c r="I55" s="8">
        <v>14</v>
      </c>
      <c r="J55" s="8">
        <v>151</v>
      </c>
      <c r="K55" s="8">
        <v>140108</v>
      </c>
      <c r="L55" s="104">
        <v>2700</v>
      </c>
      <c r="M55" s="98">
        <v>4000</v>
      </c>
      <c r="N55" s="8" t="s">
        <v>390</v>
      </c>
    </row>
    <row r="56" spans="1:14" x14ac:dyDescent="0.2">
      <c r="A56" s="8" t="s">
        <v>129</v>
      </c>
      <c r="B56" s="8">
        <v>300</v>
      </c>
      <c r="C56" s="8" t="s">
        <v>391</v>
      </c>
      <c r="D56" s="8" t="s">
        <v>109</v>
      </c>
      <c r="E56" s="8" t="s">
        <v>104</v>
      </c>
      <c r="F56" s="8" t="s">
        <v>61</v>
      </c>
      <c r="G56" s="8">
        <v>18</v>
      </c>
      <c r="H56" s="8">
        <v>40</v>
      </c>
      <c r="I56" s="8">
        <v>14</v>
      </c>
      <c r="J56" s="8">
        <v>425</v>
      </c>
      <c r="K56" s="8">
        <v>140122</v>
      </c>
      <c r="L56" s="104">
        <v>1085</v>
      </c>
      <c r="M56" s="98">
        <v>8457</v>
      </c>
      <c r="N56" s="8" t="s">
        <v>374</v>
      </c>
    </row>
    <row r="57" spans="1:14" x14ac:dyDescent="0.2">
      <c r="A57" s="8" t="s">
        <v>129</v>
      </c>
      <c r="B57" s="8">
        <v>355</v>
      </c>
      <c r="C57" s="8" t="s">
        <v>392</v>
      </c>
      <c r="D57" s="8" t="s">
        <v>109</v>
      </c>
      <c r="E57" s="8" t="s">
        <v>104</v>
      </c>
      <c r="F57" s="8" t="s">
        <v>393</v>
      </c>
      <c r="G57" s="8">
        <v>1</v>
      </c>
      <c r="H57" s="8">
        <v>6</v>
      </c>
      <c r="I57" s="8">
        <v>14</v>
      </c>
      <c r="J57" s="8">
        <v>416</v>
      </c>
      <c r="K57" s="8">
        <v>140122</v>
      </c>
      <c r="L57" s="104">
        <v>0</v>
      </c>
      <c r="M57" s="98">
        <v>0</v>
      </c>
      <c r="N57" s="8" t="s">
        <v>394</v>
      </c>
    </row>
    <row r="58" spans="1:14" x14ac:dyDescent="0.2">
      <c r="A58" s="8" t="s">
        <v>129</v>
      </c>
      <c r="B58" s="8">
        <v>1200</v>
      </c>
      <c r="C58" s="8" t="s">
        <v>99</v>
      </c>
      <c r="D58" s="8" t="s">
        <v>116</v>
      </c>
      <c r="E58" s="8" t="s">
        <v>115</v>
      </c>
      <c r="F58" s="8" t="s">
        <v>92</v>
      </c>
      <c r="G58" s="8">
        <v>16</v>
      </c>
      <c r="H58" s="8">
        <v>8</v>
      </c>
      <c r="I58" s="8">
        <v>14</v>
      </c>
      <c r="J58" s="8">
        <v>573</v>
      </c>
      <c r="K58" s="8">
        <v>140128</v>
      </c>
      <c r="L58" s="104">
        <v>0</v>
      </c>
      <c r="M58" s="98">
        <v>0</v>
      </c>
      <c r="N58" s="8" t="s">
        <v>130</v>
      </c>
    </row>
    <row r="59" spans="1:14" x14ac:dyDescent="0.2">
      <c r="A59" s="8" t="s">
        <v>129</v>
      </c>
      <c r="B59" s="8">
        <v>1204</v>
      </c>
      <c r="C59" s="8" t="s">
        <v>99</v>
      </c>
      <c r="D59" s="8" t="s">
        <v>116</v>
      </c>
      <c r="E59" s="8" t="s">
        <v>115</v>
      </c>
      <c r="F59" s="8" t="s">
        <v>92</v>
      </c>
      <c r="G59" s="8">
        <v>16</v>
      </c>
      <c r="H59" s="8">
        <v>7</v>
      </c>
      <c r="I59" s="8">
        <v>14</v>
      </c>
      <c r="J59" s="8">
        <v>570</v>
      </c>
      <c r="K59" s="8">
        <v>140128</v>
      </c>
      <c r="L59" s="104">
        <v>0</v>
      </c>
      <c r="M59" s="98">
        <v>0</v>
      </c>
      <c r="N59" s="8" t="s">
        <v>130</v>
      </c>
    </row>
    <row r="60" spans="1:14" x14ac:dyDescent="0.2">
      <c r="A60" s="8" t="s">
        <v>129</v>
      </c>
      <c r="B60" s="8">
        <v>2872</v>
      </c>
      <c r="C60" s="8" t="s">
        <v>395</v>
      </c>
      <c r="D60" s="8" t="s">
        <v>111</v>
      </c>
      <c r="E60" s="8" t="s">
        <v>104</v>
      </c>
      <c r="F60" s="8" t="s">
        <v>396</v>
      </c>
      <c r="G60" s="8" t="s">
        <v>259</v>
      </c>
      <c r="H60" s="8">
        <v>19</v>
      </c>
      <c r="I60" s="8">
        <v>14</v>
      </c>
      <c r="J60" s="8">
        <v>485</v>
      </c>
      <c r="K60" s="8">
        <v>140124</v>
      </c>
      <c r="L60" s="104">
        <v>2800</v>
      </c>
      <c r="M60" s="98">
        <v>12726</v>
      </c>
      <c r="N60" s="8" t="s">
        <v>397</v>
      </c>
    </row>
    <row r="61" spans="1:14" x14ac:dyDescent="0.2">
      <c r="A61" s="8" t="s">
        <v>129</v>
      </c>
      <c r="B61" s="8">
        <v>228</v>
      </c>
      <c r="C61" s="8" t="s">
        <v>398</v>
      </c>
      <c r="D61" s="8" t="s">
        <v>109</v>
      </c>
      <c r="E61" s="8" t="s">
        <v>104</v>
      </c>
      <c r="F61" s="8" t="s">
        <v>295</v>
      </c>
      <c r="G61" s="8">
        <v>23</v>
      </c>
      <c r="H61" s="8">
        <v>2</v>
      </c>
      <c r="I61" s="8">
        <v>14</v>
      </c>
      <c r="J61" s="8">
        <v>370</v>
      </c>
      <c r="K61" s="8">
        <v>140117</v>
      </c>
      <c r="L61" s="104">
        <v>2700</v>
      </c>
      <c r="M61" s="98">
        <v>6400</v>
      </c>
      <c r="N61" s="8" t="s">
        <v>399</v>
      </c>
    </row>
    <row r="62" spans="1:14" x14ac:dyDescent="0.2">
      <c r="A62" s="8" t="s">
        <v>129</v>
      </c>
      <c r="B62" s="8">
        <v>1646</v>
      </c>
      <c r="C62" s="8" t="s">
        <v>400</v>
      </c>
      <c r="D62" s="8" t="s">
        <v>124</v>
      </c>
      <c r="E62" s="8" t="s">
        <v>104</v>
      </c>
      <c r="F62" s="8" t="s">
        <v>228</v>
      </c>
      <c r="G62" s="8">
        <v>31</v>
      </c>
      <c r="H62" s="8">
        <v>17</v>
      </c>
      <c r="I62" s="8">
        <v>14</v>
      </c>
      <c r="J62" s="8">
        <v>380</v>
      </c>
      <c r="K62" s="8">
        <v>140117</v>
      </c>
      <c r="L62" s="104">
        <v>3500</v>
      </c>
      <c r="M62" s="98">
        <v>7000</v>
      </c>
      <c r="N62" s="8" t="s">
        <v>345</v>
      </c>
    </row>
    <row r="63" spans="1:14" x14ac:dyDescent="0.2">
      <c r="A63" s="8" t="s">
        <v>401</v>
      </c>
      <c r="B63" s="8">
        <v>3908</v>
      </c>
      <c r="C63" s="8" t="s">
        <v>73</v>
      </c>
      <c r="D63" s="8" t="s">
        <v>109</v>
      </c>
      <c r="E63" s="8" t="s">
        <v>104</v>
      </c>
      <c r="F63" s="8" t="s">
        <v>53</v>
      </c>
      <c r="G63" s="8" t="s">
        <v>74</v>
      </c>
      <c r="H63" s="8">
        <v>33</v>
      </c>
      <c r="I63" s="8">
        <v>14</v>
      </c>
      <c r="J63" s="8">
        <v>345</v>
      </c>
      <c r="K63" s="8">
        <v>140116</v>
      </c>
      <c r="L63" s="104">
        <v>378</v>
      </c>
      <c r="M63" s="98">
        <v>8762</v>
      </c>
      <c r="N63" s="8" t="s">
        <v>123</v>
      </c>
    </row>
    <row r="64" spans="1:14" x14ac:dyDescent="0.2">
      <c r="A64" s="8" t="s">
        <v>75</v>
      </c>
      <c r="B64" s="8">
        <v>6516</v>
      </c>
      <c r="C64" s="8" t="s">
        <v>362</v>
      </c>
      <c r="D64" s="8" t="s">
        <v>116</v>
      </c>
      <c r="E64" s="8" t="s">
        <v>115</v>
      </c>
      <c r="F64" s="8" t="s">
        <v>92</v>
      </c>
      <c r="G64" s="8">
        <v>22</v>
      </c>
      <c r="H64" s="8">
        <v>37</v>
      </c>
      <c r="I64" s="8">
        <v>14</v>
      </c>
      <c r="J64" s="8">
        <v>687</v>
      </c>
      <c r="K64" s="8">
        <v>140131</v>
      </c>
      <c r="L64" s="104">
        <v>326</v>
      </c>
      <c r="M64" s="98">
        <v>9600</v>
      </c>
      <c r="N64" s="8" t="s">
        <v>402</v>
      </c>
    </row>
    <row r="65" spans="1:52" x14ac:dyDescent="0.2">
      <c r="A65" s="8" t="s">
        <v>75</v>
      </c>
      <c r="B65" s="8">
        <v>4950</v>
      </c>
      <c r="C65" s="8" t="s">
        <v>273</v>
      </c>
      <c r="D65" s="8" t="s">
        <v>109</v>
      </c>
      <c r="E65" s="8" t="s">
        <v>115</v>
      </c>
      <c r="F65" s="8" t="s">
        <v>268</v>
      </c>
      <c r="G65" s="8">
        <v>2</v>
      </c>
      <c r="H65" s="8">
        <v>1</v>
      </c>
      <c r="I65" s="8">
        <v>14</v>
      </c>
      <c r="J65" s="8">
        <v>105</v>
      </c>
      <c r="K65" s="8">
        <v>140107</v>
      </c>
      <c r="L65" s="104">
        <v>210</v>
      </c>
      <c r="M65" s="98">
        <v>13100</v>
      </c>
      <c r="N65" s="8" t="s">
        <v>402</v>
      </c>
    </row>
    <row r="66" spans="1:52" x14ac:dyDescent="0.2">
      <c r="A66" s="8" t="s">
        <v>75</v>
      </c>
      <c r="B66" s="8">
        <v>1633</v>
      </c>
      <c r="C66" s="8" t="s">
        <v>403</v>
      </c>
      <c r="D66" s="8" t="s">
        <v>111</v>
      </c>
      <c r="E66" s="8" t="s">
        <v>104</v>
      </c>
      <c r="F66" s="8" t="s">
        <v>216</v>
      </c>
      <c r="G66" s="8">
        <v>10</v>
      </c>
      <c r="H66" s="8">
        <v>8</v>
      </c>
      <c r="I66" s="8">
        <v>14</v>
      </c>
      <c r="J66" s="8">
        <v>614</v>
      </c>
      <c r="K66" s="8">
        <v>140129</v>
      </c>
      <c r="L66" s="104">
        <v>610</v>
      </c>
      <c r="M66" s="98">
        <v>18000</v>
      </c>
      <c r="N66" s="8" t="s">
        <v>123</v>
      </c>
    </row>
    <row r="67" spans="1:52" x14ac:dyDescent="0.2">
      <c r="A67" s="8" t="s">
        <v>75</v>
      </c>
      <c r="B67" s="8">
        <v>800</v>
      </c>
      <c r="C67" s="8" t="s">
        <v>227</v>
      </c>
      <c r="D67" s="8" t="s">
        <v>114</v>
      </c>
      <c r="E67" s="8" t="s">
        <v>104</v>
      </c>
      <c r="F67" s="8" t="s">
        <v>228</v>
      </c>
      <c r="G67" s="8">
        <v>6</v>
      </c>
      <c r="H67" s="8">
        <v>7</v>
      </c>
      <c r="I67" s="8">
        <v>14</v>
      </c>
      <c r="J67" s="8">
        <v>273</v>
      </c>
      <c r="K67" s="8">
        <v>140114</v>
      </c>
      <c r="L67" s="104">
        <v>326</v>
      </c>
      <c r="M67" s="98">
        <v>9600</v>
      </c>
      <c r="N67" s="8" t="s">
        <v>402</v>
      </c>
    </row>
    <row r="69" spans="1:52" s="112" customFormat="1" ht="33.75" x14ac:dyDescent="0.2">
      <c r="A69" s="86" t="s">
        <v>136</v>
      </c>
      <c r="B69" s="99">
        <f>SUM(67-6)</f>
        <v>61</v>
      </c>
      <c r="C69" s="6"/>
      <c r="D69" s="6"/>
      <c r="E69" s="6"/>
      <c r="F69" s="6"/>
      <c r="G69" s="6"/>
      <c r="H69" s="6"/>
      <c r="I69" s="6"/>
      <c r="J69" s="6"/>
      <c r="K69" s="109"/>
      <c r="L69" s="108" t="s">
        <v>404</v>
      </c>
      <c r="M69" s="100">
        <f>SUM(M7:M67)</f>
        <v>769020</v>
      </c>
      <c r="N69" s="110"/>
      <c r="O69" s="111"/>
      <c r="P69" s="111"/>
      <c r="Q69" s="111"/>
      <c r="R69" s="111"/>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1"/>
      <c r="AV69" s="111"/>
      <c r="AW69" s="111"/>
      <c r="AX69" s="111"/>
      <c r="AY69" s="111"/>
      <c r="AZ69" s="111"/>
    </row>
  </sheetData>
  <mergeCells count="1">
    <mergeCell ref="I4:J4"/>
  </mergeCells>
  <phoneticPr fontId="1" type="noConversion"/>
  <pageMargins left="0.45" right="0.45" top="0.5" bottom="0.5" header="0.3" footer="0.3"/>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20"/>
  <sheetViews>
    <sheetView zoomScale="125" zoomScaleNormal="125" zoomScalePageLayoutView="125" workbookViewId="0">
      <selection activeCell="A6" sqref="A6"/>
    </sheetView>
  </sheetViews>
  <sheetFormatPr defaultColWidth="8.85546875" defaultRowHeight="12.75" x14ac:dyDescent="0.2"/>
  <cols>
    <col min="1" max="1" width="11.28515625" style="59" customWidth="1"/>
    <col min="2" max="2" width="8" style="59" customWidth="1"/>
    <col min="3" max="3" width="15.85546875" style="59" customWidth="1"/>
    <col min="4" max="4" width="8" style="59" customWidth="1"/>
    <col min="5" max="6" width="8.85546875" style="59"/>
    <col min="7" max="8" width="7.42578125" style="59" customWidth="1"/>
    <col min="9" max="9" width="5.7109375" style="59" customWidth="1"/>
    <col min="10" max="10" width="8.85546875" style="59"/>
    <col min="11" max="11" width="8.42578125" style="59" customWidth="1"/>
    <col min="12" max="12" width="8.85546875" style="59"/>
    <col min="13" max="13" width="10.42578125" style="60" customWidth="1"/>
    <col min="14" max="14" width="12.42578125" style="56" customWidth="1"/>
    <col min="15" max="15" width="28.28515625" style="59" customWidth="1"/>
    <col min="16" max="16" width="11" style="1" hidden="1" customWidth="1"/>
    <col min="17" max="17" width="16.140625" style="47" customWidth="1"/>
  </cols>
  <sheetData>
    <row r="1" spans="1:17" s="4" customFormat="1" ht="11.25" x14ac:dyDescent="0.2">
      <c r="A1" s="59"/>
      <c r="B1" s="59"/>
      <c r="C1" s="59"/>
      <c r="D1" s="59"/>
      <c r="E1" s="59"/>
      <c r="F1" s="59"/>
      <c r="G1" s="59"/>
      <c r="H1" s="59"/>
      <c r="I1" s="58" t="s">
        <v>30</v>
      </c>
      <c r="J1" s="59"/>
      <c r="K1" s="59"/>
      <c r="L1" s="59"/>
      <c r="M1" s="60"/>
      <c r="N1" s="56"/>
      <c r="O1" s="59"/>
      <c r="P1" s="1"/>
      <c r="Q1" s="47"/>
    </row>
    <row r="2" spans="1:17" s="4" customFormat="1" ht="11.25" x14ac:dyDescent="0.2">
      <c r="A2" s="59"/>
      <c r="B2" s="59"/>
      <c r="C2" s="59"/>
      <c r="D2" s="59"/>
      <c r="E2" s="59"/>
      <c r="F2" s="59"/>
      <c r="G2" s="59"/>
      <c r="H2" s="59"/>
      <c r="I2" s="2" t="s">
        <v>304</v>
      </c>
      <c r="J2" s="59"/>
      <c r="K2" s="59"/>
      <c r="L2" s="59"/>
      <c r="M2" s="60"/>
      <c r="N2" s="56"/>
      <c r="O2" s="59"/>
      <c r="P2" s="1"/>
      <c r="Q2" s="47"/>
    </row>
    <row r="3" spans="1:17" s="4" customFormat="1" ht="11.25" x14ac:dyDescent="0.2">
      <c r="A3" s="59"/>
      <c r="B3" s="59"/>
      <c r="C3" s="59"/>
      <c r="D3" s="59"/>
      <c r="E3" s="59"/>
      <c r="F3" s="59"/>
      <c r="G3" s="59"/>
      <c r="H3" s="59"/>
      <c r="I3" s="61"/>
      <c r="J3" s="59"/>
      <c r="K3" s="59"/>
      <c r="L3" s="59"/>
      <c r="M3" s="60"/>
      <c r="N3" s="56"/>
      <c r="O3" s="59"/>
      <c r="P3" s="1"/>
      <c r="Q3" s="47"/>
    </row>
    <row r="4" spans="1:17" s="4" customFormat="1" ht="11.25" x14ac:dyDescent="0.2">
      <c r="A4" s="59"/>
      <c r="B4" s="59"/>
      <c r="C4" s="59"/>
      <c r="D4" s="59"/>
      <c r="E4" s="59"/>
      <c r="F4" s="59"/>
      <c r="G4" s="59"/>
      <c r="H4" s="59"/>
      <c r="I4" s="61"/>
      <c r="J4" s="59"/>
      <c r="K4" s="59"/>
      <c r="L4" s="59"/>
      <c r="M4" s="60"/>
      <c r="N4" s="56"/>
      <c r="O4" s="59"/>
      <c r="P4" s="1"/>
      <c r="Q4" s="47"/>
    </row>
    <row r="5" spans="1:17" s="4" customFormat="1" ht="33.75" x14ac:dyDescent="0.2">
      <c r="A5" s="62" t="s">
        <v>10</v>
      </c>
      <c r="B5" s="55"/>
      <c r="C5" s="54" t="s">
        <v>0</v>
      </c>
      <c r="D5" s="54"/>
      <c r="E5" s="54"/>
      <c r="F5" s="55"/>
      <c r="G5" s="54" t="s">
        <v>1</v>
      </c>
      <c r="H5" s="55"/>
      <c r="I5" s="55"/>
      <c r="J5" s="54" t="s">
        <v>2</v>
      </c>
      <c r="K5" s="55"/>
      <c r="L5" s="55"/>
      <c r="M5" s="63" t="s">
        <v>4</v>
      </c>
      <c r="N5" s="87" t="s">
        <v>5</v>
      </c>
      <c r="O5" s="54" t="s">
        <v>26</v>
      </c>
      <c r="P5" s="9" t="s">
        <v>17</v>
      </c>
      <c r="Q5" s="101" t="s">
        <v>35</v>
      </c>
    </row>
    <row r="6" spans="1:17" s="4" customFormat="1" ht="22.5" x14ac:dyDescent="0.2">
      <c r="A6" s="64"/>
      <c r="B6" s="65" t="s">
        <v>11</v>
      </c>
      <c r="C6" s="65" t="s">
        <v>12</v>
      </c>
      <c r="D6" s="65" t="s">
        <v>32</v>
      </c>
      <c r="E6" s="65" t="s">
        <v>33</v>
      </c>
      <c r="F6" s="66" t="s">
        <v>13</v>
      </c>
      <c r="G6" s="65" t="s">
        <v>14</v>
      </c>
      <c r="H6" s="65" t="s">
        <v>15</v>
      </c>
      <c r="I6" s="65" t="s">
        <v>6</v>
      </c>
      <c r="J6" s="65" t="s">
        <v>16</v>
      </c>
      <c r="K6" s="65" t="s">
        <v>8</v>
      </c>
      <c r="L6" s="65" t="s">
        <v>9</v>
      </c>
      <c r="M6" s="67"/>
      <c r="N6" s="88"/>
      <c r="O6" s="68"/>
      <c r="P6" s="8"/>
      <c r="Q6" s="102"/>
    </row>
    <row r="7" spans="1:17" s="16" customFormat="1" ht="11.25" x14ac:dyDescent="0.2">
      <c r="A7" s="69"/>
      <c r="B7" s="69"/>
      <c r="C7" s="69"/>
      <c r="D7" s="69"/>
      <c r="E7" s="69"/>
      <c r="F7" s="69"/>
      <c r="G7" s="69"/>
      <c r="H7" s="69"/>
      <c r="I7" s="69"/>
      <c r="J7" s="69"/>
      <c r="K7" s="69"/>
      <c r="L7" s="69"/>
      <c r="M7" s="70"/>
      <c r="N7" s="89"/>
      <c r="O7" s="69"/>
      <c r="P7" s="51"/>
      <c r="Q7" s="102"/>
    </row>
    <row r="8" spans="1:17" x14ac:dyDescent="0.2">
      <c r="A8" s="8" t="s">
        <v>173</v>
      </c>
      <c r="B8" s="8">
        <v>823</v>
      </c>
      <c r="C8" s="8" t="s">
        <v>536</v>
      </c>
      <c r="D8" s="8" t="s">
        <v>109</v>
      </c>
      <c r="E8" s="8" t="s">
        <v>104</v>
      </c>
      <c r="F8" s="8" t="s">
        <v>537</v>
      </c>
      <c r="G8" s="8"/>
      <c r="H8" s="8">
        <v>15</v>
      </c>
      <c r="I8" s="8">
        <v>14</v>
      </c>
      <c r="J8" s="8">
        <v>263</v>
      </c>
      <c r="K8" s="8" t="s">
        <v>105</v>
      </c>
      <c r="L8" s="8">
        <v>140114</v>
      </c>
      <c r="M8" s="104">
        <v>1200</v>
      </c>
      <c r="N8" s="98">
        <v>5000</v>
      </c>
      <c r="O8" s="8" t="s">
        <v>538</v>
      </c>
      <c r="Q8" s="106" t="s">
        <v>548</v>
      </c>
    </row>
    <row r="9" spans="1:17" x14ac:dyDescent="0.2">
      <c r="A9" s="8" t="s">
        <v>173</v>
      </c>
      <c r="B9" s="8">
        <v>1001</v>
      </c>
      <c r="C9" s="8" t="s">
        <v>423</v>
      </c>
      <c r="D9" s="8" t="s">
        <v>103</v>
      </c>
      <c r="E9" s="8" t="s">
        <v>104</v>
      </c>
      <c r="F9" s="8"/>
      <c r="G9" s="8"/>
      <c r="H9" s="8"/>
      <c r="I9" s="8">
        <v>14</v>
      </c>
      <c r="J9" s="8">
        <v>316</v>
      </c>
      <c r="K9" s="8" t="s">
        <v>105</v>
      </c>
      <c r="L9" s="8">
        <v>140115</v>
      </c>
      <c r="M9" s="104">
        <v>1800</v>
      </c>
      <c r="N9" s="98">
        <v>19950</v>
      </c>
      <c r="O9" s="8" t="s">
        <v>539</v>
      </c>
      <c r="Q9" s="106" t="s">
        <v>553</v>
      </c>
    </row>
    <row r="10" spans="1:17" x14ac:dyDescent="0.2">
      <c r="A10" s="8" t="s">
        <v>173</v>
      </c>
      <c r="B10" s="8">
        <v>1316</v>
      </c>
      <c r="C10" s="8" t="s">
        <v>169</v>
      </c>
      <c r="D10" s="8" t="s">
        <v>103</v>
      </c>
      <c r="E10" s="8" t="s">
        <v>104</v>
      </c>
      <c r="F10" s="8" t="s">
        <v>170</v>
      </c>
      <c r="G10" s="8" t="s">
        <v>171</v>
      </c>
      <c r="H10" s="8">
        <v>3</v>
      </c>
      <c r="I10" s="8">
        <v>14</v>
      </c>
      <c r="J10" s="8">
        <v>666</v>
      </c>
      <c r="K10" s="8" t="s">
        <v>122</v>
      </c>
      <c r="L10" s="8">
        <v>140131</v>
      </c>
      <c r="M10" s="104">
        <v>990</v>
      </c>
      <c r="N10" s="98">
        <v>130000</v>
      </c>
      <c r="O10" s="8" t="s">
        <v>165</v>
      </c>
      <c r="Q10" s="106" t="s">
        <v>552</v>
      </c>
    </row>
    <row r="11" spans="1:17" x14ac:dyDescent="0.2">
      <c r="A11" s="8" t="s">
        <v>173</v>
      </c>
      <c r="B11" s="8">
        <v>1463</v>
      </c>
      <c r="C11" s="8" t="s">
        <v>178</v>
      </c>
      <c r="D11" s="8"/>
      <c r="E11" s="8" t="s">
        <v>104</v>
      </c>
      <c r="F11" s="8" t="s">
        <v>52</v>
      </c>
      <c r="G11" s="8"/>
      <c r="H11" s="8"/>
      <c r="I11" s="8">
        <v>14</v>
      </c>
      <c r="J11" s="8">
        <v>656</v>
      </c>
      <c r="K11" s="8" t="s">
        <v>105</v>
      </c>
      <c r="L11" s="8">
        <v>140131</v>
      </c>
      <c r="M11" s="104">
        <v>8100</v>
      </c>
      <c r="N11" s="98">
        <v>55000</v>
      </c>
      <c r="O11" s="8" t="s">
        <v>130</v>
      </c>
      <c r="Q11" s="106" t="s">
        <v>551</v>
      </c>
    </row>
    <row r="12" spans="1:17" x14ac:dyDescent="0.2">
      <c r="A12" s="8" t="s">
        <v>173</v>
      </c>
      <c r="B12" s="8">
        <v>2401</v>
      </c>
      <c r="C12" s="8" t="s">
        <v>178</v>
      </c>
      <c r="D12" s="8"/>
      <c r="E12" s="8" t="s">
        <v>104</v>
      </c>
      <c r="F12" s="8" t="s">
        <v>168</v>
      </c>
      <c r="G12" s="8"/>
      <c r="H12" s="8"/>
      <c r="I12" s="8">
        <v>14</v>
      </c>
      <c r="J12" s="8">
        <v>251</v>
      </c>
      <c r="K12" s="8" t="s">
        <v>105</v>
      </c>
      <c r="L12" s="8">
        <v>140113</v>
      </c>
      <c r="M12" s="104">
        <v>600</v>
      </c>
      <c r="N12" s="98">
        <v>50000</v>
      </c>
      <c r="O12" s="8" t="s">
        <v>540</v>
      </c>
      <c r="Q12" s="106" t="s">
        <v>550</v>
      </c>
    </row>
    <row r="13" spans="1:17" x14ac:dyDescent="0.2">
      <c r="A13" s="8" t="s">
        <v>173</v>
      </c>
      <c r="B13" s="8">
        <v>3101</v>
      </c>
      <c r="C13" s="8" t="s">
        <v>174</v>
      </c>
      <c r="D13" s="8" t="s">
        <v>167</v>
      </c>
      <c r="E13" s="8" t="s">
        <v>104</v>
      </c>
      <c r="F13" s="8" t="s">
        <v>53</v>
      </c>
      <c r="G13" s="8" t="s">
        <v>414</v>
      </c>
      <c r="H13" s="8"/>
      <c r="I13" s="8">
        <v>14</v>
      </c>
      <c r="J13" s="8">
        <v>152</v>
      </c>
      <c r="K13" s="8" t="s">
        <v>122</v>
      </c>
      <c r="L13" s="8">
        <v>140108</v>
      </c>
      <c r="M13" s="104">
        <v>600</v>
      </c>
      <c r="N13" s="98">
        <v>220000</v>
      </c>
      <c r="O13" s="8" t="s">
        <v>541</v>
      </c>
      <c r="Q13" s="106" t="s">
        <v>549</v>
      </c>
    </row>
    <row r="14" spans="1:17" x14ac:dyDescent="0.2">
      <c r="A14" s="8" t="s">
        <v>177</v>
      </c>
      <c r="B14" s="8">
        <v>100</v>
      </c>
      <c r="C14" s="8" t="s">
        <v>542</v>
      </c>
      <c r="D14" s="8"/>
      <c r="E14" s="8"/>
      <c r="F14" s="8" t="s">
        <v>489</v>
      </c>
      <c r="G14" s="8"/>
      <c r="H14" s="8">
        <v>428</v>
      </c>
      <c r="I14" s="8">
        <v>14</v>
      </c>
      <c r="J14" s="8">
        <v>163</v>
      </c>
      <c r="K14" s="8" t="s">
        <v>105</v>
      </c>
      <c r="L14" s="8">
        <v>140109</v>
      </c>
      <c r="M14" s="104">
        <v>436</v>
      </c>
      <c r="N14" s="98">
        <v>30000</v>
      </c>
      <c r="O14" s="8" t="s">
        <v>543</v>
      </c>
      <c r="Q14" s="106"/>
    </row>
    <row r="15" spans="1:17" x14ac:dyDescent="0.2">
      <c r="A15" s="8" t="s">
        <v>177</v>
      </c>
      <c r="B15" s="8">
        <v>204</v>
      </c>
      <c r="C15" s="8" t="s">
        <v>178</v>
      </c>
      <c r="D15" s="8"/>
      <c r="E15" s="8" t="s">
        <v>115</v>
      </c>
      <c r="F15" s="8" t="s">
        <v>179</v>
      </c>
      <c r="G15" s="8" t="s">
        <v>259</v>
      </c>
      <c r="H15" s="8" t="s">
        <v>410</v>
      </c>
      <c r="I15" s="8">
        <v>14</v>
      </c>
      <c r="J15" s="8">
        <v>160</v>
      </c>
      <c r="K15" s="8" t="s">
        <v>105</v>
      </c>
      <c r="L15" s="8">
        <v>140109</v>
      </c>
      <c r="M15" s="104">
        <v>200</v>
      </c>
      <c r="N15" s="98">
        <v>18000</v>
      </c>
      <c r="O15" s="8" t="s">
        <v>544</v>
      </c>
      <c r="Q15" s="106"/>
    </row>
    <row r="16" spans="1:17" x14ac:dyDescent="0.2">
      <c r="A16" s="8" t="s">
        <v>177</v>
      </c>
      <c r="B16" s="8">
        <v>1517</v>
      </c>
      <c r="C16" s="8" t="s">
        <v>545</v>
      </c>
      <c r="D16" s="8" t="s">
        <v>116</v>
      </c>
      <c r="E16" s="8" t="s">
        <v>115</v>
      </c>
      <c r="F16" s="8" t="s">
        <v>80</v>
      </c>
      <c r="G16" s="8">
        <v>76</v>
      </c>
      <c r="H16" s="8">
        <v>94</v>
      </c>
      <c r="I16" s="8">
        <v>14</v>
      </c>
      <c r="J16" s="8">
        <v>637</v>
      </c>
      <c r="K16" s="8" t="s">
        <v>122</v>
      </c>
      <c r="L16" s="8">
        <v>140130</v>
      </c>
      <c r="M16" s="104">
        <v>300</v>
      </c>
      <c r="N16" s="98">
        <v>10000</v>
      </c>
      <c r="O16" s="8" t="s">
        <v>165</v>
      </c>
      <c r="Q16" s="106"/>
    </row>
    <row r="17" spans="1:17" x14ac:dyDescent="0.2">
      <c r="A17" s="8" t="s">
        <v>177</v>
      </c>
      <c r="B17" s="8">
        <v>1322</v>
      </c>
      <c r="C17" s="8" t="s">
        <v>546</v>
      </c>
      <c r="D17" s="8" t="s">
        <v>167</v>
      </c>
      <c r="E17" s="8" t="s">
        <v>115</v>
      </c>
      <c r="F17" s="8" t="s">
        <v>547</v>
      </c>
      <c r="G17" s="8"/>
      <c r="H17" s="8"/>
      <c r="I17" s="8">
        <v>14</v>
      </c>
      <c r="J17" s="8">
        <v>639</v>
      </c>
      <c r="K17" s="8" t="s">
        <v>122</v>
      </c>
      <c r="L17" s="8">
        <v>140130</v>
      </c>
      <c r="M17" s="104">
        <v>300</v>
      </c>
      <c r="N17" s="98">
        <v>10000</v>
      </c>
      <c r="O17" s="8" t="s">
        <v>165</v>
      </c>
      <c r="Q17" s="106"/>
    </row>
    <row r="20" spans="1:17" x14ac:dyDescent="0.2">
      <c r="A20" s="1" t="s">
        <v>31</v>
      </c>
    </row>
  </sheetData>
  <phoneticPr fontId="1" type="noConversion"/>
  <pageMargins left="0.25" right="0.25" top="0.5" bottom="0.5" header="0.5" footer="0.5"/>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O12"/>
  <sheetViews>
    <sheetView zoomScale="125" zoomScaleNormal="125" zoomScalePageLayoutView="125" workbookViewId="0">
      <selection activeCell="F28" sqref="F28"/>
    </sheetView>
  </sheetViews>
  <sheetFormatPr defaultColWidth="8.85546875" defaultRowHeight="12.75" x14ac:dyDescent="0.2"/>
  <cols>
    <col min="1" max="1" width="11.85546875" style="59" customWidth="1"/>
    <col min="2" max="7" width="8.85546875" style="59"/>
    <col min="8" max="8" width="11.140625" style="59" customWidth="1"/>
    <col min="9" max="11" width="8.85546875" style="59"/>
    <col min="12" max="12" width="11.42578125" style="59" customWidth="1"/>
    <col min="13" max="13" width="8.140625" style="59" customWidth="1"/>
    <col min="14" max="15" width="8.85546875" style="71"/>
  </cols>
  <sheetData>
    <row r="1" spans="1:15" s="4" customFormat="1" ht="11.25" x14ac:dyDescent="0.2">
      <c r="A1" s="82"/>
      <c r="B1" s="82"/>
      <c r="C1" s="82"/>
      <c r="D1" s="82"/>
      <c r="E1" s="82"/>
      <c r="F1" s="82"/>
      <c r="G1" s="82"/>
      <c r="H1" s="82"/>
      <c r="I1" s="82"/>
      <c r="J1" s="82"/>
      <c r="K1" s="82"/>
      <c r="L1" s="82"/>
      <c r="M1" s="82"/>
      <c r="N1" s="71"/>
      <c r="O1" s="71"/>
    </row>
    <row r="2" spans="1:15" s="4" customFormat="1" ht="11.25" x14ac:dyDescent="0.2">
      <c r="A2" s="59"/>
      <c r="B2" s="59"/>
      <c r="C2" s="59"/>
      <c r="D2" s="59"/>
      <c r="E2" s="59"/>
      <c r="F2" s="59"/>
      <c r="G2" s="59"/>
      <c r="H2" s="59"/>
      <c r="I2" s="59"/>
      <c r="J2" s="59"/>
      <c r="K2" s="57" t="s">
        <v>31</v>
      </c>
      <c r="L2" s="56" t="s">
        <v>31</v>
      </c>
      <c r="M2" s="59"/>
      <c r="N2" s="71"/>
      <c r="O2" s="71"/>
    </row>
    <row r="3" spans="1:15" s="4" customFormat="1" ht="11.25" x14ac:dyDescent="0.2">
      <c r="A3" s="57" t="s">
        <v>31</v>
      </c>
      <c r="B3" s="59" t="s">
        <v>31</v>
      </c>
      <c r="C3" s="59" t="s">
        <v>31</v>
      </c>
      <c r="D3" s="59"/>
      <c r="E3" s="59"/>
      <c r="F3" s="59"/>
      <c r="G3" s="59"/>
      <c r="H3" s="59"/>
      <c r="I3" s="59"/>
      <c r="J3" s="59"/>
      <c r="K3" s="59"/>
      <c r="L3" s="59" t="s">
        <v>31</v>
      </c>
      <c r="M3" s="59"/>
      <c r="N3" s="71"/>
      <c r="O3" s="71"/>
    </row>
    <row r="4" spans="1:15" x14ac:dyDescent="0.2">
      <c r="D4" s="58" t="s">
        <v>30</v>
      </c>
    </row>
    <row r="5" spans="1:15" x14ac:dyDescent="0.2">
      <c r="D5" s="2" t="s">
        <v>305</v>
      </c>
    </row>
    <row r="7" spans="1:15" ht="33.75" x14ac:dyDescent="0.2">
      <c r="A7" s="62" t="s">
        <v>10</v>
      </c>
      <c r="B7" s="117" t="s">
        <v>0</v>
      </c>
      <c r="C7" s="118"/>
      <c r="D7" s="118"/>
      <c r="E7" s="119"/>
      <c r="F7" s="117" t="s">
        <v>37</v>
      </c>
      <c r="G7" s="118"/>
      <c r="H7" s="119"/>
      <c r="I7" s="120" t="s">
        <v>38</v>
      </c>
      <c r="J7" s="121"/>
      <c r="K7" s="72" t="s">
        <v>8</v>
      </c>
      <c r="L7" s="72" t="s">
        <v>9</v>
      </c>
      <c r="M7" s="62" t="s">
        <v>4</v>
      </c>
      <c r="N7" s="54" t="s">
        <v>5</v>
      </c>
      <c r="O7" s="62" t="s">
        <v>29</v>
      </c>
    </row>
    <row r="8" spans="1:15" ht="22.5" x14ac:dyDescent="0.2">
      <c r="A8" s="64"/>
      <c r="B8" s="65" t="s">
        <v>11</v>
      </c>
      <c r="C8" s="65" t="s">
        <v>12</v>
      </c>
      <c r="D8" s="73" t="s">
        <v>32</v>
      </c>
      <c r="E8" s="73" t="s">
        <v>39</v>
      </c>
      <c r="F8" s="66" t="s">
        <v>13</v>
      </c>
      <c r="G8" s="65" t="s">
        <v>14</v>
      </c>
      <c r="H8" s="65" t="s">
        <v>15</v>
      </c>
      <c r="I8" s="65" t="s">
        <v>6</v>
      </c>
      <c r="J8" s="65" t="s">
        <v>16</v>
      </c>
      <c r="K8" s="74"/>
      <c r="L8" s="74"/>
      <c r="M8" s="68"/>
      <c r="N8" s="74"/>
      <c r="O8" s="74"/>
    </row>
    <row r="9" spans="1:15" x14ac:dyDescent="0.2">
      <c r="A9" s="75"/>
      <c r="B9" s="76"/>
      <c r="C9" s="76"/>
      <c r="D9" s="77"/>
      <c r="E9" s="76"/>
      <c r="F9" s="76"/>
      <c r="G9" s="76"/>
      <c r="H9" s="76"/>
      <c r="I9" s="76"/>
      <c r="J9" s="76"/>
      <c r="K9" s="78"/>
      <c r="L9" s="78"/>
      <c r="M9" s="79"/>
      <c r="N9" s="80"/>
      <c r="O9" s="81"/>
    </row>
    <row r="11" spans="1:15" ht="13.5" thickBot="1" x14ac:dyDescent="0.25"/>
    <row r="12" spans="1:15" ht="13.5" thickBot="1" x14ac:dyDescent="0.25">
      <c r="D12" s="83" t="s">
        <v>40</v>
      </c>
      <c r="E12" s="84" t="s">
        <v>41</v>
      </c>
      <c r="F12" s="84" t="s">
        <v>306</v>
      </c>
      <c r="G12" s="85">
        <v>2014</v>
      </c>
    </row>
  </sheetData>
  <mergeCells count="3">
    <mergeCell ref="B7:E7"/>
    <mergeCell ref="F7:H7"/>
    <mergeCell ref="I7:J7"/>
  </mergeCells>
  <phoneticPr fontId="1" type="noConversion"/>
  <pageMargins left="0.5" right="0.5" top="0.5" bottom="0.5" header="0.5" footer="0.5"/>
  <pageSetup scale="91" fitToHeight="0" orientation="landscape" r:id="rId1"/>
  <headerFooter alignWithMargins="0"/>
  <drawing r:id="rId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P449"/>
  <sheetViews>
    <sheetView topLeftCell="A443" zoomScale="125" zoomScaleNormal="125" zoomScalePageLayoutView="125" workbookViewId="0">
      <selection activeCell="C452" sqref="C452"/>
    </sheetView>
  </sheetViews>
  <sheetFormatPr defaultColWidth="8.85546875" defaultRowHeight="12.75" x14ac:dyDescent="0.2"/>
  <cols>
    <col min="1" max="1" width="13.85546875" style="1" customWidth="1"/>
    <col min="2" max="2" width="8.28515625" style="1" customWidth="1"/>
    <col min="3" max="3" width="21.42578125" style="1" customWidth="1"/>
    <col min="4" max="4" width="8.42578125" style="1" customWidth="1"/>
    <col min="5" max="5" width="7.28515625" style="1" customWidth="1"/>
    <col min="6" max="6" width="7.140625" style="1" customWidth="1"/>
    <col min="7" max="8" width="7.42578125" style="1" customWidth="1"/>
    <col min="9" max="9" width="8.85546875" style="1"/>
    <col min="10" max="10" width="8.85546875" style="17"/>
  </cols>
  <sheetData>
    <row r="1" spans="1:744" s="4" customFormat="1" ht="11.25" x14ac:dyDescent="0.2">
      <c r="A1" s="1"/>
      <c r="B1" s="1"/>
      <c r="C1" s="1"/>
      <c r="D1" s="1"/>
      <c r="E1" s="6" t="s">
        <v>30</v>
      </c>
      <c r="F1" s="1"/>
      <c r="G1" s="1"/>
      <c r="H1" s="1"/>
      <c r="I1" s="1"/>
      <c r="J1" s="16"/>
    </row>
    <row r="2" spans="1:744" s="4" customFormat="1" ht="11.25" x14ac:dyDescent="0.2">
      <c r="A2" s="1"/>
      <c r="B2" s="1"/>
      <c r="C2" s="1"/>
      <c r="D2" s="2"/>
      <c r="E2" s="6" t="s">
        <v>307</v>
      </c>
      <c r="F2" s="1"/>
      <c r="G2" s="1"/>
      <c r="H2" s="1"/>
      <c r="I2" s="1"/>
      <c r="J2" s="16"/>
    </row>
    <row r="3" spans="1:744" s="4" customFormat="1" ht="11.25" x14ac:dyDescent="0.2">
      <c r="A3" s="1"/>
      <c r="B3" s="1"/>
      <c r="C3" s="1"/>
      <c r="D3" s="1"/>
      <c r="E3" s="1"/>
      <c r="F3" s="1"/>
      <c r="G3" s="1"/>
      <c r="H3" s="1"/>
      <c r="I3" s="1"/>
      <c r="J3" s="16"/>
    </row>
    <row r="4" spans="1:744" s="4" customFormat="1" ht="22.5" x14ac:dyDescent="0.2">
      <c r="A4" s="7" t="s">
        <v>10</v>
      </c>
      <c r="B4" s="8"/>
      <c r="C4" s="9" t="s">
        <v>0</v>
      </c>
      <c r="D4" s="8"/>
      <c r="E4" s="9" t="s">
        <v>1</v>
      </c>
      <c r="F4" s="8"/>
      <c r="G4" s="8"/>
      <c r="H4" s="9" t="s">
        <v>2</v>
      </c>
      <c r="I4" s="7"/>
      <c r="J4" s="16"/>
    </row>
    <row r="5" spans="1:744" s="4" customFormat="1" ht="22.5" x14ac:dyDescent="0.2">
      <c r="A5" s="12"/>
      <c r="B5" s="13" t="s">
        <v>11</v>
      </c>
      <c r="C5" s="13" t="s">
        <v>12</v>
      </c>
      <c r="D5" s="14" t="s">
        <v>13</v>
      </c>
      <c r="E5" s="13" t="s">
        <v>14</v>
      </c>
      <c r="F5" s="13" t="s">
        <v>15</v>
      </c>
      <c r="G5" s="13" t="s">
        <v>6</v>
      </c>
      <c r="H5" s="13" t="s">
        <v>7</v>
      </c>
      <c r="I5" s="41" t="s">
        <v>9</v>
      </c>
      <c r="J5" s="16"/>
      <c r="N5" s="86" t="s">
        <v>31</v>
      </c>
    </row>
    <row r="6" spans="1:744" s="15" customFormat="1" ht="11.25" x14ac:dyDescent="0.2">
      <c r="A6" s="10"/>
      <c r="B6" s="10"/>
      <c r="C6" s="10"/>
      <c r="D6" s="10"/>
      <c r="E6" s="10"/>
      <c r="F6" s="10"/>
      <c r="G6" s="10"/>
      <c r="H6" s="10"/>
      <c r="I6" s="10"/>
      <c r="J6" s="22"/>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row>
    <row r="7" spans="1:744" s="16" customFormat="1" ht="15.95" customHeight="1" x14ac:dyDescent="0.2">
      <c r="A7" s="103" t="s">
        <v>34</v>
      </c>
      <c r="B7" s="50"/>
      <c r="C7" s="50"/>
      <c r="D7" s="50"/>
      <c r="E7" s="50"/>
      <c r="F7" s="50"/>
      <c r="G7" s="50"/>
      <c r="H7" s="50"/>
      <c r="I7" s="50"/>
      <c r="J7" s="22"/>
    </row>
    <row r="8" spans="1:744" x14ac:dyDescent="0.2">
      <c r="A8" s="8" t="s">
        <v>185</v>
      </c>
      <c r="B8" s="8">
        <v>4500</v>
      </c>
      <c r="C8" s="8" t="s">
        <v>186</v>
      </c>
      <c r="D8" s="8" t="s">
        <v>50</v>
      </c>
      <c r="E8" s="8"/>
      <c r="F8" s="8"/>
      <c r="G8" s="8">
        <v>14</v>
      </c>
      <c r="H8" s="8">
        <v>122</v>
      </c>
      <c r="I8" s="8">
        <v>140108</v>
      </c>
    </row>
    <row r="9" spans="1:744" x14ac:dyDescent="0.2">
      <c r="A9" s="8" t="s">
        <v>185</v>
      </c>
      <c r="B9" s="8">
        <v>4111</v>
      </c>
      <c r="C9" s="8" t="s">
        <v>405</v>
      </c>
      <c r="D9" s="8" t="s">
        <v>170</v>
      </c>
      <c r="E9" s="8" t="s">
        <v>190</v>
      </c>
      <c r="F9" s="8">
        <v>10</v>
      </c>
      <c r="G9" s="8">
        <v>14</v>
      </c>
      <c r="H9" s="8">
        <v>214</v>
      </c>
      <c r="I9" s="8">
        <v>140110</v>
      </c>
    </row>
    <row r="10" spans="1:744" x14ac:dyDescent="0.2">
      <c r="A10" s="8" t="s">
        <v>185</v>
      </c>
      <c r="B10" s="8">
        <v>4225</v>
      </c>
      <c r="C10" s="8" t="s">
        <v>406</v>
      </c>
      <c r="D10" s="8" t="s">
        <v>407</v>
      </c>
      <c r="E10" s="8"/>
      <c r="F10" s="8" t="s">
        <v>408</v>
      </c>
      <c r="G10" s="8">
        <v>14</v>
      </c>
      <c r="H10" s="8">
        <v>506</v>
      </c>
      <c r="I10" s="8">
        <v>140124</v>
      </c>
    </row>
    <row r="11" spans="1:744" x14ac:dyDescent="0.2">
      <c r="A11" s="8" t="s">
        <v>185</v>
      </c>
      <c r="B11" s="8">
        <v>2300</v>
      </c>
      <c r="C11" s="8" t="s">
        <v>166</v>
      </c>
      <c r="D11" s="8" t="s">
        <v>168</v>
      </c>
      <c r="E11" s="8"/>
      <c r="F11" s="8"/>
      <c r="G11" s="8">
        <v>14</v>
      </c>
      <c r="H11" s="8">
        <v>200</v>
      </c>
      <c r="I11" s="8">
        <v>140110</v>
      </c>
    </row>
    <row r="12" spans="1:744" x14ac:dyDescent="0.2">
      <c r="A12" s="8" t="s">
        <v>185</v>
      </c>
      <c r="B12" s="8">
        <v>2300</v>
      </c>
      <c r="C12" s="8" t="s">
        <v>166</v>
      </c>
      <c r="D12" s="8" t="s">
        <v>168</v>
      </c>
      <c r="E12" s="8"/>
      <c r="F12" s="8"/>
      <c r="G12" s="8">
        <v>14</v>
      </c>
      <c r="H12" s="8">
        <v>601</v>
      </c>
      <c r="I12" s="8">
        <v>140129</v>
      </c>
    </row>
    <row r="13" spans="1:744" x14ac:dyDescent="0.2">
      <c r="A13" s="8" t="s">
        <v>185</v>
      </c>
      <c r="B13" s="8">
        <v>4100</v>
      </c>
      <c r="C13" s="8" t="s">
        <v>169</v>
      </c>
      <c r="D13" s="8" t="s">
        <v>170</v>
      </c>
      <c r="E13" s="8" t="s">
        <v>190</v>
      </c>
      <c r="F13" s="8" t="s">
        <v>257</v>
      </c>
      <c r="G13" s="8">
        <v>14</v>
      </c>
      <c r="H13" s="8">
        <v>135</v>
      </c>
      <c r="I13" s="8">
        <v>140108</v>
      </c>
    </row>
    <row r="14" spans="1:744" x14ac:dyDescent="0.2">
      <c r="A14" s="8" t="s">
        <v>185</v>
      </c>
      <c r="B14" s="8">
        <v>2899</v>
      </c>
      <c r="C14" s="8" t="s">
        <v>206</v>
      </c>
      <c r="D14" s="8" t="s">
        <v>409</v>
      </c>
      <c r="E14" s="8"/>
      <c r="F14" s="8"/>
      <c r="G14" s="8">
        <v>14</v>
      </c>
      <c r="H14" s="8">
        <v>302</v>
      </c>
      <c r="I14" s="8">
        <v>140115</v>
      </c>
    </row>
    <row r="15" spans="1:744" x14ac:dyDescent="0.2">
      <c r="A15" s="8" t="s">
        <v>185</v>
      </c>
      <c r="B15" s="8">
        <v>204</v>
      </c>
      <c r="C15" s="8" t="s">
        <v>178</v>
      </c>
      <c r="D15" s="8" t="s">
        <v>179</v>
      </c>
      <c r="E15" s="8" t="s">
        <v>259</v>
      </c>
      <c r="F15" s="8" t="s">
        <v>410</v>
      </c>
      <c r="G15" s="8">
        <v>14</v>
      </c>
      <c r="H15" s="8">
        <v>605</v>
      </c>
      <c r="I15" s="8">
        <v>140129</v>
      </c>
    </row>
    <row r="16" spans="1:744" x14ac:dyDescent="0.2">
      <c r="A16" s="8" t="s">
        <v>185</v>
      </c>
      <c r="B16" s="8">
        <v>1463</v>
      </c>
      <c r="C16" s="8" t="s">
        <v>178</v>
      </c>
      <c r="D16" s="8" t="s">
        <v>52</v>
      </c>
      <c r="E16" s="8"/>
      <c r="F16" s="8"/>
      <c r="G16" s="8">
        <v>14</v>
      </c>
      <c r="H16" s="8">
        <v>470</v>
      </c>
      <c r="I16" s="8">
        <v>140123</v>
      </c>
    </row>
    <row r="17" spans="1:9" x14ac:dyDescent="0.2">
      <c r="A17" s="8" t="s">
        <v>185</v>
      </c>
      <c r="B17" s="8">
        <v>1690</v>
      </c>
      <c r="C17" s="8" t="s">
        <v>178</v>
      </c>
      <c r="D17" s="8" t="s">
        <v>411</v>
      </c>
      <c r="E17" s="8"/>
      <c r="F17" s="8"/>
      <c r="G17" s="8">
        <v>14</v>
      </c>
      <c r="H17" s="8">
        <v>120</v>
      </c>
      <c r="I17" s="8">
        <v>140107</v>
      </c>
    </row>
    <row r="18" spans="1:9" x14ac:dyDescent="0.2">
      <c r="A18" s="8" t="s">
        <v>185</v>
      </c>
      <c r="B18" s="8">
        <v>2221</v>
      </c>
      <c r="C18" s="8" t="s">
        <v>178</v>
      </c>
      <c r="D18" s="8" t="s">
        <v>168</v>
      </c>
      <c r="E18" s="8"/>
      <c r="F18" s="8"/>
      <c r="G18" s="8">
        <v>14</v>
      </c>
      <c r="H18" s="8">
        <v>73</v>
      </c>
      <c r="I18" s="8">
        <v>140106</v>
      </c>
    </row>
    <row r="19" spans="1:9" x14ac:dyDescent="0.2">
      <c r="A19" s="8" t="s">
        <v>185</v>
      </c>
      <c r="B19" s="8">
        <v>2401</v>
      </c>
      <c r="C19" s="8" t="s">
        <v>178</v>
      </c>
      <c r="D19" s="8" t="s">
        <v>168</v>
      </c>
      <c r="E19" s="8"/>
      <c r="F19" s="8"/>
      <c r="G19" s="8">
        <v>14</v>
      </c>
      <c r="H19" s="8">
        <v>600</v>
      </c>
      <c r="I19" s="8">
        <v>140129</v>
      </c>
    </row>
    <row r="20" spans="1:9" x14ac:dyDescent="0.2">
      <c r="A20" s="8" t="s">
        <v>185</v>
      </c>
      <c r="B20" s="8">
        <v>201</v>
      </c>
      <c r="C20" s="8" t="s">
        <v>412</v>
      </c>
      <c r="D20" s="8" t="s">
        <v>413</v>
      </c>
      <c r="E20" s="8"/>
      <c r="F20" s="8"/>
      <c r="G20" s="8">
        <v>14</v>
      </c>
      <c r="H20" s="8">
        <v>561</v>
      </c>
      <c r="I20" s="8">
        <v>140127</v>
      </c>
    </row>
    <row r="21" spans="1:9" x14ac:dyDescent="0.2">
      <c r="A21" s="8" t="s">
        <v>185</v>
      </c>
      <c r="B21" s="8">
        <v>3301</v>
      </c>
      <c r="C21" s="8" t="s">
        <v>174</v>
      </c>
      <c r="D21" s="8" t="s">
        <v>53</v>
      </c>
      <c r="E21" s="8" t="s">
        <v>414</v>
      </c>
      <c r="F21" s="8"/>
      <c r="G21" s="8">
        <v>14</v>
      </c>
      <c r="H21" s="8">
        <v>121</v>
      </c>
      <c r="I21" s="8">
        <v>140107</v>
      </c>
    </row>
    <row r="22" spans="1:9" x14ac:dyDescent="0.2">
      <c r="A22" s="8" t="s">
        <v>185</v>
      </c>
      <c r="B22" s="8">
        <v>3751</v>
      </c>
      <c r="C22" s="8" t="s">
        <v>174</v>
      </c>
      <c r="D22" s="8" t="s">
        <v>53</v>
      </c>
      <c r="E22" s="8" t="s">
        <v>415</v>
      </c>
      <c r="F22" s="8"/>
      <c r="G22" s="8">
        <v>14</v>
      </c>
      <c r="H22" s="8">
        <v>43</v>
      </c>
      <c r="I22" s="8">
        <v>140103</v>
      </c>
    </row>
    <row r="23" spans="1:9" x14ac:dyDescent="0.2">
      <c r="A23" s="8" t="s">
        <v>185</v>
      </c>
      <c r="B23" s="8">
        <v>76</v>
      </c>
      <c r="C23" s="8" t="s">
        <v>175</v>
      </c>
      <c r="D23" s="8" t="s">
        <v>54</v>
      </c>
      <c r="E23" s="8" t="s">
        <v>176</v>
      </c>
      <c r="F23" s="8">
        <v>50</v>
      </c>
      <c r="G23" s="8">
        <v>14</v>
      </c>
      <c r="H23" s="8">
        <v>146</v>
      </c>
      <c r="I23" s="8">
        <v>140108</v>
      </c>
    </row>
    <row r="24" spans="1:9" x14ac:dyDescent="0.2">
      <c r="A24" s="8" t="s">
        <v>185</v>
      </c>
      <c r="B24" s="8">
        <v>1534</v>
      </c>
      <c r="C24" s="8" t="s">
        <v>175</v>
      </c>
      <c r="D24" s="8" t="s">
        <v>416</v>
      </c>
      <c r="E24" s="8" t="s">
        <v>259</v>
      </c>
      <c r="F24" s="8">
        <v>1</v>
      </c>
      <c r="G24" s="8">
        <v>14</v>
      </c>
      <c r="H24" s="8">
        <v>235</v>
      </c>
      <c r="I24" s="8">
        <v>140113</v>
      </c>
    </row>
    <row r="25" spans="1:9" x14ac:dyDescent="0.2">
      <c r="A25" s="8" t="s">
        <v>185</v>
      </c>
      <c r="B25" s="8">
        <v>1534</v>
      </c>
      <c r="C25" s="8" t="s">
        <v>175</v>
      </c>
      <c r="D25" s="8" t="s">
        <v>416</v>
      </c>
      <c r="E25" s="8" t="s">
        <v>259</v>
      </c>
      <c r="F25" s="8">
        <v>1</v>
      </c>
      <c r="G25" s="8">
        <v>14</v>
      </c>
      <c r="H25" s="8">
        <v>502</v>
      </c>
      <c r="I25" s="8">
        <v>140124</v>
      </c>
    </row>
    <row r="26" spans="1:9" x14ac:dyDescent="0.2">
      <c r="A26" s="8" t="s">
        <v>193</v>
      </c>
      <c r="B26" s="8">
        <v>1781</v>
      </c>
      <c r="C26" s="8" t="s">
        <v>417</v>
      </c>
      <c r="D26" s="8" t="s">
        <v>96</v>
      </c>
      <c r="E26" s="8">
        <v>21</v>
      </c>
      <c r="F26" s="8">
        <v>21</v>
      </c>
      <c r="G26" s="8">
        <v>14</v>
      </c>
      <c r="H26" s="8">
        <v>187</v>
      </c>
      <c r="I26" s="8">
        <v>140109</v>
      </c>
    </row>
    <row r="27" spans="1:9" x14ac:dyDescent="0.2">
      <c r="A27" s="8" t="s">
        <v>193</v>
      </c>
      <c r="B27" s="8">
        <v>2016</v>
      </c>
      <c r="C27" s="8" t="s">
        <v>418</v>
      </c>
      <c r="D27" s="8" t="s">
        <v>419</v>
      </c>
      <c r="E27" s="8">
        <v>1</v>
      </c>
      <c r="F27" s="8">
        <v>11</v>
      </c>
      <c r="G27" s="8">
        <v>14</v>
      </c>
      <c r="H27" s="8">
        <v>309</v>
      </c>
      <c r="I27" s="8">
        <v>140115</v>
      </c>
    </row>
    <row r="28" spans="1:9" x14ac:dyDescent="0.2">
      <c r="A28" s="8" t="s">
        <v>193</v>
      </c>
      <c r="B28" s="8">
        <v>835</v>
      </c>
      <c r="C28" s="8" t="s">
        <v>164</v>
      </c>
      <c r="D28" s="8" t="s">
        <v>87</v>
      </c>
      <c r="E28" s="8">
        <v>4</v>
      </c>
      <c r="F28" s="8">
        <v>4</v>
      </c>
      <c r="G28" s="8">
        <v>14</v>
      </c>
      <c r="H28" s="8">
        <v>563</v>
      </c>
      <c r="I28" s="8">
        <v>140128</v>
      </c>
    </row>
    <row r="29" spans="1:9" x14ac:dyDescent="0.2">
      <c r="A29" s="8" t="s">
        <v>193</v>
      </c>
      <c r="B29" s="8">
        <v>3109</v>
      </c>
      <c r="C29" s="8" t="s">
        <v>194</v>
      </c>
      <c r="D29" s="8" t="s">
        <v>64</v>
      </c>
      <c r="E29" s="8">
        <v>107</v>
      </c>
      <c r="F29" s="8">
        <v>62</v>
      </c>
      <c r="G29" s="8">
        <v>14</v>
      </c>
      <c r="H29" s="8">
        <v>181</v>
      </c>
      <c r="I29" s="8">
        <v>140109</v>
      </c>
    </row>
    <row r="30" spans="1:9" x14ac:dyDescent="0.2">
      <c r="A30" s="8" t="s">
        <v>193</v>
      </c>
      <c r="B30" s="8">
        <v>3727</v>
      </c>
      <c r="C30" s="8" t="s">
        <v>266</v>
      </c>
      <c r="D30" s="8" t="s">
        <v>267</v>
      </c>
      <c r="E30" s="8">
        <v>3</v>
      </c>
      <c r="F30" s="8">
        <v>22</v>
      </c>
      <c r="G30" s="8">
        <v>14</v>
      </c>
      <c r="H30" s="8">
        <v>85</v>
      </c>
      <c r="I30" s="8">
        <v>140106</v>
      </c>
    </row>
    <row r="31" spans="1:9" x14ac:dyDescent="0.2">
      <c r="A31" s="8" t="s">
        <v>193</v>
      </c>
      <c r="B31" s="8">
        <v>2829</v>
      </c>
      <c r="C31" s="8" t="s">
        <v>58</v>
      </c>
      <c r="D31" s="8" t="s">
        <v>59</v>
      </c>
      <c r="E31" s="8">
        <v>4</v>
      </c>
      <c r="F31" s="8">
        <v>13</v>
      </c>
      <c r="G31" s="8">
        <v>14</v>
      </c>
      <c r="H31" s="8">
        <v>130</v>
      </c>
      <c r="I31" s="8">
        <v>140108</v>
      </c>
    </row>
    <row r="32" spans="1:9" x14ac:dyDescent="0.2">
      <c r="A32" s="8" t="s">
        <v>193</v>
      </c>
      <c r="B32" s="8">
        <v>2829</v>
      </c>
      <c r="C32" s="8" t="s">
        <v>58</v>
      </c>
      <c r="D32" s="8" t="s">
        <v>59</v>
      </c>
      <c r="E32" s="8">
        <v>4</v>
      </c>
      <c r="F32" s="8">
        <v>13</v>
      </c>
      <c r="G32" s="8">
        <v>14</v>
      </c>
      <c r="H32" s="8">
        <v>199</v>
      </c>
      <c r="I32" s="8">
        <v>140110</v>
      </c>
    </row>
    <row r="33" spans="1:9" x14ac:dyDescent="0.2">
      <c r="A33" s="8" t="s">
        <v>193</v>
      </c>
      <c r="B33" s="8">
        <v>1626</v>
      </c>
      <c r="C33" s="8" t="s">
        <v>60</v>
      </c>
      <c r="D33" s="8" t="s">
        <v>59</v>
      </c>
      <c r="E33" s="8">
        <v>13</v>
      </c>
      <c r="F33" s="8">
        <v>3</v>
      </c>
      <c r="G33" s="8">
        <v>14</v>
      </c>
      <c r="H33" s="8">
        <v>512</v>
      </c>
      <c r="I33" s="8">
        <v>140124</v>
      </c>
    </row>
    <row r="34" spans="1:9" x14ac:dyDescent="0.2">
      <c r="A34" s="8" t="s">
        <v>193</v>
      </c>
      <c r="B34" s="8">
        <v>6100</v>
      </c>
      <c r="C34" s="8" t="s">
        <v>318</v>
      </c>
      <c r="D34" s="8" t="s">
        <v>57</v>
      </c>
      <c r="E34" s="8">
        <v>83</v>
      </c>
      <c r="F34" s="8" t="s">
        <v>361</v>
      </c>
      <c r="G34" s="8">
        <v>14</v>
      </c>
      <c r="H34" s="8">
        <v>694</v>
      </c>
      <c r="I34" s="8">
        <v>140131</v>
      </c>
    </row>
    <row r="35" spans="1:9" x14ac:dyDescent="0.2">
      <c r="A35" s="8" t="s">
        <v>193</v>
      </c>
      <c r="B35" s="8">
        <v>2505</v>
      </c>
      <c r="C35" s="8" t="s">
        <v>233</v>
      </c>
      <c r="D35" s="8" t="s">
        <v>78</v>
      </c>
      <c r="E35" s="8">
        <v>126</v>
      </c>
      <c r="F35" s="8">
        <v>2</v>
      </c>
      <c r="G35" s="8">
        <v>14</v>
      </c>
      <c r="H35" s="8">
        <v>188</v>
      </c>
      <c r="I35" s="8">
        <v>140109</v>
      </c>
    </row>
    <row r="36" spans="1:9" x14ac:dyDescent="0.2">
      <c r="A36" s="8" t="s">
        <v>193</v>
      </c>
      <c r="B36" s="8">
        <v>2001</v>
      </c>
      <c r="C36" s="8" t="s">
        <v>156</v>
      </c>
      <c r="D36" s="8" t="s">
        <v>96</v>
      </c>
      <c r="E36" s="8">
        <v>1</v>
      </c>
      <c r="F36" s="8">
        <v>42</v>
      </c>
      <c r="G36" s="8">
        <v>14</v>
      </c>
      <c r="H36" s="8">
        <v>650</v>
      </c>
      <c r="I36" s="8">
        <v>140130</v>
      </c>
    </row>
    <row r="37" spans="1:9" x14ac:dyDescent="0.2">
      <c r="A37" s="8" t="s">
        <v>193</v>
      </c>
      <c r="B37" s="8">
        <v>3522</v>
      </c>
      <c r="C37" s="8" t="s">
        <v>140</v>
      </c>
      <c r="D37" s="8" t="s">
        <v>141</v>
      </c>
      <c r="E37" s="8">
        <v>2</v>
      </c>
      <c r="F37" s="8">
        <v>3</v>
      </c>
      <c r="G37" s="8">
        <v>14</v>
      </c>
      <c r="H37" s="8">
        <v>524</v>
      </c>
      <c r="I37" s="8">
        <v>140127</v>
      </c>
    </row>
    <row r="38" spans="1:9" x14ac:dyDescent="0.2">
      <c r="A38" s="8" t="s">
        <v>193</v>
      </c>
      <c r="B38" s="8">
        <v>1956</v>
      </c>
      <c r="C38" s="8" t="s">
        <v>420</v>
      </c>
      <c r="D38" s="8" t="s">
        <v>421</v>
      </c>
      <c r="E38" s="8">
        <v>3</v>
      </c>
      <c r="F38" s="8">
        <v>8</v>
      </c>
      <c r="G38" s="8">
        <v>14</v>
      </c>
      <c r="H38" s="8">
        <v>208</v>
      </c>
      <c r="I38" s="8">
        <v>140110</v>
      </c>
    </row>
    <row r="39" spans="1:9" x14ac:dyDescent="0.2">
      <c r="A39" s="8" t="s">
        <v>193</v>
      </c>
      <c r="B39" s="8">
        <v>3941</v>
      </c>
      <c r="C39" s="8" t="s">
        <v>422</v>
      </c>
      <c r="D39" s="8" t="s">
        <v>152</v>
      </c>
      <c r="E39" s="8">
        <v>3</v>
      </c>
      <c r="F39" s="8">
        <v>34</v>
      </c>
      <c r="G39" s="8">
        <v>14</v>
      </c>
      <c r="H39" s="8">
        <v>352</v>
      </c>
      <c r="I39" s="8">
        <v>140116</v>
      </c>
    </row>
    <row r="40" spans="1:9" x14ac:dyDescent="0.2">
      <c r="A40" s="8" t="s">
        <v>193</v>
      </c>
      <c r="B40" s="8">
        <v>6516</v>
      </c>
      <c r="C40" s="8" t="s">
        <v>362</v>
      </c>
      <c r="D40" s="8" t="s">
        <v>92</v>
      </c>
      <c r="E40" s="8">
        <v>22</v>
      </c>
      <c r="F40" s="8">
        <v>37</v>
      </c>
      <c r="G40" s="8">
        <v>14</v>
      </c>
      <c r="H40" s="8">
        <v>688</v>
      </c>
      <c r="I40" s="8">
        <v>140131</v>
      </c>
    </row>
    <row r="41" spans="1:9" x14ac:dyDescent="0.2">
      <c r="A41" s="8" t="s">
        <v>193</v>
      </c>
      <c r="B41" s="8">
        <v>205</v>
      </c>
      <c r="C41" s="8" t="s">
        <v>62</v>
      </c>
      <c r="D41" s="8" t="s">
        <v>63</v>
      </c>
      <c r="E41" s="8">
        <v>2</v>
      </c>
      <c r="F41" s="8">
        <v>50</v>
      </c>
      <c r="G41" s="8">
        <v>14</v>
      </c>
      <c r="H41" s="8">
        <v>629</v>
      </c>
      <c r="I41" s="8">
        <v>140129</v>
      </c>
    </row>
    <row r="42" spans="1:9" x14ac:dyDescent="0.2">
      <c r="A42" s="8" t="s">
        <v>193</v>
      </c>
      <c r="B42" s="8">
        <v>208</v>
      </c>
      <c r="C42" s="8" t="s">
        <v>62</v>
      </c>
      <c r="D42" s="8" t="s">
        <v>63</v>
      </c>
      <c r="E42" s="8">
        <v>8</v>
      </c>
      <c r="F42" s="8">
        <v>160</v>
      </c>
      <c r="G42" s="8">
        <v>14</v>
      </c>
      <c r="H42" s="8">
        <v>658</v>
      </c>
      <c r="I42" s="8">
        <v>140131</v>
      </c>
    </row>
    <row r="43" spans="1:9" x14ac:dyDescent="0.2">
      <c r="A43" s="8" t="s">
        <v>193</v>
      </c>
      <c r="B43" s="8">
        <v>209</v>
      </c>
      <c r="C43" s="8" t="s">
        <v>62</v>
      </c>
      <c r="D43" s="8" t="s">
        <v>63</v>
      </c>
      <c r="E43" s="8">
        <v>2</v>
      </c>
      <c r="F43" s="8">
        <v>51</v>
      </c>
      <c r="G43" s="8">
        <v>14</v>
      </c>
      <c r="H43" s="8">
        <v>523</v>
      </c>
      <c r="I43" s="8">
        <v>140127</v>
      </c>
    </row>
    <row r="44" spans="1:9" x14ac:dyDescent="0.2">
      <c r="A44" s="8" t="s">
        <v>193</v>
      </c>
      <c r="B44" s="8">
        <v>212</v>
      </c>
      <c r="C44" s="8" t="s">
        <v>62</v>
      </c>
      <c r="D44" s="8" t="s">
        <v>63</v>
      </c>
      <c r="E44" s="8">
        <v>8</v>
      </c>
      <c r="F44" s="8">
        <v>161</v>
      </c>
      <c r="G44" s="8">
        <v>14</v>
      </c>
      <c r="H44" s="8">
        <v>628</v>
      </c>
      <c r="I44" s="8">
        <v>140129</v>
      </c>
    </row>
    <row r="45" spans="1:9" x14ac:dyDescent="0.2">
      <c r="A45" s="8" t="s">
        <v>193</v>
      </c>
      <c r="B45" s="8">
        <v>213</v>
      </c>
      <c r="C45" s="8" t="s">
        <v>62</v>
      </c>
      <c r="D45" s="8" t="s">
        <v>63</v>
      </c>
      <c r="E45" s="8">
        <v>2</v>
      </c>
      <c r="F45" s="8">
        <v>52</v>
      </c>
      <c r="G45" s="8">
        <v>14</v>
      </c>
      <c r="H45" s="8">
        <v>388</v>
      </c>
      <c r="I45" s="8">
        <v>140121</v>
      </c>
    </row>
    <row r="46" spans="1:9" x14ac:dyDescent="0.2">
      <c r="A46" s="8" t="s">
        <v>193</v>
      </c>
      <c r="B46" s="8">
        <v>217</v>
      </c>
      <c r="C46" s="8" t="s">
        <v>62</v>
      </c>
      <c r="D46" s="8" t="s">
        <v>63</v>
      </c>
      <c r="E46" s="8">
        <v>2</v>
      </c>
      <c r="F46" s="8">
        <v>53</v>
      </c>
      <c r="G46" s="8">
        <v>13</v>
      </c>
      <c r="H46" s="8">
        <v>8363</v>
      </c>
      <c r="I46" s="8">
        <v>140102</v>
      </c>
    </row>
    <row r="47" spans="1:9" x14ac:dyDescent="0.2">
      <c r="A47" s="8" t="s">
        <v>193</v>
      </c>
      <c r="B47" s="8">
        <v>273</v>
      </c>
      <c r="C47" s="8" t="s">
        <v>62</v>
      </c>
      <c r="D47" s="8" t="s">
        <v>63</v>
      </c>
      <c r="E47" s="8">
        <v>9</v>
      </c>
      <c r="F47" s="8">
        <v>174</v>
      </c>
      <c r="G47" s="8">
        <v>14</v>
      </c>
      <c r="H47" s="8">
        <v>354</v>
      </c>
      <c r="I47" s="8">
        <v>140117</v>
      </c>
    </row>
    <row r="48" spans="1:9" x14ac:dyDescent="0.2">
      <c r="A48" s="8" t="s">
        <v>193</v>
      </c>
      <c r="B48" s="8">
        <v>4950</v>
      </c>
      <c r="C48" s="8" t="s">
        <v>273</v>
      </c>
      <c r="D48" s="8" t="s">
        <v>268</v>
      </c>
      <c r="E48" s="8">
        <v>2</v>
      </c>
      <c r="F48" s="8">
        <v>1</v>
      </c>
      <c r="G48" s="8">
        <v>14</v>
      </c>
      <c r="H48" s="8">
        <v>106</v>
      </c>
      <c r="I48" s="8">
        <v>140107</v>
      </c>
    </row>
    <row r="49" spans="1:9" x14ac:dyDescent="0.2">
      <c r="A49" s="8" t="s">
        <v>193</v>
      </c>
      <c r="B49" s="8">
        <v>868</v>
      </c>
      <c r="C49" s="8" t="s">
        <v>274</v>
      </c>
      <c r="D49" s="8"/>
      <c r="E49" s="8"/>
      <c r="F49" s="8"/>
      <c r="G49" s="8">
        <v>14</v>
      </c>
      <c r="H49" s="8">
        <v>172</v>
      </c>
      <c r="I49" s="8">
        <v>140109</v>
      </c>
    </row>
    <row r="50" spans="1:9" x14ac:dyDescent="0.2">
      <c r="A50" s="8" t="s">
        <v>193</v>
      </c>
      <c r="B50" s="8">
        <v>1001</v>
      </c>
      <c r="C50" s="8" t="s">
        <v>423</v>
      </c>
      <c r="D50" s="8"/>
      <c r="E50" s="8"/>
      <c r="F50" s="8"/>
      <c r="G50" s="8">
        <v>14</v>
      </c>
      <c r="H50" s="8">
        <v>677</v>
      </c>
      <c r="I50" s="8">
        <v>140131</v>
      </c>
    </row>
    <row r="51" spans="1:9" x14ac:dyDescent="0.2">
      <c r="A51" s="8" t="s">
        <v>193</v>
      </c>
      <c r="B51" s="8">
        <v>1232</v>
      </c>
      <c r="C51" s="8" t="s">
        <v>424</v>
      </c>
      <c r="D51" s="8"/>
      <c r="E51" s="8"/>
      <c r="F51" s="8"/>
      <c r="G51" s="8">
        <v>14</v>
      </c>
      <c r="H51" s="8">
        <v>210</v>
      </c>
      <c r="I51" s="8">
        <v>140110</v>
      </c>
    </row>
    <row r="52" spans="1:9" x14ac:dyDescent="0.2">
      <c r="A52" s="8" t="s">
        <v>193</v>
      </c>
      <c r="B52" s="8">
        <v>2300</v>
      </c>
      <c r="C52" s="8" t="s">
        <v>166</v>
      </c>
      <c r="D52" s="8" t="s">
        <v>168</v>
      </c>
      <c r="E52" s="8"/>
      <c r="F52" s="8"/>
      <c r="G52" s="8">
        <v>14</v>
      </c>
      <c r="H52" s="8">
        <v>332</v>
      </c>
      <c r="I52" s="8">
        <v>140116</v>
      </c>
    </row>
    <row r="53" spans="1:9" x14ac:dyDescent="0.2">
      <c r="A53" s="8" t="s">
        <v>193</v>
      </c>
      <c r="B53" s="8">
        <v>700</v>
      </c>
      <c r="C53" s="8" t="s">
        <v>425</v>
      </c>
      <c r="D53" s="8" t="s">
        <v>78</v>
      </c>
      <c r="E53" s="8">
        <v>134</v>
      </c>
      <c r="F53" s="8">
        <v>16</v>
      </c>
      <c r="G53" s="8">
        <v>14</v>
      </c>
      <c r="H53" s="8">
        <v>139</v>
      </c>
      <c r="I53" s="8">
        <v>140108</v>
      </c>
    </row>
    <row r="54" spans="1:9" x14ac:dyDescent="0.2">
      <c r="A54" s="8" t="s">
        <v>193</v>
      </c>
      <c r="B54" s="8">
        <v>700</v>
      </c>
      <c r="C54" s="8" t="s">
        <v>425</v>
      </c>
      <c r="D54" s="8" t="s">
        <v>78</v>
      </c>
      <c r="E54" s="8">
        <v>134</v>
      </c>
      <c r="F54" s="8">
        <v>16</v>
      </c>
      <c r="G54" s="8">
        <v>14</v>
      </c>
      <c r="H54" s="8">
        <v>248</v>
      </c>
      <c r="I54" s="8">
        <v>140113</v>
      </c>
    </row>
    <row r="55" spans="1:9" x14ac:dyDescent="0.2">
      <c r="A55" s="8" t="s">
        <v>193</v>
      </c>
      <c r="B55" s="8">
        <v>907</v>
      </c>
      <c r="C55" s="8" t="s">
        <v>201</v>
      </c>
      <c r="D55" s="8" t="s">
        <v>202</v>
      </c>
      <c r="E55" s="8" t="s">
        <v>203</v>
      </c>
      <c r="F55" s="8">
        <v>35</v>
      </c>
      <c r="G55" s="8">
        <v>14</v>
      </c>
      <c r="H55" s="8">
        <v>3</v>
      </c>
      <c r="I55" s="8">
        <v>140102</v>
      </c>
    </row>
    <row r="56" spans="1:9" x14ac:dyDescent="0.2">
      <c r="A56" s="8" t="s">
        <v>193</v>
      </c>
      <c r="B56" s="8">
        <v>911</v>
      </c>
      <c r="C56" s="8" t="s">
        <v>201</v>
      </c>
      <c r="D56" s="8" t="s">
        <v>202</v>
      </c>
      <c r="E56" s="8" t="s">
        <v>203</v>
      </c>
      <c r="F56" s="8">
        <v>34</v>
      </c>
      <c r="G56" s="8">
        <v>14</v>
      </c>
      <c r="H56" s="8">
        <v>128</v>
      </c>
      <c r="I56" s="8">
        <v>140108</v>
      </c>
    </row>
    <row r="57" spans="1:9" x14ac:dyDescent="0.2">
      <c r="A57" s="8" t="s">
        <v>193</v>
      </c>
      <c r="B57" s="8">
        <v>911</v>
      </c>
      <c r="C57" s="8" t="s">
        <v>201</v>
      </c>
      <c r="D57" s="8" t="s">
        <v>202</v>
      </c>
      <c r="E57" s="8" t="s">
        <v>203</v>
      </c>
      <c r="F57" s="8">
        <v>34</v>
      </c>
      <c r="G57" s="8">
        <v>14</v>
      </c>
      <c r="H57" s="8">
        <v>144</v>
      </c>
      <c r="I57" s="8">
        <v>140108</v>
      </c>
    </row>
    <row r="58" spans="1:9" x14ac:dyDescent="0.2">
      <c r="A58" s="8" t="s">
        <v>193</v>
      </c>
      <c r="B58" s="8">
        <v>3000</v>
      </c>
      <c r="C58" s="8" t="s">
        <v>426</v>
      </c>
      <c r="D58" s="8" t="s">
        <v>52</v>
      </c>
      <c r="E58" s="8">
        <v>38</v>
      </c>
      <c r="F58" s="8">
        <v>1</v>
      </c>
      <c r="G58" s="8">
        <v>14</v>
      </c>
      <c r="H58" s="8">
        <v>399</v>
      </c>
      <c r="I58" s="8">
        <v>140121</v>
      </c>
    </row>
    <row r="59" spans="1:9" x14ac:dyDescent="0.2">
      <c r="A59" s="8" t="s">
        <v>193</v>
      </c>
      <c r="B59" s="8">
        <v>6901</v>
      </c>
      <c r="C59" s="8" t="s">
        <v>427</v>
      </c>
      <c r="D59" s="8" t="s">
        <v>64</v>
      </c>
      <c r="E59" s="8">
        <v>107</v>
      </c>
      <c r="F59" s="8">
        <v>97</v>
      </c>
      <c r="G59" s="8">
        <v>14</v>
      </c>
      <c r="H59" s="8">
        <v>101</v>
      </c>
      <c r="I59" s="8">
        <v>140107</v>
      </c>
    </row>
    <row r="60" spans="1:9" x14ac:dyDescent="0.2">
      <c r="A60" s="8" t="s">
        <v>193</v>
      </c>
      <c r="B60" s="8">
        <v>260</v>
      </c>
      <c r="C60" s="8" t="s">
        <v>209</v>
      </c>
      <c r="D60" s="8" t="s">
        <v>202</v>
      </c>
      <c r="E60" s="8" t="s">
        <v>180</v>
      </c>
      <c r="F60" s="8">
        <v>15</v>
      </c>
      <c r="G60" s="8">
        <v>14</v>
      </c>
      <c r="H60" s="8">
        <v>528</v>
      </c>
      <c r="I60" s="8">
        <v>140127</v>
      </c>
    </row>
    <row r="61" spans="1:9" x14ac:dyDescent="0.2">
      <c r="A61" s="8" t="s">
        <v>193</v>
      </c>
      <c r="B61" s="8">
        <v>261</v>
      </c>
      <c r="C61" s="8" t="s">
        <v>209</v>
      </c>
      <c r="D61" s="8" t="s">
        <v>202</v>
      </c>
      <c r="E61" s="8" t="s">
        <v>203</v>
      </c>
      <c r="F61" s="8">
        <v>30</v>
      </c>
      <c r="G61" s="8">
        <v>14</v>
      </c>
      <c r="H61" s="8">
        <v>240</v>
      </c>
      <c r="I61" s="8">
        <v>140113</v>
      </c>
    </row>
    <row r="62" spans="1:9" x14ac:dyDescent="0.2">
      <c r="A62" s="8" t="s">
        <v>193</v>
      </c>
      <c r="B62" s="8">
        <v>261</v>
      </c>
      <c r="C62" s="8" t="s">
        <v>209</v>
      </c>
      <c r="D62" s="8" t="s">
        <v>202</v>
      </c>
      <c r="E62" s="8" t="s">
        <v>203</v>
      </c>
      <c r="F62" s="8">
        <v>30</v>
      </c>
      <c r="G62" s="8">
        <v>14</v>
      </c>
      <c r="H62" s="8">
        <v>361</v>
      </c>
      <c r="I62" s="8">
        <v>140117</v>
      </c>
    </row>
    <row r="63" spans="1:9" x14ac:dyDescent="0.2">
      <c r="A63" s="8" t="s">
        <v>193</v>
      </c>
      <c r="B63" s="8">
        <v>264</v>
      </c>
      <c r="C63" s="8" t="s">
        <v>209</v>
      </c>
      <c r="D63" s="8" t="s">
        <v>202</v>
      </c>
      <c r="E63" s="8" t="s">
        <v>180</v>
      </c>
      <c r="F63" s="8">
        <v>16</v>
      </c>
      <c r="G63" s="8">
        <v>14</v>
      </c>
      <c r="H63" s="8">
        <v>525</v>
      </c>
      <c r="I63" s="8">
        <v>140127</v>
      </c>
    </row>
    <row r="64" spans="1:9" x14ac:dyDescent="0.2">
      <c r="A64" s="8" t="s">
        <v>193</v>
      </c>
      <c r="B64" s="8">
        <v>102</v>
      </c>
      <c r="C64" s="8" t="s">
        <v>65</v>
      </c>
      <c r="D64" s="8" t="s">
        <v>66</v>
      </c>
      <c r="E64" s="8">
        <v>4</v>
      </c>
      <c r="F64" s="8">
        <v>10</v>
      </c>
      <c r="G64" s="8">
        <v>14</v>
      </c>
      <c r="H64" s="8">
        <v>383</v>
      </c>
      <c r="I64" s="8">
        <v>140121</v>
      </c>
    </row>
    <row r="65" spans="1:9" x14ac:dyDescent="0.2">
      <c r="A65" s="8" t="s">
        <v>193</v>
      </c>
      <c r="B65" s="8">
        <v>3818</v>
      </c>
      <c r="C65" s="8" t="s">
        <v>236</v>
      </c>
      <c r="D65" s="8" t="s">
        <v>214</v>
      </c>
      <c r="E65" s="8">
        <v>3</v>
      </c>
      <c r="F65" s="8">
        <v>5</v>
      </c>
      <c r="G65" s="8">
        <v>14</v>
      </c>
      <c r="H65" s="8">
        <v>323</v>
      </c>
      <c r="I65" s="8">
        <v>140116</v>
      </c>
    </row>
    <row r="66" spans="1:9" x14ac:dyDescent="0.2">
      <c r="A66" s="8" t="s">
        <v>193</v>
      </c>
      <c r="B66" s="8">
        <v>3819</v>
      </c>
      <c r="C66" s="8" t="s">
        <v>236</v>
      </c>
      <c r="D66" s="8" t="s">
        <v>214</v>
      </c>
      <c r="E66" s="8">
        <v>2</v>
      </c>
      <c r="F66" s="8">
        <v>3</v>
      </c>
      <c r="G66" s="8">
        <v>14</v>
      </c>
      <c r="H66" s="8">
        <v>171</v>
      </c>
      <c r="I66" s="8">
        <v>140109</v>
      </c>
    </row>
    <row r="67" spans="1:9" x14ac:dyDescent="0.2">
      <c r="A67" s="8" t="s">
        <v>193</v>
      </c>
      <c r="B67" s="8">
        <v>3822</v>
      </c>
      <c r="C67" s="8" t="s">
        <v>236</v>
      </c>
      <c r="D67" s="8" t="s">
        <v>214</v>
      </c>
      <c r="E67" s="8">
        <v>3</v>
      </c>
      <c r="F67" s="8">
        <v>6</v>
      </c>
      <c r="G67" s="8">
        <v>13</v>
      </c>
      <c r="H67" s="8">
        <v>8365</v>
      </c>
      <c r="I67" s="8">
        <v>140102</v>
      </c>
    </row>
    <row r="68" spans="1:9" x14ac:dyDescent="0.2">
      <c r="A68" s="8" t="s">
        <v>193</v>
      </c>
      <c r="B68" s="8">
        <v>4619</v>
      </c>
      <c r="C68" s="8" t="s">
        <v>210</v>
      </c>
      <c r="D68" s="8" t="s">
        <v>61</v>
      </c>
      <c r="E68" s="8">
        <v>10</v>
      </c>
      <c r="F68" s="8">
        <v>3</v>
      </c>
      <c r="G68" s="8">
        <v>14</v>
      </c>
      <c r="H68" s="8">
        <v>624</v>
      </c>
      <c r="I68" s="8">
        <v>140129</v>
      </c>
    </row>
    <row r="69" spans="1:9" x14ac:dyDescent="0.2">
      <c r="A69" s="8" t="s">
        <v>193</v>
      </c>
      <c r="B69" s="8">
        <v>7508</v>
      </c>
      <c r="C69" s="8" t="s">
        <v>428</v>
      </c>
      <c r="D69" s="8" t="s">
        <v>429</v>
      </c>
      <c r="E69" s="8">
        <v>6</v>
      </c>
      <c r="F69" s="8">
        <v>13</v>
      </c>
      <c r="G69" s="8">
        <v>14</v>
      </c>
      <c r="H69" s="8">
        <v>155</v>
      </c>
      <c r="I69" s="8">
        <v>140108</v>
      </c>
    </row>
    <row r="70" spans="1:9" x14ac:dyDescent="0.2">
      <c r="A70" s="8" t="s">
        <v>193</v>
      </c>
      <c r="B70" s="8">
        <v>2356</v>
      </c>
      <c r="C70" s="8" t="s">
        <v>68</v>
      </c>
      <c r="D70" s="8" t="s">
        <v>69</v>
      </c>
      <c r="E70" s="8">
        <v>24</v>
      </c>
      <c r="F70" s="8">
        <v>20</v>
      </c>
      <c r="G70" s="8">
        <v>14</v>
      </c>
      <c r="H70" s="8">
        <v>86</v>
      </c>
      <c r="I70" s="8">
        <v>140106</v>
      </c>
    </row>
    <row r="71" spans="1:9" x14ac:dyDescent="0.2">
      <c r="A71" s="8" t="s">
        <v>193</v>
      </c>
      <c r="B71" s="8">
        <v>3305</v>
      </c>
      <c r="C71" s="8" t="s">
        <v>211</v>
      </c>
      <c r="D71" s="8" t="s">
        <v>52</v>
      </c>
      <c r="E71" s="8" t="s">
        <v>430</v>
      </c>
      <c r="F71" s="8">
        <v>8</v>
      </c>
      <c r="G71" s="8">
        <v>14</v>
      </c>
      <c r="H71" s="8">
        <v>475</v>
      </c>
      <c r="I71" s="8">
        <v>140124</v>
      </c>
    </row>
    <row r="72" spans="1:9" x14ac:dyDescent="0.2">
      <c r="A72" s="8" t="s">
        <v>193</v>
      </c>
      <c r="B72" s="8">
        <v>329</v>
      </c>
      <c r="C72" s="8" t="s">
        <v>431</v>
      </c>
      <c r="D72" s="8" t="s">
        <v>432</v>
      </c>
      <c r="E72" s="8">
        <v>1</v>
      </c>
      <c r="F72" s="8">
        <v>8</v>
      </c>
      <c r="G72" s="8">
        <v>14</v>
      </c>
      <c r="H72" s="8">
        <v>250</v>
      </c>
      <c r="I72" s="8">
        <v>140113</v>
      </c>
    </row>
    <row r="73" spans="1:9" x14ac:dyDescent="0.2">
      <c r="A73" s="8" t="s">
        <v>193</v>
      </c>
      <c r="B73" s="8">
        <v>6873</v>
      </c>
      <c r="C73" s="8" t="s">
        <v>237</v>
      </c>
      <c r="D73" s="8" t="s">
        <v>64</v>
      </c>
      <c r="E73" s="8">
        <v>104</v>
      </c>
      <c r="F73" s="8">
        <v>48</v>
      </c>
      <c r="G73" s="8">
        <v>14</v>
      </c>
      <c r="H73" s="8">
        <v>449</v>
      </c>
      <c r="I73" s="8">
        <v>140122</v>
      </c>
    </row>
    <row r="74" spans="1:9" x14ac:dyDescent="0.2">
      <c r="A74" s="8" t="s">
        <v>193</v>
      </c>
      <c r="B74" s="8">
        <v>6820</v>
      </c>
      <c r="C74" s="8" t="s">
        <v>249</v>
      </c>
      <c r="D74" s="8" t="s">
        <v>64</v>
      </c>
      <c r="E74" s="8">
        <v>107</v>
      </c>
      <c r="F74" s="8">
        <v>6</v>
      </c>
      <c r="G74" s="8">
        <v>14</v>
      </c>
      <c r="H74" s="8">
        <v>584</v>
      </c>
      <c r="I74" s="8">
        <v>140128</v>
      </c>
    </row>
    <row r="75" spans="1:9" x14ac:dyDescent="0.2">
      <c r="A75" s="8" t="s">
        <v>193</v>
      </c>
      <c r="B75" s="8">
        <v>7104</v>
      </c>
      <c r="C75" s="8" t="s">
        <v>249</v>
      </c>
      <c r="D75" s="8" t="s">
        <v>64</v>
      </c>
      <c r="E75" s="8">
        <v>116</v>
      </c>
      <c r="F75" s="8">
        <v>2</v>
      </c>
      <c r="G75" s="8">
        <v>14</v>
      </c>
      <c r="H75" s="8">
        <v>301</v>
      </c>
      <c r="I75" s="8">
        <v>140115</v>
      </c>
    </row>
    <row r="76" spans="1:9" x14ac:dyDescent="0.2">
      <c r="A76" s="8" t="s">
        <v>193</v>
      </c>
      <c r="B76" s="8">
        <v>7104</v>
      </c>
      <c r="C76" s="8" t="s">
        <v>249</v>
      </c>
      <c r="D76" s="8" t="s">
        <v>64</v>
      </c>
      <c r="E76" s="8">
        <v>116</v>
      </c>
      <c r="F76" s="8">
        <v>2</v>
      </c>
      <c r="G76" s="8">
        <v>14</v>
      </c>
      <c r="H76" s="8">
        <v>588</v>
      </c>
      <c r="I76" s="8">
        <v>140128</v>
      </c>
    </row>
    <row r="77" spans="1:9" x14ac:dyDescent="0.2">
      <c r="A77" s="8" t="s">
        <v>193</v>
      </c>
      <c r="B77" s="8">
        <v>850</v>
      </c>
      <c r="C77" s="8" t="s">
        <v>433</v>
      </c>
      <c r="D77" s="8" t="s">
        <v>88</v>
      </c>
      <c r="E77" s="8">
        <v>6</v>
      </c>
      <c r="F77" s="8">
        <v>3</v>
      </c>
      <c r="G77" s="8">
        <v>14</v>
      </c>
      <c r="H77" s="8">
        <v>61</v>
      </c>
      <c r="I77" s="8">
        <v>140106</v>
      </c>
    </row>
    <row r="78" spans="1:9" x14ac:dyDescent="0.2">
      <c r="A78" s="8" t="s">
        <v>193</v>
      </c>
      <c r="B78" s="8">
        <v>7325</v>
      </c>
      <c r="C78" s="8" t="s">
        <v>83</v>
      </c>
      <c r="D78" s="8" t="s">
        <v>84</v>
      </c>
      <c r="E78" s="8">
        <v>2</v>
      </c>
      <c r="F78" s="8">
        <v>6</v>
      </c>
      <c r="G78" s="8">
        <v>14</v>
      </c>
      <c r="H78" s="8">
        <v>77</v>
      </c>
      <c r="I78" s="8">
        <v>140106</v>
      </c>
    </row>
    <row r="79" spans="1:9" x14ac:dyDescent="0.2">
      <c r="A79" s="8" t="s">
        <v>193</v>
      </c>
      <c r="B79" s="8">
        <v>6240</v>
      </c>
      <c r="C79" s="8" t="s">
        <v>157</v>
      </c>
      <c r="D79" s="8" t="s">
        <v>64</v>
      </c>
      <c r="E79" s="8">
        <v>99</v>
      </c>
      <c r="F79" s="8">
        <v>20</v>
      </c>
      <c r="G79" s="8">
        <v>14</v>
      </c>
      <c r="H79" s="8">
        <v>158</v>
      </c>
      <c r="I79" s="8">
        <v>140109</v>
      </c>
    </row>
    <row r="80" spans="1:9" x14ac:dyDescent="0.2">
      <c r="A80" s="8" t="s">
        <v>193</v>
      </c>
      <c r="B80" s="8">
        <v>6706</v>
      </c>
      <c r="C80" s="8" t="s">
        <v>279</v>
      </c>
      <c r="D80" s="8" t="s">
        <v>64</v>
      </c>
      <c r="E80" s="8">
        <v>108</v>
      </c>
      <c r="F80" s="8">
        <v>25</v>
      </c>
      <c r="G80" s="8">
        <v>14</v>
      </c>
      <c r="H80" s="8">
        <v>569</v>
      </c>
      <c r="I80" s="8">
        <v>140128</v>
      </c>
    </row>
    <row r="81" spans="1:9" x14ac:dyDescent="0.2">
      <c r="A81" s="8" t="s">
        <v>193</v>
      </c>
      <c r="B81" s="8">
        <v>621</v>
      </c>
      <c r="C81" s="8" t="s">
        <v>81</v>
      </c>
      <c r="D81" s="8" t="s">
        <v>214</v>
      </c>
      <c r="E81" s="8">
        <v>1</v>
      </c>
      <c r="F81" s="8">
        <v>2</v>
      </c>
      <c r="G81" s="8">
        <v>14</v>
      </c>
      <c r="H81" s="8">
        <v>290</v>
      </c>
      <c r="I81" s="8">
        <v>140115</v>
      </c>
    </row>
    <row r="82" spans="1:9" x14ac:dyDescent="0.2">
      <c r="A82" s="8" t="s">
        <v>193</v>
      </c>
      <c r="B82" s="8">
        <v>753</v>
      </c>
      <c r="C82" s="8" t="s">
        <v>81</v>
      </c>
      <c r="D82" s="8" t="s">
        <v>214</v>
      </c>
      <c r="E82" s="8">
        <v>1</v>
      </c>
      <c r="F82" s="8">
        <v>18</v>
      </c>
      <c r="G82" s="8">
        <v>14</v>
      </c>
      <c r="H82" s="8">
        <v>27</v>
      </c>
      <c r="I82" s="8">
        <v>140103</v>
      </c>
    </row>
    <row r="83" spans="1:9" x14ac:dyDescent="0.2">
      <c r="A83" s="8" t="s">
        <v>193</v>
      </c>
      <c r="B83" s="8">
        <v>800</v>
      </c>
      <c r="C83" s="8" t="s">
        <v>81</v>
      </c>
      <c r="D83" s="8" t="s">
        <v>85</v>
      </c>
      <c r="E83" s="8">
        <v>4</v>
      </c>
      <c r="F83" s="8">
        <v>11</v>
      </c>
      <c r="G83" s="8">
        <v>14</v>
      </c>
      <c r="H83" s="8">
        <v>458</v>
      </c>
      <c r="I83" s="8">
        <v>140123</v>
      </c>
    </row>
    <row r="84" spans="1:9" x14ac:dyDescent="0.2">
      <c r="A84" s="8" t="s">
        <v>193</v>
      </c>
      <c r="B84" s="8">
        <v>805</v>
      </c>
      <c r="C84" s="8" t="s">
        <v>81</v>
      </c>
      <c r="D84" s="8" t="s">
        <v>85</v>
      </c>
      <c r="E84" s="8">
        <v>5</v>
      </c>
      <c r="F84" s="8">
        <v>5</v>
      </c>
      <c r="G84" s="8">
        <v>14</v>
      </c>
      <c r="H84" s="8">
        <v>291</v>
      </c>
      <c r="I84" s="8">
        <v>140115</v>
      </c>
    </row>
    <row r="85" spans="1:9" x14ac:dyDescent="0.2">
      <c r="A85" s="8" t="s">
        <v>193</v>
      </c>
      <c r="B85" s="8">
        <v>37</v>
      </c>
      <c r="C85" s="8" t="s">
        <v>434</v>
      </c>
      <c r="D85" s="8"/>
      <c r="E85" s="8"/>
      <c r="F85" s="8"/>
      <c r="G85" s="8">
        <v>14</v>
      </c>
      <c r="H85" s="8">
        <v>450</v>
      </c>
      <c r="I85" s="8">
        <v>140122</v>
      </c>
    </row>
    <row r="86" spans="1:9" x14ac:dyDescent="0.2">
      <c r="A86" s="8" t="s">
        <v>193</v>
      </c>
      <c r="B86" s="8">
        <v>2809</v>
      </c>
      <c r="C86" s="8" t="s">
        <v>284</v>
      </c>
      <c r="D86" s="8" t="s">
        <v>77</v>
      </c>
      <c r="E86" s="8">
        <v>2</v>
      </c>
      <c r="F86" s="8">
        <v>4</v>
      </c>
      <c r="G86" s="8">
        <v>14</v>
      </c>
      <c r="H86" s="8">
        <v>359</v>
      </c>
      <c r="I86" s="8">
        <v>140117</v>
      </c>
    </row>
    <row r="87" spans="1:9" x14ac:dyDescent="0.2">
      <c r="A87" s="8" t="s">
        <v>193</v>
      </c>
      <c r="B87" s="8">
        <v>411</v>
      </c>
      <c r="C87" s="8" t="s">
        <v>239</v>
      </c>
      <c r="D87" s="8" t="s">
        <v>240</v>
      </c>
      <c r="E87" s="8">
        <v>2</v>
      </c>
      <c r="F87" s="8">
        <v>9</v>
      </c>
      <c r="G87" s="8">
        <v>14</v>
      </c>
      <c r="H87" s="8">
        <v>231</v>
      </c>
      <c r="I87" s="8">
        <v>140113</v>
      </c>
    </row>
    <row r="88" spans="1:9" x14ac:dyDescent="0.2">
      <c r="A88" s="8" t="s">
        <v>193</v>
      </c>
      <c r="B88" s="8">
        <v>1739</v>
      </c>
      <c r="C88" s="8" t="s">
        <v>435</v>
      </c>
      <c r="D88" s="8" t="s">
        <v>67</v>
      </c>
      <c r="E88" s="8">
        <v>11</v>
      </c>
      <c r="F88" s="8">
        <v>24</v>
      </c>
      <c r="G88" s="8">
        <v>14</v>
      </c>
      <c r="H88" s="8">
        <v>516</v>
      </c>
      <c r="I88" s="8">
        <v>140124</v>
      </c>
    </row>
    <row r="89" spans="1:9" x14ac:dyDescent="0.2">
      <c r="A89" s="8" t="s">
        <v>193</v>
      </c>
      <c r="B89" s="8">
        <v>3808</v>
      </c>
      <c r="C89" s="8" t="s">
        <v>142</v>
      </c>
      <c r="D89" s="8" t="s">
        <v>85</v>
      </c>
      <c r="E89" s="8">
        <v>3</v>
      </c>
      <c r="F89" s="8">
        <v>12</v>
      </c>
      <c r="G89" s="8">
        <v>14</v>
      </c>
      <c r="H89" s="8">
        <v>413</v>
      </c>
      <c r="I89" s="8">
        <v>140122</v>
      </c>
    </row>
    <row r="90" spans="1:9" x14ac:dyDescent="0.2">
      <c r="A90" s="8" t="s">
        <v>193</v>
      </c>
      <c r="B90" s="8">
        <v>490</v>
      </c>
      <c r="C90" s="8" t="s">
        <v>436</v>
      </c>
      <c r="D90" s="8"/>
      <c r="E90" s="8"/>
      <c r="F90" s="8"/>
      <c r="G90" s="8">
        <v>14</v>
      </c>
      <c r="H90" s="8">
        <v>157</v>
      </c>
      <c r="I90" s="8">
        <v>140108</v>
      </c>
    </row>
    <row r="91" spans="1:9" x14ac:dyDescent="0.2">
      <c r="A91" s="8" t="s">
        <v>193</v>
      </c>
      <c r="B91" s="8">
        <v>2004</v>
      </c>
      <c r="C91" s="8" t="s">
        <v>437</v>
      </c>
      <c r="D91" s="8" t="s">
        <v>265</v>
      </c>
      <c r="E91" s="8">
        <v>1</v>
      </c>
      <c r="F91" s="8">
        <v>23</v>
      </c>
      <c r="G91" s="8">
        <v>14</v>
      </c>
      <c r="H91" s="8">
        <v>30</v>
      </c>
      <c r="I91" s="8">
        <v>140103</v>
      </c>
    </row>
    <row r="92" spans="1:9" x14ac:dyDescent="0.2">
      <c r="A92" s="8" t="s">
        <v>193</v>
      </c>
      <c r="B92" s="8">
        <v>2500</v>
      </c>
      <c r="C92" s="8" t="s">
        <v>98</v>
      </c>
      <c r="D92" s="8" t="s">
        <v>82</v>
      </c>
      <c r="E92" s="8">
        <v>3</v>
      </c>
      <c r="F92" s="8">
        <v>2</v>
      </c>
      <c r="G92" s="8">
        <v>14</v>
      </c>
      <c r="H92" s="8">
        <v>602</v>
      </c>
      <c r="I92" s="8">
        <v>140129</v>
      </c>
    </row>
    <row r="93" spans="1:9" x14ac:dyDescent="0.2">
      <c r="A93" s="8" t="s">
        <v>193</v>
      </c>
      <c r="B93" s="8">
        <v>2622</v>
      </c>
      <c r="C93" s="8" t="s">
        <v>98</v>
      </c>
      <c r="D93" s="8" t="s">
        <v>82</v>
      </c>
      <c r="E93" s="8">
        <v>5</v>
      </c>
      <c r="F93" s="8">
        <v>6</v>
      </c>
      <c r="G93" s="8">
        <v>14</v>
      </c>
      <c r="H93" s="8">
        <v>657</v>
      </c>
      <c r="I93" s="8">
        <v>140131</v>
      </c>
    </row>
    <row r="94" spans="1:9" x14ac:dyDescent="0.2">
      <c r="A94" s="8" t="s">
        <v>193</v>
      </c>
      <c r="B94" s="8">
        <v>803</v>
      </c>
      <c r="C94" s="8" t="s">
        <v>438</v>
      </c>
      <c r="D94" s="8" t="s">
        <v>61</v>
      </c>
      <c r="E94" s="8">
        <v>1</v>
      </c>
      <c r="F94" s="8">
        <v>1</v>
      </c>
      <c r="G94" s="8">
        <v>14</v>
      </c>
      <c r="H94" s="8">
        <v>327</v>
      </c>
      <c r="I94" s="8">
        <v>140116</v>
      </c>
    </row>
    <row r="95" spans="1:9" x14ac:dyDescent="0.2">
      <c r="A95" s="8" t="s">
        <v>193</v>
      </c>
      <c r="B95" s="8">
        <v>5908</v>
      </c>
      <c r="C95" s="8" t="s">
        <v>241</v>
      </c>
      <c r="D95" s="8" t="s">
        <v>57</v>
      </c>
      <c r="E95" s="8">
        <v>166</v>
      </c>
      <c r="F95" s="8">
        <v>13</v>
      </c>
      <c r="G95" s="8">
        <v>14</v>
      </c>
      <c r="H95" s="8">
        <v>684</v>
      </c>
      <c r="I95" s="8">
        <v>140131</v>
      </c>
    </row>
    <row r="96" spans="1:9" x14ac:dyDescent="0.2">
      <c r="A96" s="8" t="s">
        <v>193</v>
      </c>
      <c r="B96" s="8">
        <v>524</v>
      </c>
      <c r="C96" s="8" t="s">
        <v>439</v>
      </c>
      <c r="D96" s="8" t="s">
        <v>57</v>
      </c>
      <c r="E96" s="8">
        <v>155</v>
      </c>
      <c r="F96" s="8">
        <v>13</v>
      </c>
      <c r="G96" s="8">
        <v>14</v>
      </c>
      <c r="H96" s="8">
        <v>430</v>
      </c>
      <c r="I96" s="8">
        <v>140122</v>
      </c>
    </row>
    <row r="97" spans="1:9" x14ac:dyDescent="0.2">
      <c r="A97" s="8" t="s">
        <v>193</v>
      </c>
      <c r="B97" s="8">
        <v>75</v>
      </c>
      <c r="C97" s="8" t="s">
        <v>440</v>
      </c>
      <c r="D97" s="8" t="s">
        <v>182</v>
      </c>
      <c r="E97" s="8">
        <v>6</v>
      </c>
      <c r="F97" s="8">
        <v>33</v>
      </c>
      <c r="G97" s="8">
        <v>14</v>
      </c>
      <c r="H97" s="8">
        <v>566</v>
      </c>
      <c r="I97" s="8">
        <v>140128</v>
      </c>
    </row>
    <row r="98" spans="1:9" x14ac:dyDescent="0.2">
      <c r="A98" s="8" t="s">
        <v>193</v>
      </c>
      <c r="B98" s="8">
        <v>81</v>
      </c>
      <c r="C98" s="8" t="s">
        <v>440</v>
      </c>
      <c r="D98" s="8" t="s">
        <v>182</v>
      </c>
      <c r="E98" s="8">
        <v>6</v>
      </c>
      <c r="F98" s="8">
        <v>30</v>
      </c>
      <c r="G98" s="8">
        <v>14</v>
      </c>
      <c r="H98" s="8">
        <v>308</v>
      </c>
      <c r="I98" s="8">
        <v>140115</v>
      </c>
    </row>
    <row r="99" spans="1:9" x14ac:dyDescent="0.2">
      <c r="A99" s="8" t="s">
        <v>193</v>
      </c>
      <c r="B99" s="8">
        <v>1908</v>
      </c>
      <c r="C99" s="8" t="s">
        <v>441</v>
      </c>
      <c r="D99" s="8" t="s">
        <v>442</v>
      </c>
      <c r="E99" s="8">
        <v>7</v>
      </c>
      <c r="F99" s="8">
        <v>5</v>
      </c>
      <c r="G99" s="8">
        <v>14</v>
      </c>
      <c r="H99" s="8">
        <v>59</v>
      </c>
      <c r="I99" s="8">
        <v>140106</v>
      </c>
    </row>
    <row r="100" spans="1:9" x14ac:dyDescent="0.2">
      <c r="A100" s="8" t="s">
        <v>193</v>
      </c>
      <c r="B100" s="8">
        <v>600</v>
      </c>
      <c r="C100" s="8" t="s">
        <v>72</v>
      </c>
      <c r="D100" s="8" t="s">
        <v>71</v>
      </c>
      <c r="E100" s="8">
        <v>3</v>
      </c>
      <c r="F100" s="8" t="s">
        <v>250</v>
      </c>
      <c r="G100" s="8">
        <v>14</v>
      </c>
      <c r="H100" s="8">
        <v>189</v>
      </c>
      <c r="I100" s="8">
        <v>140110</v>
      </c>
    </row>
    <row r="101" spans="1:9" x14ac:dyDescent="0.2">
      <c r="A101" s="8" t="s">
        <v>193</v>
      </c>
      <c r="B101" s="8">
        <v>710</v>
      </c>
      <c r="C101" s="8" t="s">
        <v>72</v>
      </c>
      <c r="D101" s="8" t="s">
        <v>71</v>
      </c>
      <c r="E101" s="8">
        <v>3</v>
      </c>
      <c r="F101" s="8">
        <v>16</v>
      </c>
      <c r="G101" s="8">
        <v>14</v>
      </c>
      <c r="H101" s="8">
        <v>229</v>
      </c>
      <c r="I101" s="8">
        <v>140113</v>
      </c>
    </row>
    <row r="102" spans="1:9" x14ac:dyDescent="0.2">
      <c r="A102" s="8" t="s">
        <v>193</v>
      </c>
      <c r="B102" s="8">
        <v>7112</v>
      </c>
      <c r="C102" s="8" t="s">
        <v>220</v>
      </c>
      <c r="D102" s="8" t="s">
        <v>221</v>
      </c>
      <c r="E102" s="8">
        <v>4</v>
      </c>
      <c r="F102" s="8">
        <v>41</v>
      </c>
      <c r="G102" s="8">
        <v>14</v>
      </c>
      <c r="H102" s="8">
        <v>22</v>
      </c>
      <c r="I102" s="8">
        <v>140102</v>
      </c>
    </row>
    <row r="103" spans="1:9" x14ac:dyDescent="0.2">
      <c r="A103" s="8" t="s">
        <v>193</v>
      </c>
      <c r="B103" s="8">
        <v>7120</v>
      </c>
      <c r="C103" s="8" t="s">
        <v>220</v>
      </c>
      <c r="D103" s="8" t="s">
        <v>221</v>
      </c>
      <c r="E103" s="8">
        <v>4</v>
      </c>
      <c r="F103" s="8">
        <v>39</v>
      </c>
      <c r="G103" s="8">
        <v>14</v>
      </c>
      <c r="H103" s="8">
        <v>129</v>
      </c>
      <c r="I103" s="8">
        <v>140108</v>
      </c>
    </row>
    <row r="104" spans="1:9" x14ac:dyDescent="0.2">
      <c r="A104" s="8" t="s">
        <v>193</v>
      </c>
      <c r="B104" s="8">
        <v>7120</v>
      </c>
      <c r="C104" s="8" t="s">
        <v>220</v>
      </c>
      <c r="D104" s="8" t="s">
        <v>221</v>
      </c>
      <c r="E104" s="8">
        <v>4</v>
      </c>
      <c r="F104" s="8">
        <v>39</v>
      </c>
      <c r="G104" s="8">
        <v>14</v>
      </c>
      <c r="H104" s="8">
        <v>145</v>
      </c>
      <c r="I104" s="8">
        <v>140108</v>
      </c>
    </row>
    <row r="105" spans="1:9" x14ac:dyDescent="0.2">
      <c r="A105" s="8" t="s">
        <v>193</v>
      </c>
      <c r="B105" s="8">
        <v>1251</v>
      </c>
      <c r="C105" s="8" t="s">
        <v>443</v>
      </c>
      <c r="D105" s="8" t="s">
        <v>57</v>
      </c>
      <c r="E105" s="8">
        <v>139</v>
      </c>
      <c r="F105" s="8">
        <v>6</v>
      </c>
      <c r="G105" s="8">
        <v>14</v>
      </c>
      <c r="H105" s="8">
        <v>401</v>
      </c>
      <c r="I105" s="8">
        <v>140121</v>
      </c>
    </row>
    <row r="106" spans="1:9" x14ac:dyDescent="0.2">
      <c r="A106" s="8" t="s">
        <v>193</v>
      </c>
      <c r="B106" s="8">
        <v>80</v>
      </c>
      <c r="C106" s="8" t="s">
        <v>292</v>
      </c>
      <c r="D106" s="8" t="s">
        <v>275</v>
      </c>
      <c r="E106" s="8">
        <v>3</v>
      </c>
      <c r="F106" s="8">
        <v>4</v>
      </c>
      <c r="G106" s="8">
        <v>14</v>
      </c>
      <c r="H106" s="8">
        <v>410</v>
      </c>
      <c r="I106" s="8">
        <v>140121</v>
      </c>
    </row>
    <row r="107" spans="1:9" x14ac:dyDescent="0.2">
      <c r="A107" s="8" t="s">
        <v>193</v>
      </c>
      <c r="B107" s="8">
        <v>104</v>
      </c>
      <c r="C107" s="8" t="s">
        <v>292</v>
      </c>
      <c r="D107" s="8" t="s">
        <v>275</v>
      </c>
      <c r="E107" s="8">
        <v>2</v>
      </c>
      <c r="F107" s="8">
        <v>2</v>
      </c>
      <c r="G107" s="8">
        <v>14</v>
      </c>
      <c r="H107" s="8">
        <v>476</v>
      </c>
      <c r="I107" s="8">
        <v>140124</v>
      </c>
    </row>
    <row r="108" spans="1:9" x14ac:dyDescent="0.2">
      <c r="A108" s="8" t="s">
        <v>193</v>
      </c>
      <c r="B108" s="8">
        <v>1046</v>
      </c>
      <c r="C108" s="8" t="s">
        <v>444</v>
      </c>
      <c r="D108" s="8" t="s">
        <v>445</v>
      </c>
      <c r="E108" s="8">
        <v>2</v>
      </c>
      <c r="F108" s="8" t="s">
        <v>446</v>
      </c>
      <c r="G108" s="8">
        <v>14</v>
      </c>
      <c r="H108" s="8">
        <v>369</v>
      </c>
      <c r="I108" s="8">
        <v>140117</v>
      </c>
    </row>
    <row r="109" spans="1:9" x14ac:dyDescent="0.2">
      <c r="A109" s="8" t="s">
        <v>193</v>
      </c>
      <c r="B109" s="8">
        <v>391</v>
      </c>
      <c r="C109" s="8" t="s">
        <v>447</v>
      </c>
      <c r="D109" s="8" t="s">
        <v>448</v>
      </c>
      <c r="E109" s="8">
        <v>2</v>
      </c>
      <c r="F109" s="8">
        <v>7</v>
      </c>
      <c r="G109" s="8">
        <v>14</v>
      </c>
      <c r="H109" s="8">
        <v>255</v>
      </c>
      <c r="I109" s="8">
        <v>140113</v>
      </c>
    </row>
    <row r="110" spans="1:9" x14ac:dyDescent="0.2">
      <c r="A110" s="8" t="s">
        <v>193</v>
      </c>
      <c r="B110" s="8">
        <v>1679</v>
      </c>
      <c r="C110" s="8" t="s">
        <v>449</v>
      </c>
      <c r="D110" s="8" t="s">
        <v>283</v>
      </c>
      <c r="E110" s="8">
        <v>2</v>
      </c>
      <c r="F110" s="8">
        <v>3</v>
      </c>
      <c r="G110" s="8">
        <v>14</v>
      </c>
      <c r="H110" s="8">
        <v>34</v>
      </c>
      <c r="I110" s="8">
        <v>140103</v>
      </c>
    </row>
    <row r="111" spans="1:9" x14ac:dyDescent="0.2">
      <c r="A111" s="8" t="s">
        <v>193</v>
      </c>
      <c r="B111" s="8">
        <v>2452</v>
      </c>
      <c r="C111" s="8" t="s">
        <v>450</v>
      </c>
      <c r="D111" s="8" t="s">
        <v>421</v>
      </c>
      <c r="E111" s="8">
        <v>4</v>
      </c>
      <c r="F111" s="8">
        <v>30</v>
      </c>
      <c r="G111" s="8">
        <v>14</v>
      </c>
      <c r="H111" s="8">
        <v>60</v>
      </c>
      <c r="I111" s="8">
        <v>140106</v>
      </c>
    </row>
    <row r="112" spans="1:9" x14ac:dyDescent="0.2">
      <c r="A112" s="8" t="s">
        <v>193</v>
      </c>
      <c r="B112" s="8">
        <v>865</v>
      </c>
      <c r="C112" s="8" t="s">
        <v>451</v>
      </c>
      <c r="D112" s="8" t="s">
        <v>56</v>
      </c>
      <c r="E112" s="8">
        <v>1</v>
      </c>
      <c r="F112" s="8">
        <v>28</v>
      </c>
      <c r="G112" s="8">
        <v>14</v>
      </c>
      <c r="H112" s="8">
        <v>649</v>
      </c>
      <c r="I112" s="8">
        <v>140130</v>
      </c>
    </row>
    <row r="113" spans="1:9" x14ac:dyDescent="0.2">
      <c r="A113" s="8" t="s">
        <v>193</v>
      </c>
      <c r="B113" s="8">
        <v>101</v>
      </c>
      <c r="C113" s="8" t="s">
        <v>296</v>
      </c>
      <c r="D113" s="8" t="s">
        <v>182</v>
      </c>
      <c r="E113" s="8">
        <v>3</v>
      </c>
      <c r="F113" s="8">
        <v>27</v>
      </c>
      <c r="G113" s="8">
        <v>14</v>
      </c>
      <c r="H113" s="8">
        <v>611</v>
      </c>
      <c r="I113" s="8">
        <v>140129</v>
      </c>
    </row>
    <row r="114" spans="1:9" x14ac:dyDescent="0.2">
      <c r="A114" s="8" t="s">
        <v>193</v>
      </c>
      <c r="B114" s="8">
        <v>515</v>
      </c>
      <c r="C114" s="8" t="s">
        <v>297</v>
      </c>
      <c r="D114" s="8" t="s">
        <v>54</v>
      </c>
      <c r="E114" s="8" t="s">
        <v>452</v>
      </c>
      <c r="F114" s="8" t="s">
        <v>453</v>
      </c>
      <c r="G114" s="8">
        <v>14</v>
      </c>
      <c r="H114" s="8">
        <v>417</v>
      </c>
      <c r="I114" s="8">
        <v>140122</v>
      </c>
    </row>
    <row r="115" spans="1:9" x14ac:dyDescent="0.2">
      <c r="A115" s="8" t="s">
        <v>193</v>
      </c>
      <c r="B115" s="8">
        <v>2152</v>
      </c>
      <c r="C115" s="8" t="s">
        <v>76</v>
      </c>
      <c r="D115" s="8" t="s">
        <v>77</v>
      </c>
      <c r="E115" s="8">
        <v>1</v>
      </c>
      <c r="F115" s="8">
        <v>35</v>
      </c>
      <c r="G115" s="8">
        <v>14</v>
      </c>
      <c r="H115" s="8">
        <v>457</v>
      </c>
      <c r="I115" s="8">
        <v>140123</v>
      </c>
    </row>
    <row r="116" spans="1:9" x14ac:dyDescent="0.2">
      <c r="A116" s="8" t="s">
        <v>193</v>
      </c>
      <c r="B116" s="8">
        <v>2201</v>
      </c>
      <c r="C116" s="8" t="s">
        <v>76</v>
      </c>
      <c r="D116" s="8" t="s">
        <v>77</v>
      </c>
      <c r="E116" s="8">
        <v>9</v>
      </c>
      <c r="F116" s="8">
        <v>15</v>
      </c>
      <c r="G116" s="8">
        <v>14</v>
      </c>
      <c r="H116" s="8">
        <v>123</v>
      </c>
      <c r="I116" s="8">
        <v>140108</v>
      </c>
    </row>
    <row r="117" spans="1:9" x14ac:dyDescent="0.2">
      <c r="A117" s="8" t="s">
        <v>193</v>
      </c>
      <c r="B117" s="8">
        <v>2204</v>
      </c>
      <c r="C117" s="8" t="s">
        <v>76</v>
      </c>
      <c r="D117" s="8" t="s">
        <v>77</v>
      </c>
      <c r="E117" s="8">
        <v>1</v>
      </c>
      <c r="F117" s="8">
        <v>37</v>
      </c>
      <c r="G117" s="8">
        <v>14</v>
      </c>
      <c r="H117" s="8">
        <v>173</v>
      </c>
      <c r="I117" s="8">
        <v>140109</v>
      </c>
    </row>
    <row r="118" spans="1:9" x14ac:dyDescent="0.2">
      <c r="A118" s="8" t="s">
        <v>193</v>
      </c>
      <c r="B118" s="8">
        <v>1545</v>
      </c>
      <c r="C118" s="8" t="s">
        <v>251</v>
      </c>
      <c r="D118" s="8" t="s">
        <v>59</v>
      </c>
      <c r="E118" s="8">
        <v>1</v>
      </c>
      <c r="F118" s="8">
        <v>37</v>
      </c>
      <c r="G118" s="8">
        <v>14</v>
      </c>
      <c r="H118" s="8">
        <v>224</v>
      </c>
      <c r="I118" s="8">
        <v>140110</v>
      </c>
    </row>
    <row r="119" spans="1:9" x14ac:dyDescent="0.2">
      <c r="A119" s="8" t="s">
        <v>193</v>
      </c>
      <c r="B119" s="8">
        <v>1545</v>
      </c>
      <c r="C119" s="8" t="s">
        <v>251</v>
      </c>
      <c r="D119" s="8" t="s">
        <v>59</v>
      </c>
      <c r="E119" s="8">
        <v>1</v>
      </c>
      <c r="F119" s="8">
        <v>37</v>
      </c>
      <c r="G119" s="8">
        <v>14</v>
      </c>
      <c r="H119" s="8">
        <v>337</v>
      </c>
      <c r="I119" s="8">
        <v>140116</v>
      </c>
    </row>
    <row r="120" spans="1:9" x14ac:dyDescent="0.2">
      <c r="A120" s="8" t="s">
        <v>193</v>
      </c>
      <c r="B120" s="8">
        <v>1818</v>
      </c>
      <c r="C120" s="8" t="s">
        <v>251</v>
      </c>
      <c r="D120" s="8" t="s">
        <v>59</v>
      </c>
      <c r="E120" s="8">
        <v>3</v>
      </c>
      <c r="F120" s="8">
        <v>3</v>
      </c>
      <c r="G120" s="8">
        <v>14</v>
      </c>
      <c r="H120" s="8">
        <v>241</v>
      </c>
      <c r="I120" s="8">
        <v>140113</v>
      </c>
    </row>
    <row r="121" spans="1:9" x14ac:dyDescent="0.2">
      <c r="A121" s="8" t="s">
        <v>193</v>
      </c>
      <c r="B121" s="8">
        <v>1818</v>
      </c>
      <c r="C121" s="8" t="s">
        <v>251</v>
      </c>
      <c r="D121" s="8" t="s">
        <v>59</v>
      </c>
      <c r="E121" s="8">
        <v>3</v>
      </c>
      <c r="F121" s="8">
        <v>3</v>
      </c>
      <c r="G121" s="8">
        <v>14</v>
      </c>
      <c r="H121" s="8">
        <v>304</v>
      </c>
      <c r="I121" s="8">
        <v>140115</v>
      </c>
    </row>
    <row r="122" spans="1:9" x14ac:dyDescent="0.2">
      <c r="A122" s="8" t="s">
        <v>193</v>
      </c>
      <c r="B122" s="8">
        <v>614</v>
      </c>
      <c r="C122" s="8" t="s">
        <v>252</v>
      </c>
      <c r="D122" s="8" t="s">
        <v>71</v>
      </c>
      <c r="E122" s="8">
        <v>2</v>
      </c>
      <c r="F122" s="8">
        <v>11</v>
      </c>
      <c r="G122" s="8">
        <v>13</v>
      </c>
      <c r="H122" s="8">
        <v>8364</v>
      </c>
      <c r="I122" s="8">
        <v>140102</v>
      </c>
    </row>
    <row r="123" spans="1:9" x14ac:dyDescent="0.2">
      <c r="A123" s="8" t="s">
        <v>193</v>
      </c>
      <c r="B123" s="8">
        <v>7107</v>
      </c>
      <c r="C123" s="8" t="s">
        <v>226</v>
      </c>
      <c r="D123" s="8" t="s">
        <v>221</v>
      </c>
      <c r="E123" s="8">
        <v>4</v>
      </c>
      <c r="F123" s="8">
        <v>2</v>
      </c>
      <c r="G123" s="8">
        <v>14</v>
      </c>
      <c r="H123" s="8">
        <v>406</v>
      </c>
      <c r="I123" s="8">
        <v>140121</v>
      </c>
    </row>
    <row r="124" spans="1:9" x14ac:dyDescent="0.2">
      <c r="A124" s="8" t="s">
        <v>193</v>
      </c>
      <c r="B124" s="8">
        <v>7107</v>
      </c>
      <c r="C124" s="8" t="s">
        <v>226</v>
      </c>
      <c r="D124" s="8" t="s">
        <v>221</v>
      </c>
      <c r="E124" s="8">
        <v>4</v>
      </c>
      <c r="F124" s="8">
        <v>2</v>
      </c>
      <c r="G124" s="8">
        <v>14</v>
      </c>
      <c r="H124" s="8">
        <v>503</v>
      </c>
      <c r="I124" s="8">
        <v>140124</v>
      </c>
    </row>
    <row r="125" spans="1:9" x14ac:dyDescent="0.2">
      <c r="A125" s="8" t="s">
        <v>193</v>
      </c>
      <c r="B125" s="8">
        <v>364</v>
      </c>
      <c r="C125" s="8" t="s">
        <v>454</v>
      </c>
      <c r="D125" s="8" t="s">
        <v>455</v>
      </c>
      <c r="E125" s="8">
        <v>18</v>
      </c>
      <c r="F125" s="8">
        <v>61</v>
      </c>
      <c r="G125" s="8">
        <v>14</v>
      </c>
      <c r="H125" s="8">
        <v>659</v>
      </c>
      <c r="I125" s="8">
        <v>140131</v>
      </c>
    </row>
    <row r="126" spans="1:9" x14ac:dyDescent="0.2">
      <c r="A126" s="8" t="s">
        <v>193</v>
      </c>
      <c r="B126" s="8">
        <v>504</v>
      </c>
      <c r="C126" s="8" t="s">
        <v>454</v>
      </c>
      <c r="D126" s="8" t="s">
        <v>455</v>
      </c>
      <c r="E126" s="8">
        <v>13</v>
      </c>
      <c r="F126" s="8">
        <v>8</v>
      </c>
      <c r="G126" s="8">
        <v>14</v>
      </c>
      <c r="H126" s="8">
        <v>119</v>
      </c>
      <c r="I126" s="8">
        <v>140107</v>
      </c>
    </row>
    <row r="127" spans="1:9" x14ac:dyDescent="0.2">
      <c r="A127" s="8" t="s">
        <v>193</v>
      </c>
      <c r="B127" s="8">
        <v>2732</v>
      </c>
      <c r="C127" s="8" t="s">
        <v>100</v>
      </c>
      <c r="D127" s="8" t="s">
        <v>101</v>
      </c>
      <c r="E127" s="8">
        <v>2</v>
      </c>
      <c r="F127" s="8">
        <v>6</v>
      </c>
      <c r="G127" s="8">
        <v>14</v>
      </c>
      <c r="H127" s="8">
        <v>518</v>
      </c>
      <c r="I127" s="8">
        <v>140127</v>
      </c>
    </row>
    <row r="128" spans="1:9" x14ac:dyDescent="0.2">
      <c r="A128" s="8" t="s">
        <v>193</v>
      </c>
      <c r="B128" s="8">
        <v>2732</v>
      </c>
      <c r="C128" s="8" t="s">
        <v>100</v>
      </c>
      <c r="D128" s="8" t="s">
        <v>101</v>
      </c>
      <c r="E128" s="8">
        <v>2</v>
      </c>
      <c r="F128" s="8">
        <v>6</v>
      </c>
      <c r="G128" s="8">
        <v>14</v>
      </c>
      <c r="H128" s="8">
        <v>667</v>
      </c>
      <c r="I128" s="8">
        <v>140131</v>
      </c>
    </row>
    <row r="129" spans="1:9" x14ac:dyDescent="0.2">
      <c r="A129" s="8" t="s">
        <v>193</v>
      </c>
      <c r="B129" s="8">
        <v>2817</v>
      </c>
      <c r="C129" s="8" t="s">
        <v>100</v>
      </c>
      <c r="D129" s="8" t="s">
        <v>101</v>
      </c>
      <c r="E129" s="8">
        <v>3</v>
      </c>
      <c r="F129" s="8">
        <v>8</v>
      </c>
      <c r="G129" s="8">
        <v>14</v>
      </c>
      <c r="H129" s="8">
        <v>529</v>
      </c>
      <c r="I129" s="8">
        <v>140127</v>
      </c>
    </row>
    <row r="130" spans="1:9" x14ac:dyDescent="0.2">
      <c r="A130" s="8" t="s">
        <v>193</v>
      </c>
      <c r="B130" s="8">
        <v>2817</v>
      </c>
      <c r="C130" s="8" t="s">
        <v>100</v>
      </c>
      <c r="D130" s="8" t="s">
        <v>101</v>
      </c>
      <c r="E130" s="8">
        <v>3</v>
      </c>
      <c r="F130" s="8">
        <v>8</v>
      </c>
      <c r="G130" s="8">
        <v>14</v>
      </c>
      <c r="H130" s="8">
        <v>592</v>
      </c>
      <c r="I130" s="8">
        <v>140128</v>
      </c>
    </row>
    <row r="131" spans="1:9" x14ac:dyDescent="0.2">
      <c r="A131" s="8" t="s">
        <v>193</v>
      </c>
      <c r="B131" s="8">
        <v>2825</v>
      </c>
      <c r="C131" s="8" t="s">
        <v>100</v>
      </c>
      <c r="D131" s="8" t="s">
        <v>101</v>
      </c>
      <c r="E131" s="8">
        <v>3</v>
      </c>
      <c r="F131" s="8">
        <v>6</v>
      </c>
      <c r="G131" s="8">
        <v>14</v>
      </c>
      <c r="H131" s="8">
        <v>445</v>
      </c>
      <c r="I131" s="8">
        <v>140122</v>
      </c>
    </row>
    <row r="132" spans="1:9" x14ac:dyDescent="0.2">
      <c r="A132" s="8" t="s">
        <v>193</v>
      </c>
      <c r="B132" s="8">
        <v>2825</v>
      </c>
      <c r="C132" s="8" t="s">
        <v>100</v>
      </c>
      <c r="D132" s="8" t="s">
        <v>101</v>
      </c>
      <c r="E132" s="8">
        <v>3</v>
      </c>
      <c r="F132" s="8">
        <v>6</v>
      </c>
      <c r="G132" s="8">
        <v>14</v>
      </c>
      <c r="H132" s="8">
        <v>480</v>
      </c>
      <c r="I132" s="8">
        <v>140124</v>
      </c>
    </row>
    <row r="133" spans="1:9" x14ac:dyDescent="0.2">
      <c r="A133" s="8" t="s">
        <v>193</v>
      </c>
      <c r="B133" s="8">
        <v>2956</v>
      </c>
      <c r="C133" s="8" t="s">
        <v>100</v>
      </c>
      <c r="D133" s="8" t="s">
        <v>101</v>
      </c>
      <c r="E133" s="8">
        <v>2</v>
      </c>
      <c r="F133" s="8">
        <v>25</v>
      </c>
      <c r="G133" s="8">
        <v>14</v>
      </c>
      <c r="H133" s="8">
        <v>519</v>
      </c>
      <c r="I133" s="8">
        <v>140127</v>
      </c>
    </row>
    <row r="134" spans="1:9" x14ac:dyDescent="0.2">
      <c r="A134" s="8" t="s">
        <v>193</v>
      </c>
      <c r="B134" s="8">
        <v>2956</v>
      </c>
      <c r="C134" s="8" t="s">
        <v>100</v>
      </c>
      <c r="D134" s="8" t="s">
        <v>101</v>
      </c>
      <c r="E134" s="8">
        <v>2</v>
      </c>
      <c r="F134" s="8">
        <v>25</v>
      </c>
      <c r="G134" s="8">
        <v>14</v>
      </c>
      <c r="H134" s="8">
        <v>630</v>
      </c>
      <c r="I134" s="8">
        <v>140129</v>
      </c>
    </row>
    <row r="135" spans="1:9" x14ac:dyDescent="0.2">
      <c r="A135" s="8" t="s">
        <v>193</v>
      </c>
      <c r="B135" s="8">
        <v>1412</v>
      </c>
      <c r="C135" s="8" t="s">
        <v>456</v>
      </c>
      <c r="D135" s="8" t="s">
        <v>271</v>
      </c>
      <c r="E135" s="8">
        <v>11</v>
      </c>
      <c r="F135" s="8">
        <v>37</v>
      </c>
      <c r="G135" s="8">
        <v>14</v>
      </c>
      <c r="H135" s="8">
        <v>190</v>
      </c>
      <c r="I135" s="8">
        <v>140110</v>
      </c>
    </row>
    <row r="136" spans="1:9" x14ac:dyDescent="0.2">
      <c r="A136" s="8" t="s">
        <v>193</v>
      </c>
      <c r="B136" s="8">
        <v>32</v>
      </c>
      <c r="C136" s="8" t="s">
        <v>183</v>
      </c>
      <c r="D136" s="8" t="s">
        <v>54</v>
      </c>
      <c r="E136" s="8">
        <v>19</v>
      </c>
      <c r="F136" s="8">
        <v>8</v>
      </c>
      <c r="G136" s="8">
        <v>14</v>
      </c>
      <c r="H136" s="8">
        <v>74</v>
      </c>
      <c r="I136" s="8">
        <v>140106</v>
      </c>
    </row>
    <row r="137" spans="1:9" x14ac:dyDescent="0.2">
      <c r="A137" s="8" t="s">
        <v>193</v>
      </c>
      <c r="B137" s="8">
        <v>800</v>
      </c>
      <c r="C137" s="8" t="s">
        <v>227</v>
      </c>
      <c r="D137" s="8" t="s">
        <v>228</v>
      </c>
      <c r="E137" s="8">
        <v>6</v>
      </c>
      <c r="F137" s="8">
        <v>7</v>
      </c>
      <c r="G137" s="8">
        <v>14</v>
      </c>
      <c r="H137" s="8">
        <v>274</v>
      </c>
      <c r="I137" s="8">
        <v>140114</v>
      </c>
    </row>
    <row r="138" spans="1:9" x14ac:dyDescent="0.2">
      <c r="A138" s="8" t="s">
        <v>193</v>
      </c>
      <c r="B138" s="8">
        <v>1352</v>
      </c>
      <c r="C138" s="8" t="s">
        <v>457</v>
      </c>
      <c r="D138" s="8" t="s">
        <v>228</v>
      </c>
      <c r="E138" s="8">
        <v>14</v>
      </c>
      <c r="F138" s="8">
        <v>18</v>
      </c>
      <c r="G138" s="8">
        <v>14</v>
      </c>
      <c r="H138" s="8">
        <v>325</v>
      </c>
      <c r="I138" s="8">
        <v>140116</v>
      </c>
    </row>
    <row r="139" spans="1:9" x14ac:dyDescent="0.2">
      <c r="A139" s="8" t="s">
        <v>193</v>
      </c>
      <c r="B139" s="8">
        <v>305</v>
      </c>
      <c r="C139" s="8" t="s">
        <v>184</v>
      </c>
      <c r="D139" s="8" t="s">
        <v>54</v>
      </c>
      <c r="E139" s="8">
        <v>19</v>
      </c>
      <c r="F139" s="8">
        <v>41</v>
      </c>
      <c r="G139" s="8">
        <v>14</v>
      </c>
      <c r="H139" s="8">
        <v>407</v>
      </c>
      <c r="I139" s="8">
        <v>140121</v>
      </c>
    </row>
    <row r="140" spans="1:9" x14ac:dyDescent="0.2">
      <c r="A140" s="8" t="s">
        <v>193</v>
      </c>
      <c r="B140" s="8">
        <v>1317</v>
      </c>
      <c r="C140" s="8" t="s">
        <v>299</v>
      </c>
      <c r="D140" s="8" t="s">
        <v>228</v>
      </c>
      <c r="E140" s="8">
        <v>22</v>
      </c>
      <c r="F140" s="8">
        <v>25</v>
      </c>
      <c r="G140" s="8">
        <v>14</v>
      </c>
      <c r="H140" s="8">
        <v>162</v>
      </c>
      <c r="I140" s="8">
        <v>140109</v>
      </c>
    </row>
    <row r="141" spans="1:9" x14ac:dyDescent="0.2">
      <c r="A141" s="8" t="s">
        <v>193</v>
      </c>
      <c r="B141" s="8">
        <v>3305</v>
      </c>
      <c r="C141" s="8" t="s">
        <v>299</v>
      </c>
      <c r="D141" s="8" t="s">
        <v>52</v>
      </c>
      <c r="E141" s="8">
        <v>18</v>
      </c>
      <c r="F141" s="8">
        <v>80</v>
      </c>
      <c r="G141" s="8">
        <v>14</v>
      </c>
      <c r="H141" s="8">
        <v>514</v>
      </c>
      <c r="I141" s="8">
        <v>140124</v>
      </c>
    </row>
    <row r="142" spans="1:9" x14ac:dyDescent="0.2">
      <c r="A142" s="8" t="s">
        <v>193</v>
      </c>
      <c r="B142" s="8">
        <v>1812</v>
      </c>
      <c r="C142" s="8" t="s">
        <v>300</v>
      </c>
      <c r="D142" s="8" t="s">
        <v>228</v>
      </c>
      <c r="E142" s="8">
        <v>25</v>
      </c>
      <c r="F142" s="8">
        <v>22</v>
      </c>
      <c r="G142" s="8">
        <v>14</v>
      </c>
      <c r="H142" s="8">
        <v>347</v>
      </c>
      <c r="I142" s="8">
        <v>140116</v>
      </c>
    </row>
    <row r="143" spans="1:9" x14ac:dyDescent="0.2">
      <c r="A143" s="8" t="s">
        <v>193</v>
      </c>
      <c r="B143" s="8">
        <v>11</v>
      </c>
      <c r="C143" s="8" t="s">
        <v>242</v>
      </c>
      <c r="D143" s="8" t="s">
        <v>243</v>
      </c>
      <c r="E143" s="8">
        <v>71</v>
      </c>
      <c r="F143" s="8">
        <v>31</v>
      </c>
      <c r="G143" s="8">
        <v>14</v>
      </c>
      <c r="H143" s="8">
        <v>166</v>
      </c>
      <c r="I143" s="8">
        <v>140109</v>
      </c>
    </row>
    <row r="144" spans="1:9" x14ac:dyDescent="0.2">
      <c r="A144" s="8" t="s">
        <v>232</v>
      </c>
      <c r="B144" s="8">
        <v>4727</v>
      </c>
      <c r="C144" s="8" t="s">
        <v>139</v>
      </c>
      <c r="D144" s="8" t="s">
        <v>70</v>
      </c>
      <c r="E144" s="8">
        <v>4</v>
      </c>
      <c r="F144" s="8">
        <v>12</v>
      </c>
      <c r="G144" s="8">
        <v>14</v>
      </c>
      <c r="H144" s="8">
        <v>142</v>
      </c>
      <c r="I144" s="8">
        <v>140108</v>
      </c>
    </row>
    <row r="145" spans="1:9" x14ac:dyDescent="0.2">
      <c r="A145" s="8" t="s">
        <v>232</v>
      </c>
      <c r="B145" s="8">
        <v>6100</v>
      </c>
      <c r="C145" s="8" t="s">
        <v>318</v>
      </c>
      <c r="D145" s="8" t="s">
        <v>57</v>
      </c>
      <c r="E145" s="8">
        <v>83</v>
      </c>
      <c r="F145" s="8" t="s">
        <v>361</v>
      </c>
      <c r="G145" s="8">
        <v>14</v>
      </c>
      <c r="H145" s="8">
        <v>693</v>
      </c>
      <c r="I145" s="8">
        <v>140131</v>
      </c>
    </row>
    <row r="146" spans="1:9" x14ac:dyDescent="0.2">
      <c r="A146" s="8" t="s">
        <v>232</v>
      </c>
      <c r="B146" s="8">
        <v>2405</v>
      </c>
      <c r="C146" s="8" t="s">
        <v>147</v>
      </c>
      <c r="D146" s="8" t="s">
        <v>148</v>
      </c>
      <c r="E146" s="8"/>
      <c r="F146" s="8" t="s">
        <v>149</v>
      </c>
      <c r="G146" s="8">
        <v>14</v>
      </c>
      <c r="H146" s="8">
        <v>6</v>
      </c>
      <c r="I146" s="8">
        <v>140102</v>
      </c>
    </row>
    <row r="147" spans="1:9" x14ac:dyDescent="0.2">
      <c r="A147" s="8" t="s">
        <v>232</v>
      </c>
      <c r="B147" s="8">
        <v>189</v>
      </c>
      <c r="C147" s="8" t="s">
        <v>62</v>
      </c>
      <c r="D147" s="8" t="s">
        <v>63</v>
      </c>
      <c r="E147" s="8">
        <v>2</v>
      </c>
      <c r="F147" s="8">
        <v>47</v>
      </c>
      <c r="G147" s="8">
        <v>14</v>
      </c>
      <c r="H147" s="8">
        <v>412</v>
      </c>
      <c r="I147" s="8">
        <v>140122</v>
      </c>
    </row>
    <row r="148" spans="1:9" x14ac:dyDescent="0.2">
      <c r="A148" s="8" t="s">
        <v>232</v>
      </c>
      <c r="B148" s="8">
        <v>204</v>
      </c>
      <c r="C148" s="8" t="s">
        <v>62</v>
      </c>
      <c r="D148" s="8" t="s">
        <v>63</v>
      </c>
      <c r="E148" s="8">
        <v>8</v>
      </c>
      <c r="F148" s="8">
        <v>159</v>
      </c>
      <c r="G148" s="8">
        <v>14</v>
      </c>
      <c r="H148" s="8">
        <v>288</v>
      </c>
      <c r="I148" s="8">
        <v>140115</v>
      </c>
    </row>
    <row r="149" spans="1:9" x14ac:dyDescent="0.2">
      <c r="A149" s="8" t="s">
        <v>232</v>
      </c>
      <c r="B149" s="8">
        <v>2702</v>
      </c>
      <c r="C149" s="8" t="s">
        <v>320</v>
      </c>
      <c r="D149" s="8" t="s">
        <v>321</v>
      </c>
      <c r="E149" s="8">
        <v>1</v>
      </c>
      <c r="F149" s="8">
        <v>10</v>
      </c>
      <c r="G149" s="8">
        <v>14</v>
      </c>
      <c r="H149" s="8">
        <v>481</v>
      </c>
      <c r="I149" s="8">
        <v>140124</v>
      </c>
    </row>
    <row r="150" spans="1:9" x14ac:dyDescent="0.2">
      <c r="A150" s="8" t="s">
        <v>232</v>
      </c>
      <c r="B150" s="8">
        <v>2703</v>
      </c>
      <c r="C150" s="8" t="s">
        <v>320</v>
      </c>
      <c r="D150" s="8" t="s">
        <v>321</v>
      </c>
      <c r="E150" s="8">
        <v>1</v>
      </c>
      <c r="F150" s="8">
        <v>1</v>
      </c>
      <c r="G150" s="8">
        <v>14</v>
      </c>
      <c r="H150" s="8">
        <v>490</v>
      </c>
      <c r="I150" s="8">
        <v>140124</v>
      </c>
    </row>
    <row r="151" spans="1:9" x14ac:dyDescent="0.2">
      <c r="A151" s="8" t="s">
        <v>232</v>
      </c>
      <c r="B151" s="8">
        <v>200</v>
      </c>
      <c r="C151" s="8" t="s">
        <v>209</v>
      </c>
      <c r="D151" s="8" t="s">
        <v>202</v>
      </c>
      <c r="E151" s="8" t="s">
        <v>180</v>
      </c>
      <c r="F151" s="8">
        <v>10</v>
      </c>
      <c r="G151" s="8">
        <v>14</v>
      </c>
      <c r="H151" s="8">
        <v>689</v>
      </c>
      <c r="I151" s="8">
        <v>140131</v>
      </c>
    </row>
    <row r="152" spans="1:9" x14ac:dyDescent="0.2">
      <c r="A152" s="8" t="s">
        <v>232</v>
      </c>
      <c r="B152" s="8">
        <v>225</v>
      </c>
      <c r="C152" s="8" t="s">
        <v>209</v>
      </c>
      <c r="D152" s="8" t="s">
        <v>202</v>
      </c>
      <c r="E152" s="8" t="s">
        <v>203</v>
      </c>
      <c r="F152" s="8">
        <v>21</v>
      </c>
      <c r="G152" s="8">
        <v>14</v>
      </c>
      <c r="H152" s="8">
        <v>691</v>
      </c>
      <c r="I152" s="8">
        <v>140131</v>
      </c>
    </row>
    <row r="153" spans="1:9" x14ac:dyDescent="0.2">
      <c r="A153" s="8" t="s">
        <v>232</v>
      </c>
      <c r="B153" s="8">
        <v>3403</v>
      </c>
      <c r="C153" s="8" t="s">
        <v>309</v>
      </c>
      <c r="D153" s="8" t="s">
        <v>310</v>
      </c>
      <c r="E153" s="8">
        <v>2</v>
      </c>
      <c r="F153" s="8">
        <v>23</v>
      </c>
      <c r="G153" s="8">
        <v>14</v>
      </c>
      <c r="H153" s="8">
        <v>479</v>
      </c>
      <c r="I153" s="8">
        <v>140124</v>
      </c>
    </row>
    <row r="154" spans="1:9" x14ac:dyDescent="0.2">
      <c r="A154" s="8" t="s">
        <v>232</v>
      </c>
      <c r="B154" s="8">
        <v>7325</v>
      </c>
      <c r="C154" s="8" t="s">
        <v>83</v>
      </c>
      <c r="D154" s="8" t="s">
        <v>84</v>
      </c>
      <c r="E154" s="8">
        <v>2</v>
      </c>
      <c r="F154" s="8">
        <v>6</v>
      </c>
      <c r="G154" s="8">
        <v>14</v>
      </c>
      <c r="H154" s="8">
        <v>78</v>
      </c>
      <c r="I154" s="8">
        <v>140106</v>
      </c>
    </row>
    <row r="155" spans="1:9" x14ac:dyDescent="0.2">
      <c r="A155" s="8" t="s">
        <v>232</v>
      </c>
      <c r="B155" s="8">
        <v>7332</v>
      </c>
      <c r="C155" s="8" t="s">
        <v>83</v>
      </c>
      <c r="D155" s="8" t="s">
        <v>84</v>
      </c>
      <c r="E155" s="8">
        <v>1</v>
      </c>
      <c r="F155" s="8">
        <v>5</v>
      </c>
      <c r="G155" s="8">
        <v>14</v>
      </c>
      <c r="H155" s="8">
        <v>437</v>
      </c>
      <c r="I155" s="8">
        <v>140122</v>
      </c>
    </row>
    <row r="156" spans="1:9" x14ac:dyDescent="0.2">
      <c r="A156" s="8" t="s">
        <v>232</v>
      </c>
      <c r="B156" s="8">
        <v>744</v>
      </c>
      <c r="C156" s="8" t="s">
        <v>81</v>
      </c>
      <c r="D156" s="8" t="s">
        <v>214</v>
      </c>
      <c r="E156" s="8">
        <v>2</v>
      </c>
      <c r="F156" s="8">
        <v>4</v>
      </c>
      <c r="G156" s="8">
        <v>14</v>
      </c>
      <c r="H156" s="8">
        <v>389</v>
      </c>
      <c r="I156" s="8">
        <v>140121</v>
      </c>
    </row>
    <row r="157" spans="1:9" x14ac:dyDescent="0.2">
      <c r="A157" s="8" t="s">
        <v>232</v>
      </c>
      <c r="B157" s="8">
        <v>6102</v>
      </c>
      <c r="C157" s="8" t="s">
        <v>313</v>
      </c>
      <c r="D157" s="8" t="s">
        <v>82</v>
      </c>
      <c r="E157" s="8">
        <v>4</v>
      </c>
      <c r="F157" s="8">
        <v>5</v>
      </c>
      <c r="G157" s="8">
        <v>14</v>
      </c>
      <c r="H157" s="8">
        <v>653</v>
      </c>
      <c r="I157" s="8">
        <v>140130</v>
      </c>
    </row>
    <row r="158" spans="1:9" x14ac:dyDescent="0.2">
      <c r="A158" s="8" t="s">
        <v>232</v>
      </c>
      <c r="B158" s="8">
        <v>2824</v>
      </c>
      <c r="C158" s="8" t="s">
        <v>308</v>
      </c>
      <c r="D158" s="8" t="s">
        <v>59</v>
      </c>
      <c r="E158" s="8">
        <v>7</v>
      </c>
      <c r="F158" s="8">
        <v>8</v>
      </c>
      <c r="G158" s="8">
        <v>14</v>
      </c>
      <c r="H158" s="8">
        <v>594</v>
      </c>
      <c r="I158" s="8">
        <v>140128</v>
      </c>
    </row>
    <row r="159" spans="1:9" x14ac:dyDescent="0.2">
      <c r="A159" s="8" t="s">
        <v>232</v>
      </c>
      <c r="B159" s="8">
        <v>3836</v>
      </c>
      <c r="C159" s="8" t="s">
        <v>142</v>
      </c>
      <c r="D159" s="8" t="s">
        <v>85</v>
      </c>
      <c r="E159" s="8">
        <v>3</v>
      </c>
      <c r="F159" s="8">
        <v>5</v>
      </c>
      <c r="G159" s="8">
        <v>14</v>
      </c>
      <c r="H159" s="8">
        <v>246</v>
      </c>
      <c r="I159" s="8">
        <v>140113</v>
      </c>
    </row>
    <row r="160" spans="1:9" x14ac:dyDescent="0.2">
      <c r="A160" s="8" t="s">
        <v>232</v>
      </c>
      <c r="B160" s="8">
        <v>2500</v>
      </c>
      <c r="C160" s="8" t="s">
        <v>98</v>
      </c>
      <c r="D160" s="8" t="s">
        <v>82</v>
      </c>
      <c r="E160" s="8">
        <v>3</v>
      </c>
      <c r="F160" s="8">
        <v>2</v>
      </c>
      <c r="G160" s="8">
        <v>14</v>
      </c>
      <c r="H160" s="8">
        <v>49</v>
      </c>
      <c r="I160" s="8">
        <v>140103</v>
      </c>
    </row>
    <row r="161" spans="1:9" x14ac:dyDescent="0.2">
      <c r="A161" s="8" t="s">
        <v>232</v>
      </c>
      <c r="B161" s="8">
        <v>2622</v>
      </c>
      <c r="C161" s="8" t="s">
        <v>98</v>
      </c>
      <c r="D161" s="8" t="s">
        <v>82</v>
      </c>
      <c r="E161" s="8">
        <v>5</v>
      </c>
      <c r="F161" s="8">
        <v>6</v>
      </c>
      <c r="G161" s="8">
        <v>14</v>
      </c>
      <c r="H161" s="8">
        <v>48</v>
      </c>
      <c r="I161" s="8">
        <v>140103</v>
      </c>
    </row>
    <row r="162" spans="1:9" x14ac:dyDescent="0.2">
      <c r="A162" s="8" t="s">
        <v>232</v>
      </c>
      <c r="B162" s="8">
        <v>6048</v>
      </c>
      <c r="C162" s="8" t="s">
        <v>314</v>
      </c>
      <c r="D162" s="8" t="s">
        <v>316</v>
      </c>
      <c r="E162" s="8">
        <v>1</v>
      </c>
      <c r="F162" s="8">
        <v>20</v>
      </c>
      <c r="G162" s="8">
        <v>14</v>
      </c>
      <c r="H162" s="8">
        <v>300</v>
      </c>
      <c r="I162" s="8">
        <v>140115</v>
      </c>
    </row>
    <row r="163" spans="1:9" x14ac:dyDescent="0.2">
      <c r="A163" s="8" t="s">
        <v>232</v>
      </c>
      <c r="B163" s="8">
        <v>618</v>
      </c>
      <c r="C163" s="8" t="s">
        <v>328</v>
      </c>
      <c r="D163" s="8" t="s">
        <v>327</v>
      </c>
      <c r="E163" s="8">
        <v>1</v>
      </c>
      <c r="F163" s="8">
        <v>5</v>
      </c>
      <c r="G163" s="8">
        <v>14</v>
      </c>
      <c r="H163" s="8">
        <v>446</v>
      </c>
      <c r="I163" s="8">
        <v>140122</v>
      </c>
    </row>
    <row r="164" spans="1:9" x14ac:dyDescent="0.2">
      <c r="A164" s="8" t="s">
        <v>232</v>
      </c>
      <c r="B164" s="8">
        <v>720</v>
      </c>
      <c r="C164" s="8" t="s">
        <v>224</v>
      </c>
      <c r="D164" s="8" t="s">
        <v>207</v>
      </c>
      <c r="E164" s="8">
        <v>2</v>
      </c>
      <c r="F164" s="8">
        <v>3</v>
      </c>
      <c r="G164" s="8">
        <v>14</v>
      </c>
      <c r="H164" s="8">
        <v>669</v>
      </c>
      <c r="I164" s="8">
        <v>140131</v>
      </c>
    </row>
    <row r="165" spans="1:9" x14ac:dyDescent="0.2">
      <c r="A165" s="8" t="s">
        <v>232</v>
      </c>
      <c r="B165" s="8">
        <v>3129</v>
      </c>
      <c r="C165" s="8" t="s">
        <v>322</v>
      </c>
      <c r="D165" s="8" t="s">
        <v>64</v>
      </c>
      <c r="E165" s="8">
        <v>98</v>
      </c>
      <c r="F165" s="8">
        <v>4</v>
      </c>
      <c r="G165" s="8">
        <v>14</v>
      </c>
      <c r="H165" s="8">
        <v>376</v>
      </c>
      <c r="I165" s="8">
        <v>140117</v>
      </c>
    </row>
    <row r="166" spans="1:9" x14ac:dyDescent="0.2">
      <c r="A166" s="8" t="s">
        <v>232</v>
      </c>
      <c r="B166" s="8">
        <v>622</v>
      </c>
      <c r="C166" s="8" t="s">
        <v>252</v>
      </c>
      <c r="D166" s="8" t="s">
        <v>71</v>
      </c>
      <c r="E166" s="8">
        <v>2</v>
      </c>
      <c r="F166" s="8">
        <v>9</v>
      </c>
      <c r="G166" s="8">
        <v>14</v>
      </c>
      <c r="H166" s="8">
        <v>390</v>
      </c>
      <c r="I166" s="8">
        <v>140121</v>
      </c>
    </row>
    <row r="167" spans="1:9" x14ac:dyDescent="0.2">
      <c r="A167" s="8" t="s">
        <v>232</v>
      </c>
      <c r="B167" s="8">
        <v>2940</v>
      </c>
      <c r="C167" s="8" t="s">
        <v>100</v>
      </c>
      <c r="D167" s="8" t="s">
        <v>101</v>
      </c>
      <c r="E167" s="8">
        <v>2</v>
      </c>
      <c r="F167" s="8">
        <v>29</v>
      </c>
      <c r="G167" s="8">
        <v>14</v>
      </c>
      <c r="H167" s="8">
        <v>652</v>
      </c>
      <c r="I167" s="8">
        <v>140130</v>
      </c>
    </row>
    <row r="168" spans="1:9" x14ac:dyDescent="0.2">
      <c r="A168" s="8" t="s">
        <v>232</v>
      </c>
      <c r="B168" s="8">
        <v>7023</v>
      </c>
      <c r="C168" s="8" t="s">
        <v>144</v>
      </c>
      <c r="D168" s="8" t="s">
        <v>145</v>
      </c>
      <c r="E168" s="8">
        <v>8</v>
      </c>
      <c r="F168" s="8">
        <v>1</v>
      </c>
      <c r="G168" s="8">
        <v>14</v>
      </c>
      <c r="H168" s="8">
        <v>31</v>
      </c>
      <c r="I168" s="8">
        <v>140103</v>
      </c>
    </row>
    <row r="169" spans="1:9" ht="22.5" x14ac:dyDescent="0.2">
      <c r="A169" s="105" t="s">
        <v>534</v>
      </c>
      <c r="B169" s="8">
        <f>168-7</f>
        <v>161</v>
      </c>
      <c r="C169" s="114"/>
      <c r="D169" s="114"/>
      <c r="E169" s="114"/>
      <c r="F169" s="114"/>
      <c r="G169" s="114"/>
      <c r="H169" s="114"/>
      <c r="I169" s="114"/>
    </row>
    <row r="170" spans="1:9" x14ac:dyDescent="0.2">
      <c r="A170" s="113" t="s">
        <v>244</v>
      </c>
      <c r="B170" s="114"/>
      <c r="C170" s="114"/>
      <c r="D170" s="114"/>
      <c r="E170" s="114"/>
      <c r="F170" s="114"/>
      <c r="G170" s="114"/>
      <c r="H170" s="114"/>
      <c r="I170" s="114"/>
    </row>
    <row r="171" spans="1:9" x14ac:dyDescent="0.2">
      <c r="A171" s="8" t="s">
        <v>245</v>
      </c>
      <c r="B171" s="8">
        <v>4529</v>
      </c>
      <c r="C171" s="8" t="s">
        <v>186</v>
      </c>
      <c r="D171" s="8" t="s">
        <v>50</v>
      </c>
      <c r="E171" s="8"/>
      <c r="F171" s="8"/>
      <c r="G171" s="8">
        <v>14</v>
      </c>
      <c r="H171" s="8">
        <v>260</v>
      </c>
      <c r="I171" s="8">
        <v>140114</v>
      </c>
    </row>
    <row r="172" spans="1:9" x14ac:dyDescent="0.2">
      <c r="A172" s="8" t="s">
        <v>245</v>
      </c>
      <c r="B172" s="8">
        <v>7800</v>
      </c>
      <c r="C172" s="8" t="s">
        <v>187</v>
      </c>
      <c r="D172" s="8" t="s">
        <v>188</v>
      </c>
      <c r="E172" s="8" t="s">
        <v>189</v>
      </c>
      <c r="F172" s="8" t="s">
        <v>51</v>
      </c>
      <c r="G172" s="8">
        <v>14</v>
      </c>
      <c r="H172" s="8">
        <v>111</v>
      </c>
      <c r="I172" s="8">
        <v>140107</v>
      </c>
    </row>
    <row r="173" spans="1:9" x14ac:dyDescent="0.2">
      <c r="A173" s="8" t="s">
        <v>245</v>
      </c>
      <c r="B173" s="8">
        <v>2351</v>
      </c>
      <c r="C173" s="8" t="s">
        <v>191</v>
      </c>
      <c r="D173" s="8" t="s">
        <v>192</v>
      </c>
      <c r="E173" s="8"/>
      <c r="F173" s="8"/>
      <c r="G173" s="8">
        <v>14</v>
      </c>
      <c r="H173" s="8">
        <v>184</v>
      </c>
      <c r="I173" s="8">
        <v>140109</v>
      </c>
    </row>
    <row r="174" spans="1:9" x14ac:dyDescent="0.2">
      <c r="A174" s="8" t="s">
        <v>245</v>
      </c>
      <c r="B174" s="8">
        <v>4100</v>
      </c>
      <c r="C174" s="8" t="s">
        <v>169</v>
      </c>
      <c r="D174" s="8" t="s">
        <v>170</v>
      </c>
      <c r="E174" s="8" t="s">
        <v>190</v>
      </c>
      <c r="F174" s="8" t="s">
        <v>257</v>
      </c>
      <c r="G174" s="8">
        <v>14</v>
      </c>
      <c r="H174" s="8">
        <v>108</v>
      </c>
      <c r="I174" s="8">
        <v>140107</v>
      </c>
    </row>
    <row r="175" spans="1:9" x14ac:dyDescent="0.2">
      <c r="A175" s="8" t="s">
        <v>245</v>
      </c>
      <c r="B175" s="8">
        <v>561</v>
      </c>
      <c r="C175" s="8" t="s">
        <v>458</v>
      </c>
      <c r="D175" s="8" t="s">
        <v>459</v>
      </c>
      <c r="E175" s="8" t="s">
        <v>203</v>
      </c>
      <c r="F175" s="8" t="s">
        <v>460</v>
      </c>
      <c r="G175" s="8">
        <v>14</v>
      </c>
      <c r="H175" s="8">
        <v>204</v>
      </c>
      <c r="I175" s="8">
        <v>140110</v>
      </c>
    </row>
    <row r="176" spans="1:9" x14ac:dyDescent="0.2">
      <c r="A176" s="8" t="s">
        <v>245</v>
      </c>
      <c r="B176" s="8">
        <v>1463</v>
      </c>
      <c r="C176" s="8" t="s">
        <v>178</v>
      </c>
      <c r="D176" s="8" t="s">
        <v>52</v>
      </c>
      <c r="E176" s="8"/>
      <c r="F176" s="8"/>
      <c r="G176" s="8">
        <v>14</v>
      </c>
      <c r="H176" s="8">
        <v>398</v>
      </c>
      <c r="I176" s="8">
        <v>140121</v>
      </c>
    </row>
    <row r="177" spans="1:9" x14ac:dyDescent="0.2">
      <c r="A177" s="8" t="s">
        <v>247</v>
      </c>
      <c r="B177" s="8">
        <v>4200</v>
      </c>
      <c r="C177" s="8" t="s">
        <v>261</v>
      </c>
      <c r="D177" s="8" t="s">
        <v>57</v>
      </c>
      <c r="E177" s="8">
        <v>45</v>
      </c>
      <c r="F177" s="8" t="s">
        <v>250</v>
      </c>
      <c r="G177" s="8">
        <v>14</v>
      </c>
      <c r="H177" s="8">
        <v>405</v>
      </c>
      <c r="I177" s="8">
        <v>140121</v>
      </c>
    </row>
    <row r="178" spans="1:9" x14ac:dyDescent="0.2">
      <c r="A178" s="8" t="s">
        <v>247</v>
      </c>
      <c r="B178" s="8">
        <v>2805</v>
      </c>
      <c r="C178" s="8" t="s">
        <v>461</v>
      </c>
      <c r="D178" s="8" t="s">
        <v>59</v>
      </c>
      <c r="E178" s="8">
        <v>6</v>
      </c>
      <c r="F178" s="8">
        <v>23</v>
      </c>
      <c r="G178" s="8">
        <v>14</v>
      </c>
      <c r="H178" s="8">
        <v>700</v>
      </c>
      <c r="I178" s="8">
        <v>140131</v>
      </c>
    </row>
    <row r="179" spans="1:9" x14ac:dyDescent="0.2">
      <c r="A179" s="8" t="s">
        <v>247</v>
      </c>
      <c r="B179" s="8">
        <v>2821</v>
      </c>
      <c r="C179" s="8" t="s">
        <v>461</v>
      </c>
      <c r="D179" s="8" t="s">
        <v>59</v>
      </c>
      <c r="E179" s="8">
        <v>6</v>
      </c>
      <c r="F179" s="8">
        <v>19</v>
      </c>
      <c r="G179" s="8">
        <v>14</v>
      </c>
      <c r="H179" s="8">
        <v>701</v>
      </c>
      <c r="I179" s="8">
        <v>140131</v>
      </c>
    </row>
    <row r="180" spans="1:9" x14ac:dyDescent="0.2">
      <c r="A180" s="8" t="s">
        <v>247</v>
      </c>
      <c r="B180" s="8">
        <v>1340</v>
      </c>
      <c r="C180" s="8" t="s">
        <v>154</v>
      </c>
      <c r="D180" s="8" t="s">
        <v>155</v>
      </c>
      <c r="E180" s="8">
        <v>2</v>
      </c>
      <c r="F180" s="8">
        <v>10</v>
      </c>
      <c r="G180" s="8">
        <v>14</v>
      </c>
      <c r="H180" s="8">
        <v>635</v>
      </c>
      <c r="I180" s="8">
        <v>140130</v>
      </c>
    </row>
    <row r="181" spans="1:9" x14ac:dyDescent="0.2">
      <c r="A181" s="8" t="s">
        <v>247</v>
      </c>
      <c r="B181" s="8">
        <v>1347</v>
      </c>
      <c r="C181" s="8" t="s">
        <v>154</v>
      </c>
      <c r="D181" s="8" t="s">
        <v>155</v>
      </c>
      <c r="E181" s="8">
        <v>3</v>
      </c>
      <c r="F181" s="8">
        <v>11</v>
      </c>
      <c r="G181" s="8">
        <v>14</v>
      </c>
      <c r="H181" s="8">
        <v>638</v>
      </c>
      <c r="I181" s="8">
        <v>140130</v>
      </c>
    </row>
    <row r="182" spans="1:9" x14ac:dyDescent="0.2">
      <c r="A182" s="8" t="s">
        <v>247</v>
      </c>
      <c r="B182" s="8">
        <v>1435</v>
      </c>
      <c r="C182" s="8" t="s">
        <v>154</v>
      </c>
      <c r="D182" s="8" t="s">
        <v>155</v>
      </c>
      <c r="E182" s="8">
        <v>1</v>
      </c>
      <c r="F182" s="8">
        <v>9</v>
      </c>
      <c r="G182" s="8">
        <v>14</v>
      </c>
      <c r="H182" s="8">
        <v>537</v>
      </c>
      <c r="I182" s="8">
        <v>140127</v>
      </c>
    </row>
    <row r="183" spans="1:9" x14ac:dyDescent="0.2">
      <c r="A183" s="8" t="s">
        <v>247</v>
      </c>
      <c r="B183" s="8">
        <v>1451</v>
      </c>
      <c r="C183" s="8" t="s">
        <v>154</v>
      </c>
      <c r="D183" s="8" t="s">
        <v>155</v>
      </c>
      <c r="E183" s="8">
        <v>1</v>
      </c>
      <c r="F183" s="8">
        <v>13</v>
      </c>
      <c r="G183" s="8">
        <v>14</v>
      </c>
      <c r="H183" s="8">
        <v>536</v>
      </c>
      <c r="I183" s="8">
        <v>140127</v>
      </c>
    </row>
    <row r="184" spans="1:9" x14ac:dyDescent="0.2">
      <c r="A184" s="8" t="s">
        <v>247</v>
      </c>
      <c r="B184" s="8">
        <v>2574</v>
      </c>
      <c r="C184" s="8" t="s">
        <v>462</v>
      </c>
      <c r="D184" s="8" t="s">
        <v>87</v>
      </c>
      <c r="E184" s="8">
        <v>11</v>
      </c>
      <c r="F184" s="8">
        <v>22</v>
      </c>
      <c r="G184" s="8">
        <v>14</v>
      </c>
      <c r="H184" s="8">
        <v>272</v>
      </c>
      <c r="I184" s="8">
        <v>140114</v>
      </c>
    </row>
    <row r="185" spans="1:9" x14ac:dyDescent="0.2">
      <c r="A185" s="8" t="s">
        <v>247</v>
      </c>
      <c r="B185" s="8">
        <v>3621</v>
      </c>
      <c r="C185" s="8" t="s">
        <v>463</v>
      </c>
      <c r="D185" s="8" t="s">
        <v>235</v>
      </c>
      <c r="E185" s="8">
        <v>5</v>
      </c>
      <c r="F185" s="8">
        <v>15</v>
      </c>
      <c r="G185" s="8">
        <v>14</v>
      </c>
      <c r="H185" s="8">
        <v>320</v>
      </c>
      <c r="I185" s="8">
        <v>140115</v>
      </c>
    </row>
    <row r="186" spans="1:9" x14ac:dyDescent="0.2">
      <c r="A186" s="8" t="s">
        <v>247</v>
      </c>
      <c r="B186" s="8">
        <v>835</v>
      </c>
      <c r="C186" s="8" t="s">
        <v>164</v>
      </c>
      <c r="D186" s="8" t="s">
        <v>87</v>
      </c>
      <c r="E186" s="8">
        <v>4</v>
      </c>
      <c r="F186" s="8">
        <v>4</v>
      </c>
      <c r="G186" s="8">
        <v>14</v>
      </c>
      <c r="H186" s="8">
        <v>622</v>
      </c>
      <c r="I186" s="8">
        <v>140129</v>
      </c>
    </row>
    <row r="187" spans="1:9" x14ac:dyDescent="0.2">
      <c r="A187" s="8" t="s">
        <v>247</v>
      </c>
      <c r="B187" s="8">
        <v>420</v>
      </c>
      <c r="C187" s="8" t="s">
        <v>464</v>
      </c>
      <c r="D187" s="8"/>
      <c r="E187" s="8"/>
      <c r="F187" s="8"/>
      <c r="G187" s="8">
        <v>14</v>
      </c>
      <c r="H187" s="8">
        <v>538</v>
      </c>
      <c r="I187" s="8">
        <v>140127</v>
      </c>
    </row>
    <row r="188" spans="1:9" x14ac:dyDescent="0.2">
      <c r="A188" s="8" t="s">
        <v>247</v>
      </c>
      <c r="B188" s="8">
        <v>2835</v>
      </c>
      <c r="C188" s="8" t="s">
        <v>465</v>
      </c>
      <c r="D188" s="8" t="s">
        <v>90</v>
      </c>
      <c r="E188" s="8">
        <v>5</v>
      </c>
      <c r="F188" s="8" t="s">
        <v>466</v>
      </c>
      <c r="G188" s="8">
        <v>14</v>
      </c>
      <c r="H188" s="8">
        <v>549</v>
      </c>
      <c r="I188" s="8">
        <v>140127</v>
      </c>
    </row>
    <row r="189" spans="1:9" x14ac:dyDescent="0.2">
      <c r="A189" s="8" t="s">
        <v>247</v>
      </c>
      <c r="B189" s="8">
        <v>101</v>
      </c>
      <c r="C189" s="8" t="s">
        <v>467</v>
      </c>
      <c r="D189" s="8" t="s">
        <v>276</v>
      </c>
      <c r="E189" s="8">
        <v>8</v>
      </c>
      <c r="F189" s="8" t="s">
        <v>256</v>
      </c>
      <c r="G189" s="8">
        <v>14</v>
      </c>
      <c r="H189" s="8">
        <v>209</v>
      </c>
      <c r="I189" s="8">
        <v>140110</v>
      </c>
    </row>
    <row r="190" spans="1:9" x14ac:dyDescent="0.2">
      <c r="A190" s="8" t="s">
        <v>247</v>
      </c>
      <c r="B190" s="8">
        <v>2829</v>
      </c>
      <c r="C190" s="8" t="s">
        <v>58</v>
      </c>
      <c r="D190" s="8" t="s">
        <v>59</v>
      </c>
      <c r="E190" s="8">
        <v>4</v>
      </c>
      <c r="F190" s="8">
        <v>13</v>
      </c>
      <c r="G190" s="8">
        <v>14</v>
      </c>
      <c r="H190" s="8">
        <v>56</v>
      </c>
      <c r="I190" s="8">
        <v>140106</v>
      </c>
    </row>
    <row r="191" spans="1:9" x14ac:dyDescent="0.2">
      <c r="A191" s="8" t="s">
        <v>247</v>
      </c>
      <c r="B191" s="8">
        <v>1626</v>
      </c>
      <c r="C191" s="8" t="s">
        <v>60</v>
      </c>
      <c r="D191" s="8" t="s">
        <v>59</v>
      </c>
      <c r="E191" s="8">
        <v>13</v>
      </c>
      <c r="F191" s="8">
        <v>3</v>
      </c>
      <c r="G191" s="8">
        <v>14</v>
      </c>
      <c r="H191" s="8">
        <v>531</v>
      </c>
      <c r="I191" s="8">
        <v>140127</v>
      </c>
    </row>
    <row r="192" spans="1:9" x14ac:dyDescent="0.2">
      <c r="A192" s="8" t="s">
        <v>247</v>
      </c>
      <c r="B192" s="8">
        <v>6917</v>
      </c>
      <c r="C192" s="8" t="s">
        <v>468</v>
      </c>
      <c r="D192" s="8" t="s">
        <v>57</v>
      </c>
      <c r="E192" s="8">
        <v>93</v>
      </c>
      <c r="F192" s="8" t="s">
        <v>212</v>
      </c>
      <c r="G192" s="8">
        <v>14</v>
      </c>
      <c r="H192" s="8">
        <v>319</v>
      </c>
      <c r="I192" s="8">
        <v>140115</v>
      </c>
    </row>
    <row r="193" spans="1:9" x14ac:dyDescent="0.2">
      <c r="A193" s="8" t="s">
        <v>247</v>
      </c>
      <c r="B193" s="8">
        <v>3206</v>
      </c>
      <c r="C193" s="8" t="s">
        <v>318</v>
      </c>
      <c r="D193" s="8" t="s">
        <v>64</v>
      </c>
      <c r="E193" s="8">
        <v>103</v>
      </c>
      <c r="F193" s="8">
        <v>55</v>
      </c>
      <c r="G193" s="8">
        <v>14</v>
      </c>
      <c r="H193" s="8">
        <v>113</v>
      </c>
      <c r="I193" s="8">
        <v>140107</v>
      </c>
    </row>
    <row r="194" spans="1:9" x14ac:dyDescent="0.2">
      <c r="A194" s="8" t="s">
        <v>247</v>
      </c>
      <c r="B194" s="8">
        <v>2505</v>
      </c>
      <c r="C194" s="8" t="s">
        <v>233</v>
      </c>
      <c r="D194" s="8" t="s">
        <v>78</v>
      </c>
      <c r="E194" s="8">
        <v>126</v>
      </c>
      <c r="F194" s="8">
        <v>2</v>
      </c>
      <c r="G194" s="8">
        <v>14</v>
      </c>
      <c r="H194" s="8">
        <v>124</v>
      </c>
      <c r="I194" s="8">
        <v>140108</v>
      </c>
    </row>
    <row r="195" spans="1:9" x14ac:dyDescent="0.2">
      <c r="A195" s="8" t="s">
        <v>247</v>
      </c>
      <c r="B195" s="8">
        <v>3522</v>
      </c>
      <c r="C195" s="8" t="s">
        <v>140</v>
      </c>
      <c r="D195" s="8" t="s">
        <v>141</v>
      </c>
      <c r="E195" s="8">
        <v>2</v>
      </c>
      <c r="F195" s="8">
        <v>3</v>
      </c>
      <c r="G195" s="8">
        <v>14</v>
      </c>
      <c r="H195" s="8">
        <v>428</v>
      </c>
      <c r="I195" s="8">
        <v>140122</v>
      </c>
    </row>
    <row r="196" spans="1:9" x14ac:dyDescent="0.2">
      <c r="A196" s="8" t="s">
        <v>247</v>
      </c>
      <c r="B196" s="8">
        <v>2837</v>
      </c>
      <c r="C196" s="8" t="s">
        <v>234</v>
      </c>
      <c r="D196" s="8" t="s">
        <v>90</v>
      </c>
      <c r="E196" s="8">
        <v>4</v>
      </c>
      <c r="F196" s="8" t="s">
        <v>453</v>
      </c>
      <c r="G196" s="8">
        <v>14</v>
      </c>
      <c r="H196" s="8">
        <v>550</v>
      </c>
      <c r="I196" s="8">
        <v>140127</v>
      </c>
    </row>
    <row r="197" spans="1:9" x14ac:dyDescent="0.2">
      <c r="A197" s="8" t="s">
        <v>247</v>
      </c>
      <c r="B197" s="8">
        <v>4031</v>
      </c>
      <c r="C197" s="8" t="s">
        <v>151</v>
      </c>
      <c r="D197" s="8" t="s">
        <v>152</v>
      </c>
      <c r="E197" s="8">
        <v>4</v>
      </c>
      <c r="F197" s="8">
        <v>2</v>
      </c>
      <c r="G197" s="8">
        <v>14</v>
      </c>
      <c r="H197" s="8">
        <v>547</v>
      </c>
      <c r="I197" s="8">
        <v>140127</v>
      </c>
    </row>
    <row r="198" spans="1:9" x14ac:dyDescent="0.2">
      <c r="A198" s="8" t="s">
        <v>247</v>
      </c>
      <c r="B198" s="8">
        <v>4035</v>
      </c>
      <c r="C198" s="8" t="s">
        <v>151</v>
      </c>
      <c r="D198" s="8" t="s">
        <v>152</v>
      </c>
      <c r="E198" s="8">
        <v>4</v>
      </c>
      <c r="F198" s="8">
        <v>1</v>
      </c>
      <c r="G198" s="8">
        <v>14</v>
      </c>
      <c r="H198" s="8">
        <v>548</v>
      </c>
      <c r="I198" s="8">
        <v>140127</v>
      </c>
    </row>
    <row r="199" spans="1:9" x14ac:dyDescent="0.2">
      <c r="A199" s="8" t="s">
        <v>247</v>
      </c>
      <c r="B199" s="8">
        <v>1146</v>
      </c>
      <c r="C199" s="8" t="s">
        <v>153</v>
      </c>
      <c r="D199" s="8" t="s">
        <v>152</v>
      </c>
      <c r="E199" s="8">
        <v>3</v>
      </c>
      <c r="F199" s="8">
        <v>23</v>
      </c>
      <c r="G199" s="8">
        <v>14</v>
      </c>
      <c r="H199" s="8">
        <v>545</v>
      </c>
      <c r="I199" s="8">
        <v>140127</v>
      </c>
    </row>
    <row r="200" spans="1:9" x14ac:dyDescent="0.2">
      <c r="A200" s="8" t="s">
        <v>247</v>
      </c>
      <c r="B200" s="8">
        <v>1150</v>
      </c>
      <c r="C200" s="8" t="s">
        <v>153</v>
      </c>
      <c r="D200" s="8" t="s">
        <v>152</v>
      </c>
      <c r="E200" s="8">
        <v>3</v>
      </c>
      <c r="F200" s="8">
        <v>24</v>
      </c>
      <c r="G200" s="8">
        <v>14</v>
      </c>
      <c r="H200" s="8">
        <v>546</v>
      </c>
      <c r="I200" s="8">
        <v>140127</v>
      </c>
    </row>
    <row r="201" spans="1:9" x14ac:dyDescent="0.2">
      <c r="A201" s="8" t="s">
        <v>247</v>
      </c>
      <c r="B201" s="8">
        <v>181</v>
      </c>
      <c r="C201" s="8" t="s">
        <v>62</v>
      </c>
      <c r="D201" s="8" t="s">
        <v>63</v>
      </c>
      <c r="E201" s="8">
        <v>2</v>
      </c>
      <c r="F201" s="8">
        <v>45</v>
      </c>
      <c r="G201" s="8">
        <v>14</v>
      </c>
      <c r="H201" s="8">
        <v>419</v>
      </c>
      <c r="I201" s="8">
        <v>140122</v>
      </c>
    </row>
    <row r="202" spans="1:9" x14ac:dyDescent="0.2">
      <c r="A202" s="8" t="s">
        <v>247</v>
      </c>
      <c r="B202" s="8">
        <v>185</v>
      </c>
      <c r="C202" s="8" t="s">
        <v>62</v>
      </c>
      <c r="D202" s="8" t="s">
        <v>63</v>
      </c>
      <c r="E202" s="8">
        <v>2</v>
      </c>
      <c r="F202" s="8">
        <v>46</v>
      </c>
      <c r="G202" s="8">
        <v>14</v>
      </c>
      <c r="H202" s="8">
        <v>625</v>
      </c>
      <c r="I202" s="8">
        <v>140129</v>
      </c>
    </row>
    <row r="203" spans="1:9" x14ac:dyDescent="0.2">
      <c r="A203" s="8" t="s">
        <v>247</v>
      </c>
      <c r="B203" s="8">
        <v>189</v>
      </c>
      <c r="C203" s="8" t="s">
        <v>62</v>
      </c>
      <c r="D203" s="8" t="s">
        <v>63</v>
      </c>
      <c r="E203" s="8">
        <v>2</v>
      </c>
      <c r="F203" s="8">
        <v>47</v>
      </c>
      <c r="G203" s="8">
        <v>14</v>
      </c>
      <c r="H203" s="8">
        <v>610</v>
      </c>
      <c r="I203" s="8">
        <v>140129</v>
      </c>
    </row>
    <row r="204" spans="1:9" x14ac:dyDescent="0.2">
      <c r="A204" s="8" t="s">
        <v>247</v>
      </c>
      <c r="B204" s="8">
        <v>193</v>
      </c>
      <c r="C204" s="8" t="s">
        <v>62</v>
      </c>
      <c r="D204" s="8" t="s">
        <v>63</v>
      </c>
      <c r="E204" s="8">
        <v>2</v>
      </c>
      <c r="F204" s="8">
        <v>48</v>
      </c>
      <c r="G204" s="8">
        <v>14</v>
      </c>
      <c r="H204" s="8">
        <v>626</v>
      </c>
      <c r="I204" s="8">
        <v>140129</v>
      </c>
    </row>
    <row r="205" spans="1:9" x14ac:dyDescent="0.2">
      <c r="A205" s="8" t="s">
        <v>247</v>
      </c>
      <c r="B205" s="8">
        <v>200</v>
      </c>
      <c r="C205" s="8" t="s">
        <v>62</v>
      </c>
      <c r="D205" s="8" t="s">
        <v>63</v>
      </c>
      <c r="E205" s="8">
        <v>8</v>
      </c>
      <c r="F205" s="8">
        <v>158</v>
      </c>
      <c r="G205" s="8">
        <v>14</v>
      </c>
      <c r="H205" s="8">
        <v>421</v>
      </c>
      <c r="I205" s="8">
        <v>140122</v>
      </c>
    </row>
    <row r="206" spans="1:9" x14ac:dyDescent="0.2">
      <c r="A206" s="8" t="s">
        <v>247</v>
      </c>
      <c r="B206" s="8">
        <v>204</v>
      </c>
      <c r="C206" s="8" t="s">
        <v>62</v>
      </c>
      <c r="D206" s="8" t="s">
        <v>63</v>
      </c>
      <c r="E206" s="8">
        <v>8</v>
      </c>
      <c r="F206" s="8">
        <v>159</v>
      </c>
      <c r="G206" s="8">
        <v>14</v>
      </c>
      <c r="H206" s="8">
        <v>422</v>
      </c>
      <c r="I206" s="8">
        <v>140122</v>
      </c>
    </row>
    <row r="207" spans="1:9" x14ac:dyDescent="0.2">
      <c r="A207" s="8" t="s">
        <v>247</v>
      </c>
      <c r="B207" s="8">
        <v>208</v>
      </c>
      <c r="C207" s="8" t="s">
        <v>62</v>
      </c>
      <c r="D207" s="8" t="s">
        <v>63</v>
      </c>
      <c r="E207" s="8">
        <v>8</v>
      </c>
      <c r="F207" s="8">
        <v>160</v>
      </c>
      <c r="G207" s="8">
        <v>14</v>
      </c>
      <c r="H207" s="8">
        <v>668</v>
      </c>
      <c r="I207" s="8">
        <v>140131</v>
      </c>
    </row>
    <row r="208" spans="1:9" x14ac:dyDescent="0.2">
      <c r="A208" s="8" t="s">
        <v>247</v>
      </c>
      <c r="B208" s="8">
        <v>209</v>
      </c>
      <c r="C208" s="8" t="s">
        <v>62</v>
      </c>
      <c r="D208" s="8" t="s">
        <v>63</v>
      </c>
      <c r="E208" s="8">
        <v>2</v>
      </c>
      <c r="F208" s="8">
        <v>51</v>
      </c>
      <c r="G208" s="8">
        <v>14</v>
      </c>
      <c r="H208" s="8">
        <v>68</v>
      </c>
      <c r="I208" s="8">
        <v>140106</v>
      </c>
    </row>
    <row r="209" spans="1:9" x14ac:dyDescent="0.2">
      <c r="A209" s="8" t="s">
        <v>247</v>
      </c>
      <c r="B209" s="8">
        <v>212</v>
      </c>
      <c r="C209" s="8" t="s">
        <v>62</v>
      </c>
      <c r="D209" s="8" t="s">
        <v>63</v>
      </c>
      <c r="E209" s="8">
        <v>8</v>
      </c>
      <c r="F209" s="8">
        <v>161</v>
      </c>
      <c r="G209" s="8">
        <v>14</v>
      </c>
      <c r="H209" s="8">
        <v>499</v>
      </c>
      <c r="I209" s="8">
        <v>140124</v>
      </c>
    </row>
    <row r="210" spans="1:9" x14ac:dyDescent="0.2">
      <c r="A210" s="8" t="s">
        <v>247</v>
      </c>
      <c r="B210" s="8">
        <v>869</v>
      </c>
      <c r="C210" s="8" t="s">
        <v>469</v>
      </c>
      <c r="D210" s="8" t="s">
        <v>278</v>
      </c>
      <c r="E210" s="8">
        <v>3</v>
      </c>
      <c r="F210" s="8">
        <v>10</v>
      </c>
      <c r="G210" s="8">
        <v>14</v>
      </c>
      <c r="H210" s="8">
        <v>192</v>
      </c>
      <c r="I210" s="8">
        <v>140110</v>
      </c>
    </row>
    <row r="211" spans="1:9" x14ac:dyDescent="0.2">
      <c r="A211" s="8" t="s">
        <v>247</v>
      </c>
      <c r="B211" s="8">
        <v>6341</v>
      </c>
      <c r="C211" s="8" t="s">
        <v>132</v>
      </c>
      <c r="D211" s="8" t="s">
        <v>162</v>
      </c>
      <c r="E211" s="8" t="s">
        <v>250</v>
      </c>
      <c r="F211" s="8">
        <v>3</v>
      </c>
      <c r="G211" s="8">
        <v>14</v>
      </c>
      <c r="H211" s="8">
        <v>110</v>
      </c>
      <c r="I211" s="8">
        <v>140107</v>
      </c>
    </row>
    <row r="212" spans="1:9" x14ac:dyDescent="0.2">
      <c r="A212" s="8" t="s">
        <v>247</v>
      </c>
      <c r="B212" s="8">
        <v>700</v>
      </c>
      <c r="C212" s="8" t="s">
        <v>425</v>
      </c>
      <c r="D212" s="8" t="s">
        <v>78</v>
      </c>
      <c r="E212" s="8">
        <v>134</v>
      </c>
      <c r="F212" s="8">
        <v>16</v>
      </c>
      <c r="G212" s="8">
        <v>14</v>
      </c>
      <c r="H212" s="8">
        <v>116</v>
      </c>
      <c r="I212" s="8">
        <v>140107</v>
      </c>
    </row>
    <row r="213" spans="1:9" x14ac:dyDescent="0.2">
      <c r="A213" s="8" t="s">
        <v>247</v>
      </c>
      <c r="B213" s="8">
        <v>923</v>
      </c>
      <c r="C213" s="8" t="s">
        <v>201</v>
      </c>
      <c r="D213" s="8" t="s">
        <v>202</v>
      </c>
      <c r="E213" s="8" t="s">
        <v>203</v>
      </c>
      <c r="F213" s="8">
        <v>31</v>
      </c>
      <c r="G213" s="8">
        <v>14</v>
      </c>
      <c r="H213" s="8">
        <v>395</v>
      </c>
      <c r="I213" s="8">
        <v>140121</v>
      </c>
    </row>
    <row r="214" spans="1:9" x14ac:dyDescent="0.2">
      <c r="A214" s="8" t="s">
        <v>247</v>
      </c>
      <c r="B214" s="8">
        <v>6505</v>
      </c>
      <c r="C214" s="8" t="s">
        <v>79</v>
      </c>
      <c r="D214" s="8" t="s">
        <v>64</v>
      </c>
      <c r="E214" s="8">
        <v>108</v>
      </c>
      <c r="F214" s="8">
        <v>50</v>
      </c>
      <c r="G214" s="8">
        <v>14</v>
      </c>
      <c r="H214" s="8">
        <v>495</v>
      </c>
      <c r="I214" s="8">
        <v>140124</v>
      </c>
    </row>
    <row r="215" spans="1:9" x14ac:dyDescent="0.2">
      <c r="A215" s="8" t="s">
        <v>247</v>
      </c>
      <c r="B215" s="8">
        <v>2829</v>
      </c>
      <c r="C215" s="8" t="s">
        <v>206</v>
      </c>
      <c r="D215" s="8" t="s">
        <v>207</v>
      </c>
      <c r="E215" s="8">
        <v>2</v>
      </c>
      <c r="F215" s="8">
        <v>6</v>
      </c>
      <c r="G215" s="8">
        <v>14</v>
      </c>
      <c r="H215" s="8">
        <v>378</v>
      </c>
      <c r="I215" s="8">
        <v>140117</v>
      </c>
    </row>
    <row r="216" spans="1:9" x14ac:dyDescent="0.2">
      <c r="A216" s="8" t="s">
        <v>247</v>
      </c>
      <c r="B216" s="8">
        <v>261</v>
      </c>
      <c r="C216" s="8" t="s">
        <v>209</v>
      </c>
      <c r="D216" s="8" t="s">
        <v>202</v>
      </c>
      <c r="E216" s="8" t="s">
        <v>203</v>
      </c>
      <c r="F216" s="8">
        <v>30</v>
      </c>
      <c r="G216" s="8">
        <v>14</v>
      </c>
      <c r="H216" s="8">
        <v>55</v>
      </c>
      <c r="I216" s="8">
        <v>140106</v>
      </c>
    </row>
    <row r="217" spans="1:9" x14ac:dyDescent="0.2">
      <c r="A217" s="8" t="s">
        <v>247</v>
      </c>
      <c r="B217" s="8">
        <v>102</v>
      </c>
      <c r="C217" s="8" t="s">
        <v>65</v>
      </c>
      <c r="D217" s="8" t="s">
        <v>66</v>
      </c>
      <c r="E217" s="8">
        <v>4</v>
      </c>
      <c r="F217" s="8">
        <v>10</v>
      </c>
      <c r="G217" s="8">
        <v>14</v>
      </c>
      <c r="H217" s="8">
        <v>311</v>
      </c>
      <c r="I217" s="8">
        <v>140115</v>
      </c>
    </row>
    <row r="218" spans="1:9" x14ac:dyDescent="0.2">
      <c r="A218" s="8" t="s">
        <v>247</v>
      </c>
      <c r="B218" s="8">
        <v>3818</v>
      </c>
      <c r="C218" s="8" t="s">
        <v>236</v>
      </c>
      <c r="D218" s="8" t="s">
        <v>214</v>
      </c>
      <c r="E218" s="8">
        <v>3</v>
      </c>
      <c r="F218" s="8">
        <v>5</v>
      </c>
      <c r="G218" s="8">
        <v>14</v>
      </c>
      <c r="H218" s="8">
        <v>109</v>
      </c>
      <c r="I218" s="8">
        <v>140107</v>
      </c>
    </row>
    <row r="219" spans="1:9" x14ac:dyDescent="0.2">
      <c r="A219" s="8" t="s">
        <v>247</v>
      </c>
      <c r="B219" s="8">
        <v>3819</v>
      </c>
      <c r="C219" s="8" t="s">
        <v>236</v>
      </c>
      <c r="D219" s="8" t="s">
        <v>214</v>
      </c>
      <c r="E219" s="8">
        <v>2</v>
      </c>
      <c r="F219" s="8">
        <v>3</v>
      </c>
      <c r="G219" s="8">
        <v>14</v>
      </c>
      <c r="H219" s="8">
        <v>64</v>
      </c>
      <c r="I219" s="8">
        <v>140106</v>
      </c>
    </row>
    <row r="220" spans="1:9" x14ac:dyDescent="0.2">
      <c r="A220" s="8" t="s">
        <v>247</v>
      </c>
      <c r="B220" s="8">
        <v>7508</v>
      </c>
      <c r="C220" s="8" t="s">
        <v>428</v>
      </c>
      <c r="D220" s="8" t="s">
        <v>429</v>
      </c>
      <c r="E220" s="8">
        <v>6</v>
      </c>
      <c r="F220" s="8">
        <v>13</v>
      </c>
      <c r="G220" s="8">
        <v>14</v>
      </c>
      <c r="H220" s="8">
        <v>156</v>
      </c>
      <c r="I220" s="8">
        <v>140108</v>
      </c>
    </row>
    <row r="221" spans="1:9" x14ac:dyDescent="0.2">
      <c r="A221" s="8" t="s">
        <v>247</v>
      </c>
      <c r="B221" s="8">
        <v>6805</v>
      </c>
      <c r="C221" s="8" t="s">
        <v>237</v>
      </c>
      <c r="D221" s="8" t="s">
        <v>64</v>
      </c>
      <c r="E221" s="8">
        <v>104</v>
      </c>
      <c r="F221" s="8">
        <v>31</v>
      </c>
      <c r="G221" s="8">
        <v>14</v>
      </c>
      <c r="H221" s="8">
        <v>460</v>
      </c>
      <c r="I221" s="8">
        <v>140123</v>
      </c>
    </row>
    <row r="222" spans="1:9" x14ac:dyDescent="0.2">
      <c r="A222" s="8" t="s">
        <v>247</v>
      </c>
      <c r="B222" s="8">
        <v>6873</v>
      </c>
      <c r="C222" s="8" t="s">
        <v>237</v>
      </c>
      <c r="D222" s="8" t="s">
        <v>64</v>
      </c>
      <c r="E222" s="8">
        <v>104</v>
      </c>
      <c r="F222" s="8">
        <v>48</v>
      </c>
      <c r="G222" s="8">
        <v>14</v>
      </c>
      <c r="H222" s="8">
        <v>310</v>
      </c>
      <c r="I222" s="8">
        <v>140115</v>
      </c>
    </row>
    <row r="223" spans="1:9" x14ac:dyDescent="0.2">
      <c r="A223" s="8" t="s">
        <v>247</v>
      </c>
      <c r="B223" s="8">
        <v>7325</v>
      </c>
      <c r="C223" s="8" t="s">
        <v>83</v>
      </c>
      <c r="D223" s="8" t="s">
        <v>84</v>
      </c>
      <c r="E223" s="8">
        <v>2</v>
      </c>
      <c r="F223" s="8">
        <v>6</v>
      </c>
      <c r="G223" s="8">
        <v>14</v>
      </c>
      <c r="H223" s="8">
        <v>75</v>
      </c>
      <c r="I223" s="8">
        <v>140106</v>
      </c>
    </row>
    <row r="224" spans="1:9" x14ac:dyDescent="0.2">
      <c r="A224" s="8" t="s">
        <v>247</v>
      </c>
      <c r="B224" s="8">
        <v>3603</v>
      </c>
      <c r="C224" s="8" t="s">
        <v>470</v>
      </c>
      <c r="D224" s="8" t="s">
        <v>53</v>
      </c>
      <c r="E224" s="8" t="s">
        <v>74</v>
      </c>
      <c r="F224" s="8">
        <v>68</v>
      </c>
      <c r="G224" s="8">
        <v>14</v>
      </c>
      <c r="H224" s="8">
        <v>631</v>
      </c>
      <c r="I224" s="8">
        <v>140130</v>
      </c>
    </row>
    <row r="225" spans="1:9" x14ac:dyDescent="0.2">
      <c r="A225" s="8" t="s">
        <v>247</v>
      </c>
      <c r="B225" s="8">
        <v>621</v>
      </c>
      <c r="C225" s="8" t="s">
        <v>81</v>
      </c>
      <c r="D225" s="8" t="s">
        <v>214</v>
      </c>
      <c r="E225" s="8">
        <v>1</v>
      </c>
      <c r="F225" s="8">
        <v>2</v>
      </c>
      <c r="G225" s="8">
        <v>14</v>
      </c>
      <c r="H225" s="8">
        <v>57</v>
      </c>
      <c r="I225" s="8">
        <v>140106</v>
      </c>
    </row>
    <row r="226" spans="1:9" x14ac:dyDescent="0.2">
      <c r="A226" s="8" t="s">
        <v>247</v>
      </c>
      <c r="B226" s="8">
        <v>744</v>
      </c>
      <c r="C226" s="8" t="s">
        <v>81</v>
      </c>
      <c r="D226" s="8" t="s">
        <v>214</v>
      </c>
      <c r="E226" s="8">
        <v>2</v>
      </c>
      <c r="F226" s="8">
        <v>4</v>
      </c>
      <c r="G226" s="8">
        <v>14</v>
      </c>
      <c r="H226" s="8">
        <v>627</v>
      </c>
      <c r="I226" s="8">
        <v>140129</v>
      </c>
    </row>
    <row r="227" spans="1:9" x14ac:dyDescent="0.2">
      <c r="A227" s="8" t="s">
        <v>247</v>
      </c>
      <c r="B227" s="8">
        <v>800</v>
      </c>
      <c r="C227" s="8" t="s">
        <v>81</v>
      </c>
      <c r="D227" s="8" t="s">
        <v>85</v>
      </c>
      <c r="E227" s="8">
        <v>4</v>
      </c>
      <c r="F227" s="8">
        <v>11</v>
      </c>
      <c r="G227" s="8">
        <v>14</v>
      </c>
      <c r="H227" s="8">
        <v>66</v>
      </c>
      <c r="I227" s="8">
        <v>140106</v>
      </c>
    </row>
    <row r="228" spans="1:9" x14ac:dyDescent="0.2">
      <c r="A228" s="8" t="s">
        <v>247</v>
      </c>
      <c r="B228" s="8">
        <v>800</v>
      </c>
      <c r="C228" s="8" t="s">
        <v>81</v>
      </c>
      <c r="D228" s="8" t="s">
        <v>85</v>
      </c>
      <c r="E228" s="8">
        <v>4</v>
      </c>
      <c r="F228" s="8">
        <v>11</v>
      </c>
      <c r="G228" s="8">
        <v>14</v>
      </c>
      <c r="H228" s="8">
        <v>459</v>
      </c>
      <c r="I228" s="8">
        <v>140123</v>
      </c>
    </row>
    <row r="229" spans="1:9" x14ac:dyDescent="0.2">
      <c r="A229" s="8" t="s">
        <v>247</v>
      </c>
      <c r="B229" s="8">
        <v>805</v>
      </c>
      <c r="C229" s="8" t="s">
        <v>81</v>
      </c>
      <c r="D229" s="8" t="s">
        <v>85</v>
      </c>
      <c r="E229" s="8">
        <v>5</v>
      </c>
      <c r="F229" s="8">
        <v>5</v>
      </c>
      <c r="G229" s="8">
        <v>14</v>
      </c>
      <c r="H229" s="8">
        <v>65</v>
      </c>
      <c r="I229" s="8">
        <v>140106</v>
      </c>
    </row>
    <row r="230" spans="1:9" x14ac:dyDescent="0.2">
      <c r="A230" s="8" t="s">
        <v>247</v>
      </c>
      <c r="B230" s="8">
        <v>805</v>
      </c>
      <c r="C230" s="8" t="s">
        <v>81</v>
      </c>
      <c r="D230" s="8" t="s">
        <v>85</v>
      </c>
      <c r="E230" s="8">
        <v>5</v>
      </c>
      <c r="F230" s="8">
        <v>5</v>
      </c>
      <c r="G230" s="8">
        <v>14</v>
      </c>
      <c r="H230" s="8">
        <v>236</v>
      </c>
      <c r="I230" s="8">
        <v>140113</v>
      </c>
    </row>
    <row r="231" spans="1:9" x14ac:dyDescent="0.2">
      <c r="A231" s="8" t="s">
        <v>247</v>
      </c>
      <c r="B231" s="8">
        <v>4531</v>
      </c>
      <c r="C231" s="8" t="s">
        <v>471</v>
      </c>
      <c r="D231" s="8" t="s">
        <v>213</v>
      </c>
      <c r="E231" s="8">
        <v>6</v>
      </c>
      <c r="F231" s="8">
        <v>15</v>
      </c>
      <c r="G231" s="8">
        <v>14</v>
      </c>
      <c r="H231" s="8">
        <v>386</v>
      </c>
      <c r="I231" s="8">
        <v>140121</v>
      </c>
    </row>
    <row r="232" spans="1:9" x14ac:dyDescent="0.2">
      <c r="A232" s="8" t="s">
        <v>247</v>
      </c>
      <c r="B232" s="8">
        <v>3617</v>
      </c>
      <c r="C232" s="8" t="s">
        <v>311</v>
      </c>
      <c r="D232" s="8" t="s">
        <v>66</v>
      </c>
      <c r="E232" s="8">
        <v>2</v>
      </c>
      <c r="F232" s="8">
        <v>19</v>
      </c>
      <c r="G232" s="8">
        <v>14</v>
      </c>
      <c r="H232" s="8">
        <v>429</v>
      </c>
      <c r="I232" s="8">
        <v>140122</v>
      </c>
    </row>
    <row r="233" spans="1:9" x14ac:dyDescent="0.2">
      <c r="A233" s="8" t="s">
        <v>247</v>
      </c>
      <c r="B233" s="8">
        <v>3808</v>
      </c>
      <c r="C233" s="8" t="s">
        <v>142</v>
      </c>
      <c r="D233" s="8" t="s">
        <v>85</v>
      </c>
      <c r="E233" s="8">
        <v>3</v>
      </c>
      <c r="F233" s="8">
        <v>12</v>
      </c>
      <c r="G233" s="8">
        <v>14</v>
      </c>
      <c r="H233" s="8">
        <v>67</v>
      </c>
      <c r="I233" s="8">
        <v>140106</v>
      </c>
    </row>
    <row r="234" spans="1:9" x14ac:dyDescent="0.2">
      <c r="A234" s="8" t="s">
        <v>247</v>
      </c>
      <c r="B234" s="8">
        <v>3808</v>
      </c>
      <c r="C234" s="8" t="s">
        <v>142</v>
      </c>
      <c r="D234" s="8" t="s">
        <v>85</v>
      </c>
      <c r="E234" s="8">
        <v>3</v>
      </c>
      <c r="F234" s="8">
        <v>12</v>
      </c>
      <c r="G234" s="8">
        <v>14</v>
      </c>
      <c r="H234" s="8">
        <v>312</v>
      </c>
      <c r="I234" s="8">
        <v>140115</v>
      </c>
    </row>
    <row r="235" spans="1:9" x14ac:dyDescent="0.2">
      <c r="A235" s="8" t="s">
        <v>247</v>
      </c>
      <c r="B235" s="8">
        <v>3836</v>
      </c>
      <c r="C235" s="8" t="s">
        <v>142</v>
      </c>
      <c r="D235" s="8" t="s">
        <v>85</v>
      </c>
      <c r="E235" s="8">
        <v>3</v>
      </c>
      <c r="F235" s="8">
        <v>5</v>
      </c>
      <c r="G235" s="8">
        <v>14</v>
      </c>
      <c r="H235" s="8">
        <v>423</v>
      </c>
      <c r="I235" s="8">
        <v>140122</v>
      </c>
    </row>
    <row r="236" spans="1:9" x14ac:dyDescent="0.2">
      <c r="A236" s="8" t="s">
        <v>247</v>
      </c>
      <c r="B236" s="8">
        <v>4225</v>
      </c>
      <c r="C236" s="8" t="s">
        <v>472</v>
      </c>
      <c r="D236" s="8" t="s">
        <v>86</v>
      </c>
      <c r="E236" s="8">
        <v>10</v>
      </c>
      <c r="F236" s="8">
        <v>16</v>
      </c>
      <c r="G236" s="8">
        <v>14</v>
      </c>
      <c r="H236" s="8">
        <v>20</v>
      </c>
      <c r="I236" s="8">
        <v>140102</v>
      </c>
    </row>
    <row r="237" spans="1:9" x14ac:dyDescent="0.2">
      <c r="A237" s="8" t="s">
        <v>247</v>
      </c>
      <c r="B237" s="8">
        <v>429</v>
      </c>
      <c r="C237" s="8" t="s">
        <v>473</v>
      </c>
      <c r="D237" s="8" t="s">
        <v>474</v>
      </c>
      <c r="E237" s="8">
        <v>10</v>
      </c>
      <c r="F237" s="8">
        <v>25</v>
      </c>
      <c r="G237" s="8">
        <v>14</v>
      </c>
      <c r="H237" s="8">
        <v>381</v>
      </c>
      <c r="I237" s="8">
        <v>140121</v>
      </c>
    </row>
    <row r="238" spans="1:9" x14ac:dyDescent="0.2">
      <c r="A238" s="8" t="s">
        <v>247</v>
      </c>
      <c r="B238" s="8">
        <v>2500</v>
      </c>
      <c r="C238" s="8" t="s">
        <v>98</v>
      </c>
      <c r="D238" s="8" t="s">
        <v>82</v>
      </c>
      <c r="E238" s="8">
        <v>3</v>
      </c>
      <c r="F238" s="8">
        <v>2</v>
      </c>
      <c r="G238" s="8">
        <v>14</v>
      </c>
      <c r="H238" s="8">
        <v>294</v>
      </c>
      <c r="I238" s="8">
        <v>140115</v>
      </c>
    </row>
    <row r="239" spans="1:9" x14ac:dyDescent="0.2">
      <c r="A239" s="8" t="s">
        <v>247</v>
      </c>
      <c r="B239" s="8">
        <v>2622</v>
      </c>
      <c r="C239" s="8" t="s">
        <v>98</v>
      </c>
      <c r="D239" s="8" t="s">
        <v>82</v>
      </c>
      <c r="E239" s="8">
        <v>5</v>
      </c>
      <c r="F239" s="8">
        <v>6</v>
      </c>
      <c r="G239" s="8">
        <v>14</v>
      </c>
      <c r="H239" s="8">
        <v>293</v>
      </c>
      <c r="I239" s="8">
        <v>140115</v>
      </c>
    </row>
    <row r="240" spans="1:9" x14ac:dyDescent="0.2">
      <c r="A240" s="8" t="s">
        <v>247</v>
      </c>
      <c r="B240" s="8">
        <v>2622</v>
      </c>
      <c r="C240" s="8" t="s">
        <v>98</v>
      </c>
      <c r="D240" s="8" t="s">
        <v>82</v>
      </c>
      <c r="E240" s="8">
        <v>5</v>
      </c>
      <c r="F240" s="8">
        <v>6</v>
      </c>
      <c r="G240" s="8">
        <v>14</v>
      </c>
      <c r="H240" s="8">
        <v>615</v>
      </c>
      <c r="I240" s="8">
        <v>140129</v>
      </c>
    </row>
    <row r="241" spans="1:9" x14ac:dyDescent="0.2">
      <c r="A241" s="8" t="s">
        <v>247</v>
      </c>
      <c r="B241" s="8">
        <v>803</v>
      </c>
      <c r="C241" s="8" t="s">
        <v>438</v>
      </c>
      <c r="D241" s="8" t="s">
        <v>61</v>
      </c>
      <c r="E241" s="8">
        <v>1</v>
      </c>
      <c r="F241" s="8">
        <v>1</v>
      </c>
      <c r="G241" s="8">
        <v>14</v>
      </c>
      <c r="H241" s="8">
        <v>328</v>
      </c>
      <c r="I241" s="8">
        <v>140116</v>
      </c>
    </row>
    <row r="242" spans="1:9" x14ac:dyDescent="0.2">
      <c r="A242" s="8" t="s">
        <v>247</v>
      </c>
      <c r="B242" s="8">
        <v>5908</v>
      </c>
      <c r="C242" s="8" t="s">
        <v>241</v>
      </c>
      <c r="D242" s="8" t="s">
        <v>57</v>
      </c>
      <c r="E242" s="8">
        <v>166</v>
      </c>
      <c r="F242" s="8">
        <v>13</v>
      </c>
      <c r="G242" s="8">
        <v>14</v>
      </c>
      <c r="H242" s="8">
        <v>517</v>
      </c>
      <c r="I242" s="8">
        <v>140127</v>
      </c>
    </row>
    <row r="243" spans="1:9" x14ac:dyDescent="0.2">
      <c r="A243" s="8" t="s">
        <v>247</v>
      </c>
      <c r="B243" s="8">
        <v>5908</v>
      </c>
      <c r="C243" s="8" t="s">
        <v>241</v>
      </c>
      <c r="D243" s="8" t="s">
        <v>57</v>
      </c>
      <c r="E243" s="8">
        <v>166</v>
      </c>
      <c r="F243" s="8">
        <v>13</v>
      </c>
      <c r="G243" s="8">
        <v>14</v>
      </c>
      <c r="H243" s="8">
        <v>619</v>
      </c>
      <c r="I243" s="8">
        <v>140129</v>
      </c>
    </row>
    <row r="244" spans="1:9" x14ac:dyDescent="0.2">
      <c r="A244" s="8" t="s">
        <v>247</v>
      </c>
      <c r="B244" s="8">
        <v>524</v>
      </c>
      <c r="C244" s="8" t="s">
        <v>439</v>
      </c>
      <c r="D244" s="8" t="s">
        <v>57</v>
      </c>
      <c r="E244" s="8">
        <v>155</v>
      </c>
      <c r="F244" s="8">
        <v>13</v>
      </c>
      <c r="G244" s="8">
        <v>14</v>
      </c>
      <c r="H244" s="8">
        <v>463</v>
      </c>
      <c r="I244" s="8">
        <v>140123</v>
      </c>
    </row>
    <row r="245" spans="1:9" x14ac:dyDescent="0.2">
      <c r="A245" s="8" t="s">
        <v>247</v>
      </c>
      <c r="B245" s="8">
        <v>81</v>
      </c>
      <c r="C245" s="8" t="s">
        <v>440</v>
      </c>
      <c r="D245" s="8" t="s">
        <v>182</v>
      </c>
      <c r="E245" s="8">
        <v>6</v>
      </c>
      <c r="F245" s="8">
        <v>30</v>
      </c>
      <c r="G245" s="8">
        <v>14</v>
      </c>
      <c r="H245" s="8">
        <v>307</v>
      </c>
      <c r="I245" s="8">
        <v>140115</v>
      </c>
    </row>
    <row r="246" spans="1:9" x14ac:dyDescent="0.2">
      <c r="A246" s="8" t="s">
        <v>247</v>
      </c>
      <c r="B246" s="8">
        <v>600</v>
      </c>
      <c r="C246" s="8" t="s">
        <v>72</v>
      </c>
      <c r="D246" s="8" t="s">
        <v>71</v>
      </c>
      <c r="E246" s="8">
        <v>3</v>
      </c>
      <c r="F246" s="8" t="s">
        <v>250</v>
      </c>
      <c r="G246" s="8">
        <v>14</v>
      </c>
      <c r="H246" s="8">
        <v>193</v>
      </c>
      <c r="I246" s="8">
        <v>140110</v>
      </c>
    </row>
    <row r="247" spans="1:9" x14ac:dyDescent="0.2">
      <c r="A247" s="8" t="s">
        <v>247</v>
      </c>
      <c r="B247" s="8">
        <v>612</v>
      </c>
      <c r="C247" s="8" t="s">
        <v>72</v>
      </c>
      <c r="D247" s="8" t="s">
        <v>71</v>
      </c>
      <c r="E247" s="8">
        <v>3</v>
      </c>
      <c r="F247" s="8">
        <v>9</v>
      </c>
      <c r="G247" s="8">
        <v>14</v>
      </c>
      <c r="H247" s="8">
        <v>426</v>
      </c>
      <c r="I247" s="8">
        <v>140122</v>
      </c>
    </row>
    <row r="248" spans="1:9" x14ac:dyDescent="0.2">
      <c r="A248" s="8" t="s">
        <v>247</v>
      </c>
      <c r="B248" s="8">
        <v>7120</v>
      </c>
      <c r="C248" s="8" t="s">
        <v>220</v>
      </c>
      <c r="D248" s="8" t="s">
        <v>221</v>
      </c>
      <c r="E248" s="8">
        <v>4</v>
      </c>
      <c r="F248" s="8">
        <v>39</v>
      </c>
      <c r="G248" s="8">
        <v>14</v>
      </c>
      <c r="H248" s="8">
        <v>19</v>
      </c>
      <c r="I248" s="8">
        <v>140102</v>
      </c>
    </row>
    <row r="249" spans="1:9" x14ac:dyDescent="0.2">
      <c r="A249" s="8" t="s">
        <v>247</v>
      </c>
      <c r="B249" s="8">
        <v>2768</v>
      </c>
      <c r="C249" s="8" t="s">
        <v>475</v>
      </c>
      <c r="D249" s="8" t="s">
        <v>87</v>
      </c>
      <c r="E249" s="8">
        <v>1</v>
      </c>
      <c r="F249" s="8">
        <v>27</v>
      </c>
      <c r="G249" s="8">
        <v>14</v>
      </c>
      <c r="H249" s="8">
        <v>515</v>
      </c>
      <c r="I249" s="8">
        <v>140124</v>
      </c>
    </row>
    <row r="250" spans="1:9" x14ac:dyDescent="0.2">
      <c r="A250" s="8" t="s">
        <v>247</v>
      </c>
      <c r="B250" s="8">
        <v>3804</v>
      </c>
      <c r="C250" s="8" t="s">
        <v>225</v>
      </c>
      <c r="D250" s="8" t="s">
        <v>53</v>
      </c>
      <c r="E250" s="8" t="s">
        <v>172</v>
      </c>
      <c r="F250" s="8">
        <v>14</v>
      </c>
      <c r="G250" s="8">
        <v>14</v>
      </c>
      <c r="H250" s="8">
        <v>95</v>
      </c>
      <c r="I250" s="8">
        <v>140107</v>
      </c>
    </row>
    <row r="251" spans="1:9" x14ac:dyDescent="0.2">
      <c r="A251" s="8" t="s">
        <v>247</v>
      </c>
      <c r="B251" s="8">
        <v>865</v>
      </c>
      <c r="C251" s="8" t="s">
        <v>451</v>
      </c>
      <c r="D251" s="8" t="s">
        <v>56</v>
      </c>
      <c r="E251" s="8">
        <v>1</v>
      </c>
      <c r="F251" s="8">
        <v>28</v>
      </c>
      <c r="G251" s="8">
        <v>14</v>
      </c>
      <c r="H251" s="8">
        <v>648</v>
      </c>
      <c r="I251" s="8">
        <v>140130</v>
      </c>
    </row>
    <row r="252" spans="1:9" x14ac:dyDescent="0.2">
      <c r="A252" s="8" t="s">
        <v>247</v>
      </c>
      <c r="B252" s="8">
        <v>644</v>
      </c>
      <c r="C252" s="8" t="s">
        <v>476</v>
      </c>
      <c r="D252" s="8" t="s">
        <v>477</v>
      </c>
      <c r="E252" s="8">
        <v>5</v>
      </c>
      <c r="F252" s="8">
        <v>18</v>
      </c>
      <c r="G252" s="8">
        <v>14</v>
      </c>
      <c r="H252" s="8">
        <v>114</v>
      </c>
      <c r="I252" s="8">
        <v>140107</v>
      </c>
    </row>
    <row r="253" spans="1:9" x14ac:dyDescent="0.2">
      <c r="A253" s="8" t="s">
        <v>247</v>
      </c>
      <c r="B253" s="8">
        <v>1545</v>
      </c>
      <c r="C253" s="8" t="s">
        <v>251</v>
      </c>
      <c r="D253" s="8" t="s">
        <v>59</v>
      </c>
      <c r="E253" s="8">
        <v>1</v>
      </c>
      <c r="F253" s="8">
        <v>37</v>
      </c>
      <c r="G253" s="8">
        <v>14</v>
      </c>
      <c r="H253" s="8">
        <v>54</v>
      </c>
      <c r="I253" s="8">
        <v>140106</v>
      </c>
    </row>
    <row r="254" spans="1:9" x14ac:dyDescent="0.2">
      <c r="A254" s="8" t="s">
        <v>247</v>
      </c>
      <c r="B254" s="8">
        <v>1623</v>
      </c>
      <c r="C254" s="8" t="s">
        <v>251</v>
      </c>
      <c r="D254" s="8" t="s">
        <v>59</v>
      </c>
      <c r="E254" s="8">
        <v>1</v>
      </c>
      <c r="F254" s="8">
        <v>30</v>
      </c>
      <c r="G254" s="8">
        <v>14</v>
      </c>
      <c r="H254" s="8">
        <v>25</v>
      </c>
      <c r="I254" s="8">
        <v>140102</v>
      </c>
    </row>
    <row r="255" spans="1:9" x14ac:dyDescent="0.2">
      <c r="A255" s="8" t="s">
        <v>247</v>
      </c>
      <c r="B255" s="8">
        <v>1623</v>
      </c>
      <c r="C255" s="8" t="s">
        <v>251</v>
      </c>
      <c r="D255" s="8" t="s">
        <v>59</v>
      </c>
      <c r="E255" s="8">
        <v>1</v>
      </c>
      <c r="F255" s="8">
        <v>30</v>
      </c>
      <c r="G255" s="8">
        <v>14</v>
      </c>
      <c r="H255" s="8">
        <v>655</v>
      </c>
      <c r="I255" s="8">
        <v>140130</v>
      </c>
    </row>
    <row r="256" spans="1:9" x14ac:dyDescent="0.2">
      <c r="A256" s="8" t="s">
        <v>247</v>
      </c>
      <c r="B256" s="8">
        <v>1818</v>
      </c>
      <c r="C256" s="8" t="s">
        <v>251</v>
      </c>
      <c r="D256" s="8" t="s">
        <v>59</v>
      </c>
      <c r="E256" s="8">
        <v>3</v>
      </c>
      <c r="F256" s="8">
        <v>3</v>
      </c>
      <c r="G256" s="8">
        <v>14</v>
      </c>
      <c r="H256" s="8">
        <v>237</v>
      </c>
      <c r="I256" s="8">
        <v>140113</v>
      </c>
    </row>
    <row r="257" spans="1:9" x14ac:dyDescent="0.2">
      <c r="A257" s="8" t="s">
        <v>247</v>
      </c>
      <c r="B257" s="8">
        <v>622</v>
      </c>
      <c r="C257" s="8" t="s">
        <v>252</v>
      </c>
      <c r="D257" s="8" t="s">
        <v>71</v>
      </c>
      <c r="E257" s="8">
        <v>2</v>
      </c>
      <c r="F257" s="8">
        <v>9</v>
      </c>
      <c r="G257" s="8">
        <v>14</v>
      </c>
      <c r="H257" s="8">
        <v>427</v>
      </c>
      <c r="I257" s="8">
        <v>140122</v>
      </c>
    </row>
    <row r="258" spans="1:9" x14ac:dyDescent="0.2">
      <c r="A258" s="8" t="s">
        <v>247</v>
      </c>
      <c r="B258" s="8">
        <v>1307</v>
      </c>
      <c r="C258" s="8" t="s">
        <v>137</v>
      </c>
      <c r="D258" s="8" t="s">
        <v>90</v>
      </c>
      <c r="E258" s="8">
        <v>1</v>
      </c>
      <c r="F258" s="8">
        <v>20</v>
      </c>
      <c r="G258" s="8">
        <v>14</v>
      </c>
      <c r="H258" s="8">
        <v>394</v>
      </c>
      <c r="I258" s="8">
        <v>140121</v>
      </c>
    </row>
    <row r="259" spans="1:9" x14ac:dyDescent="0.2">
      <c r="A259" s="8" t="s">
        <v>247</v>
      </c>
      <c r="B259" s="8">
        <v>7111</v>
      </c>
      <c r="C259" s="8" t="s">
        <v>226</v>
      </c>
      <c r="D259" s="8" t="s">
        <v>221</v>
      </c>
      <c r="E259" s="8">
        <v>4</v>
      </c>
      <c r="F259" s="8">
        <v>3</v>
      </c>
      <c r="G259" s="8">
        <v>14</v>
      </c>
      <c r="H259" s="8">
        <v>295</v>
      </c>
      <c r="I259" s="8">
        <v>140115</v>
      </c>
    </row>
    <row r="260" spans="1:9" x14ac:dyDescent="0.2">
      <c r="A260" s="8" t="s">
        <v>247</v>
      </c>
      <c r="B260" s="8">
        <v>2732</v>
      </c>
      <c r="C260" s="8" t="s">
        <v>100</v>
      </c>
      <c r="D260" s="8" t="s">
        <v>101</v>
      </c>
      <c r="E260" s="8">
        <v>2</v>
      </c>
      <c r="F260" s="8">
        <v>6</v>
      </c>
      <c r="G260" s="8">
        <v>14</v>
      </c>
      <c r="H260" s="8">
        <v>434</v>
      </c>
      <c r="I260" s="8">
        <v>140122</v>
      </c>
    </row>
    <row r="261" spans="1:9" x14ac:dyDescent="0.2">
      <c r="A261" s="8" t="s">
        <v>247</v>
      </c>
      <c r="B261" s="8">
        <v>2817</v>
      </c>
      <c r="C261" s="8" t="s">
        <v>100</v>
      </c>
      <c r="D261" s="8" t="s">
        <v>101</v>
      </c>
      <c r="E261" s="8">
        <v>3</v>
      </c>
      <c r="F261" s="8">
        <v>8</v>
      </c>
      <c r="G261" s="8">
        <v>14</v>
      </c>
      <c r="H261" s="8">
        <v>259</v>
      </c>
      <c r="I261" s="8">
        <v>140114</v>
      </c>
    </row>
    <row r="262" spans="1:9" x14ac:dyDescent="0.2">
      <c r="A262" s="8" t="s">
        <v>247</v>
      </c>
      <c r="B262" s="8">
        <v>2825</v>
      </c>
      <c r="C262" s="8" t="s">
        <v>100</v>
      </c>
      <c r="D262" s="8" t="s">
        <v>101</v>
      </c>
      <c r="E262" s="8">
        <v>3</v>
      </c>
      <c r="F262" s="8">
        <v>6</v>
      </c>
      <c r="G262" s="8">
        <v>14</v>
      </c>
      <c r="H262" s="8">
        <v>143</v>
      </c>
      <c r="I262" s="8">
        <v>140108</v>
      </c>
    </row>
    <row r="263" spans="1:9" x14ac:dyDescent="0.2">
      <c r="A263" s="8" t="s">
        <v>247</v>
      </c>
      <c r="B263" s="8">
        <v>2956</v>
      </c>
      <c r="C263" s="8" t="s">
        <v>100</v>
      </c>
      <c r="D263" s="8" t="s">
        <v>101</v>
      </c>
      <c r="E263" s="8">
        <v>2</v>
      </c>
      <c r="F263" s="8">
        <v>25</v>
      </c>
      <c r="G263" s="8">
        <v>14</v>
      </c>
      <c r="H263" s="8">
        <v>435</v>
      </c>
      <c r="I263" s="8">
        <v>140122</v>
      </c>
    </row>
    <row r="264" spans="1:9" x14ac:dyDescent="0.2">
      <c r="A264" s="8" t="s">
        <v>247</v>
      </c>
      <c r="B264" s="8">
        <v>92</v>
      </c>
      <c r="C264" s="8" t="s">
        <v>478</v>
      </c>
      <c r="D264" s="8" t="s">
        <v>182</v>
      </c>
      <c r="E264" s="8">
        <v>7</v>
      </c>
      <c r="F264" s="8">
        <v>6</v>
      </c>
      <c r="G264" s="8">
        <v>14</v>
      </c>
      <c r="H264" s="8">
        <v>182</v>
      </c>
      <c r="I264" s="8">
        <v>140109</v>
      </c>
    </row>
    <row r="265" spans="1:9" x14ac:dyDescent="0.2">
      <c r="A265" s="8" t="s">
        <v>247</v>
      </c>
      <c r="B265" s="8">
        <v>820</v>
      </c>
      <c r="C265" s="8" t="s">
        <v>183</v>
      </c>
      <c r="D265" s="8" t="s">
        <v>54</v>
      </c>
      <c r="E265" s="8">
        <v>2</v>
      </c>
      <c r="F265" s="8">
        <v>34</v>
      </c>
      <c r="G265" s="8">
        <v>14</v>
      </c>
      <c r="H265" s="8">
        <v>212</v>
      </c>
      <c r="I265" s="8">
        <v>140110</v>
      </c>
    </row>
    <row r="266" spans="1:9" x14ac:dyDescent="0.2">
      <c r="A266" s="8" t="s">
        <v>247</v>
      </c>
      <c r="B266" s="8">
        <v>1020</v>
      </c>
      <c r="C266" s="8" t="s">
        <v>229</v>
      </c>
      <c r="D266" s="8" t="s">
        <v>228</v>
      </c>
      <c r="E266" s="8">
        <v>9</v>
      </c>
      <c r="F266" s="8">
        <v>14</v>
      </c>
      <c r="G266" s="8">
        <v>14</v>
      </c>
      <c r="H266" s="8">
        <v>87</v>
      </c>
      <c r="I266" s="8">
        <v>140106</v>
      </c>
    </row>
    <row r="267" spans="1:9" x14ac:dyDescent="0.2">
      <c r="A267" s="8" t="s">
        <v>247</v>
      </c>
      <c r="B267" s="8">
        <v>1352</v>
      </c>
      <c r="C267" s="8" t="s">
        <v>457</v>
      </c>
      <c r="D267" s="8" t="s">
        <v>228</v>
      </c>
      <c r="E267" s="8">
        <v>14</v>
      </c>
      <c r="F267" s="8">
        <v>18</v>
      </c>
      <c r="G267" s="8">
        <v>14</v>
      </c>
      <c r="H267" s="8">
        <v>324</v>
      </c>
      <c r="I267" s="8">
        <v>140116</v>
      </c>
    </row>
    <row r="268" spans="1:9" x14ac:dyDescent="0.2">
      <c r="A268" s="8" t="s">
        <v>247</v>
      </c>
      <c r="B268" s="8">
        <v>1317</v>
      </c>
      <c r="C268" s="8" t="s">
        <v>299</v>
      </c>
      <c r="D268" s="8" t="s">
        <v>228</v>
      </c>
      <c r="E268" s="8">
        <v>22</v>
      </c>
      <c r="F268" s="8">
        <v>25</v>
      </c>
      <c r="G268" s="8">
        <v>14</v>
      </c>
      <c r="H268" s="8">
        <v>35</v>
      </c>
      <c r="I268" s="8">
        <v>140103</v>
      </c>
    </row>
    <row r="269" spans="1:9" x14ac:dyDescent="0.2">
      <c r="A269" s="8" t="s">
        <v>247</v>
      </c>
      <c r="B269" s="8">
        <v>1317</v>
      </c>
      <c r="C269" s="8" t="s">
        <v>299</v>
      </c>
      <c r="D269" s="8" t="s">
        <v>228</v>
      </c>
      <c r="E269" s="8">
        <v>22</v>
      </c>
      <c r="F269" s="8">
        <v>25</v>
      </c>
      <c r="G269" s="8">
        <v>14</v>
      </c>
      <c r="H269" s="8">
        <v>165</v>
      </c>
      <c r="I269" s="8">
        <v>140109</v>
      </c>
    </row>
    <row r="270" spans="1:9" x14ac:dyDescent="0.2">
      <c r="A270" s="8" t="s">
        <v>247</v>
      </c>
      <c r="B270" s="8">
        <v>3026</v>
      </c>
      <c r="C270" s="8" t="s">
        <v>299</v>
      </c>
      <c r="D270" s="8" t="s">
        <v>52</v>
      </c>
      <c r="E270" s="8">
        <v>19</v>
      </c>
      <c r="F270" s="8">
        <v>10</v>
      </c>
      <c r="G270" s="8">
        <v>14</v>
      </c>
      <c r="H270" s="8">
        <v>532</v>
      </c>
      <c r="I270" s="8">
        <v>140127</v>
      </c>
    </row>
    <row r="271" spans="1:9" x14ac:dyDescent="0.2">
      <c r="A271" s="8" t="s">
        <v>247</v>
      </c>
      <c r="B271" s="8">
        <v>1812</v>
      </c>
      <c r="C271" s="8" t="s">
        <v>300</v>
      </c>
      <c r="D271" s="8" t="s">
        <v>228</v>
      </c>
      <c r="E271" s="8">
        <v>25</v>
      </c>
      <c r="F271" s="8">
        <v>22</v>
      </c>
      <c r="G271" s="8">
        <v>14</v>
      </c>
      <c r="H271" s="8">
        <v>15</v>
      </c>
      <c r="I271" s="8">
        <v>140102</v>
      </c>
    </row>
    <row r="272" spans="1:9" x14ac:dyDescent="0.2">
      <c r="A272" s="8" t="s">
        <v>247</v>
      </c>
      <c r="B272" s="8">
        <v>1512</v>
      </c>
      <c r="C272" s="8" t="s">
        <v>231</v>
      </c>
      <c r="D272" s="8" t="s">
        <v>52</v>
      </c>
      <c r="E272" s="8">
        <v>27</v>
      </c>
      <c r="F272" s="8">
        <v>7</v>
      </c>
      <c r="G272" s="8">
        <v>14</v>
      </c>
      <c r="H272" s="8">
        <v>71</v>
      </c>
      <c r="I272" s="8">
        <v>140106</v>
      </c>
    </row>
    <row r="273" spans="1:9" x14ac:dyDescent="0.2">
      <c r="A273" s="8" t="s">
        <v>247</v>
      </c>
      <c r="B273" s="8">
        <v>1512</v>
      </c>
      <c r="C273" s="8" t="s">
        <v>231</v>
      </c>
      <c r="D273" s="8" t="s">
        <v>52</v>
      </c>
      <c r="E273" s="8">
        <v>27</v>
      </c>
      <c r="F273" s="8">
        <v>7</v>
      </c>
      <c r="G273" s="8">
        <v>14</v>
      </c>
      <c r="H273" s="8">
        <v>409</v>
      </c>
      <c r="I273" s="8">
        <v>140121</v>
      </c>
    </row>
    <row r="274" spans="1:9" ht="22.5" x14ac:dyDescent="0.2">
      <c r="A274" s="105" t="s">
        <v>253</v>
      </c>
      <c r="B274" s="8">
        <f>273-171</f>
        <v>102</v>
      </c>
      <c r="C274" s="8"/>
      <c r="D274" s="8"/>
      <c r="E274" s="8"/>
      <c r="F274" s="8"/>
      <c r="G274" s="8"/>
      <c r="H274" s="8"/>
      <c r="I274" s="8"/>
    </row>
    <row r="275" spans="1:9" x14ac:dyDescent="0.2">
      <c r="A275" s="113" t="s">
        <v>254</v>
      </c>
      <c r="B275" s="8"/>
      <c r="C275" s="8"/>
      <c r="D275" s="8"/>
      <c r="E275" s="8"/>
      <c r="F275" s="8"/>
      <c r="G275" s="8"/>
      <c r="H275" s="8"/>
      <c r="I275" s="8"/>
    </row>
    <row r="276" spans="1:9" x14ac:dyDescent="0.2">
      <c r="A276" s="8" t="s">
        <v>255</v>
      </c>
      <c r="B276" s="8">
        <v>2300</v>
      </c>
      <c r="C276" s="8" t="s">
        <v>166</v>
      </c>
      <c r="D276" s="8" t="s">
        <v>168</v>
      </c>
      <c r="E276" s="8"/>
      <c r="F276" s="8"/>
      <c r="G276" s="8">
        <v>14</v>
      </c>
      <c r="H276" s="8">
        <v>351</v>
      </c>
      <c r="I276" s="8">
        <v>140116</v>
      </c>
    </row>
    <row r="277" spans="1:9" x14ac:dyDescent="0.2">
      <c r="A277" s="8" t="s">
        <v>255</v>
      </c>
      <c r="B277" s="8">
        <v>2300</v>
      </c>
      <c r="C277" s="8" t="s">
        <v>166</v>
      </c>
      <c r="D277" s="8" t="s">
        <v>168</v>
      </c>
      <c r="E277" s="8"/>
      <c r="F277" s="8"/>
      <c r="G277" s="8">
        <v>14</v>
      </c>
      <c r="H277" s="8">
        <v>501</v>
      </c>
      <c r="I277" s="8">
        <v>140124</v>
      </c>
    </row>
    <row r="278" spans="1:9" x14ac:dyDescent="0.2">
      <c r="A278" s="8" t="s">
        <v>255</v>
      </c>
      <c r="B278" s="8">
        <v>2351</v>
      </c>
      <c r="C278" s="8" t="s">
        <v>191</v>
      </c>
      <c r="D278" s="8" t="s">
        <v>192</v>
      </c>
      <c r="E278" s="8"/>
      <c r="F278" s="8"/>
      <c r="G278" s="8">
        <v>14</v>
      </c>
      <c r="H278" s="8">
        <v>183</v>
      </c>
      <c r="I278" s="8">
        <v>140109</v>
      </c>
    </row>
    <row r="279" spans="1:9" x14ac:dyDescent="0.2">
      <c r="A279" s="8" t="s">
        <v>255</v>
      </c>
      <c r="B279" s="8">
        <v>1463</v>
      </c>
      <c r="C279" s="8" t="s">
        <v>178</v>
      </c>
      <c r="D279" s="8" t="s">
        <v>52</v>
      </c>
      <c r="E279" s="8"/>
      <c r="F279" s="8"/>
      <c r="G279" s="8">
        <v>14</v>
      </c>
      <c r="H279" s="8">
        <v>568</v>
      </c>
      <c r="I279" s="8">
        <v>140128</v>
      </c>
    </row>
    <row r="280" spans="1:9" x14ac:dyDescent="0.2">
      <c r="A280" s="8" t="s">
        <v>255</v>
      </c>
      <c r="B280" s="8">
        <v>1670</v>
      </c>
      <c r="C280" s="8" t="s">
        <v>178</v>
      </c>
      <c r="D280" s="8" t="s">
        <v>411</v>
      </c>
      <c r="E280" s="8"/>
      <c r="F280" s="8"/>
      <c r="G280" s="8">
        <v>14</v>
      </c>
      <c r="H280" s="8">
        <v>63</v>
      </c>
      <c r="I280" s="8">
        <v>140106</v>
      </c>
    </row>
    <row r="281" spans="1:9" x14ac:dyDescent="0.2">
      <c r="A281" s="8" t="s">
        <v>255</v>
      </c>
      <c r="B281" s="8">
        <v>3777</v>
      </c>
      <c r="C281" s="8" t="s">
        <v>178</v>
      </c>
      <c r="D281" s="8" t="s">
        <v>188</v>
      </c>
      <c r="E281" s="8" t="s">
        <v>189</v>
      </c>
      <c r="F281" s="8" t="s">
        <v>246</v>
      </c>
      <c r="G281" s="8">
        <v>14</v>
      </c>
      <c r="H281" s="8">
        <v>149</v>
      </c>
      <c r="I281" s="8">
        <v>140108</v>
      </c>
    </row>
    <row r="282" spans="1:9" x14ac:dyDescent="0.2">
      <c r="A282" s="8" t="s">
        <v>255</v>
      </c>
      <c r="B282" s="8">
        <v>3172</v>
      </c>
      <c r="C282" s="8" t="s">
        <v>288</v>
      </c>
      <c r="D282" s="8" t="s">
        <v>289</v>
      </c>
      <c r="E282" s="8">
        <v>3</v>
      </c>
      <c r="F282" s="8">
        <v>9</v>
      </c>
      <c r="G282" s="8">
        <v>14</v>
      </c>
      <c r="H282" s="8">
        <v>277</v>
      </c>
      <c r="I282" s="8">
        <v>140114</v>
      </c>
    </row>
    <row r="283" spans="1:9" x14ac:dyDescent="0.2">
      <c r="A283" s="8" t="s">
        <v>255</v>
      </c>
      <c r="B283" s="8">
        <v>3751</v>
      </c>
      <c r="C283" s="8" t="s">
        <v>174</v>
      </c>
      <c r="D283" s="8" t="s">
        <v>53</v>
      </c>
      <c r="E283" s="8" t="s">
        <v>415</v>
      </c>
      <c r="F283" s="8"/>
      <c r="G283" s="8">
        <v>14</v>
      </c>
      <c r="H283" s="8">
        <v>213</v>
      </c>
      <c r="I283" s="8">
        <v>140110</v>
      </c>
    </row>
    <row r="284" spans="1:9" x14ac:dyDescent="0.2">
      <c r="A284" s="8" t="s">
        <v>260</v>
      </c>
      <c r="B284" s="8">
        <v>51</v>
      </c>
      <c r="C284" s="8" t="s">
        <v>479</v>
      </c>
      <c r="D284" s="8" t="s">
        <v>480</v>
      </c>
      <c r="E284" s="8">
        <v>1</v>
      </c>
      <c r="F284" s="8">
        <v>22</v>
      </c>
      <c r="G284" s="8">
        <v>14</v>
      </c>
      <c r="H284" s="8">
        <v>194</v>
      </c>
      <c r="I284" s="8">
        <v>140110</v>
      </c>
    </row>
    <row r="285" spans="1:9" x14ac:dyDescent="0.2">
      <c r="A285" s="8" t="s">
        <v>260</v>
      </c>
      <c r="B285" s="8">
        <v>6952</v>
      </c>
      <c r="C285" s="8" t="s">
        <v>481</v>
      </c>
      <c r="D285" s="8" t="s">
        <v>482</v>
      </c>
      <c r="E285" s="8">
        <v>4</v>
      </c>
      <c r="F285" s="8">
        <v>11</v>
      </c>
      <c r="G285" s="8">
        <v>14</v>
      </c>
      <c r="H285" s="8">
        <v>83</v>
      </c>
      <c r="I285" s="8">
        <v>140106</v>
      </c>
    </row>
    <row r="286" spans="1:9" x14ac:dyDescent="0.2">
      <c r="A286" s="8" t="s">
        <v>260</v>
      </c>
      <c r="B286" s="8">
        <v>565</v>
      </c>
      <c r="C286" s="8" t="s">
        <v>483</v>
      </c>
      <c r="D286" s="8" t="s">
        <v>484</v>
      </c>
      <c r="E286" s="8">
        <v>7</v>
      </c>
      <c r="F286" s="8">
        <v>3</v>
      </c>
      <c r="G286" s="8">
        <v>14</v>
      </c>
      <c r="H286" s="8">
        <v>164</v>
      </c>
      <c r="I286" s="8">
        <v>140109</v>
      </c>
    </row>
    <row r="287" spans="1:9" x14ac:dyDescent="0.2">
      <c r="A287" s="8" t="s">
        <v>260</v>
      </c>
      <c r="B287" s="8">
        <v>6213</v>
      </c>
      <c r="C287" s="8" t="s">
        <v>485</v>
      </c>
      <c r="D287" s="8" t="s">
        <v>92</v>
      </c>
      <c r="E287" s="8">
        <v>19</v>
      </c>
      <c r="F287" s="8">
        <v>9</v>
      </c>
      <c r="G287" s="8">
        <v>14</v>
      </c>
      <c r="H287" s="8">
        <v>493</v>
      </c>
      <c r="I287" s="8">
        <v>140124</v>
      </c>
    </row>
    <row r="288" spans="1:9" x14ac:dyDescent="0.2">
      <c r="A288" s="8" t="s">
        <v>260</v>
      </c>
      <c r="B288" s="8">
        <v>2805</v>
      </c>
      <c r="C288" s="8" t="s">
        <v>461</v>
      </c>
      <c r="D288" s="8" t="s">
        <v>59</v>
      </c>
      <c r="E288" s="8">
        <v>6</v>
      </c>
      <c r="F288" s="8">
        <v>23</v>
      </c>
      <c r="G288" s="8">
        <v>14</v>
      </c>
      <c r="H288" s="8">
        <v>698</v>
      </c>
      <c r="I288" s="8">
        <v>140131</v>
      </c>
    </row>
    <row r="289" spans="1:9" x14ac:dyDescent="0.2">
      <c r="A289" s="8" t="s">
        <v>260</v>
      </c>
      <c r="B289" s="8">
        <v>2821</v>
      </c>
      <c r="C289" s="8" t="s">
        <v>461</v>
      </c>
      <c r="D289" s="8" t="s">
        <v>59</v>
      </c>
      <c r="E289" s="8">
        <v>6</v>
      </c>
      <c r="F289" s="8">
        <v>19</v>
      </c>
      <c r="G289" s="8">
        <v>14</v>
      </c>
      <c r="H289" s="8">
        <v>699</v>
      </c>
      <c r="I289" s="8">
        <v>140131</v>
      </c>
    </row>
    <row r="290" spans="1:9" x14ac:dyDescent="0.2">
      <c r="A290" s="8" t="s">
        <v>260</v>
      </c>
      <c r="B290" s="8">
        <v>1700</v>
      </c>
      <c r="C290" s="8" t="s">
        <v>486</v>
      </c>
      <c r="D290" s="8" t="s">
        <v>57</v>
      </c>
      <c r="E290" s="8">
        <v>75</v>
      </c>
      <c r="F290" s="8">
        <v>38</v>
      </c>
      <c r="G290" s="8">
        <v>14</v>
      </c>
      <c r="H290" s="8">
        <v>331</v>
      </c>
      <c r="I290" s="8">
        <v>140116</v>
      </c>
    </row>
    <row r="291" spans="1:9" x14ac:dyDescent="0.2">
      <c r="A291" s="8" t="s">
        <v>260</v>
      </c>
      <c r="B291" s="8">
        <v>1609</v>
      </c>
      <c r="C291" s="8" t="s">
        <v>487</v>
      </c>
      <c r="D291" s="8" t="s">
        <v>272</v>
      </c>
      <c r="E291" s="8">
        <v>3</v>
      </c>
      <c r="F291" s="8">
        <v>2</v>
      </c>
      <c r="G291" s="8">
        <v>14</v>
      </c>
      <c r="H291" s="8">
        <v>70</v>
      </c>
      <c r="I291" s="8">
        <v>140106</v>
      </c>
    </row>
    <row r="292" spans="1:9" x14ac:dyDescent="0.2">
      <c r="A292" s="8" t="s">
        <v>260</v>
      </c>
      <c r="B292" s="8">
        <v>4727</v>
      </c>
      <c r="C292" s="8" t="s">
        <v>139</v>
      </c>
      <c r="D292" s="8" t="s">
        <v>70</v>
      </c>
      <c r="E292" s="8">
        <v>4</v>
      </c>
      <c r="F292" s="8">
        <v>12</v>
      </c>
      <c r="G292" s="8">
        <v>14</v>
      </c>
      <c r="H292" s="8">
        <v>159</v>
      </c>
      <c r="I292" s="8">
        <v>140109</v>
      </c>
    </row>
    <row r="293" spans="1:9" x14ac:dyDescent="0.2">
      <c r="A293" s="8" t="s">
        <v>260</v>
      </c>
      <c r="B293" s="8">
        <v>6525</v>
      </c>
      <c r="C293" s="8" t="s">
        <v>351</v>
      </c>
      <c r="D293" s="8" t="s">
        <v>92</v>
      </c>
      <c r="E293" s="8">
        <v>2</v>
      </c>
      <c r="F293" s="8">
        <v>39</v>
      </c>
      <c r="G293" s="8">
        <v>14</v>
      </c>
      <c r="H293" s="8">
        <v>646</v>
      </c>
      <c r="I293" s="8">
        <v>140130</v>
      </c>
    </row>
    <row r="294" spans="1:9" x14ac:dyDescent="0.2">
      <c r="A294" s="8" t="s">
        <v>260</v>
      </c>
      <c r="B294" s="8">
        <v>1340</v>
      </c>
      <c r="C294" s="8" t="s">
        <v>154</v>
      </c>
      <c r="D294" s="8" t="s">
        <v>155</v>
      </c>
      <c r="E294" s="8">
        <v>2</v>
      </c>
      <c r="F294" s="8">
        <v>10</v>
      </c>
      <c r="G294" s="8">
        <v>14</v>
      </c>
      <c r="H294" s="8">
        <v>623</v>
      </c>
      <c r="I294" s="8">
        <v>140129</v>
      </c>
    </row>
    <row r="295" spans="1:9" x14ac:dyDescent="0.2">
      <c r="A295" s="8" t="s">
        <v>260</v>
      </c>
      <c r="B295" s="8">
        <v>1347</v>
      </c>
      <c r="C295" s="8" t="s">
        <v>154</v>
      </c>
      <c r="D295" s="8" t="s">
        <v>155</v>
      </c>
      <c r="E295" s="8">
        <v>3</v>
      </c>
      <c r="F295" s="8">
        <v>11</v>
      </c>
      <c r="G295" s="8">
        <v>14</v>
      </c>
      <c r="H295" s="8">
        <v>636</v>
      </c>
      <c r="I295" s="8">
        <v>140130</v>
      </c>
    </row>
    <row r="296" spans="1:9" x14ac:dyDescent="0.2">
      <c r="A296" s="8" t="s">
        <v>260</v>
      </c>
      <c r="B296" s="8">
        <v>1435</v>
      </c>
      <c r="C296" s="8" t="s">
        <v>154</v>
      </c>
      <c r="D296" s="8" t="s">
        <v>155</v>
      </c>
      <c r="E296" s="8">
        <v>1</v>
      </c>
      <c r="F296" s="8">
        <v>9</v>
      </c>
      <c r="G296" s="8">
        <v>14</v>
      </c>
      <c r="H296" s="8">
        <v>535</v>
      </c>
      <c r="I296" s="8">
        <v>140127</v>
      </c>
    </row>
    <row r="297" spans="1:9" x14ac:dyDescent="0.2">
      <c r="A297" s="8" t="s">
        <v>260</v>
      </c>
      <c r="B297" s="8">
        <v>1451</v>
      </c>
      <c r="C297" s="8" t="s">
        <v>154</v>
      </c>
      <c r="D297" s="8" t="s">
        <v>155</v>
      </c>
      <c r="E297" s="8">
        <v>1</v>
      </c>
      <c r="F297" s="8">
        <v>13</v>
      </c>
      <c r="G297" s="8">
        <v>14</v>
      </c>
      <c r="H297" s="8">
        <v>534</v>
      </c>
      <c r="I297" s="8">
        <v>140127</v>
      </c>
    </row>
    <row r="298" spans="1:9" x14ac:dyDescent="0.2">
      <c r="A298" s="8" t="s">
        <v>260</v>
      </c>
      <c r="B298" s="8">
        <v>2574</v>
      </c>
      <c r="C298" s="8" t="s">
        <v>462</v>
      </c>
      <c r="D298" s="8" t="s">
        <v>87</v>
      </c>
      <c r="E298" s="8">
        <v>11</v>
      </c>
      <c r="F298" s="8">
        <v>22</v>
      </c>
      <c r="G298" s="8">
        <v>14</v>
      </c>
      <c r="H298" s="8">
        <v>455</v>
      </c>
      <c r="I298" s="8">
        <v>140123</v>
      </c>
    </row>
    <row r="299" spans="1:9" x14ac:dyDescent="0.2">
      <c r="A299" s="8" t="s">
        <v>260</v>
      </c>
      <c r="B299" s="8">
        <v>3621</v>
      </c>
      <c r="C299" s="8" t="s">
        <v>463</v>
      </c>
      <c r="D299" s="8" t="s">
        <v>235</v>
      </c>
      <c r="E299" s="8">
        <v>5</v>
      </c>
      <c r="F299" s="8">
        <v>15</v>
      </c>
      <c r="G299" s="8">
        <v>14</v>
      </c>
      <c r="H299" s="8">
        <v>289</v>
      </c>
      <c r="I299" s="8">
        <v>140115</v>
      </c>
    </row>
    <row r="300" spans="1:9" x14ac:dyDescent="0.2">
      <c r="A300" s="8" t="s">
        <v>260</v>
      </c>
      <c r="B300" s="8">
        <v>1249</v>
      </c>
      <c r="C300" s="8" t="s">
        <v>488</v>
      </c>
      <c r="D300" s="8" t="s">
        <v>489</v>
      </c>
      <c r="E300" s="8"/>
      <c r="F300" s="8">
        <v>389</v>
      </c>
      <c r="G300" s="8">
        <v>14</v>
      </c>
      <c r="H300" s="8">
        <v>465</v>
      </c>
      <c r="I300" s="8">
        <v>140123</v>
      </c>
    </row>
    <row r="301" spans="1:9" x14ac:dyDescent="0.2">
      <c r="A301" s="8" t="s">
        <v>260</v>
      </c>
      <c r="B301" s="8">
        <v>2835</v>
      </c>
      <c r="C301" s="8" t="s">
        <v>465</v>
      </c>
      <c r="D301" s="8" t="s">
        <v>90</v>
      </c>
      <c r="E301" s="8">
        <v>5</v>
      </c>
      <c r="F301" s="8" t="s">
        <v>466</v>
      </c>
      <c r="G301" s="8">
        <v>14</v>
      </c>
      <c r="H301" s="8">
        <v>543</v>
      </c>
      <c r="I301" s="8">
        <v>140127</v>
      </c>
    </row>
    <row r="302" spans="1:9" x14ac:dyDescent="0.2">
      <c r="A302" s="8" t="s">
        <v>260</v>
      </c>
      <c r="B302" s="8">
        <v>3109</v>
      </c>
      <c r="C302" s="8" t="s">
        <v>194</v>
      </c>
      <c r="D302" s="8" t="s">
        <v>64</v>
      </c>
      <c r="E302" s="8">
        <v>107</v>
      </c>
      <c r="F302" s="8">
        <v>62</v>
      </c>
      <c r="G302" s="8">
        <v>14</v>
      </c>
      <c r="H302" s="8">
        <v>180</v>
      </c>
      <c r="I302" s="8">
        <v>140109</v>
      </c>
    </row>
    <row r="303" spans="1:9" x14ac:dyDescent="0.2">
      <c r="A303" s="8" t="s">
        <v>260</v>
      </c>
      <c r="B303" s="8">
        <v>7254</v>
      </c>
      <c r="C303" s="8" t="s">
        <v>490</v>
      </c>
      <c r="D303" s="8" t="s">
        <v>69</v>
      </c>
      <c r="E303" s="8">
        <v>19</v>
      </c>
      <c r="F303" s="8">
        <v>2</v>
      </c>
      <c r="G303" s="8">
        <v>14</v>
      </c>
      <c r="H303" s="8">
        <v>553</v>
      </c>
      <c r="I303" s="8">
        <v>140127</v>
      </c>
    </row>
    <row r="304" spans="1:9" x14ac:dyDescent="0.2">
      <c r="A304" s="8" t="s">
        <v>260</v>
      </c>
      <c r="B304" s="8">
        <v>3727</v>
      </c>
      <c r="C304" s="8" t="s">
        <v>266</v>
      </c>
      <c r="D304" s="8" t="s">
        <v>267</v>
      </c>
      <c r="E304" s="8">
        <v>3</v>
      </c>
      <c r="F304" s="8">
        <v>22</v>
      </c>
      <c r="G304" s="8">
        <v>14</v>
      </c>
      <c r="H304" s="8">
        <v>28</v>
      </c>
      <c r="I304" s="8">
        <v>140103</v>
      </c>
    </row>
    <row r="305" spans="1:9" x14ac:dyDescent="0.2">
      <c r="A305" s="8" t="s">
        <v>260</v>
      </c>
      <c r="B305" s="8">
        <v>2825</v>
      </c>
      <c r="C305" s="8" t="s">
        <v>58</v>
      </c>
      <c r="D305" s="8" t="s">
        <v>59</v>
      </c>
      <c r="E305" s="8">
        <v>4</v>
      </c>
      <c r="F305" s="8">
        <v>14</v>
      </c>
      <c r="G305" s="8">
        <v>14</v>
      </c>
      <c r="H305" s="8">
        <v>126</v>
      </c>
      <c r="I305" s="8">
        <v>140108</v>
      </c>
    </row>
    <row r="306" spans="1:9" x14ac:dyDescent="0.2">
      <c r="A306" s="8" t="s">
        <v>260</v>
      </c>
      <c r="B306" s="8">
        <v>1626</v>
      </c>
      <c r="C306" s="8" t="s">
        <v>60</v>
      </c>
      <c r="D306" s="8" t="s">
        <v>59</v>
      </c>
      <c r="E306" s="8">
        <v>13</v>
      </c>
      <c r="F306" s="8">
        <v>3</v>
      </c>
      <c r="G306" s="8">
        <v>14</v>
      </c>
      <c r="H306" s="8">
        <v>133</v>
      </c>
      <c r="I306" s="8">
        <v>140108</v>
      </c>
    </row>
    <row r="307" spans="1:9" x14ac:dyDescent="0.2">
      <c r="A307" s="8" t="s">
        <v>260</v>
      </c>
      <c r="B307" s="8">
        <v>1626</v>
      </c>
      <c r="C307" s="8" t="s">
        <v>60</v>
      </c>
      <c r="D307" s="8" t="s">
        <v>59</v>
      </c>
      <c r="E307" s="8">
        <v>13</v>
      </c>
      <c r="F307" s="8">
        <v>3</v>
      </c>
      <c r="G307" s="8">
        <v>14</v>
      </c>
      <c r="H307" s="8">
        <v>447</v>
      </c>
      <c r="I307" s="8">
        <v>140122</v>
      </c>
    </row>
    <row r="308" spans="1:9" x14ac:dyDescent="0.2">
      <c r="A308" s="8" t="s">
        <v>260</v>
      </c>
      <c r="B308" s="8">
        <v>6917</v>
      </c>
      <c r="C308" s="8" t="s">
        <v>468</v>
      </c>
      <c r="D308" s="8" t="s">
        <v>57</v>
      </c>
      <c r="E308" s="8">
        <v>93</v>
      </c>
      <c r="F308" s="8" t="s">
        <v>212</v>
      </c>
      <c r="G308" s="8">
        <v>14</v>
      </c>
      <c r="H308" s="8">
        <v>318</v>
      </c>
      <c r="I308" s="8">
        <v>140115</v>
      </c>
    </row>
    <row r="309" spans="1:9" x14ac:dyDescent="0.2">
      <c r="A309" s="8" t="s">
        <v>260</v>
      </c>
      <c r="B309" s="8">
        <v>3101</v>
      </c>
      <c r="C309" s="8" t="s">
        <v>318</v>
      </c>
      <c r="D309" s="8" t="s">
        <v>64</v>
      </c>
      <c r="E309" s="8">
        <v>100</v>
      </c>
      <c r="F309" s="8">
        <v>20</v>
      </c>
      <c r="G309" s="8">
        <v>14</v>
      </c>
      <c r="H309" s="8">
        <v>317</v>
      </c>
      <c r="I309" s="8">
        <v>140115</v>
      </c>
    </row>
    <row r="310" spans="1:9" x14ac:dyDescent="0.2">
      <c r="A310" s="8" t="s">
        <v>260</v>
      </c>
      <c r="B310" s="8">
        <v>6100</v>
      </c>
      <c r="C310" s="8" t="s">
        <v>318</v>
      </c>
      <c r="D310" s="8" t="s">
        <v>57</v>
      </c>
      <c r="E310" s="8">
        <v>83</v>
      </c>
      <c r="F310" s="8" t="s">
        <v>361</v>
      </c>
      <c r="G310" s="8">
        <v>14</v>
      </c>
      <c r="H310" s="8">
        <v>196</v>
      </c>
      <c r="I310" s="8">
        <v>140110</v>
      </c>
    </row>
    <row r="311" spans="1:9" x14ac:dyDescent="0.2">
      <c r="A311" s="8" t="s">
        <v>260</v>
      </c>
      <c r="B311" s="8">
        <v>1833</v>
      </c>
      <c r="C311" s="8" t="s">
        <v>491</v>
      </c>
      <c r="D311" s="8" t="s">
        <v>442</v>
      </c>
      <c r="E311" s="8">
        <v>2</v>
      </c>
      <c r="F311" s="8">
        <v>21</v>
      </c>
      <c r="G311" s="8">
        <v>14</v>
      </c>
      <c r="H311" s="8">
        <v>375</v>
      </c>
      <c r="I311" s="8">
        <v>140117</v>
      </c>
    </row>
    <row r="312" spans="1:9" x14ac:dyDescent="0.2">
      <c r="A312" s="8" t="s">
        <v>260</v>
      </c>
      <c r="B312" s="8">
        <v>2551</v>
      </c>
      <c r="C312" s="8" t="s">
        <v>492</v>
      </c>
      <c r="D312" s="8" t="s">
        <v>87</v>
      </c>
      <c r="E312" s="8">
        <v>12</v>
      </c>
      <c r="F312" s="8">
        <v>8</v>
      </c>
      <c r="G312" s="8">
        <v>14</v>
      </c>
      <c r="H312" s="8">
        <v>391</v>
      </c>
      <c r="I312" s="8">
        <v>140121</v>
      </c>
    </row>
    <row r="313" spans="1:9" x14ac:dyDescent="0.2">
      <c r="A313" s="8" t="s">
        <v>260</v>
      </c>
      <c r="B313" s="8">
        <v>7001</v>
      </c>
      <c r="C313" s="8" t="s">
        <v>493</v>
      </c>
      <c r="D313" s="8" t="s">
        <v>262</v>
      </c>
      <c r="E313" s="8">
        <v>6</v>
      </c>
      <c r="F313" s="8">
        <v>19</v>
      </c>
      <c r="G313" s="8">
        <v>14</v>
      </c>
      <c r="H313" s="8">
        <v>374</v>
      </c>
      <c r="I313" s="8">
        <v>140117</v>
      </c>
    </row>
    <row r="314" spans="1:9" x14ac:dyDescent="0.2">
      <c r="A314" s="8" t="s">
        <v>260</v>
      </c>
      <c r="B314" s="8">
        <v>3332</v>
      </c>
      <c r="C314" s="8" t="s">
        <v>494</v>
      </c>
      <c r="D314" s="8" t="s">
        <v>495</v>
      </c>
      <c r="E314" s="8"/>
      <c r="F314" s="8">
        <v>122</v>
      </c>
      <c r="G314" s="8">
        <v>14</v>
      </c>
      <c r="H314" s="8">
        <v>507</v>
      </c>
      <c r="I314" s="8">
        <v>140124</v>
      </c>
    </row>
    <row r="315" spans="1:9" x14ac:dyDescent="0.2">
      <c r="A315" s="8" t="s">
        <v>260</v>
      </c>
      <c r="B315" s="8">
        <v>1956</v>
      </c>
      <c r="C315" s="8" t="s">
        <v>420</v>
      </c>
      <c r="D315" s="8" t="s">
        <v>421</v>
      </c>
      <c r="E315" s="8">
        <v>3</v>
      </c>
      <c r="F315" s="8">
        <v>8</v>
      </c>
      <c r="G315" s="8">
        <v>14</v>
      </c>
      <c r="H315" s="8">
        <v>431</v>
      </c>
      <c r="I315" s="8">
        <v>140122</v>
      </c>
    </row>
    <row r="316" spans="1:9" x14ac:dyDescent="0.2">
      <c r="A316" s="8" t="s">
        <v>260</v>
      </c>
      <c r="B316" s="8">
        <v>6099</v>
      </c>
      <c r="C316" s="8" t="s">
        <v>91</v>
      </c>
      <c r="D316" s="8" t="s">
        <v>92</v>
      </c>
      <c r="E316" s="8">
        <v>26</v>
      </c>
      <c r="F316" s="8">
        <v>13</v>
      </c>
      <c r="G316" s="8">
        <v>14</v>
      </c>
      <c r="H316" s="8">
        <v>195</v>
      </c>
      <c r="I316" s="8">
        <v>140110</v>
      </c>
    </row>
    <row r="317" spans="1:9" x14ac:dyDescent="0.2">
      <c r="A317" s="8" t="s">
        <v>260</v>
      </c>
      <c r="B317" s="8">
        <v>6354</v>
      </c>
      <c r="C317" s="8" t="s">
        <v>360</v>
      </c>
      <c r="D317" s="8" t="s">
        <v>162</v>
      </c>
      <c r="E317" s="8" t="s">
        <v>369</v>
      </c>
      <c r="F317" s="8">
        <v>5</v>
      </c>
      <c r="G317" s="8">
        <v>14</v>
      </c>
      <c r="H317" s="8">
        <v>582</v>
      </c>
      <c r="I317" s="8">
        <v>140128</v>
      </c>
    </row>
    <row r="318" spans="1:9" x14ac:dyDescent="0.2">
      <c r="A318" s="8" t="s">
        <v>260</v>
      </c>
      <c r="B318" s="8">
        <v>6052</v>
      </c>
      <c r="C318" s="8" t="s">
        <v>195</v>
      </c>
      <c r="D318" s="8" t="s">
        <v>196</v>
      </c>
      <c r="E318" s="8">
        <v>5</v>
      </c>
      <c r="F318" s="8">
        <v>24</v>
      </c>
      <c r="G318" s="8">
        <v>14</v>
      </c>
      <c r="H318" s="8">
        <v>448</v>
      </c>
      <c r="I318" s="8">
        <v>140122</v>
      </c>
    </row>
    <row r="319" spans="1:9" x14ac:dyDescent="0.2">
      <c r="A319" s="8" t="s">
        <v>260</v>
      </c>
      <c r="B319" s="8">
        <v>2837</v>
      </c>
      <c r="C319" s="8" t="s">
        <v>234</v>
      </c>
      <c r="D319" s="8" t="s">
        <v>90</v>
      </c>
      <c r="E319" s="8">
        <v>4</v>
      </c>
      <c r="F319" s="8" t="s">
        <v>453</v>
      </c>
      <c r="G319" s="8">
        <v>14</v>
      </c>
      <c r="H319" s="8">
        <v>544</v>
      </c>
      <c r="I319" s="8">
        <v>140127</v>
      </c>
    </row>
    <row r="320" spans="1:9" x14ac:dyDescent="0.2">
      <c r="A320" s="8" t="s">
        <v>260</v>
      </c>
      <c r="B320" s="8">
        <v>4031</v>
      </c>
      <c r="C320" s="8" t="s">
        <v>151</v>
      </c>
      <c r="D320" s="8" t="s">
        <v>152</v>
      </c>
      <c r="E320" s="8">
        <v>4</v>
      </c>
      <c r="F320" s="8">
        <v>2</v>
      </c>
      <c r="G320" s="8">
        <v>14</v>
      </c>
      <c r="H320" s="8">
        <v>539</v>
      </c>
      <c r="I320" s="8">
        <v>140127</v>
      </c>
    </row>
    <row r="321" spans="1:9" x14ac:dyDescent="0.2">
      <c r="A321" s="8" t="s">
        <v>260</v>
      </c>
      <c r="B321" s="8">
        <v>4035</v>
      </c>
      <c r="C321" s="8" t="s">
        <v>151</v>
      </c>
      <c r="D321" s="8" t="s">
        <v>152</v>
      </c>
      <c r="E321" s="8">
        <v>4</v>
      </c>
      <c r="F321" s="8">
        <v>1</v>
      </c>
      <c r="G321" s="8">
        <v>14</v>
      </c>
      <c r="H321" s="8">
        <v>540</v>
      </c>
      <c r="I321" s="8">
        <v>140127</v>
      </c>
    </row>
    <row r="322" spans="1:9" x14ac:dyDescent="0.2">
      <c r="A322" s="8" t="s">
        <v>260</v>
      </c>
      <c r="B322" s="8">
        <v>1146</v>
      </c>
      <c r="C322" s="8" t="s">
        <v>153</v>
      </c>
      <c r="D322" s="8" t="s">
        <v>152</v>
      </c>
      <c r="E322" s="8">
        <v>3</v>
      </c>
      <c r="F322" s="8">
        <v>23</v>
      </c>
      <c r="G322" s="8">
        <v>14</v>
      </c>
      <c r="H322" s="8">
        <v>541</v>
      </c>
      <c r="I322" s="8">
        <v>140127</v>
      </c>
    </row>
    <row r="323" spans="1:9" x14ac:dyDescent="0.2">
      <c r="A323" s="8" t="s">
        <v>260</v>
      </c>
      <c r="B323" s="8">
        <v>1150</v>
      </c>
      <c r="C323" s="8" t="s">
        <v>153</v>
      </c>
      <c r="D323" s="8" t="s">
        <v>152</v>
      </c>
      <c r="E323" s="8">
        <v>3</v>
      </c>
      <c r="F323" s="8">
        <v>24</v>
      </c>
      <c r="G323" s="8">
        <v>14</v>
      </c>
      <c r="H323" s="8">
        <v>542</v>
      </c>
      <c r="I323" s="8">
        <v>140127</v>
      </c>
    </row>
    <row r="324" spans="1:9" x14ac:dyDescent="0.2">
      <c r="A324" s="8" t="s">
        <v>260</v>
      </c>
      <c r="B324" s="8">
        <v>2405</v>
      </c>
      <c r="C324" s="8" t="s">
        <v>147</v>
      </c>
      <c r="D324" s="8" t="s">
        <v>148</v>
      </c>
      <c r="E324" s="8"/>
      <c r="F324" s="8" t="s">
        <v>149</v>
      </c>
      <c r="G324" s="8">
        <v>14</v>
      </c>
      <c r="H324" s="8">
        <v>400</v>
      </c>
      <c r="I324" s="8">
        <v>140121</v>
      </c>
    </row>
    <row r="325" spans="1:9" x14ac:dyDescent="0.2">
      <c r="A325" s="8" t="s">
        <v>260</v>
      </c>
      <c r="B325" s="8">
        <v>2575</v>
      </c>
      <c r="C325" s="8" t="s">
        <v>496</v>
      </c>
      <c r="D325" s="8" t="s">
        <v>69</v>
      </c>
      <c r="E325" s="8">
        <v>6</v>
      </c>
      <c r="F325" s="8">
        <v>8</v>
      </c>
      <c r="G325" s="8">
        <v>14</v>
      </c>
      <c r="H325" s="8">
        <v>491</v>
      </c>
      <c r="I325" s="8">
        <v>140124</v>
      </c>
    </row>
    <row r="326" spans="1:9" x14ac:dyDescent="0.2">
      <c r="A326" s="8" t="s">
        <v>260</v>
      </c>
      <c r="B326" s="8">
        <v>5</v>
      </c>
      <c r="C326" s="8" t="s">
        <v>62</v>
      </c>
      <c r="D326" s="8" t="s">
        <v>63</v>
      </c>
      <c r="E326" s="8">
        <v>1</v>
      </c>
      <c r="F326" s="8">
        <v>2</v>
      </c>
      <c r="G326" s="8">
        <v>14</v>
      </c>
      <c r="H326" s="8">
        <v>462</v>
      </c>
      <c r="I326" s="8">
        <v>140123</v>
      </c>
    </row>
    <row r="327" spans="1:9" x14ac:dyDescent="0.2">
      <c r="A327" s="8" t="s">
        <v>260</v>
      </c>
      <c r="B327" s="8">
        <v>181</v>
      </c>
      <c r="C327" s="8" t="s">
        <v>62</v>
      </c>
      <c r="D327" s="8" t="s">
        <v>63</v>
      </c>
      <c r="E327" s="8">
        <v>2</v>
      </c>
      <c r="F327" s="8">
        <v>45</v>
      </c>
      <c r="G327" s="8">
        <v>14</v>
      </c>
      <c r="H327" s="8">
        <v>454</v>
      </c>
      <c r="I327" s="8">
        <v>140122</v>
      </c>
    </row>
    <row r="328" spans="1:9" x14ac:dyDescent="0.2">
      <c r="A328" s="8" t="s">
        <v>260</v>
      </c>
      <c r="B328" s="8">
        <v>185</v>
      </c>
      <c r="C328" s="8" t="s">
        <v>62</v>
      </c>
      <c r="D328" s="8" t="s">
        <v>63</v>
      </c>
      <c r="E328" s="8">
        <v>2</v>
      </c>
      <c r="F328" s="8">
        <v>46</v>
      </c>
      <c r="G328" s="8">
        <v>14</v>
      </c>
      <c r="H328" s="8">
        <v>618</v>
      </c>
      <c r="I328" s="8">
        <v>140129</v>
      </c>
    </row>
    <row r="329" spans="1:9" x14ac:dyDescent="0.2">
      <c r="A329" s="8" t="s">
        <v>260</v>
      </c>
      <c r="B329" s="8">
        <v>189</v>
      </c>
      <c r="C329" s="8" t="s">
        <v>62</v>
      </c>
      <c r="D329" s="8" t="s">
        <v>63</v>
      </c>
      <c r="E329" s="8">
        <v>2</v>
      </c>
      <c r="F329" s="8">
        <v>47</v>
      </c>
      <c r="G329" s="8">
        <v>14</v>
      </c>
      <c r="H329" s="8">
        <v>616</v>
      </c>
      <c r="I329" s="8">
        <v>140129</v>
      </c>
    </row>
    <row r="330" spans="1:9" x14ac:dyDescent="0.2">
      <c r="A330" s="8" t="s">
        <v>260</v>
      </c>
      <c r="B330" s="8">
        <v>193</v>
      </c>
      <c r="C330" s="8" t="s">
        <v>62</v>
      </c>
      <c r="D330" s="8" t="s">
        <v>63</v>
      </c>
      <c r="E330" s="8">
        <v>2</v>
      </c>
      <c r="F330" s="8">
        <v>48</v>
      </c>
      <c r="G330" s="8">
        <v>14</v>
      </c>
      <c r="H330" s="8">
        <v>617</v>
      </c>
      <c r="I330" s="8">
        <v>140129</v>
      </c>
    </row>
    <row r="331" spans="1:9" x14ac:dyDescent="0.2">
      <c r="A331" s="8" t="s">
        <v>260</v>
      </c>
      <c r="B331" s="8">
        <v>200</v>
      </c>
      <c r="C331" s="8" t="s">
        <v>62</v>
      </c>
      <c r="D331" s="8" t="s">
        <v>63</v>
      </c>
      <c r="E331" s="8">
        <v>8</v>
      </c>
      <c r="F331" s="8">
        <v>158</v>
      </c>
      <c r="G331" s="8">
        <v>14</v>
      </c>
      <c r="H331" s="8">
        <v>286</v>
      </c>
      <c r="I331" s="8">
        <v>140114</v>
      </c>
    </row>
    <row r="332" spans="1:9" x14ac:dyDescent="0.2">
      <c r="A332" s="8" t="s">
        <v>260</v>
      </c>
      <c r="B332" s="8">
        <v>204</v>
      </c>
      <c r="C332" s="8" t="s">
        <v>62</v>
      </c>
      <c r="D332" s="8" t="s">
        <v>63</v>
      </c>
      <c r="E332" s="8">
        <v>8</v>
      </c>
      <c r="F332" s="8">
        <v>159</v>
      </c>
      <c r="G332" s="8">
        <v>14</v>
      </c>
      <c r="H332" s="8">
        <v>284</v>
      </c>
      <c r="I332" s="8">
        <v>140114</v>
      </c>
    </row>
    <row r="333" spans="1:9" x14ac:dyDescent="0.2">
      <c r="A333" s="8" t="s">
        <v>260</v>
      </c>
      <c r="B333" s="8">
        <v>217</v>
      </c>
      <c r="C333" s="8" t="s">
        <v>62</v>
      </c>
      <c r="D333" s="8" t="s">
        <v>63</v>
      </c>
      <c r="E333" s="8">
        <v>2</v>
      </c>
      <c r="F333" s="8">
        <v>53</v>
      </c>
      <c r="G333" s="8">
        <v>14</v>
      </c>
      <c r="H333" s="8">
        <v>603</v>
      </c>
      <c r="I333" s="8">
        <v>140129</v>
      </c>
    </row>
    <row r="334" spans="1:9" x14ac:dyDescent="0.2">
      <c r="A334" s="8" t="s">
        <v>260</v>
      </c>
      <c r="B334" s="8">
        <v>225</v>
      </c>
      <c r="C334" s="8" t="s">
        <v>62</v>
      </c>
      <c r="D334" s="8" t="s">
        <v>63</v>
      </c>
      <c r="E334" s="8">
        <v>2</v>
      </c>
      <c r="F334" s="8">
        <v>55</v>
      </c>
      <c r="G334" s="8">
        <v>14</v>
      </c>
      <c r="H334" s="8">
        <v>265</v>
      </c>
      <c r="I334" s="8">
        <v>140114</v>
      </c>
    </row>
    <row r="335" spans="1:9" x14ac:dyDescent="0.2">
      <c r="A335" s="8" t="s">
        <v>260</v>
      </c>
      <c r="B335" s="8">
        <v>232</v>
      </c>
      <c r="C335" s="8" t="s">
        <v>62</v>
      </c>
      <c r="D335" s="8" t="s">
        <v>63</v>
      </c>
      <c r="E335" s="8">
        <v>8</v>
      </c>
      <c r="F335" s="8">
        <v>166</v>
      </c>
      <c r="G335" s="8">
        <v>14</v>
      </c>
      <c r="H335" s="8">
        <v>266</v>
      </c>
      <c r="I335" s="8">
        <v>140114</v>
      </c>
    </row>
    <row r="336" spans="1:9" x14ac:dyDescent="0.2">
      <c r="A336" s="8" t="s">
        <v>260</v>
      </c>
      <c r="B336" s="8">
        <v>869</v>
      </c>
      <c r="C336" s="8" t="s">
        <v>469</v>
      </c>
      <c r="D336" s="8" t="s">
        <v>278</v>
      </c>
      <c r="E336" s="8">
        <v>3</v>
      </c>
      <c r="F336" s="8">
        <v>10</v>
      </c>
      <c r="G336" s="8">
        <v>14</v>
      </c>
      <c r="H336" s="8">
        <v>191</v>
      </c>
      <c r="I336" s="8">
        <v>140110</v>
      </c>
    </row>
    <row r="337" spans="1:9" x14ac:dyDescent="0.2">
      <c r="A337" s="8" t="s">
        <v>260</v>
      </c>
      <c r="B337" s="8">
        <v>1830</v>
      </c>
      <c r="C337" s="8" t="s">
        <v>197</v>
      </c>
      <c r="D337" s="8" t="s">
        <v>198</v>
      </c>
      <c r="E337" s="8">
        <v>179</v>
      </c>
      <c r="F337" s="8">
        <v>2</v>
      </c>
      <c r="G337" s="8">
        <v>14</v>
      </c>
      <c r="H337" s="8">
        <v>97</v>
      </c>
      <c r="I337" s="8">
        <v>140107</v>
      </c>
    </row>
    <row r="338" spans="1:9" x14ac:dyDescent="0.2">
      <c r="A338" s="8" t="s">
        <v>260</v>
      </c>
      <c r="B338" s="8">
        <v>1801</v>
      </c>
      <c r="C338" s="8" t="s">
        <v>166</v>
      </c>
      <c r="D338" s="8" t="s">
        <v>52</v>
      </c>
      <c r="E338" s="8" t="s">
        <v>74</v>
      </c>
      <c r="F338" s="8">
        <v>15</v>
      </c>
      <c r="G338" s="8">
        <v>14</v>
      </c>
      <c r="H338" s="8">
        <v>245</v>
      </c>
      <c r="I338" s="8">
        <v>140113</v>
      </c>
    </row>
    <row r="339" spans="1:9" x14ac:dyDescent="0.2">
      <c r="A339" s="8" t="s">
        <v>260</v>
      </c>
      <c r="B339" s="8">
        <v>2312</v>
      </c>
      <c r="C339" s="8" t="s">
        <v>94</v>
      </c>
      <c r="D339" s="8" t="s">
        <v>95</v>
      </c>
      <c r="E339" s="8">
        <v>5</v>
      </c>
      <c r="F339" s="8">
        <v>6</v>
      </c>
      <c r="G339" s="8">
        <v>14</v>
      </c>
      <c r="H339" s="8">
        <v>609</v>
      </c>
      <c r="I339" s="8">
        <v>140129</v>
      </c>
    </row>
    <row r="340" spans="1:9" x14ac:dyDescent="0.2">
      <c r="A340" s="8" t="s">
        <v>260</v>
      </c>
      <c r="B340" s="8">
        <v>717</v>
      </c>
      <c r="C340" s="8" t="s">
        <v>497</v>
      </c>
      <c r="D340" s="8" t="s">
        <v>243</v>
      </c>
      <c r="E340" s="8">
        <v>86</v>
      </c>
      <c r="F340" s="8">
        <v>68</v>
      </c>
      <c r="G340" s="8">
        <v>14</v>
      </c>
      <c r="H340" s="8">
        <v>136</v>
      </c>
      <c r="I340" s="8">
        <v>140108</v>
      </c>
    </row>
    <row r="341" spans="1:9" x14ac:dyDescent="0.2">
      <c r="A341" s="8" t="s">
        <v>260</v>
      </c>
      <c r="B341" s="8">
        <v>907</v>
      </c>
      <c r="C341" s="8" t="s">
        <v>201</v>
      </c>
      <c r="D341" s="8" t="s">
        <v>202</v>
      </c>
      <c r="E341" s="8" t="s">
        <v>203</v>
      </c>
      <c r="F341" s="8">
        <v>35</v>
      </c>
      <c r="G341" s="8">
        <v>14</v>
      </c>
      <c r="H341" s="8">
        <v>590</v>
      </c>
      <c r="I341" s="8">
        <v>140128</v>
      </c>
    </row>
    <row r="342" spans="1:9" x14ac:dyDescent="0.2">
      <c r="A342" s="8" t="s">
        <v>260</v>
      </c>
      <c r="B342" s="8">
        <v>923</v>
      </c>
      <c r="C342" s="8" t="s">
        <v>201</v>
      </c>
      <c r="D342" s="8" t="s">
        <v>202</v>
      </c>
      <c r="E342" s="8" t="s">
        <v>203</v>
      </c>
      <c r="F342" s="8">
        <v>31</v>
      </c>
      <c r="G342" s="8">
        <v>14</v>
      </c>
      <c r="H342" s="8">
        <v>456</v>
      </c>
      <c r="I342" s="8">
        <v>140123</v>
      </c>
    </row>
    <row r="343" spans="1:9" x14ac:dyDescent="0.2">
      <c r="A343" s="8" t="s">
        <v>260</v>
      </c>
      <c r="B343" s="8">
        <v>4520</v>
      </c>
      <c r="C343" s="8" t="s">
        <v>97</v>
      </c>
      <c r="D343" s="8" t="s">
        <v>57</v>
      </c>
      <c r="E343" s="8">
        <v>39</v>
      </c>
      <c r="F343" s="8">
        <v>24</v>
      </c>
      <c r="G343" s="8">
        <v>14</v>
      </c>
      <c r="H343" s="8">
        <v>170</v>
      </c>
      <c r="I343" s="8">
        <v>140109</v>
      </c>
    </row>
    <row r="344" spans="1:9" x14ac:dyDescent="0.2">
      <c r="A344" s="8" t="s">
        <v>260</v>
      </c>
      <c r="B344" s="8">
        <v>1741</v>
      </c>
      <c r="C344" s="8" t="s">
        <v>204</v>
      </c>
      <c r="D344" s="8" t="s">
        <v>205</v>
      </c>
      <c r="E344" s="8">
        <v>3</v>
      </c>
      <c r="F344" s="8">
        <v>29</v>
      </c>
      <c r="G344" s="8">
        <v>14</v>
      </c>
      <c r="H344" s="8">
        <v>583</v>
      </c>
      <c r="I344" s="8">
        <v>140128</v>
      </c>
    </row>
    <row r="345" spans="1:9" x14ac:dyDescent="0.2">
      <c r="A345" s="8" t="s">
        <v>260</v>
      </c>
      <c r="B345" s="8">
        <v>626</v>
      </c>
      <c r="C345" s="8" t="s">
        <v>161</v>
      </c>
      <c r="D345" s="8" t="s">
        <v>160</v>
      </c>
      <c r="E345" s="8">
        <v>1</v>
      </c>
      <c r="F345" s="8" t="s">
        <v>498</v>
      </c>
      <c r="G345" s="8">
        <v>14</v>
      </c>
      <c r="H345" s="8">
        <v>392</v>
      </c>
      <c r="I345" s="8">
        <v>140121</v>
      </c>
    </row>
    <row r="346" spans="1:9" x14ac:dyDescent="0.2">
      <c r="A346" s="8" t="s">
        <v>260</v>
      </c>
      <c r="B346" s="8">
        <v>245</v>
      </c>
      <c r="C346" s="8" t="s">
        <v>209</v>
      </c>
      <c r="D346" s="8" t="s">
        <v>202</v>
      </c>
      <c r="E346" s="8" t="s">
        <v>203</v>
      </c>
      <c r="F346" s="8">
        <v>26</v>
      </c>
      <c r="G346" s="8">
        <v>14</v>
      </c>
      <c r="H346" s="8">
        <v>296</v>
      </c>
      <c r="I346" s="8">
        <v>140115</v>
      </c>
    </row>
    <row r="347" spans="1:9" x14ac:dyDescent="0.2">
      <c r="A347" s="8" t="s">
        <v>260</v>
      </c>
      <c r="B347" s="8">
        <v>257</v>
      </c>
      <c r="C347" s="8" t="s">
        <v>209</v>
      </c>
      <c r="D347" s="8" t="s">
        <v>202</v>
      </c>
      <c r="E347" s="8" t="s">
        <v>203</v>
      </c>
      <c r="F347" s="8">
        <v>29</v>
      </c>
      <c r="G347" s="8">
        <v>14</v>
      </c>
      <c r="H347" s="8">
        <v>297</v>
      </c>
      <c r="I347" s="8">
        <v>140115</v>
      </c>
    </row>
    <row r="348" spans="1:9" x14ac:dyDescent="0.2">
      <c r="A348" s="8" t="s">
        <v>260</v>
      </c>
      <c r="B348" s="8">
        <v>106</v>
      </c>
      <c r="C348" s="8" t="s">
        <v>65</v>
      </c>
      <c r="D348" s="8" t="s">
        <v>66</v>
      </c>
      <c r="E348" s="8">
        <v>4</v>
      </c>
      <c r="F348" s="8">
        <v>9</v>
      </c>
      <c r="G348" s="8">
        <v>14</v>
      </c>
      <c r="H348" s="8">
        <v>579</v>
      </c>
      <c r="I348" s="8">
        <v>140128</v>
      </c>
    </row>
    <row r="349" spans="1:9" x14ac:dyDescent="0.2">
      <c r="A349" s="8" t="s">
        <v>260</v>
      </c>
      <c r="B349" s="8">
        <v>1773</v>
      </c>
      <c r="C349" s="8" t="s">
        <v>499</v>
      </c>
      <c r="D349" s="8" t="s">
        <v>205</v>
      </c>
      <c r="E349" s="8">
        <v>2</v>
      </c>
      <c r="F349" s="8">
        <v>57</v>
      </c>
      <c r="G349" s="8">
        <v>14</v>
      </c>
      <c r="H349" s="8">
        <v>239</v>
      </c>
      <c r="I349" s="8">
        <v>140113</v>
      </c>
    </row>
    <row r="350" spans="1:9" x14ac:dyDescent="0.2">
      <c r="A350" s="8" t="s">
        <v>260</v>
      </c>
      <c r="B350" s="8">
        <v>3818</v>
      </c>
      <c r="C350" s="8" t="s">
        <v>236</v>
      </c>
      <c r="D350" s="8" t="s">
        <v>214</v>
      </c>
      <c r="E350" s="8">
        <v>3</v>
      </c>
      <c r="F350" s="8">
        <v>5</v>
      </c>
      <c r="G350" s="8">
        <v>13</v>
      </c>
      <c r="H350" s="8">
        <v>8366</v>
      </c>
      <c r="I350" s="8">
        <v>140102</v>
      </c>
    </row>
    <row r="351" spans="1:9" x14ac:dyDescent="0.2">
      <c r="A351" s="8" t="s">
        <v>260</v>
      </c>
      <c r="B351" s="8">
        <v>3819</v>
      </c>
      <c r="C351" s="8" t="s">
        <v>236</v>
      </c>
      <c r="D351" s="8" t="s">
        <v>214</v>
      </c>
      <c r="E351" s="8">
        <v>2</v>
      </c>
      <c r="F351" s="8">
        <v>3</v>
      </c>
      <c r="G351" s="8">
        <v>14</v>
      </c>
      <c r="H351" s="8">
        <v>654</v>
      </c>
      <c r="I351" s="8">
        <v>140130</v>
      </c>
    </row>
    <row r="352" spans="1:9" x14ac:dyDescent="0.2">
      <c r="A352" s="8" t="s">
        <v>260</v>
      </c>
      <c r="B352" s="8">
        <v>4619</v>
      </c>
      <c r="C352" s="8" t="s">
        <v>210</v>
      </c>
      <c r="D352" s="8" t="s">
        <v>61</v>
      </c>
      <c r="E352" s="8">
        <v>10</v>
      </c>
      <c r="F352" s="8">
        <v>3</v>
      </c>
      <c r="G352" s="8">
        <v>14</v>
      </c>
      <c r="H352" s="8">
        <v>678</v>
      </c>
      <c r="I352" s="8">
        <v>140131</v>
      </c>
    </row>
    <row r="353" spans="1:9" x14ac:dyDescent="0.2">
      <c r="A353" s="8" t="s">
        <v>260</v>
      </c>
      <c r="B353" s="8">
        <v>7301</v>
      </c>
      <c r="C353" s="8" t="s">
        <v>428</v>
      </c>
      <c r="D353" s="8" t="s">
        <v>500</v>
      </c>
      <c r="E353" s="8">
        <v>2</v>
      </c>
      <c r="F353" s="8">
        <v>1</v>
      </c>
      <c r="G353" s="8">
        <v>14</v>
      </c>
      <c r="H353" s="8">
        <v>202</v>
      </c>
      <c r="I353" s="8">
        <v>140110</v>
      </c>
    </row>
    <row r="354" spans="1:9" x14ac:dyDescent="0.2">
      <c r="A354" s="8" t="s">
        <v>260</v>
      </c>
      <c r="B354" s="8">
        <v>7424</v>
      </c>
      <c r="C354" s="8" t="s">
        <v>428</v>
      </c>
      <c r="D354" s="8" t="s">
        <v>429</v>
      </c>
      <c r="E354" s="8">
        <v>3</v>
      </c>
      <c r="F354" s="8">
        <v>8</v>
      </c>
      <c r="G354" s="8">
        <v>14</v>
      </c>
      <c r="H354" s="8">
        <v>640</v>
      </c>
      <c r="I354" s="8">
        <v>140130</v>
      </c>
    </row>
    <row r="355" spans="1:9" x14ac:dyDescent="0.2">
      <c r="A355" s="8" t="s">
        <v>260</v>
      </c>
      <c r="B355" s="8">
        <v>1305</v>
      </c>
      <c r="C355" s="8" t="s">
        <v>501</v>
      </c>
      <c r="D355" s="8" t="s">
        <v>293</v>
      </c>
      <c r="E355" s="8">
        <v>4</v>
      </c>
      <c r="F355" s="8">
        <v>20</v>
      </c>
      <c r="G355" s="8">
        <v>14</v>
      </c>
      <c r="H355" s="8">
        <v>278</v>
      </c>
      <c r="I355" s="8">
        <v>140114</v>
      </c>
    </row>
    <row r="356" spans="1:9" x14ac:dyDescent="0.2">
      <c r="A356" s="8" t="s">
        <v>260</v>
      </c>
      <c r="B356" s="8">
        <v>1010</v>
      </c>
      <c r="C356" s="8" t="s">
        <v>502</v>
      </c>
      <c r="D356" s="8" t="s">
        <v>503</v>
      </c>
      <c r="E356" s="8" t="s">
        <v>504</v>
      </c>
      <c r="F356" s="8">
        <v>2</v>
      </c>
      <c r="G356" s="8">
        <v>14</v>
      </c>
      <c r="H356" s="8">
        <v>696</v>
      </c>
      <c r="I356" s="8">
        <v>140131</v>
      </c>
    </row>
    <row r="357" spans="1:9" x14ac:dyDescent="0.2">
      <c r="A357" s="8" t="s">
        <v>260</v>
      </c>
      <c r="B357" s="8">
        <v>478</v>
      </c>
      <c r="C357" s="8" t="s">
        <v>505</v>
      </c>
      <c r="D357" s="8" t="s">
        <v>506</v>
      </c>
      <c r="E357" s="8">
        <v>1</v>
      </c>
      <c r="F357" s="8">
        <v>28</v>
      </c>
      <c r="G357" s="8">
        <v>14</v>
      </c>
      <c r="H357" s="8">
        <v>432</v>
      </c>
      <c r="I357" s="8">
        <v>140122</v>
      </c>
    </row>
    <row r="358" spans="1:9" x14ac:dyDescent="0.2">
      <c r="A358" s="8" t="s">
        <v>260</v>
      </c>
      <c r="B358" s="8">
        <v>1299</v>
      </c>
      <c r="C358" s="8" t="s">
        <v>507</v>
      </c>
      <c r="D358" s="8" t="s">
        <v>508</v>
      </c>
      <c r="E358" s="8">
        <v>1</v>
      </c>
      <c r="F358" s="8">
        <v>16</v>
      </c>
      <c r="G358" s="8">
        <v>14</v>
      </c>
      <c r="H358" s="8">
        <v>384</v>
      </c>
      <c r="I358" s="8">
        <v>140121</v>
      </c>
    </row>
    <row r="359" spans="1:9" x14ac:dyDescent="0.2">
      <c r="A359" s="8" t="s">
        <v>260</v>
      </c>
      <c r="B359" s="8">
        <v>641</v>
      </c>
      <c r="C359" s="8" t="s">
        <v>509</v>
      </c>
      <c r="D359" s="8" t="s">
        <v>477</v>
      </c>
      <c r="E359" s="8">
        <v>5</v>
      </c>
      <c r="F359" s="8">
        <v>11</v>
      </c>
      <c r="G359" s="8">
        <v>14</v>
      </c>
      <c r="H359" s="8">
        <v>234</v>
      </c>
      <c r="I359" s="8">
        <v>140113</v>
      </c>
    </row>
    <row r="360" spans="1:9" x14ac:dyDescent="0.2">
      <c r="A360" s="8" t="s">
        <v>260</v>
      </c>
      <c r="B360" s="8">
        <v>850</v>
      </c>
      <c r="C360" s="8" t="s">
        <v>433</v>
      </c>
      <c r="D360" s="8" t="s">
        <v>88</v>
      </c>
      <c r="E360" s="8">
        <v>6</v>
      </c>
      <c r="F360" s="8">
        <v>3</v>
      </c>
      <c r="G360" s="8">
        <v>14</v>
      </c>
      <c r="H360" s="8">
        <v>32</v>
      </c>
      <c r="I360" s="8">
        <v>140103</v>
      </c>
    </row>
    <row r="361" spans="1:9" x14ac:dyDescent="0.2">
      <c r="A361" s="8" t="s">
        <v>260</v>
      </c>
      <c r="B361" s="8">
        <v>7300</v>
      </c>
      <c r="C361" s="8" t="s">
        <v>83</v>
      </c>
      <c r="D361" s="8" t="s">
        <v>84</v>
      </c>
      <c r="E361" s="8">
        <v>1</v>
      </c>
      <c r="F361" s="8">
        <v>1</v>
      </c>
      <c r="G361" s="8">
        <v>14</v>
      </c>
      <c r="H361" s="8">
        <v>662</v>
      </c>
      <c r="I361" s="8">
        <v>140131</v>
      </c>
    </row>
    <row r="362" spans="1:9" x14ac:dyDescent="0.2">
      <c r="A362" s="8" t="s">
        <v>260</v>
      </c>
      <c r="B362" s="8">
        <v>7332</v>
      </c>
      <c r="C362" s="8" t="s">
        <v>83</v>
      </c>
      <c r="D362" s="8" t="s">
        <v>84</v>
      </c>
      <c r="E362" s="8">
        <v>1</v>
      </c>
      <c r="F362" s="8">
        <v>5</v>
      </c>
      <c r="G362" s="8">
        <v>14</v>
      </c>
      <c r="H362" s="8">
        <v>559</v>
      </c>
      <c r="I362" s="8">
        <v>140127</v>
      </c>
    </row>
    <row r="363" spans="1:9" x14ac:dyDescent="0.2">
      <c r="A363" s="8" t="s">
        <v>260</v>
      </c>
      <c r="B363" s="8">
        <v>907</v>
      </c>
      <c r="C363" s="8" t="s">
        <v>510</v>
      </c>
      <c r="D363" s="8" t="s">
        <v>282</v>
      </c>
      <c r="E363" s="8">
        <v>5</v>
      </c>
      <c r="F363" s="8">
        <v>15</v>
      </c>
      <c r="G363" s="8">
        <v>14</v>
      </c>
      <c r="H363" s="8">
        <v>238</v>
      </c>
      <c r="I363" s="8">
        <v>140113</v>
      </c>
    </row>
    <row r="364" spans="1:9" x14ac:dyDescent="0.2">
      <c r="A364" s="8" t="s">
        <v>260</v>
      </c>
      <c r="B364" s="8">
        <v>894</v>
      </c>
      <c r="C364" s="8" t="s">
        <v>280</v>
      </c>
      <c r="D364" s="8" t="s">
        <v>281</v>
      </c>
      <c r="E364" s="8">
        <v>2</v>
      </c>
      <c r="F364" s="8">
        <v>23</v>
      </c>
      <c r="G364" s="8">
        <v>14</v>
      </c>
      <c r="H364" s="8">
        <v>44</v>
      </c>
      <c r="I364" s="8">
        <v>140103</v>
      </c>
    </row>
    <row r="365" spans="1:9" x14ac:dyDescent="0.2">
      <c r="A365" s="8" t="s">
        <v>260</v>
      </c>
      <c r="B365" s="8">
        <v>2236</v>
      </c>
      <c r="C365" s="8" t="s">
        <v>511</v>
      </c>
      <c r="D365" s="8" t="s">
        <v>271</v>
      </c>
      <c r="E365" s="8">
        <v>9</v>
      </c>
      <c r="F365" s="8">
        <v>19</v>
      </c>
      <c r="G365" s="8">
        <v>14</v>
      </c>
      <c r="H365" s="8">
        <v>58</v>
      </c>
      <c r="I365" s="8">
        <v>140106</v>
      </c>
    </row>
    <row r="366" spans="1:9" x14ac:dyDescent="0.2">
      <c r="A366" s="8" t="s">
        <v>260</v>
      </c>
      <c r="B366" s="8">
        <v>3320</v>
      </c>
      <c r="C366" s="8" t="s">
        <v>238</v>
      </c>
      <c r="D366" s="8" t="s">
        <v>64</v>
      </c>
      <c r="E366" s="8">
        <v>102</v>
      </c>
      <c r="F366" s="8">
        <v>41</v>
      </c>
      <c r="G366" s="8">
        <v>14</v>
      </c>
      <c r="H366" s="8">
        <v>29</v>
      </c>
      <c r="I366" s="8">
        <v>140103</v>
      </c>
    </row>
    <row r="367" spans="1:9" x14ac:dyDescent="0.2">
      <c r="A367" s="8" t="s">
        <v>260</v>
      </c>
      <c r="B367" s="8">
        <v>621</v>
      </c>
      <c r="C367" s="8" t="s">
        <v>81</v>
      </c>
      <c r="D367" s="8" t="s">
        <v>214</v>
      </c>
      <c r="E367" s="8">
        <v>1</v>
      </c>
      <c r="F367" s="8">
        <v>2</v>
      </c>
      <c r="G367" s="8">
        <v>13</v>
      </c>
      <c r="H367" s="8">
        <v>8367</v>
      </c>
      <c r="I367" s="8">
        <v>140102</v>
      </c>
    </row>
    <row r="368" spans="1:9" x14ac:dyDescent="0.2">
      <c r="A368" s="8" t="s">
        <v>260</v>
      </c>
      <c r="B368" s="8">
        <v>744</v>
      </c>
      <c r="C368" s="8" t="s">
        <v>81</v>
      </c>
      <c r="D368" s="8" t="s">
        <v>214</v>
      </c>
      <c r="E368" s="8">
        <v>2</v>
      </c>
      <c r="F368" s="8">
        <v>4</v>
      </c>
      <c r="G368" s="8">
        <v>14</v>
      </c>
      <c r="H368" s="8">
        <v>468</v>
      </c>
      <c r="I368" s="8">
        <v>140123</v>
      </c>
    </row>
    <row r="369" spans="1:9" x14ac:dyDescent="0.2">
      <c r="A369" s="8" t="s">
        <v>260</v>
      </c>
      <c r="B369" s="8">
        <v>800</v>
      </c>
      <c r="C369" s="8" t="s">
        <v>81</v>
      </c>
      <c r="D369" s="8" t="s">
        <v>85</v>
      </c>
      <c r="E369" s="8">
        <v>4</v>
      </c>
      <c r="F369" s="8">
        <v>11</v>
      </c>
      <c r="G369" s="8">
        <v>14</v>
      </c>
      <c r="H369" s="8">
        <v>333</v>
      </c>
      <c r="I369" s="8">
        <v>140116</v>
      </c>
    </row>
    <row r="370" spans="1:9" x14ac:dyDescent="0.2">
      <c r="A370" s="8" t="s">
        <v>260</v>
      </c>
      <c r="B370" s="8">
        <v>805</v>
      </c>
      <c r="C370" s="8" t="s">
        <v>81</v>
      </c>
      <c r="D370" s="8" t="s">
        <v>85</v>
      </c>
      <c r="E370" s="8">
        <v>5</v>
      </c>
      <c r="F370" s="8">
        <v>5</v>
      </c>
      <c r="G370" s="8">
        <v>13</v>
      </c>
      <c r="H370" s="8">
        <v>8368</v>
      </c>
      <c r="I370" s="8">
        <v>140102</v>
      </c>
    </row>
    <row r="371" spans="1:9" x14ac:dyDescent="0.2">
      <c r="A371" s="8" t="s">
        <v>260</v>
      </c>
      <c r="B371" s="8">
        <v>2672</v>
      </c>
      <c r="C371" s="8" t="s">
        <v>512</v>
      </c>
      <c r="D371" s="8" t="s">
        <v>93</v>
      </c>
      <c r="E371" s="8">
        <v>10</v>
      </c>
      <c r="F371" s="8">
        <v>21</v>
      </c>
      <c r="G371" s="8">
        <v>14</v>
      </c>
      <c r="H371" s="8">
        <v>76</v>
      </c>
      <c r="I371" s="8">
        <v>140106</v>
      </c>
    </row>
    <row r="372" spans="1:9" x14ac:dyDescent="0.2">
      <c r="A372" s="8" t="s">
        <v>260</v>
      </c>
      <c r="B372" s="8">
        <v>4801</v>
      </c>
      <c r="C372" s="8" t="s">
        <v>513</v>
      </c>
      <c r="D372" s="8" t="s">
        <v>61</v>
      </c>
      <c r="E372" s="8">
        <v>11</v>
      </c>
      <c r="F372" s="8" t="s">
        <v>338</v>
      </c>
      <c r="G372" s="8">
        <v>14</v>
      </c>
      <c r="H372" s="8">
        <v>280</v>
      </c>
      <c r="I372" s="8">
        <v>140114</v>
      </c>
    </row>
    <row r="373" spans="1:9" x14ac:dyDescent="0.2">
      <c r="A373" s="8" t="s">
        <v>260</v>
      </c>
      <c r="B373" s="8">
        <v>1329</v>
      </c>
      <c r="C373" s="8" t="s">
        <v>215</v>
      </c>
      <c r="D373" s="8" t="s">
        <v>216</v>
      </c>
      <c r="E373" s="8">
        <v>7</v>
      </c>
      <c r="F373" s="8">
        <v>3</v>
      </c>
      <c r="G373" s="8">
        <v>14</v>
      </c>
      <c r="H373" s="8">
        <v>578</v>
      </c>
      <c r="I373" s="8">
        <v>140128</v>
      </c>
    </row>
    <row r="374" spans="1:9" x14ac:dyDescent="0.2">
      <c r="A374" s="8" t="s">
        <v>260</v>
      </c>
      <c r="B374" s="8">
        <v>1367</v>
      </c>
      <c r="C374" s="8" t="s">
        <v>215</v>
      </c>
      <c r="D374" s="8" t="s">
        <v>216</v>
      </c>
      <c r="E374" s="8">
        <v>4</v>
      </c>
      <c r="F374" s="8">
        <v>9</v>
      </c>
      <c r="G374" s="8">
        <v>14</v>
      </c>
      <c r="H374" s="8">
        <v>134</v>
      </c>
      <c r="I374" s="8">
        <v>140108</v>
      </c>
    </row>
    <row r="375" spans="1:9" x14ac:dyDescent="0.2">
      <c r="A375" s="8" t="s">
        <v>260</v>
      </c>
      <c r="B375" s="8">
        <v>3617</v>
      </c>
      <c r="C375" s="8" t="s">
        <v>311</v>
      </c>
      <c r="D375" s="8" t="s">
        <v>66</v>
      </c>
      <c r="E375" s="8">
        <v>2</v>
      </c>
      <c r="F375" s="8">
        <v>19</v>
      </c>
      <c r="G375" s="8">
        <v>14</v>
      </c>
      <c r="H375" s="8">
        <v>326</v>
      </c>
      <c r="I375" s="8">
        <v>140116</v>
      </c>
    </row>
    <row r="376" spans="1:9" x14ac:dyDescent="0.2">
      <c r="A376" s="8" t="s">
        <v>260</v>
      </c>
      <c r="B376" s="8">
        <v>973</v>
      </c>
      <c r="C376" s="8" t="s">
        <v>514</v>
      </c>
      <c r="D376" s="8" t="s">
        <v>87</v>
      </c>
      <c r="E376" s="8">
        <v>2</v>
      </c>
      <c r="F376" s="8" t="s">
        <v>453</v>
      </c>
      <c r="G376" s="8">
        <v>14</v>
      </c>
      <c r="H376" s="8">
        <v>117</v>
      </c>
      <c r="I376" s="8">
        <v>140107</v>
      </c>
    </row>
    <row r="377" spans="1:9" x14ac:dyDescent="0.2">
      <c r="A377" s="8" t="s">
        <v>260</v>
      </c>
      <c r="B377" s="8">
        <v>2402</v>
      </c>
      <c r="C377" s="8" t="s">
        <v>515</v>
      </c>
      <c r="D377" s="8" t="s">
        <v>419</v>
      </c>
      <c r="E377" s="8">
        <v>15</v>
      </c>
      <c r="F377" s="8">
        <v>4</v>
      </c>
      <c r="G377" s="8">
        <v>14</v>
      </c>
      <c r="H377" s="8">
        <v>233</v>
      </c>
      <c r="I377" s="8">
        <v>140113</v>
      </c>
    </row>
    <row r="378" spans="1:9" x14ac:dyDescent="0.2">
      <c r="A378" s="8" t="s">
        <v>260</v>
      </c>
      <c r="B378" s="8">
        <v>3808</v>
      </c>
      <c r="C378" s="8" t="s">
        <v>142</v>
      </c>
      <c r="D378" s="8" t="s">
        <v>85</v>
      </c>
      <c r="E378" s="8">
        <v>3</v>
      </c>
      <c r="F378" s="8">
        <v>12</v>
      </c>
      <c r="G378" s="8">
        <v>14</v>
      </c>
      <c r="H378" s="8">
        <v>1</v>
      </c>
      <c r="I378" s="8">
        <v>140102</v>
      </c>
    </row>
    <row r="379" spans="1:9" x14ac:dyDescent="0.2">
      <c r="A379" s="8" t="s">
        <v>260</v>
      </c>
      <c r="B379" s="8">
        <v>3836</v>
      </c>
      <c r="C379" s="8" t="s">
        <v>142</v>
      </c>
      <c r="D379" s="8" t="s">
        <v>85</v>
      </c>
      <c r="E379" s="8">
        <v>3</v>
      </c>
      <c r="F379" s="8">
        <v>5</v>
      </c>
      <c r="G379" s="8">
        <v>14</v>
      </c>
      <c r="H379" s="8">
        <v>185</v>
      </c>
      <c r="I379" s="8">
        <v>140109</v>
      </c>
    </row>
    <row r="380" spans="1:9" x14ac:dyDescent="0.2">
      <c r="A380" s="8" t="s">
        <v>260</v>
      </c>
      <c r="B380" s="8">
        <v>3836</v>
      </c>
      <c r="C380" s="8" t="s">
        <v>142</v>
      </c>
      <c r="D380" s="8" t="s">
        <v>85</v>
      </c>
      <c r="E380" s="8">
        <v>3</v>
      </c>
      <c r="F380" s="8">
        <v>5</v>
      </c>
      <c r="G380" s="8">
        <v>14</v>
      </c>
      <c r="H380" s="8">
        <v>500</v>
      </c>
      <c r="I380" s="8">
        <v>140124</v>
      </c>
    </row>
    <row r="381" spans="1:9" x14ac:dyDescent="0.2">
      <c r="A381" s="8" t="s">
        <v>260</v>
      </c>
      <c r="B381" s="8">
        <v>845</v>
      </c>
      <c r="C381" s="8" t="s">
        <v>516</v>
      </c>
      <c r="D381" s="8"/>
      <c r="E381" s="8"/>
      <c r="F381" s="8"/>
      <c r="G381" s="8">
        <v>14</v>
      </c>
      <c r="H381" s="8">
        <v>230</v>
      </c>
      <c r="I381" s="8">
        <v>140113</v>
      </c>
    </row>
    <row r="382" spans="1:9" x14ac:dyDescent="0.2">
      <c r="A382" s="8" t="s">
        <v>260</v>
      </c>
      <c r="B382" s="8">
        <v>1904</v>
      </c>
      <c r="C382" s="8" t="s">
        <v>286</v>
      </c>
      <c r="D382" s="8" t="s">
        <v>287</v>
      </c>
      <c r="E382" s="8"/>
      <c r="F382" s="8">
        <v>19</v>
      </c>
      <c r="G382" s="8">
        <v>14</v>
      </c>
      <c r="H382" s="8">
        <v>411</v>
      </c>
      <c r="I382" s="8">
        <v>140122</v>
      </c>
    </row>
    <row r="383" spans="1:9" x14ac:dyDescent="0.2">
      <c r="A383" s="8" t="s">
        <v>260</v>
      </c>
      <c r="B383" s="8">
        <v>2500</v>
      </c>
      <c r="C383" s="8" t="s">
        <v>98</v>
      </c>
      <c r="D383" s="8" t="s">
        <v>82</v>
      </c>
      <c r="E383" s="8">
        <v>3</v>
      </c>
      <c r="F383" s="8">
        <v>2</v>
      </c>
      <c r="G383" s="8">
        <v>14</v>
      </c>
      <c r="H383" s="8">
        <v>177</v>
      </c>
      <c r="I383" s="8">
        <v>140109</v>
      </c>
    </row>
    <row r="384" spans="1:9" x14ac:dyDescent="0.2">
      <c r="A384" s="8" t="s">
        <v>260</v>
      </c>
      <c r="B384" s="8">
        <v>2622</v>
      </c>
      <c r="C384" s="8" t="s">
        <v>98</v>
      </c>
      <c r="D384" s="8" t="s">
        <v>82</v>
      </c>
      <c r="E384" s="8">
        <v>5</v>
      </c>
      <c r="F384" s="8">
        <v>6</v>
      </c>
      <c r="G384" s="8">
        <v>14</v>
      </c>
      <c r="H384" s="8">
        <v>176</v>
      </c>
      <c r="I384" s="8">
        <v>140109</v>
      </c>
    </row>
    <row r="385" spans="1:9" x14ac:dyDescent="0.2">
      <c r="A385" s="8" t="s">
        <v>260</v>
      </c>
      <c r="B385" s="8">
        <v>6031</v>
      </c>
      <c r="C385" s="8" t="s">
        <v>314</v>
      </c>
      <c r="D385" s="8" t="s">
        <v>316</v>
      </c>
      <c r="E385" s="8">
        <v>2</v>
      </c>
      <c r="F385" s="8">
        <v>11</v>
      </c>
      <c r="G385" s="8">
        <v>14</v>
      </c>
      <c r="H385" s="8">
        <v>249</v>
      </c>
      <c r="I385" s="8">
        <v>140113</v>
      </c>
    </row>
    <row r="386" spans="1:9" x14ac:dyDescent="0.2">
      <c r="A386" s="8" t="s">
        <v>260</v>
      </c>
      <c r="B386" s="8">
        <v>6048</v>
      </c>
      <c r="C386" s="8" t="s">
        <v>314</v>
      </c>
      <c r="D386" s="8" t="s">
        <v>316</v>
      </c>
      <c r="E386" s="8">
        <v>1</v>
      </c>
      <c r="F386" s="8">
        <v>20</v>
      </c>
      <c r="G386" s="8">
        <v>14</v>
      </c>
      <c r="H386" s="8">
        <v>442</v>
      </c>
      <c r="I386" s="8">
        <v>140122</v>
      </c>
    </row>
    <row r="387" spans="1:9" x14ac:dyDescent="0.2">
      <c r="A387" s="8" t="s">
        <v>260</v>
      </c>
      <c r="B387" s="8">
        <v>653</v>
      </c>
      <c r="C387" s="8" t="s">
        <v>288</v>
      </c>
      <c r="D387" s="8" t="s">
        <v>289</v>
      </c>
      <c r="E387" s="8">
        <v>1</v>
      </c>
      <c r="F387" s="8">
        <v>11</v>
      </c>
      <c r="G387" s="8">
        <v>14</v>
      </c>
      <c r="H387" s="8">
        <v>36</v>
      </c>
      <c r="I387" s="8">
        <v>140103</v>
      </c>
    </row>
    <row r="388" spans="1:9" x14ac:dyDescent="0.2">
      <c r="A388" s="8" t="s">
        <v>260</v>
      </c>
      <c r="B388" s="8">
        <v>1564</v>
      </c>
      <c r="C388" s="8" t="s">
        <v>517</v>
      </c>
      <c r="D388" s="8" t="s">
        <v>271</v>
      </c>
      <c r="E388" s="8">
        <v>7</v>
      </c>
      <c r="F388" s="8">
        <v>3</v>
      </c>
      <c r="G388" s="8">
        <v>14</v>
      </c>
      <c r="H388" s="8">
        <v>26</v>
      </c>
      <c r="I388" s="8">
        <v>140102</v>
      </c>
    </row>
    <row r="389" spans="1:9" x14ac:dyDescent="0.2">
      <c r="A389" s="8" t="s">
        <v>260</v>
      </c>
      <c r="B389" s="8">
        <v>303</v>
      </c>
      <c r="C389" s="8" t="s">
        <v>438</v>
      </c>
      <c r="D389" s="8" t="s">
        <v>61</v>
      </c>
      <c r="E389" s="8">
        <v>1</v>
      </c>
      <c r="F389" s="8">
        <v>196</v>
      </c>
      <c r="G389" s="8">
        <v>14</v>
      </c>
      <c r="H389" s="8">
        <v>596</v>
      </c>
      <c r="I389" s="8">
        <v>140128</v>
      </c>
    </row>
    <row r="390" spans="1:9" x14ac:dyDescent="0.2">
      <c r="A390" s="8" t="s">
        <v>260</v>
      </c>
      <c r="B390" s="8">
        <v>5700</v>
      </c>
      <c r="C390" s="8" t="s">
        <v>518</v>
      </c>
      <c r="D390" s="8" t="s">
        <v>57</v>
      </c>
      <c r="E390" s="8">
        <v>157</v>
      </c>
      <c r="F390" s="8">
        <v>1</v>
      </c>
      <c r="G390" s="8">
        <v>14</v>
      </c>
      <c r="H390" s="8">
        <v>385</v>
      </c>
      <c r="I390" s="8">
        <v>140121</v>
      </c>
    </row>
    <row r="391" spans="1:9" x14ac:dyDescent="0.2">
      <c r="A391" s="8" t="s">
        <v>260</v>
      </c>
      <c r="B391" s="8">
        <v>5732</v>
      </c>
      <c r="C391" s="8" t="s">
        <v>241</v>
      </c>
      <c r="D391" s="8" t="s">
        <v>57</v>
      </c>
      <c r="E391" s="8">
        <v>159</v>
      </c>
      <c r="F391" s="8">
        <v>9</v>
      </c>
      <c r="G391" s="8">
        <v>14</v>
      </c>
      <c r="H391" s="8">
        <v>552</v>
      </c>
      <c r="I391" s="8">
        <v>140127</v>
      </c>
    </row>
    <row r="392" spans="1:9" x14ac:dyDescent="0.2">
      <c r="A392" s="8" t="s">
        <v>260</v>
      </c>
      <c r="B392" s="8">
        <v>1621</v>
      </c>
      <c r="C392" s="8" t="s">
        <v>217</v>
      </c>
      <c r="D392" s="8" t="s">
        <v>59</v>
      </c>
      <c r="E392" s="8">
        <v>13</v>
      </c>
      <c r="F392" s="8">
        <v>6</v>
      </c>
      <c r="G392" s="8">
        <v>14</v>
      </c>
      <c r="H392" s="8">
        <v>132</v>
      </c>
      <c r="I392" s="8">
        <v>140108</v>
      </c>
    </row>
    <row r="393" spans="1:9" x14ac:dyDescent="0.2">
      <c r="A393" s="8" t="s">
        <v>260</v>
      </c>
      <c r="B393" s="8">
        <v>1063</v>
      </c>
      <c r="C393" s="8" t="s">
        <v>381</v>
      </c>
      <c r="D393" s="8" t="s">
        <v>95</v>
      </c>
      <c r="E393" s="8">
        <v>3</v>
      </c>
      <c r="F393" s="8">
        <v>21</v>
      </c>
      <c r="G393" s="8">
        <v>14</v>
      </c>
      <c r="H393" s="8">
        <v>247</v>
      </c>
      <c r="I393" s="8">
        <v>140113</v>
      </c>
    </row>
    <row r="394" spans="1:9" x14ac:dyDescent="0.2">
      <c r="A394" s="8" t="s">
        <v>260</v>
      </c>
      <c r="B394" s="8">
        <v>6104</v>
      </c>
      <c r="C394" s="8" t="s">
        <v>218</v>
      </c>
      <c r="D394" s="8" t="s">
        <v>82</v>
      </c>
      <c r="E394" s="8">
        <v>6</v>
      </c>
      <c r="F394" s="8">
        <v>2</v>
      </c>
      <c r="G394" s="8">
        <v>14</v>
      </c>
      <c r="H394" s="8">
        <v>207</v>
      </c>
      <c r="I394" s="8">
        <v>140110</v>
      </c>
    </row>
    <row r="395" spans="1:9" x14ac:dyDescent="0.2">
      <c r="A395" s="8" t="s">
        <v>260</v>
      </c>
      <c r="B395" s="8">
        <v>461</v>
      </c>
      <c r="C395" s="8" t="s">
        <v>219</v>
      </c>
      <c r="D395" s="8" t="s">
        <v>258</v>
      </c>
      <c r="E395" s="8">
        <v>1</v>
      </c>
      <c r="F395" s="8">
        <v>15</v>
      </c>
      <c r="G395" s="8">
        <v>14</v>
      </c>
      <c r="H395" s="8">
        <v>581</v>
      </c>
      <c r="I395" s="8">
        <v>140128</v>
      </c>
    </row>
    <row r="396" spans="1:9" x14ac:dyDescent="0.2">
      <c r="A396" s="8" t="s">
        <v>260</v>
      </c>
      <c r="B396" s="8">
        <v>925</v>
      </c>
      <c r="C396" s="8" t="s">
        <v>219</v>
      </c>
      <c r="D396" s="8" t="s">
        <v>57</v>
      </c>
      <c r="E396" s="8">
        <v>67</v>
      </c>
      <c r="F396" s="8">
        <v>8</v>
      </c>
      <c r="G396" s="8">
        <v>14</v>
      </c>
      <c r="H396" s="8">
        <v>492</v>
      </c>
      <c r="I396" s="8">
        <v>140124</v>
      </c>
    </row>
    <row r="397" spans="1:9" x14ac:dyDescent="0.2">
      <c r="A397" s="8" t="s">
        <v>260</v>
      </c>
      <c r="B397" s="8">
        <v>6684</v>
      </c>
      <c r="C397" s="8" t="s">
        <v>519</v>
      </c>
      <c r="D397" s="8" t="s">
        <v>285</v>
      </c>
      <c r="E397" s="8">
        <v>1</v>
      </c>
      <c r="F397" s="8">
        <v>5</v>
      </c>
      <c r="G397" s="8">
        <v>14</v>
      </c>
      <c r="H397" s="8">
        <v>702</v>
      </c>
      <c r="I397" s="8">
        <v>140131</v>
      </c>
    </row>
    <row r="398" spans="1:9" x14ac:dyDescent="0.2">
      <c r="A398" s="8" t="s">
        <v>260</v>
      </c>
      <c r="B398" s="8">
        <v>6463</v>
      </c>
      <c r="C398" s="8" t="s">
        <v>520</v>
      </c>
      <c r="D398" s="8" t="s">
        <v>521</v>
      </c>
      <c r="E398" s="8">
        <v>1</v>
      </c>
      <c r="F398" s="8">
        <v>35</v>
      </c>
      <c r="G398" s="8">
        <v>14</v>
      </c>
      <c r="H398" s="8">
        <v>387</v>
      </c>
      <c r="I398" s="8">
        <v>140121</v>
      </c>
    </row>
    <row r="399" spans="1:9" x14ac:dyDescent="0.2">
      <c r="A399" s="8" t="s">
        <v>260</v>
      </c>
      <c r="B399" s="8">
        <v>1314</v>
      </c>
      <c r="C399" s="8" t="s">
        <v>522</v>
      </c>
      <c r="D399" s="8" t="s">
        <v>523</v>
      </c>
      <c r="E399" s="8">
        <v>4</v>
      </c>
      <c r="F399" s="8">
        <v>4</v>
      </c>
      <c r="G399" s="8">
        <v>14</v>
      </c>
      <c r="H399" s="8">
        <v>508</v>
      </c>
      <c r="I399" s="8">
        <v>140124</v>
      </c>
    </row>
    <row r="400" spans="1:9" x14ac:dyDescent="0.2">
      <c r="A400" s="8" t="s">
        <v>260</v>
      </c>
      <c r="B400" s="8">
        <v>601</v>
      </c>
      <c r="C400" s="8" t="s">
        <v>72</v>
      </c>
      <c r="D400" s="8" t="s">
        <v>71</v>
      </c>
      <c r="E400" s="8">
        <v>3</v>
      </c>
      <c r="F400" s="8" t="s">
        <v>172</v>
      </c>
      <c r="G400" s="8">
        <v>14</v>
      </c>
      <c r="H400" s="8">
        <v>334</v>
      </c>
      <c r="I400" s="8">
        <v>140116</v>
      </c>
    </row>
    <row r="401" spans="1:9" x14ac:dyDescent="0.2">
      <c r="A401" s="8" t="s">
        <v>260</v>
      </c>
      <c r="B401" s="8">
        <v>612</v>
      </c>
      <c r="C401" s="8" t="s">
        <v>72</v>
      </c>
      <c r="D401" s="8" t="s">
        <v>71</v>
      </c>
      <c r="E401" s="8">
        <v>3</v>
      </c>
      <c r="F401" s="8">
        <v>9</v>
      </c>
      <c r="G401" s="8">
        <v>14</v>
      </c>
      <c r="H401" s="8">
        <v>303</v>
      </c>
      <c r="I401" s="8">
        <v>140115</v>
      </c>
    </row>
    <row r="402" spans="1:9" x14ac:dyDescent="0.2">
      <c r="A402" s="8" t="s">
        <v>260</v>
      </c>
      <c r="B402" s="8">
        <v>7108</v>
      </c>
      <c r="C402" s="8" t="s">
        <v>220</v>
      </c>
      <c r="D402" s="8" t="s">
        <v>221</v>
      </c>
      <c r="E402" s="8">
        <v>4</v>
      </c>
      <c r="F402" s="8">
        <v>42</v>
      </c>
      <c r="G402" s="8">
        <v>14</v>
      </c>
      <c r="H402" s="8">
        <v>244</v>
      </c>
      <c r="I402" s="8">
        <v>140113</v>
      </c>
    </row>
    <row r="403" spans="1:9" x14ac:dyDescent="0.2">
      <c r="A403" s="8" t="s">
        <v>260</v>
      </c>
      <c r="B403" s="8">
        <v>7112</v>
      </c>
      <c r="C403" s="8" t="s">
        <v>220</v>
      </c>
      <c r="D403" s="8" t="s">
        <v>221</v>
      </c>
      <c r="E403" s="8">
        <v>4</v>
      </c>
      <c r="F403" s="8">
        <v>41</v>
      </c>
      <c r="G403" s="8">
        <v>14</v>
      </c>
      <c r="H403" s="8">
        <v>589</v>
      </c>
      <c r="I403" s="8">
        <v>140128</v>
      </c>
    </row>
    <row r="404" spans="1:9" x14ac:dyDescent="0.2">
      <c r="A404" s="8" t="s">
        <v>260</v>
      </c>
      <c r="B404" s="8">
        <v>7116</v>
      </c>
      <c r="C404" s="8" t="s">
        <v>220</v>
      </c>
      <c r="D404" s="8" t="s">
        <v>221</v>
      </c>
      <c r="E404" s="8">
        <v>4</v>
      </c>
      <c r="F404" s="8">
        <v>40</v>
      </c>
      <c r="G404" s="8">
        <v>14</v>
      </c>
      <c r="H404" s="8">
        <v>243</v>
      </c>
      <c r="I404" s="8">
        <v>140113</v>
      </c>
    </row>
    <row r="405" spans="1:9" x14ac:dyDescent="0.2">
      <c r="A405" s="8" t="s">
        <v>260</v>
      </c>
      <c r="B405" s="8">
        <v>1251</v>
      </c>
      <c r="C405" s="8" t="s">
        <v>443</v>
      </c>
      <c r="D405" s="8" t="s">
        <v>57</v>
      </c>
      <c r="E405" s="8">
        <v>139</v>
      </c>
      <c r="F405" s="8">
        <v>6</v>
      </c>
      <c r="G405" s="8">
        <v>14</v>
      </c>
      <c r="H405" s="8">
        <v>686</v>
      </c>
      <c r="I405" s="8">
        <v>140131</v>
      </c>
    </row>
    <row r="406" spans="1:9" x14ac:dyDescent="0.2">
      <c r="A406" s="8" t="s">
        <v>260</v>
      </c>
      <c r="B406" s="8">
        <v>4100</v>
      </c>
      <c r="C406" s="8" t="s">
        <v>174</v>
      </c>
      <c r="D406" s="8" t="s">
        <v>524</v>
      </c>
      <c r="E406" s="8"/>
      <c r="F406" s="8"/>
      <c r="G406" s="8">
        <v>14</v>
      </c>
      <c r="H406" s="8">
        <v>587</v>
      </c>
      <c r="I406" s="8">
        <v>140128</v>
      </c>
    </row>
    <row r="407" spans="1:9" x14ac:dyDescent="0.2">
      <c r="A407" s="8" t="s">
        <v>260</v>
      </c>
      <c r="B407" s="8">
        <v>104</v>
      </c>
      <c r="C407" s="8" t="s">
        <v>292</v>
      </c>
      <c r="D407" s="8" t="s">
        <v>275</v>
      </c>
      <c r="E407" s="8">
        <v>2</v>
      </c>
      <c r="F407" s="8">
        <v>2</v>
      </c>
      <c r="G407" s="8">
        <v>14</v>
      </c>
      <c r="H407" s="8">
        <v>651</v>
      </c>
      <c r="I407" s="8">
        <v>140130</v>
      </c>
    </row>
    <row r="408" spans="1:9" x14ac:dyDescent="0.2">
      <c r="A408" s="8" t="s">
        <v>260</v>
      </c>
      <c r="B408" s="8">
        <v>1813</v>
      </c>
      <c r="C408" s="8" t="s">
        <v>222</v>
      </c>
      <c r="D408" s="8" t="s">
        <v>223</v>
      </c>
      <c r="E408" s="8"/>
      <c r="F408" s="8">
        <v>49</v>
      </c>
      <c r="G408" s="8">
        <v>14</v>
      </c>
      <c r="H408" s="8">
        <v>69</v>
      </c>
      <c r="I408" s="8">
        <v>140106</v>
      </c>
    </row>
    <row r="409" spans="1:9" x14ac:dyDescent="0.2">
      <c r="A409" s="8" t="s">
        <v>260</v>
      </c>
      <c r="B409" s="8">
        <v>79</v>
      </c>
      <c r="C409" s="8" t="s">
        <v>294</v>
      </c>
      <c r="D409" s="8" t="s">
        <v>182</v>
      </c>
      <c r="E409" s="8">
        <v>5</v>
      </c>
      <c r="F409" s="8">
        <v>4</v>
      </c>
      <c r="G409" s="8">
        <v>14</v>
      </c>
      <c r="H409" s="8">
        <v>593</v>
      </c>
      <c r="I409" s="8">
        <v>140128</v>
      </c>
    </row>
    <row r="410" spans="1:9" x14ac:dyDescent="0.2">
      <c r="A410" s="8" t="s">
        <v>260</v>
      </c>
      <c r="B410" s="8">
        <v>5420</v>
      </c>
      <c r="C410" s="8" t="s">
        <v>525</v>
      </c>
      <c r="D410" s="8" t="s">
        <v>57</v>
      </c>
      <c r="E410" s="8">
        <v>148</v>
      </c>
      <c r="F410" s="8">
        <v>6</v>
      </c>
      <c r="G410" s="8">
        <v>14</v>
      </c>
      <c r="H410" s="8">
        <v>206</v>
      </c>
      <c r="I410" s="8">
        <v>140110</v>
      </c>
    </row>
    <row r="411" spans="1:9" x14ac:dyDescent="0.2">
      <c r="A411" s="8" t="s">
        <v>260</v>
      </c>
      <c r="B411" s="8">
        <v>5520</v>
      </c>
      <c r="C411" s="8" t="s">
        <v>526</v>
      </c>
      <c r="D411" s="8" t="s">
        <v>57</v>
      </c>
      <c r="E411" s="8">
        <v>76</v>
      </c>
      <c r="F411" s="8">
        <v>7</v>
      </c>
      <c r="G411" s="8">
        <v>14</v>
      </c>
      <c r="H411" s="8">
        <v>174</v>
      </c>
      <c r="I411" s="8">
        <v>140109</v>
      </c>
    </row>
    <row r="412" spans="1:9" x14ac:dyDescent="0.2">
      <c r="A412" s="8" t="s">
        <v>260</v>
      </c>
      <c r="B412" s="8">
        <v>343</v>
      </c>
      <c r="C412" s="8" t="s">
        <v>447</v>
      </c>
      <c r="D412" s="8" t="s">
        <v>448</v>
      </c>
      <c r="E412" s="8">
        <v>2</v>
      </c>
      <c r="F412" s="8">
        <v>15</v>
      </c>
      <c r="G412" s="8">
        <v>14</v>
      </c>
      <c r="H412" s="8">
        <v>62</v>
      </c>
      <c r="I412" s="8">
        <v>140106</v>
      </c>
    </row>
    <row r="413" spans="1:9" x14ac:dyDescent="0.2">
      <c r="A413" s="8" t="s">
        <v>260</v>
      </c>
      <c r="B413" s="8">
        <v>720</v>
      </c>
      <c r="C413" s="8" t="s">
        <v>224</v>
      </c>
      <c r="D413" s="8" t="s">
        <v>207</v>
      </c>
      <c r="E413" s="8">
        <v>2</v>
      </c>
      <c r="F413" s="8">
        <v>3</v>
      </c>
      <c r="G413" s="8">
        <v>14</v>
      </c>
      <c r="H413" s="8">
        <v>621</v>
      </c>
      <c r="I413" s="8">
        <v>140129</v>
      </c>
    </row>
    <row r="414" spans="1:9" x14ac:dyDescent="0.2">
      <c r="A414" s="8" t="s">
        <v>260</v>
      </c>
      <c r="B414" s="8">
        <v>741</v>
      </c>
      <c r="C414" s="8" t="s">
        <v>224</v>
      </c>
      <c r="D414" s="8" t="s">
        <v>207</v>
      </c>
      <c r="E414" s="8">
        <v>1</v>
      </c>
      <c r="F414" s="8">
        <v>14</v>
      </c>
      <c r="G414" s="8">
        <v>14</v>
      </c>
      <c r="H414" s="8">
        <v>444</v>
      </c>
      <c r="I414" s="8">
        <v>140122</v>
      </c>
    </row>
    <row r="415" spans="1:9" x14ac:dyDescent="0.2">
      <c r="A415" s="8" t="s">
        <v>260</v>
      </c>
      <c r="B415" s="8">
        <v>3804</v>
      </c>
      <c r="C415" s="8" t="s">
        <v>225</v>
      </c>
      <c r="D415" s="8" t="s">
        <v>53</v>
      </c>
      <c r="E415" s="8" t="s">
        <v>172</v>
      </c>
      <c r="F415" s="8">
        <v>14</v>
      </c>
      <c r="G415" s="8">
        <v>14</v>
      </c>
      <c r="H415" s="8">
        <v>96</v>
      </c>
      <c r="I415" s="8">
        <v>140107</v>
      </c>
    </row>
    <row r="416" spans="1:9" x14ac:dyDescent="0.2">
      <c r="A416" s="8" t="s">
        <v>260</v>
      </c>
      <c r="B416" s="8">
        <v>2452</v>
      </c>
      <c r="C416" s="8" t="s">
        <v>450</v>
      </c>
      <c r="D416" s="8" t="s">
        <v>421</v>
      </c>
      <c r="E416" s="8">
        <v>4</v>
      </c>
      <c r="F416" s="8">
        <v>30</v>
      </c>
      <c r="G416" s="8">
        <v>14</v>
      </c>
      <c r="H416" s="8">
        <v>82</v>
      </c>
      <c r="I416" s="8">
        <v>140106</v>
      </c>
    </row>
    <row r="417" spans="1:9" x14ac:dyDescent="0.2">
      <c r="A417" s="8" t="s">
        <v>260</v>
      </c>
      <c r="B417" s="8">
        <v>616</v>
      </c>
      <c r="C417" s="8" t="s">
        <v>527</v>
      </c>
      <c r="D417" s="8" t="s">
        <v>528</v>
      </c>
      <c r="E417" s="8">
        <v>2</v>
      </c>
      <c r="F417" s="8">
        <v>28</v>
      </c>
      <c r="G417" s="8">
        <v>14</v>
      </c>
      <c r="H417" s="8">
        <v>356</v>
      </c>
      <c r="I417" s="8">
        <v>140117</v>
      </c>
    </row>
    <row r="418" spans="1:9" x14ac:dyDescent="0.2">
      <c r="A418" s="8" t="s">
        <v>260</v>
      </c>
      <c r="B418" s="8">
        <v>2525</v>
      </c>
      <c r="C418" s="8" t="s">
        <v>529</v>
      </c>
      <c r="D418" s="8" t="s">
        <v>69</v>
      </c>
      <c r="E418" s="8">
        <v>12</v>
      </c>
      <c r="F418" s="8">
        <v>11</v>
      </c>
      <c r="G418" s="8">
        <v>14</v>
      </c>
      <c r="H418" s="8">
        <v>441</v>
      </c>
      <c r="I418" s="8">
        <v>140122</v>
      </c>
    </row>
    <row r="419" spans="1:9" x14ac:dyDescent="0.2">
      <c r="A419" s="8" t="s">
        <v>260</v>
      </c>
      <c r="B419" s="8">
        <v>277</v>
      </c>
      <c r="C419" s="8" t="s">
        <v>297</v>
      </c>
      <c r="D419" s="8" t="s">
        <v>298</v>
      </c>
      <c r="E419" s="8">
        <v>1</v>
      </c>
      <c r="F419" s="8">
        <v>24</v>
      </c>
      <c r="G419" s="8">
        <v>14</v>
      </c>
      <c r="H419" s="8">
        <v>256</v>
      </c>
      <c r="I419" s="8">
        <v>140113</v>
      </c>
    </row>
    <row r="420" spans="1:9" x14ac:dyDescent="0.2">
      <c r="A420" s="8" t="s">
        <v>260</v>
      </c>
      <c r="B420" s="8">
        <v>401</v>
      </c>
      <c r="C420" s="8" t="s">
        <v>297</v>
      </c>
      <c r="D420" s="8" t="s">
        <v>298</v>
      </c>
      <c r="E420" s="8">
        <v>1</v>
      </c>
      <c r="F420" s="8">
        <v>7</v>
      </c>
      <c r="G420" s="8">
        <v>14</v>
      </c>
      <c r="H420" s="8">
        <v>51</v>
      </c>
      <c r="I420" s="8">
        <v>140103</v>
      </c>
    </row>
    <row r="421" spans="1:9" x14ac:dyDescent="0.2">
      <c r="A421" s="8" t="s">
        <v>260</v>
      </c>
      <c r="B421" s="8">
        <v>515</v>
      </c>
      <c r="C421" s="8" t="s">
        <v>297</v>
      </c>
      <c r="D421" s="8" t="s">
        <v>54</v>
      </c>
      <c r="E421" s="8" t="s">
        <v>452</v>
      </c>
      <c r="F421" s="8" t="s">
        <v>453</v>
      </c>
      <c r="G421" s="8">
        <v>14</v>
      </c>
      <c r="H421" s="8">
        <v>225</v>
      </c>
      <c r="I421" s="8">
        <v>140113</v>
      </c>
    </row>
    <row r="422" spans="1:9" x14ac:dyDescent="0.2">
      <c r="A422" s="8" t="s">
        <v>260</v>
      </c>
      <c r="B422" s="8">
        <v>515</v>
      </c>
      <c r="C422" s="8" t="s">
        <v>297</v>
      </c>
      <c r="D422" s="8" t="s">
        <v>54</v>
      </c>
      <c r="E422" s="8" t="s">
        <v>452</v>
      </c>
      <c r="F422" s="8" t="s">
        <v>453</v>
      </c>
      <c r="G422" s="8">
        <v>14</v>
      </c>
      <c r="H422" s="8">
        <v>226</v>
      </c>
      <c r="I422" s="8">
        <v>140113</v>
      </c>
    </row>
    <row r="423" spans="1:9" x14ac:dyDescent="0.2">
      <c r="A423" s="8" t="s">
        <v>260</v>
      </c>
      <c r="B423" s="8">
        <v>515</v>
      </c>
      <c r="C423" s="8" t="s">
        <v>297</v>
      </c>
      <c r="D423" s="8" t="s">
        <v>54</v>
      </c>
      <c r="E423" s="8" t="s">
        <v>452</v>
      </c>
      <c r="F423" s="8" t="s">
        <v>453</v>
      </c>
      <c r="G423" s="8">
        <v>14</v>
      </c>
      <c r="H423" s="8">
        <v>227</v>
      </c>
      <c r="I423" s="8">
        <v>140113</v>
      </c>
    </row>
    <row r="424" spans="1:9" x14ac:dyDescent="0.2">
      <c r="A424" s="8" t="s">
        <v>260</v>
      </c>
      <c r="B424" s="8">
        <v>515</v>
      </c>
      <c r="C424" s="8" t="s">
        <v>297</v>
      </c>
      <c r="D424" s="8" t="s">
        <v>54</v>
      </c>
      <c r="E424" s="8" t="s">
        <v>452</v>
      </c>
      <c r="F424" s="8" t="s">
        <v>453</v>
      </c>
      <c r="G424" s="8">
        <v>14</v>
      </c>
      <c r="H424" s="8">
        <v>228</v>
      </c>
      <c r="I424" s="8">
        <v>140113</v>
      </c>
    </row>
    <row r="425" spans="1:9" x14ac:dyDescent="0.2">
      <c r="A425" s="8" t="s">
        <v>260</v>
      </c>
      <c r="B425" s="8">
        <v>1913</v>
      </c>
      <c r="C425" s="8" t="s">
        <v>530</v>
      </c>
      <c r="D425" s="8" t="s">
        <v>531</v>
      </c>
      <c r="E425" s="8">
        <v>3</v>
      </c>
      <c r="F425" s="8">
        <v>4</v>
      </c>
      <c r="G425" s="8">
        <v>14</v>
      </c>
      <c r="H425" s="8">
        <v>571</v>
      </c>
      <c r="I425" s="8">
        <v>140128</v>
      </c>
    </row>
    <row r="426" spans="1:9" x14ac:dyDescent="0.2">
      <c r="A426" s="8" t="s">
        <v>260</v>
      </c>
      <c r="B426" s="8">
        <v>2216</v>
      </c>
      <c r="C426" s="8" t="s">
        <v>76</v>
      </c>
      <c r="D426" s="8" t="s">
        <v>77</v>
      </c>
      <c r="E426" s="8">
        <v>1</v>
      </c>
      <c r="F426" s="8">
        <v>40</v>
      </c>
      <c r="G426" s="8">
        <v>14</v>
      </c>
      <c r="H426" s="8">
        <v>264</v>
      </c>
      <c r="I426" s="8">
        <v>140114</v>
      </c>
    </row>
    <row r="427" spans="1:9" x14ac:dyDescent="0.2">
      <c r="A427" s="8" t="s">
        <v>260</v>
      </c>
      <c r="B427" s="8">
        <v>2249</v>
      </c>
      <c r="C427" s="8" t="s">
        <v>76</v>
      </c>
      <c r="D427" s="8" t="s">
        <v>77</v>
      </c>
      <c r="E427" s="8">
        <v>10</v>
      </c>
      <c r="F427" s="8">
        <v>1</v>
      </c>
      <c r="G427" s="8">
        <v>14</v>
      </c>
      <c r="H427" s="8">
        <v>45</v>
      </c>
      <c r="I427" s="8">
        <v>140103</v>
      </c>
    </row>
    <row r="428" spans="1:9" x14ac:dyDescent="0.2">
      <c r="A428" s="8" t="s">
        <v>260</v>
      </c>
      <c r="B428" s="8">
        <v>2716</v>
      </c>
      <c r="C428" s="8" t="s">
        <v>76</v>
      </c>
      <c r="D428" s="8" t="s">
        <v>77</v>
      </c>
      <c r="E428" s="8">
        <v>3</v>
      </c>
      <c r="F428" s="8">
        <v>12</v>
      </c>
      <c r="G428" s="8">
        <v>14</v>
      </c>
      <c r="H428" s="8">
        <v>223</v>
      </c>
      <c r="I428" s="8">
        <v>140110</v>
      </c>
    </row>
    <row r="429" spans="1:9" x14ac:dyDescent="0.2">
      <c r="A429" s="8" t="s">
        <v>260</v>
      </c>
      <c r="B429" s="8">
        <v>1549</v>
      </c>
      <c r="C429" s="8" t="s">
        <v>251</v>
      </c>
      <c r="D429" s="8" t="s">
        <v>59</v>
      </c>
      <c r="E429" s="8">
        <v>1</v>
      </c>
      <c r="F429" s="8">
        <v>36</v>
      </c>
      <c r="G429" s="8">
        <v>14</v>
      </c>
      <c r="H429" s="8">
        <v>127</v>
      </c>
      <c r="I429" s="8">
        <v>140108</v>
      </c>
    </row>
    <row r="430" spans="1:9" x14ac:dyDescent="0.2">
      <c r="A430" s="8" t="s">
        <v>260</v>
      </c>
      <c r="B430" s="8">
        <v>1623</v>
      </c>
      <c r="C430" s="8" t="s">
        <v>251</v>
      </c>
      <c r="D430" s="8" t="s">
        <v>59</v>
      </c>
      <c r="E430" s="8">
        <v>1</v>
      </c>
      <c r="F430" s="8">
        <v>30</v>
      </c>
      <c r="G430" s="8">
        <v>14</v>
      </c>
      <c r="H430" s="8">
        <v>24</v>
      </c>
      <c r="I430" s="8">
        <v>140102</v>
      </c>
    </row>
    <row r="431" spans="1:9" x14ac:dyDescent="0.2">
      <c r="A431" s="8" t="s">
        <v>260</v>
      </c>
      <c r="B431" s="8">
        <v>622</v>
      </c>
      <c r="C431" s="8" t="s">
        <v>252</v>
      </c>
      <c r="D431" s="8" t="s">
        <v>71</v>
      </c>
      <c r="E431" s="8">
        <v>2</v>
      </c>
      <c r="F431" s="8">
        <v>9</v>
      </c>
      <c r="G431" s="8">
        <v>14</v>
      </c>
      <c r="H431" s="8">
        <v>467</v>
      </c>
      <c r="I431" s="8">
        <v>140123</v>
      </c>
    </row>
    <row r="432" spans="1:9" x14ac:dyDescent="0.2">
      <c r="A432" s="8" t="s">
        <v>260</v>
      </c>
      <c r="B432" s="8">
        <v>340</v>
      </c>
      <c r="C432" s="8" t="s">
        <v>392</v>
      </c>
      <c r="D432" s="8" t="s">
        <v>393</v>
      </c>
      <c r="E432" s="8">
        <v>2</v>
      </c>
      <c r="F432" s="8">
        <v>6</v>
      </c>
      <c r="G432" s="8">
        <v>14</v>
      </c>
      <c r="H432" s="8">
        <v>201</v>
      </c>
      <c r="I432" s="8">
        <v>140110</v>
      </c>
    </row>
    <row r="433" spans="1:9" x14ac:dyDescent="0.2">
      <c r="A433" s="8" t="s">
        <v>260</v>
      </c>
      <c r="B433" s="8">
        <v>638</v>
      </c>
      <c r="C433" s="8" t="s">
        <v>392</v>
      </c>
      <c r="D433" s="8" t="s">
        <v>295</v>
      </c>
      <c r="E433" s="8">
        <v>9</v>
      </c>
      <c r="F433" s="8">
        <v>5</v>
      </c>
      <c r="G433" s="8">
        <v>14</v>
      </c>
      <c r="H433" s="8">
        <v>530</v>
      </c>
      <c r="I433" s="8">
        <v>140127</v>
      </c>
    </row>
    <row r="434" spans="1:9" x14ac:dyDescent="0.2">
      <c r="A434" s="8" t="s">
        <v>260</v>
      </c>
      <c r="B434" s="8">
        <v>1307</v>
      </c>
      <c r="C434" s="8" t="s">
        <v>137</v>
      </c>
      <c r="D434" s="8" t="s">
        <v>90</v>
      </c>
      <c r="E434" s="8">
        <v>1</v>
      </c>
      <c r="F434" s="8">
        <v>20</v>
      </c>
      <c r="G434" s="8">
        <v>14</v>
      </c>
      <c r="H434" s="8">
        <v>393</v>
      </c>
      <c r="I434" s="8">
        <v>140121</v>
      </c>
    </row>
    <row r="435" spans="1:9" x14ac:dyDescent="0.2">
      <c r="A435" s="8" t="s">
        <v>260</v>
      </c>
      <c r="B435" s="8">
        <v>7111</v>
      </c>
      <c r="C435" s="8" t="s">
        <v>226</v>
      </c>
      <c r="D435" s="8" t="s">
        <v>221</v>
      </c>
      <c r="E435" s="8">
        <v>4</v>
      </c>
      <c r="F435" s="8">
        <v>3</v>
      </c>
      <c r="G435" s="8">
        <v>14</v>
      </c>
      <c r="H435" s="8">
        <v>368</v>
      </c>
      <c r="I435" s="8">
        <v>140117</v>
      </c>
    </row>
    <row r="436" spans="1:9" x14ac:dyDescent="0.2">
      <c r="A436" s="8" t="s">
        <v>260</v>
      </c>
      <c r="B436" s="8">
        <v>7115</v>
      </c>
      <c r="C436" s="8" t="s">
        <v>226</v>
      </c>
      <c r="D436" s="8" t="s">
        <v>221</v>
      </c>
      <c r="E436" s="8">
        <v>4</v>
      </c>
      <c r="F436" s="8">
        <v>4</v>
      </c>
      <c r="G436" s="8">
        <v>14</v>
      </c>
      <c r="H436" s="8">
        <v>364</v>
      </c>
      <c r="I436" s="8">
        <v>140117</v>
      </c>
    </row>
    <row r="437" spans="1:9" x14ac:dyDescent="0.2">
      <c r="A437" s="8" t="s">
        <v>260</v>
      </c>
      <c r="B437" s="8">
        <v>415</v>
      </c>
      <c r="C437" s="8" t="s">
        <v>398</v>
      </c>
      <c r="D437" s="8" t="s">
        <v>295</v>
      </c>
      <c r="E437" s="8">
        <v>22</v>
      </c>
      <c r="F437" s="8">
        <v>17</v>
      </c>
      <c r="G437" s="8">
        <v>14</v>
      </c>
      <c r="H437" s="8">
        <v>353</v>
      </c>
      <c r="I437" s="8">
        <v>140117</v>
      </c>
    </row>
    <row r="438" spans="1:9" x14ac:dyDescent="0.2">
      <c r="A438" s="8" t="s">
        <v>260</v>
      </c>
      <c r="B438" s="8">
        <v>2512</v>
      </c>
      <c r="C438" s="8" t="s">
        <v>532</v>
      </c>
      <c r="D438" s="8" t="s">
        <v>69</v>
      </c>
      <c r="E438" s="8">
        <v>14</v>
      </c>
      <c r="F438" s="8">
        <v>18</v>
      </c>
      <c r="G438" s="8">
        <v>14</v>
      </c>
      <c r="H438" s="8">
        <v>137</v>
      </c>
      <c r="I438" s="8">
        <v>140108</v>
      </c>
    </row>
    <row r="439" spans="1:9" x14ac:dyDescent="0.2">
      <c r="A439" s="8" t="s">
        <v>260</v>
      </c>
      <c r="B439" s="8">
        <v>1920</v>
      </c>
      <c r="C439" s="8" t="s">
        <v>533</v>
      </c>
      <c r="D439" s="8" t="s">
        <v>96</v>
      </c>
      <c r="E439" s="8">
        <v>8</v>
      </c>
      <c r="F439" s="8">
        <v>11</v>
      </c>
      <c r="G439" s="8">
        <v>14</v>
      </c>
      <c r="H439" s="8">
        <v>415</v>
      </c>
      <c r="I439" s="8">
        <v>140122</v>
      </c>
    </row>
    <row r="440" spans="1:9" x14ac:dyDescent="0.2">
      <c r="A440" s="8" t="s">
        <v>260</v>
      </c>
      <c r="B440" s="8">
        <v>1961</v>
      </c>
      <c r="C440" s="8" t="s">
        <v>533</v>
      </c>
      <c r="D440" s="8" t="s">
        <v>96</v>
      </c>
      <c r="E440" s="8">
        <v>3</v>
      </c>
      <c r="F440" s="8">
        <v>22</v>
      </c>
      <c r="G440" s="8">
        <v>14</v>
      </c>
      <c r="H440" s="8">
        <v>433</v>
      </c>
      <c r="I440" s="8">
        <v>140122</v>
      </c>
    </row>
    <row r="441" spans="1:9" x14ac:dyDescent="0.2">
      <c r="A441" s="8" t="s">
        <v>260</v>
      </c>
      <c r="B441" s="8">
        <v>2940</v>
      </c>
      <c r="C441" s="8" t="s">
        <v>100</v>
      </c>
      <c r="D441" s="8" t="s">
        <v>101</v>
      </c>
      <c r="E441" s="8">
        <v>2</v>
      </c>
      <c r="F441" s="8">
        <v>29</v>
      </c>
      <c r="G441" s="8">
        <v>14</v>
      </c>
      <c r="H441" s="8">
        <v>620</v>
      </c>
      <c r="I441" s="8">
        <v>140129</v>
      </c>
    </row>
    <row r="442" spans="1:9" x14ac:dyDescent="0.2">
      <c r="A442" s="8" t="s">
        <v>260</v>
      </c>
      <c r="B442" s="8">
        <v>820</v>
      </c>
      <c r="C442" s="8" t="s">
        <v>183</v>
      </c>
      <c r="D442" s="8" t="s">
        <v>54</v>
      </c>
      <c r="E442" s="8">
        <v>2</v>
      </c>
      <c r="F442" s="8">
        <v>34</v>
      </c>
      <c r="G442" s="8">
        <v>14</v>
      </c>
      <c r="H442" s="8">
        <v>138</v>
      </c>
      <c r="I442" s="8">
        <v>140108</v>
      </c>
    </row>
    <row r="443" spans="1:9" x14ac:dyDescent="0.2">
      <c r="A443" s="8" t="s">
        <v>260</v>
      </c>
      <c r="B443" s="8">
        <v>1352</v>
      </c>
      <c r="C443" s="8" t="s">
        <v>457</v>
      </c>
      <c r="D443" s="8" t="s">
        <v>228</v>
      </c>
      <c r="E443" s="8">
        <v>14</v>
      </c>
      <c r="F443" s="8">
        <v>18</v>
      </c>
      <c r="G443" s="8">
        <v>14</v>
      </c>
      <c r="H443" s="8">
        <v>469</v>
      </c>
      <c r="I443" s="8">
        <v>140123</v>
      </c>
    </row>
    <row r="444" spans="1:9" x14ac:dyDescent="0.2">
      <c r="A444" s="8" t="s">
        <v>260</v>
      </c>
      <c r="B444" s="8">
        <v>305</v>
      </c>
      <c r="C444" s="8" t="s">
        <v>184</v>
      </c>
      <c r="D444" s="8" t="s">
        <v>54</v>
      </c>
      <c r="E444" s="8">
        <v>19</v>
      </c>
      <c r="F444" s="8">
        <v>41</v>
      </c>
      <c r="G444" s="8">
        <v>14</v>
      </c>
      <c r="H444" s="8">
        <v>595</v>
      </c>
      <c r="I444" s="8">
        <v>140128</v>
      </c>
    </row>
    <row r="445" spans="1:9" x14ac:dyDescent="0.2">
      <c r="A445" s="8" t="s">
        <v>260</v>
      </c>
      <c r="B445" s="8">
        <v>3026</v>
      </c>
      <c r="C445" s="8" t="s">
        <v>299</v>
      </c>
      <c r="D445" s="8" t="s">
        <v>52</v>
      </c>
      <c r="E445" s="8">
        <v>19</v>
      </c>
      <c r="F445" s="8">
        <v>10</v>
      </c>
      <c r="G445" s="8">
        <v>14</v>
      </c>
      <c r="H445" s="8">
        <v>533</v>
      </c>
      <c r="I445" s="8">
        <v>140127</v>
      </c>
    </row>
    <row r="446" spans="1:9" x14ac:dyDescent="0.2">
      <c r="A446" s="8" t="s">
        <v>260</v>
      </c>
      <c r="B446" s="8">
        <v>11</v>
      </c>
      <c r="C446" s="8" t="s">
        <v>242</v>
      </c>
      <c r="D446" s="8" t="s">
        <v>243</v>
      </c>
      <c r="E446" s="8">
        <v>71</v>
      </c>
      <c r="F446" s="8">
        <v>31</v>
      </c>
      <c r="G446" s="8">
        <v>14</v>
      </c>
      <c r="H446" s="8">
        <v>402</v>
      </c>
      <c r="I446" s="8">
        <v>140121</v>
      </c>
    </row>
    <row r="447" spans="1:9" x14ac:dyDescent="0.2">
      <c r="A447" s="8" t="s">
        <v>260</v>
      </c>
      <c r="B447" s="8">
        <v>805</v>
      </c>
      <c r="C447" s="8" t="s">
        <v>323</v>
      </c>
      <c r="D447" s="8" t="s">
        <v>54</v>
      </c>
      <c r="E447" s="8">
        <v>7</v>
      </c>
      <c r="F447" s="8">
        <v>52</v>
      </c>
      <c r="G447" s="8">
        <v>14</v>
      </c>
      <c r="H447" s="8">
        <v>647</v>
      </c>
      <c r="I447" s="8">
        <v>140130</v>
      </c>
    </row>
    <row r="448" spans="1:9" ht="22.5" x14ac:dyDescent="0.2">
      <c r="A448" s="105" t="s">
        <v>535</v>
      </c>
      <c r="B448" s="8">
        <f>447-276</f>
        <v>171</v>
      </c>
    </row>
    <row r="449" spans="1:2" ht="22.5" x14ac:dyDescent="0.2">
      <c r="A449" s="86" t="s">
        <v>301</v>
      </c>
      <c r="B449" s="99">
        <f>SUM(B169+B274+B448)</f>
        <v>434</v>
      </c>
    </row>
  </sheetData>
  <phoneticPr fontId="1" type="noConversion"/>
  <pageMargins left="0.5" right="0.5" top="0.5" bottom="0.5" header="0.5" footer="0.5"/>
  <pageSetup orientation="landscape" r:id="rId1"/>
  <headerFooter alignWithMargins="0"/>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ColWidth="8.85546875" defaultRowHeight="12.75" x14ac:dyDescent="0.2"/>
  <cols>
    <col min="1" max="1" width="22.140625" customWidth="1"/>
    <col min="2" max="2" width="12.28515625" customWidth="1"/>
  </cols>
  <sheetData>
    <row r="1" spans="1:3" x14ac:dyDescent="0.2">
      <c r="A1" t="s">
        <v>18</v>
      </c>
      <c r="C1">
        <v>44</v>
      </c>
    </row>
    <row r="2" spans="1:3" x14ac:dyDescent="0.2">
      <c r="A2" t="s">
        <v>19</v>
      </c>
      <c r="C2">
        <v>50</v>
      </c>
    </row>
    <row r="3" spans="1:3" x14ac:dyDescent="0.2">
      <c r="A3" t="s">
        <v>20</v>
      </c>
      <c r="C3">
        <v>122</v>
      </c>
    </row>
    <row r="4" spans="1:3" x14ac:dyDescent="0.2">
      <c r="A4" t="s">
        <v>21</v>
      </c>
      <c r="C4">
        <v>80</v>
      </c>
    </row>
    <row r="5" spans="1:3" x14ac:dyDescent="0.2">
      <c r="A5" t="s">
        <v>22</v>
      </c>
      <c r="C5">
        <v>130</v>
      </c>
    </row>
    <row r="6" spans="1:3" x14ac:dyDescent="0.2">
      <c r="A6" t="s">
        <v>23</v>
      </c>
      <c r="C6">
        <v>0</v>
      </c>
    </row>
    <row r="7" spans="1:3" x14ac:dyDescent="0.2">
      <c r="A7" t="s">
        <v>24</v>
      </c>
      <c r="C7">
        <v>2</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workbookViewId="0">
      <selection activeCell="B20" sqref="B20"/>
    </sheetView>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90" t="s">
        <v>42</v>
      </c>
      <c r="C1" s="90"/>
      <c r="D1" s="94"/>
      <c r="E1" s="94"/>
      <c r="F1" s="94"/>
    </row>
    <row r="2" spans="2:6" x14ac:dyDescent="0.2">
      <c r="B2" s="90" t="s">
        <v>43</v>
      </c>
      <c r="C2" s="90"/>
      <c r="D2" s="94"/>
      <c r="E2" s="94"/>
      <c r="F2" s="94"/>
    </row>
    <row r="3" spans="2:6" x14ac:dyDescent="0.2">
      <c r="B3" s="91"/>
      <c r="C3" s="91"/>
      <c r="D3" s="95"/>
      <c r="E3" s="95"/>
      <c r="F3" s="95"/>
    </row>
    <row r="4" spans="2:6" ht="51" x14ac:dyDescent="0.2">
      <c r="B4" s="91" t="s">
        <v>44</v>
      </c>
      <c r="C4" s="91"/>
      <c r="D4" s="95"/>
      <c r="E4" s="95"/>
      <c r="F4" s="95"/>
    </row>
    <row r="5" spans="2:6" x14ac:dyDescent="0.2">
      <c r="B5" s="91"/>
      <c r="C5" s="91"/>
      <c r="D5" s="95"/>
      <c r="E5" s="95"/>
      <c r="F5" s="95"/>
    </row>
    <row r="6" spans="2:6" x14ac:dyDescent="0.2">
      <c r="B6" s="90" t="s">
        <v>45</v>
      </c>
      <c r="C6" s="90"/>
      <c r="D6" s="94"/>
      <c r="E6" s="94" t="s">
        <v>46</v>
      </c>
      <c r="F6" s="94" t="s">
        <v>47</v>
      </c>
    </row>
    <row r="7" spans="2:6" ht="13.5" thickBot="1" x14ac:dyDescent="0.25">
      <c r="B7" s="91"/>
      <c r="C7" s="91"/>
      <c r="D7" s="95"/>
      <c r="E7" s="95"/>
      <c r="F7" s="95"/>
    </row>
    <row r="8" spans="2:6" ht="39" thickBot="1" x14ac:dyDescent="0.25">
      <c r="B8" s="92" t="s">
        <v>48</v>
      </c>
      <c r="C8" s="93"/>
      <c r="D8" s="96"/>
      <c r="E8" s="96">
        <v>1</v>
      </c>
      <c r="F8" s="97" t="s">
        <v>49</v>
      </c>
    </row>
    <row r="9" spans="2:6" x14ac:dyDescent="0.2">
      <c r="B9" s="91"/>
      <c r="C9" s="91"/>
      <c r="D9" s="95"/>
      <c r="E9" s="95"/>
      <c r="F9" s="95"/>
    </row>
    <row r="10" spans="2:6" x14ac:dyDescent="0.2">
      <c r="B10" s="91"/>
      <c r="C10" s="91"/>
      <c r="D10" s="95"/>
      <c r="E10" s="95"/>
      <c r="F10" s="95"/>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1</vt:i4>
      </vt:variant>
      <vt:variant>
        <vt:lpstr>Named Ranges</vt:lpstr>
      </vt:variant>
      <vt:variant>
        <vt:i4>3</vt:i4>
      </vt:variant>
    </vt:vector>
  </HeadingPairs>
  <TitlesOfParts>
    <vt:vector size="11" baseType="lpstr">
      <vt:lpstr>SFR</vt:lpstr>
      <vt:lpstr>ADDITION </vt:lpstr>
      <vt:lpstr>NON-RESIDENTIAL </vt:lpstr>
      <vt:lpstr>MULTIFAMILY  </vt:lpstr>
      <vt:lpstr>TRADES</vt:lpstr>
      <vt:lpstr>DATA</vt:lpstr>
      <vt:lpstr>Compatibility Report</vt:lpstr>
      <vt:lpstr>CHART</vt:lpstr>
      <vt:lpstr>'ADDITION '!Print_Titles</vt:lpstr>
      <vt:lpstr>SFR!Print_Titles</vt:lpstr>
      <vt:lpstr>TRADES!Print_Titles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NM IN DSD</cp:lastModifiedBy>
  <cp:lastPrinted>2014-02-11T23:08:00Z</cp:lastPrinted>
  <dcterms:created xsi:type="dcterms:W3CDTF">2006-02-03T14:45:36Z</dcterms:created>
  <dcterms:modified xsi:type="dcterms:W3CDTF">2014-02-11T23:26:52Z</dcterms:modified>
</cp:coreProperties>
</file>