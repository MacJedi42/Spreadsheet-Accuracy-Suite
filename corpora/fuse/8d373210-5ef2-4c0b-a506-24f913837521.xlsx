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iej\Downloads\"/>
    </mc:Choice>
  </mc:AlternateContent>
  <bookViews>
    <workbookView xWindow="0" yWindow="0" windowWidth="28800" windowHeight="12435" activeTab="1"/>
  </bookViews>
  <sheets>
    <sheet name="LCD White LED" sheetId="3" r:id="rId1"/>
    <sheet name="Plasma (TX-P55ST60)" sheetId="2" r:id="rId2"/>
  </sheets>
  <calcPr calcId="152511"/>
</workbook>
</file>

<file path=xl/calcChain.xml><?xml version="1.0" encoding="utf-8"?>
<calcChain xmlns="http://schemas.openxmlformats.org/spreadsheetml/2006/main">
  <c r="G39" i="2" l="1"/>
  <c r="H39" i="2"/>
  <c r="F39" i="2"/>
  <c r="E20" i="2"/>
  <c r="E21" i="2"/>
  <c r="G6" i="2"/>
  <c r="AA63" i="2"/>
  <c r="Z63" i="2"/>
  <c r="Y63" i="2"/>
  <c r="X63" i="2"/>
  <c r="AA62" i="2"/>
  <c r="Z62" i="2"/>
  <c r="Y62" i="2"/>
  <c r="X62" i="2"/>
  <c r="AA61" i="2"/>
  <c r="Z61" i="2"/>
  <c r="Y61" i="2"/>
  <c r="X61" i="2"/>
  <c r="AA60" i="2"/>
  <c r="Z60" i="2"/>
  <c r="Y60" i="2"/>
  <c r="X60" i="2"/>
  <c r="AA59" i="2"/>
  <c r="Z59" i="2"/>
  <c r="Y59" i="2"/>
  <c r="X59" i="2"/>
  <c r="Z58" i="2"/>
  <c r="Y58" i="2"/>
  <c r="X58" i="2"/>
  <c r="AA55" i="2"/>
  <c r="Z55" i="2"/>
  <c r="Y55" i="2"/>
  <c r="X55" i="2"/>
  <c r="AA54" i="2"/>
  <c r="Z54" i="2"/>
  <c r="Y54" i="2"/>
  <c r="X54" i="2"/>
  <c r="AA53" i="2"/>
  <c r="Z53" i="2"/>
  <c r="Y53" i="2"/>
  <c r="X53" i="2"/>
  <c r="AA52" i="2"/>
  <c r="Z52" i="2"/>
  <c r="Y52" i="2"/>
  <c r="X52" i="2"/>
  <c r="AA51" i="2"/>
  <c r="Z51" i="2"/>
  <c r="Y51" i="2"/>
  <c r="X51" i="2"/>
  <c r="Z50" i="2"/>
  <c r="Y50" i="2"/>
  <c r="X50" i="2"/>
  <c r="AA44" i="2"/>
  <c r="Z44" i="2"/>
  <c r="Y44" i="2"/>
  <c r="X44" i="2"/>
  <c r="Z43" i="2"/>
  <c r="Y43" i="2"/>
  <c r="X43" i="2"/>
  <c r="AA42" i="2"/>
  <c r="Z42" i="2"/>
  <c r="Y42" i="2"/>
  <c r="X42" i="2"/>
  <c r="AA41" i="2"/>
  <c r="Z41" i="2"/>
  <c r="Y41" i="2"/>
  <c r="X41" i="2"/>
  <c r="AA40" i="2"/>
  <c r="Z40" i="2"/>
  <c r="Y40" i="2"/>
  <c r="X40" i="2"/>
  <c r="Z39" i="2"/>
  <c r="Y39" i="2"/>
  <c r="X39" i="2"/>
  <c r="AA35" i="2"/>
  <c r="Z35" i="2"/>
  <c r="Y35" i="2"/>
  <c r="X35" i="2"/>
  <c r="AA34" i="2"/>
  <c r="Z34" i="2"/>
  <c r="Y34" i="2"/>
  <c r="X34" i="2"/>
  <c r="AA33" i="2"/>
  <c r="Z33" i="2"/>
  <c r="Y33" i="2"/>
  <c r="X33" i="2"/>
  <c r="Z32" i="2"/>
  <c r="Y32" i="2"/>
  <c r="X32" i="2"/>
  <c r="AA28" i="2"/>
  <c r="Z28" i="2"/>
  <c r="Y28" i="2"/>
  <c r="X28" i="2"/>
  <c r="AA27" i="2"/>
  <c r="Z27" i="2"/>
  <c r="Y27" i="2"/>
  <c r="X27" i="2"/>
  <c r="AA26" i="2"/>
  <c r="Z26" i="2"/>
  <c r="Y26" i="2"/>
  <c r="X26" i="2"/>
  <c r="AA25" i="2"/>
  <c r="Z25" i="2"/>
  <c r="Y25" i="2"/>
  <c r="X25" i="2"/>
  <c r="AA24" i="2"/>
  <c r="Z24" i="2"/>
  <c r="Y24" i="2"/>
  <c r="X24" i="2"/>
  <c r="Z23" i="2"/>
  <c r="Y23" i="2"/>
  <c r="X23" i="2"/>
  <c r="AA13" i="2"/>
  <c r="Z13" i="2"/>
  <c r="Y13" i="2"/>
  <c r="X13" i="2"/>
  <c r="AA12" i="2"/>
  <c r="Z12" i="2"/>
  <c r="Y12" i="2"/>
  <c r="X12" i="2"/>
  <c r="AA11" i="2"/>
  <c r="Z11" i="2"/>
  <c r="Y11" i="2"/>
  <c r="X11" i="2"/>
  <c r="AA10" i="2"/>
  <c r="Z10" i="2"/>
  <c r="Y10" i="2"/>
  <c r="X10" i="2"/>
  <c r="AA9" i="2"/>
  <c r="Z9" i="2"/>
  <c r="Y9" i="2"/>
  <c r="X9" i="2"/>
  <c r="AA8" i="2"/>
  <c r="Z8" i="2"/>
  <c r="Y8" i="2"/>
  <c r="X8" i="2"/>
  <c r="AA7" i="2"/>
  <c r="Z7" i="2"/>
  <c r="Y7" i="2"/>
  <c r="X7" i="2"/>
  <c r="Z6" i="2"/>
  <c r="Y6" i="2"/>
  <c r="X6" i="2"/>
  <c r="AB6" i="2" s="1"/>
  <c r="E63" i="2"/>
  <c r="E62" i="2"/>
  <c r="P61" i="2"/>
  <c r="O61" i="2"/>
  <c r="N61" i="2"/>
  <c r="M61" i="2"/>
  <c r="E61" i="2"/>
  <c r="P60" i="2"/>
  <c r="O60" i="2"/>
  <c r="N60" i="2"/>
  <c r="M60" i="2"/>
  <c r="E60" i="2"/>
  <c r="P59" i="2"/>
  <c r="O59" i="2"/>
  <c r="N59" i="2"/>
  <c r="M59" i="2"/>
  <c r="E59" i="2"/>
  <c r="O58" i="2"/>
  <c r="N58" i="2"/>
  <c r="M58" i="2"/>
  <c r="H58" i="2"/>
  <c r="G58" i="2"/>
  <c r="F58" i="2"/>
  <c r="E58" i="2"/>
  <c r="E56" i="2"/>
  <c r="E55" i="2"/>
  <c r="E54" i="2"/>
  <c r="P53" i="2"/>
  <c r="O53" i="2"/>
  <c r="N53" i="2"/>
  <c r="M53" i="2"/>
  <c r="E53" i="2"/>
  <c r="P52" i="2"/>
  <c r="O52" i="2"/>
  <c r="N52" i="2"/>
  <c r="M52" i="2"/>
  <c r="E52" i="2"/>
  <c r="P51" i="2"/>
  <c r="O51" i="2"/>
  <c r="N51" i="2"/>
  <c r="M51" i="2"/>
  <c r="E51" i="2"/>
  <c r="O50" i="2"/>
  <c r="N50" i="2"/>
  <c r="M50" i="2"/>
  <c r="H50" i="2"/>
  <c r="G50" i="2"/>
  <c r="F50" i="2"/>
  <c r="E50" i="2"/>
  <c r="E48" i="2"/>
  <c r="E47" i="2"/>
  <c r="E46" i="2"/>
  <c r="E45" i="2"/>
  <c r="E44" i="2"/>
  <c r="E43" i="2"/>
  <c r="P42" i="2"/>
  <c r="O42" i="2"/>
  <c r="N42" i="2"/>
  <c r="M42" i="2"/>
  <c r="E42" i="2"/>
  <c r="P41" i="2"/>
  <c r="O41" i="2"/>
  <c r="N41" i="2"/>
  <c r="M41" i="2"/>
  <c r="E41" i="2"/>
  <c r="P40" i="2"/>
  <c r="O40" i="2"/>
  <c r="N40" i="2"/>
  <c r="M40" i="2"/>
  <c r="E40" i="2"/>
  <c r="O39" i="2"/>
  <c r="N39" i="2"/>
  <c r="M39" i="2"/>
  <c r="E39" i="2"/>
  <c r="E37" i="2"/>
  <c r="E36" i="2"/>
  <c r="E35" i="2"/>
  <c r="P34" i="2"/>
  <c r="O34" i="2"/>
  <c r="N34" i="2"/>
  <c r="M34" i="2"/>
  <c r="E34" i="2"/>
  <c r="P33" i="2"/>
  <c r="O33" i="2"/>
  <c r="N33" i="2"/>
  <c r="M33" i="2"/>
  <c r="E33" i="2"/>
  <c r="O32" i="2"/>
  <c r="N32" i="2"/>
  <c r="M32" i="2"/>
  <c r="H32" i="2"/>
  <c r="G32" i="2"/>
  <c r="F32" i="2"/>
  <c r="E32" i="2"/>
  <c r="E30" i="2"/>
  <c r="E29" i="2"/>
  <c r="E28" i="2"/>
  <c r="E27" i="2"/>
  <c r="P26" i="2"/>
  <c r="O26" i="2"/>
  <c r="N26" i="2"/>
  <c r="M26" i="2"/>
  <c r="E26" i="2"/>
  <c r="P25" i="2"/>
  <c r="O25" i="2"/>
  <c r="N25" i="2"/>
  <c r="M25" i="2"/>
  <c r="E25" i="2"/>
  <c r="P24" i="2"/>
  <c r="O24" i="2"/>
  <c r="N24" i="2"/>
  <c r="M24" i="2"/>
  <c r="E24" i="2"/>
  <c r="O23" i="2"/>
  <c r="N23" i="2"/>
  <c r="M23" i="2"/>
  <c r="H23" i="2"/>
  <c r="G23" i="2"/>
  <c r="F23" i="2"/>
  <c r="E23" i="2"/>
  <c r="E19" i="2"/>
  <c r="E18" i="2"/>
  <c r="E17" i="2"/>
  <c r="E16" i="2"/>
  <c r="E15" i="2"/>
  <c r="E14" i="2"/>
  <c r="P13" i="2"/>
  <c r="O13" i="2"/>
  <c r="N13" i="2"/>
  <c r="M13" i="2"/>
  <c r="E13" i="2"/>
  <c r="P12" i="2"/>
  <c r="O12" i="2"/>
  <c r="N12" i="2"/>
  <c r="M12" i="2"/>
  <c r="E12" i="2"/>
  <c r="P11" i="2"/>
  <c r="O11" i="2"/>
  <c r="N11" i="2"/>
  <c r="M11" i="2"/>
  <c r="E11" i="2"/>
  <c r="P10" i="2"/>
  <c r="O10" i="2"/>
  <c r="N10" i="2"/>
  <c r="M10" i="2"/>
  <c r="E10" i="2"/>
  <c r="P9" i="2"/>
  <c r="O9" i="2"/>
  <c r="N9" i="2"/>
  <c r="M9" i="2"/>
  <c r="E9" i="2"/>
  <c r="P8" i="2"/>
  <c r="O8" i="2"/>
  <c r="N8" i="2"/>
  <c r="M8" i="2"/>
  <c r="E8" i="2"/>
  <c r="P7" i="2"/>
  <c r="O7" i="2"/>
  <c r="N7" i="2"/>
  <c r="M7" i="2"/>
  <c r="E7" i="2"/>
  <c r="O6" i="2"/>
  <c r="N6" i="2"/>
  <c r="R6" i="2" s="1"/>
  <c r="M6" i="2"/>
  <c r="Q6" i="2" s="1"/>
  <c r="H6" i="2"/>
  <c r="F6" i="2"/>
  <c r="E6" i="2"/>
  <c r="Q55" i="3"/>
  <c r="Q5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2" i="3"/>
  <c r="E23" i="3"/>
  <c r="E24" i="3"/>
  <c r="E25" i="3"/>
  <c r="E26" i="3"/>
  <c r="E27" i="3"/>
  <c r="E28" i="3"/>
  <c r="E29" i="3"/>
  <c r="E30" i="3"/>
  <c r="E31" i="3"/>
  <c r="E34" i="3"/>
  <c r="E35" i="3"/>
  <c r="E36" i="3"/>
  <c r="E37" i="3"/>
  <c r="E38" i="3"/>
  <c r="E39" i="3"/>
  <c r="E42" i="3"/>
  <c r="E43" i="3"/>
  <c r="E44" i="3"/>
  <c r="E45" i="3"/>
  <c r="E46" i="3"/>
  <c r="E47" i="3"/>
  <c r="E48" i="3"/>
  <c r="E49" i="3"/>
  <c r="E50" i="3"/>
  <c r="E51" i="3"/>
  <c r="E54" i="3"/>
  <c r="E55" i="3"/>
  <c r="E56" i="3"/>
  <c r="E57" i="3"/>
  <c r="E58" i="3"/>
  <c r="E59" i="3"/>
  <c r="E60" i="3"/>
  <c r="E61" i="3"/>
  <c r="E62" i="3"/>
  <c r="E63" i="3"/>
  <c r="E66" i="3"/>
  <c r="E67" i="3"/>
  <c r="E68" i="3"/>
  <c r="E69" i="3"/>
  <c r="E70" i="3"/>
  <c r="E71" i="3"/>
  <c r="E72" i="3"/>
  <c r="E73" i="3"/>
  <c r="E74" i="3"/>
  <c r="E75" i="3"/>
  <c r="E6" i="3"/>
  <c r="N6" i="3"/>
  <c r="O6" i="3"/>
  <c r="P6" i="3"/>
  <c r="N7" i="3"/>
  <c r="O7" i="3"/>
  <c r="P7" i="3"/>
  <c r="Q7" i="3"/>
  <c r="N8" i="3"/>
  <c r="O8" i="3"/>
  <c r="P8" i="3"/>
  <c r="Q8" i="3"/>
  <c r="N9" i="3"/>
  <c r="O9" i="3"/>
  <c r="P9" i="3"/>
  <c r="Q9" i="3"/>
  <c r="N10" i="3"/>
  <c r="O10" i="3"/>
  <c r="P10" i="3"/>
  <c r="Q10" i="3"/>
  <c r="N11" i="3"/>
  <c r="O11" i="3"/>
  <c r="P11" i="3"/>
  <c r="Q11" i="3"/>
  <c r="N12" i="3"/>
  <c r="O12" i="3"/>
  <c r="P12" i="3"/>
  <c r="Q12" i="3"/>
  <c r="N13" i="3"/>
  <c r="O13" i="3"/>
  <c r="P13" i="3"/>
  <c r="Q13" i="3"/>
  <c r="N14" i="3"/>
  <c r="O14" i="3"/>
  <c r="P14" i="3"/>
  <c r="Q14" i="3"/>
  <c r="N15" i="3"/>
  <c r="O15" i="3"/>
  <c r="P15" i="3"/>
  <c r="Q15" i="3"/>
  <c r="N22" i="3"/>
  <c r="O22" i="3"/>
  <c r="P22" i="3"/>
  <c r="N23" i="3"/>
  <c r="O23" i="3"/>
  <c r="P23" i="3"/>
  <c r="Q23" i="3"/>
  <c r="N24" i="3"/>
  <c r="O24" i="3"/>
  <c r="P24" i="3"/>
  <c r="Q24" i="3"/>
  <c r="N25" i="3"/>
  <c r="O25" i="3"/>
  <c r="P25" i="3"/>
  <c r="Q25" i="3"/>
  <c r="N26" i="3"/>
  <c r="O26" i="3"/>
  <c r="P26" i="3"/>
  <c r="Q26" i="3"/>
  <c r="N27" i="3"/>
  <c r="O27" i="3"/>
  <c r="P27" i="3"/>
  <c r="Q27" i="3"/>
  <c r="N28" i="3"/>
  <c r="O28" i="3"/>
  <c r="P28" i="3"/>
  <c r="Q28" i="3"/>
  <c r="N34" i="3"/>
  <c r="O34" i="3"/>
  <c r="P34" i="3"/>
  <c r="N35" i="3"/>
  <c r="O35" i="3"/>
  <c r="P35" i="3"/>
  <c r="Q35" i="3"/>
  <c r="N36" i="3"/>
  <c r="O36" i="3"/>
  <c r="P36" i="3"/>
  <c r="Q36" i="3"/>
  <c r="N37" i="3"/>
  <c r="O37" i="3"/>
  <c r="P37" i="3"/>
  <c r="Q37" i="3"/>
  <c r="N38" i="3"/>
  <c r="O38" i="3"/>
  <c r="P38" i="3"/>
  <c r="Q38" i="3"/>
  <c r="N42" i="3"/>
  <c r="O42" i="3"/>
  <c r="P42" i="3"/>
  <c r="N43" i="3"/>
  <c r="O43" i="3"/>
  <c r="P43" i="3"/>
  <c r="Q43" i="3"/>
  <c r="N44" i="3"/>
  <c r="O44" i="3"/>
  <c r="P44" i="3"/>
  <c r="Q44" i="3"/>
  <c r="N45" i="3"/>
  <c r="O45" i="3"/>
  <c r="P45" i="3"/>
  <c r="Q45" i="3"/>
  <c r="N46" i="3"/>
  <c r="O46" i="3"/>
  <c r="P46" i="3"/>
  <c r="N47" i="3"/>
  <c r="O47" i="3"/>
  <c r="P47" i="3"/>
  <c r="Q47" i="3"/>
  <c r="N48" i="3"/>
  <c r="O48" i="3"/>
  <c r="P48" i="3"/>
  <c r="Q48" i="3"/>
  <c r="N49" i="3"/>
  <c r="O49" i="3"/>
  <c r="P49" i="3"/>
  <c r="Q49" i="3"/>
  <c r="N50" i="3"/>
  <c r="O50" i="3"/>
  <c r="P50" i="3"/>
  <c r="Q50" i="3"/>
  <c r="N54" i="3"/>
  <c r="O54" i="3"/>
  <c r="P54" i="3"/>
  <c r="N55" i="3"/>
  <c r="O55" i="3"/>
  <c r="P55" i="3"/>
  <c r="N56" i="3"/>
  <c r="O56" i="3"/>
  <c r="P56" i="3"/>
  <c r="N57" i="3"/>
  <c r="O57" i="3"/>
  <c r="P57" i="3"/>
  <c r="Q57" i="3"/>
  <c r="N58" i="3"/>
  <c r="O58" i="3"/>
  <c r="P58" i="3"/>
  <c r="Q58" i="3"/>
  <c r="N59" i="3"/>
  <c r="O59" i="3"/>
  <c r="P59" i="3"/>
  <c r="Q59" i="3"/>
  <c r="N66" i="3"/>
  <c r="O66" i="3"/>
  <c r="P66" i="3"/>
  <c r="N67" i="3"/>
  <c r="O67" i="3"/>
  <c r="P67" i="3"/>
  <c r="Q67" i="3"/>
  <c r="N68" i="3"/>
  <c r="O68" i="3"/>
  <c r="P68" i="3"/>
  <c r="Q68" i="3"/>
  <c r="N69" i="3"/>
  <c r="O69" i="3"/>
  <c r="P69" i="3"/>
  <c r="Q69" i="3"/>
  <c r="N70" i="3"/>
  <c r="O70" i="3"/>
  <c r="P70" i="3"/>
  <c r="Q70" i="3"/>
  <c r="N71" i="3"/>
  <c r="O71" i="3"/>
  <c r="P71" i="3"/>
  <c r="Q71" i="3"/>
  <c r="N72" i="3"/>
  <c r="O72" i="3"/>
  <c r="P72" i="3"/>
  <c r="Q72" i="3"/>
  <c r="N73" i="3"/>
  <c r="O73" i="3"/>
  <c r="P73" i="3"/>
  <c r="Q73" i="3"/>
  <c r="N74" i="3"/>
  <c r="O74" i="3"/>
  <c r="P74" i="3"/>
  <c r="Q74" i="3"/>
  <c r="N75" i="3"/>
  <c r="O75" i="3"/>
  <c r="P75" i="3"/>
  <c r="Q75" i="3"/>
  <c r="R32" i="2" l="1"/>
  <c r="AC6" i="2"/>
  <c r="AD23" i="2"/>
  <c r="AB58" i="2"/>
  <c r="S50" i="2"/>
  <c r="AB32" i="2"/>
  <c r="R23" i="2"/>
  <c r="AD6" i="2"/>
  <c r="Q32" i="2"/>
  <c r="AC50" i="2"/>
  <c r="AD50" i="2"/>
  <c r="S32" i="2"/>
  <c r="AC32" i="2"/>
  <c r="AD39" i="2"/>
  <c r="AC23" i="2"/>
  <c r="AD58" i="2"/>
  <c r="AC58" i="2"/>
  <c r="AB50" i="2"/>
  <c r="AC39" i="2"/>
  <c r="AB39" i="2"/>
  <c r="AD32" i="2"/>
  <c r="AB23" i="2"/>
  <c r="Q58" i="2"/>
  <c r="Q50" i="2"/>
  <c r="R50" i="2"/>
  <c r="R39" i="2"/>
  <c r="Q23" i="2"/>
  <c r="S58" i="2"/>
  <c r="R58" i="2"/>
  <c r="Q39" i="2"/>
  <c r="S39" i="2"/>
  <c r="S23" i="2"/>
  <c r="S6" i="2"/>
  <c r="R34" i="3"/>
  <c r="R22" i="3"/>
  <c r="T66" i="3"/>
  <c r="S54" i="3"/>
  <c r="S6" i="3"/>
  <c r="T42" i="3"/>
  <c r="S34" i="3"/>
  <c r="R6" i="3"/>
  <c r="R42" i="3"/>
  <c r="S66" i="3"/>
  <c r="R66" i="3"/>
  <c r="T22" i="3"/>
  <c r="T6" i="3"/>
  <c r="T34" i="3"/>
  <c r="T54" i="3"/>
  <c r="S42" i="3"/>
  <c r="S22" i="3"/>
  <c r="R54" i="3"/>
  <c r="G66" i="3"/>
  <c r="H66" i="3"/>
  <c r="F66" i="3"/>
  <c r="G54" i="3"/>
  <c r="H54" i="3"/>
  <c r="F54" i="3"/>
  <c r="G42" i="3"/>
  <c r="H42" i="3"/>
  <c r="F42" i="3"/>
  <c r="G34" i="3"/>
  <c r="H34" i="3"/>
  <c r="F34" i="3"/>
  <c r="G22" i="3"/>
  <c r="H22" i="3"/>
  <c r="F22" i="3"/>
  <c r="F6" i="3"/>
  <c r="G6" i="3"/>
  <c r="H6" i="3" l="1"/>
</calcChain>
</file>

<file path=xl/sharedStrings.xml><?xml version="1.0" encoding="utf-8"?>
<sst xmlns="http://schemas.openxmlformats.org/spreadsheetml/2006/main" count="127" uniqueCount="71">
  <si>
    <t>X</t>
  </si>
  <si>
    <t>Y</t>
  </si>
  <si>
    <t>Z</t>
  </si>
  <si>
    <t>x</t>
  </si>
  <si>
    <t>y</t>
  </si>
  <si>
    <t>White 100%</t>
  </si>
  <si>
    <t>White 60%</t>
  </si>
  <si>
    <t>White 10%</t>
  </si>
  <si>
    <t>Red 100%</t>
  </si>
  <si>
    <t>Green 100%</t>
  </si>
  <si>
    <t>Blue 100%</t>
  </si>
  <si>
    <t>58:59,736</t>
  </si>
  <si>
    <t>59:00,853</t>
  </si>
  <si>
    <t>59:01,951</t>
  </si>
  <si>
    <t>59:03,059</t>
  </si>
  <si>
    <t>59:04,182</t>
  </si>
  <si>
    <t>59:05,245</t>
  </si>
  <si>
    <t>59:06,314</t>
  </si>
  <si>
    <t>59:07,392</t>
  </si>
  <si>
    <t>59:08,444</t>
  </si>
  <si>
    <t>59:09,542</t>
  </si>
  <si>
    <t>59:11,583</t>
  </si>
  <si>
    <t>59:13,101</t>
  </si>
  <si>
    <t>59:14,605</t>
  </si>
  <si>
    <t>59:16,098</t>
  </si>
  <si>
    <t>59:17,625</t>
  </si>
  <si>
    <t>59:19,133</t>
  </si>
  <si>
    <t>59:20,641</t>
  </si>
  <si>
    <t>59:25,246</t>
  </si>
  <si>
    <t>59:29,706</t>
  </si>
  <si>
    <t>59:34,179</t>
  </si>
  <si>
    <t>59:38,610</t>
  </si>
  <si>
    <t>59:43,064</t>
  </si>
  <si>
    <t>59:53,578</t>
  </si>
  <si>
    <t>59:55,555</t>
  </si>
  <si>
    <t>59:57,282</t>
  </si>
  <si>
    <t>59:58,979</t>
  </si>
  <si>
    <t>01:00,935</t>
  </si>
  <si>
    <t>01:02,677</t>
  </si>
  <si>
    <t>01:04,505</t>
  </si>
  <si>
    <t>01:06,306</t>
  </si>
  <si>
    <t>01:08,163</t>
  </si>
  <si>
    <t>01:13,694</t>
  </si>
  <si>
    <t>01:15,186</t>
  </si>
  <si>
    <t>01:16,474</t>
  </si>
  <si>
    <t>01:17,793</t>
  </si>
  <si>
    <t>01:19,131</t>
  </si>
  <si>
    <t>01:20,474</t>
  </si>
  <si>
    <t>01:27,929</t>
  </si>
  <si>
    <t>01:29,832</t>
  </si>
  <si>
    <t>01:31,500</t>
  </si>
  <si>
    <t>01:33,083</t>
  </si>
  <si>
    <t>01:34,672</t>
  </si>
  <si>
    <t>01:36,240</t>
  </si>
  <si>
    <t>01:37,842</t>
  </si>
  <si>
    <t>01:39,410</t>
  </si>
  <si>
    <t>01:40,997</t>
  </si>
  <si>
    <t>01:42,591</t>
  </si>
  <si>
    <t>TIME</t>
  </si>
  <si>
    <t>HIGHEST/LOWEST VALUE DIFFERENCE IN WHOLE RUN</t>
  </si>
  <si>
    <t>MEASUREMENT TIME</t>
  </si>
  <si>
    <t>[ms]</t>
  </si>
  <si>
    <t>Y [cd/m2]</t>
  </si>
  <si>
    <t>[time]</t>
  </si>
  <si>
    <t>Calman</t>
  </si>
  <si>
    <t>LightSpace</t>
  </si>
  <si>
    <t>Integration time: 0, Matrix: GENERIC-LD</t>
  </si>
  <si>
    <t>Integration time: "Normal Exposure", Matrix: GENERIC-LD</t>
  </si>
  <si>
    <r>
      <t>Integration time: "</t>
    </r>
    <r>
      <rPr>
        <b/>
        <sz val="11"/>
        <color theme="1"/>
        <rFont val="Calibri"/>
        <family val="2"/>
        <scheme val="minor"/>
      </rPr>
      <t>Long Integration</t>
    </r>
    <r>
      <rPr>
        <sz val="11"/>
        <color theme="1"/>
        <rFont val="Calibri"/>
        <family val="2"/>
        <scheme val="minor"/>
      </rPr>
      <t>", Matrix: GENERIC-LD</t>
    </r>
  </si>
  <si>
    <r>
      <t>Integration time: "</t>
    </r>
    <r>
      <rPr>
        <b/>
        <sz val="11"/>
        <color theme="1"/>
        <rFont val="Calibri"/>
        <family val="2"/>
        <scheme val="minor"/>
      </rPr>
      <t>Normal Exposure</t>
    </r>
    <r>
      <rPr>
        <sz val="11"/>
        <color theme="1"/>
        <rFont val="Calibri"/>
        <family val="2"/>
        <scheme val="minor"/>
      </rPr>
      <t>", Matrix: GENERIC-LD</t>
    </r>
  </si>
  <si>
    <t>Calman (Long Integration)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</si>
</sst>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[$-F400]h:mm:ss\ AM/PM"/>
    <numFmt numFmtId="166" formatCode="h:mm:ss.000;@"/>
    <numFmt numFmtId="167" formatCode="[h]:mm:ss.000;@"/>
    <numFmt numFmtId="168" formatCode="0.0000000"/>
    <numFmt numFmtId="169" formatCode="0.00000000000"/>
    <numFmt numFmtId="170" formatCode="mm:ss.0;@"/>
    <numFmt numFmtId="171" formatCode="mm:ss.000;@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8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/>
    <xf numFmtId="165" fontId="0" fillId="0" borderId="0" xfId="0" applyNumberFormat="1" applyFont="1" applyBorder="1"/>
    <xf numFmtId="0" fontId="0" fillId="0" borderId="0" xfId="0" applyFont="1" applyBorder="1"/>
    <xf numFmtId="164" fontId="5" fillId="0" borderId="0" xfId="0" applyNumberFormat="1" applyFont="1" applyBorder="1" applyAlignment="1">
      <alignment horizontal="center" vertical="center"/>
    </xf>
    <xf numFmtId="167" fontId="4" fillId="0" borderId="0" xfId="0" applyNumberFormat="1" applyFont="1" applyBorder="1"/>
    <xf numFmtId="164" fontId="4" fillId="0" borderId="0" xfId="0" applyNumberFormat="1" applyFont="1" applyBorder="1"/>
    <xf numFmtId="0" fontId="4" fillId="0" borderId="0" xfId="0" applyFont="1" applyBorder="1"/>
    <xf numFmtId="166" fontId="0" fillId="0" borderId="0" xfId="0" applyNumberFormat="1" applyFont="1" applyBorder="1"/>
    <xf numFmtId="167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169" fontId="0" fillId="0" borderId="0" xfId="0" applyNumberFormat="1"/>
    <xf numFmtId="170" fontId="0" fillId="0" borderId="0" xfId="0" applyNumberFormat="1"/>
    <xf numFmtId="171" fontId="4" fillId="0" borderId="0" xfId="0" applyNumberFormat="1" applyFont="1"/>
    <xf numFmtId="0" fontId="6" fillId="3" borderId="0" xfId="0" applyFont="1" applyFill="1" applyAlignment="1"/>
    <xf numFmtId="166" fontId="6" fillId="5" borderId="0" xfId="0" applyNumberFormat="1" applyFont="1" applyFill="1" applyBorder="1" applyAlignment="1"/>
    <xf numFmtId="166" fontId="6" fillId="4" borderId="0" xfId="0" applyNumberFormat="1" applyFont="1" applyFill="1" applyBorder="1" applyAlignment="1"/>
    <xf numFmtId="166" fontId="6" fillId="3" borderId="0" xfId="0" applyNumberFormat="1" applyFont="1" applyFill="1" applyBorder="1" applyAlignment="1"/>
    <xf numFmtId="166" fontId="6" fillId="7" borderId="0" xfId="0" applyNumberFormat="1" applyFont="1" applyFill="1" applyBorder="1" applyAlignment="1"/>
    <xf numFmtId="49" fontId="6" fillId="4" borderId="0" xfId="0" applyNumberFormat="1" applyFont="1" applyFill="1" applyAlignment="1"/>
    <xf numFmtId="0" fontId="6" fillId="5" borderId="0" xfId="0" applyFont="1" applyFill="1" applyAlignment="1"/>
    <xf numFmtId="0" fontId="6" fillId="6" borderId="0" xfId="0" applyFont="1" applyFill="1" applyAlignment="1"/>
    <xf numFmtId="0" fontId="6" fillId="7" borderId="0" xfId="0" applyFont="1" applyFill="1" applyAlignment="1"/>
    <xf numFmtId="0" fontId="4" fillId="0" borderId="0" xfId="0" applyFont="1" applyBorder="1" applyAlignment="1"/>
    <xf numFmtId="14" fontId="0" fillId="0" borderId="0" xfId="0" applyNumberFormat="1"/>
    <xf numFmtId="21" fontId="0" fillId="0" borderId="0" xfId="0" applyNumberFormat="1"/>
    <xf numFmtId="164" fontId="4" fillId="5" borderId="0" xfId="0" applyNumberFormat="1" applyFont="1" applyFill="1" applyBorder="1"/>
    <xf numFmtId="0" fontId="0" fillId="0" borderId="0" xfId="0" applyFill="1"/>
    <xf numFmtId="0" fontId="4" fillId="0" borderId="0" xfId="0" applyFont="1" applyFill="1" applyBorder="1" applyAlignment="1"/>
    <xf numFmtId="0" fontId="6" fillId="0" borderId="0" xfId="0" applyFont="1" applyFill="1" applyAlignment="1"/>
    <xf numFmtId="49" fontId="6" fillId="0" borderId="0" xfId="0" applyNumberFormat="1" applyFont="1" applyFill="1" applyAlignmen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3" fillId="2" borderId="6" xfId="0" applyNumberFormat="1" applyFont="1" applyFill="1" applyBorder="1" applyAlignment="1">
      <alignment horizontal="center" vertical="center"/>
    </xf>
    <xf numFmtId="2" fontId="3" fillId="2" borderId="7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4" fillId="0" borderId="8" xfId="0" applyFont="1" applyBorder="1" applyAlignment="1"/>
    <xf numFmtId="0" fontId="4" fillId="0" borderId="9" xfId="0" applyFont="1" applyBorder="1" applyAlignment="1"/>
    <xf numFmtId="164" fontId="5" fillId="0" borderId="8" xfId="0" applyNumberFormat="1" applyFont="1" applyBorder="1" applyAlignment="1">
      <alignment horizontal="center" vertical="center"/>
    </xf>
    <xf numFmtId="164" fontId="4" fillId="0" borderId="9" xfId="0" applyNumberFormat="1" applyFont="1" applyBorder="1"/>
    <xf numFmtId="0" fontId="0" fillId="0" borderId="9" xfId="0" applyBorder="1"/>
    <xf numFmtId="0" fontId="4" fillId="0" borderId="9" xfId="0" applyFont="1" applyBorder="1"/>
    <xf numFmtId="0" fontId="0" fillId="0" borderId="8" xfId="0" applyBorder="1"/>
    <xf numFmtId="0" fontId="6" fillId="3" borderId="8" xfId="0" applyFont="1" applyFill="1" applyBorder="1" applyAlignment="1"/>
    <xf numFmtId="0" fontId="6" fillId="3" borderId="0" xfId="0" applyFont="1" applyFill="1" applyBorder="1" applyAlignment="1"/>
    <xf numFmtId="0" fontId="6" fillId="3" borderId="9" xfId="0" applyFont="1" applyFill="1" applyBorder="1" applyAlignment="1"/>
    <xf numFmtId="49" fontId="6" fillId="4" borderId="8" xfId="0" applyNumberFormat="1" applyFont="1" applyFill="1" applyBorder="1" applyAlignment="1"/>
    <xf numFmtId="49" fontId="6" fillId="4" borderId="0" xfId="0" applyNumberFormat="1" applyFont="1" applyFill="1" applyBorder="1" applyAlignment="1"/>
    <xf numFmtId="49" fontId="6" fillId="4" borderId="9" xfId="0" applyNumberFormat="1" applyFont="1" applyFill="1" applyBorder="1" applyAlignment="1"/>
    <xf numFmtId="0" fontId="6" fillId="5" borderId="8" xfId="0" applyFont="1" applyFill="1" applyBorder="1" applyAlignment="1"/>
    <xf numFmtId="0" fontId="6" fillId="5" borderId="0" xfId="0" applyFont="1" applyFill="1" applyBorder="1" applyAlignment="1"/>
    <xf numFmtId="0" fontId="6" fillId="5" borderId="9" xfId="0" applyFont="1" applyFill="1" applyBorder="1" applyAlignment="1"/>
    <xf numFmtId="0" fontId="6" fillId="6" borderId="8" xfId="0" applyFont="1" applyFill="1" applyBorder="1" applyAlignment="1"/>
    <xf numFmtId="0" fontId="6" fillId="6" borderId="0" xfId="0" applyFont="1" applyFill="1" applyBorder="1" applyAlignment="1"/>
    <xf numFmtId="0" fontId="6" fillId="6" borderId="9" xfId="0" applyFont="1" applyFill="1" applyBorder="1" applyAlignment="1"/>
    <xf numFmtId="0" fontId="6" fillId="7" borderId="8" xfId="0" applyFont="1" applyFill="1" applyBorder="1" applyAlignment="1"/>
    <xf numFmtId="0" fontId="6" fillId="7" borderId="0" xfId="0" applyFont="1" applyFill="1" applyBorder="1" applyAlignment="1"/>
    <xf numFmtId="0" fontId="6" fillId="7" borderId="9" xfId="0" applyFont="1" applyFill="1" applyBorder="1" applyAlignment="1"/>
    <xf numFmtId="0" fontId="7" fillId="8" borderId="10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49" fontId="6" fillId="4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0" fillId="0" borderId="9" xfId="0" applyBorder="1" applyAlignment="1">
      <alignment horizontal="left"/>
    </xf>
    <xf numFmtId="0" fontId="7" fillId="8" borderId="1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"/>
  <sheetViews>
    <sheetView zoomScale="115" zoomScaleNormal="115" workbookViewId="0">
      <selection activeCell="W15" sqref="W15"/>
    </sheetView>
  </sheetViews>
  <sheetFormatPr defaultRowHeight="15" x14ac:dyDescent="0.25"/>
  <cols>
    <col min="3" max="3" width="9.28515625" customWidth="1"/>
    <col min="4" max="4" width="9.28515625" hidden="1" customWidth="1"/>
    <col min="5" max="5" width="15.5703125" style="4" customWidth="1"/>
    <col min="6" max="6" width="9.85546875" bestFit="1" customWidth="1"/>
    <col min="9" max="9" width="0" hidden="1" customWidth="1"/>
    <col min="10" max="10" width="9.85546875" hidden="1" customWidth="1"/>
    <col min="11" max="13" width="9.140625" hidden="1" customWidth="1"/>
    <col min="14" max="14" width="9.140625" style="57"/>
    <col min="15" max="16" width="9.140625" style="13"/>
    <col min="17" max="17" width="12.42578125" style="13" customWidth="1"/>
    <col min="18" max="20" width="9.140625" style="13"/>
    <col min="22" max="22" width="15.7109375" bestFit="1" customWidth="1"/>
    <col min="23" max="23" width="14.85546875" bestFit="1" customWidth="1"/>
    <col min="25" max="25" width="16.7109375" bestFit="1" customWidth="1"/>
  </cols>
  <sheetData>
    <row r="1" spans="1:25" x14ac:dyDescent="0.25">
      <c r="A1" s="79" t="s">
        <v>66</v>
      </c>
      <c r="B1" s="79"/>
      <c r="C1" s="79"/>
      <c r="D1" s="79"/>
      <c r="E1" s="79"/>
      <c r="F1" s="79"/>
      <c r="G1" s="79"/>
      <c r="H1" s="79"/>
      <c r="N1" s="80" t="s">
        <v>67</v>
      </c>
      <c r="O1" s="81"/>
      <c r="P1" s="81"/>
      <c r="Q1" s="81"/>
      <c r="R1" s="81"/>
      <c r="S1" s="81"/>
      <c r="T1" s="81"/>
    </row>
    <row r="2" spans="1:25" ht="21" x14ac:dyDescent="0.35">
      <c r="A2" s="74" t="s">
        <v>65</v>
      </c>
      <c r="B2" s="74"/>
      <c r="C2" s="74"/>
      <c r="D2" s="74"/>
      <c r="E2" s="74"/>
      <c r="F2" s="74"/>
      <c r="G2" s="74"/>
      <c r="H2" s="74"/>
      <c r="N2" s="73" t="s">
        <v>64</v>
      </c>
      <c r="O2" s="74"/>
      <c r="P2" s="74"/>
      <c r="Q2" s="74"/>
      <c r="R2" s="74"/>
      <c r="S2" s="74"/>
      <c r="T2" s="74"/>
    </row>
    <row r="3" spans="1:25" ht="30" x14ac:dyDescent="0.25">
      <c r="A3" s="2" t="s">
        <v>3</v>
      </c>
      <c r="B3" s="3" t="s">
        <v>4</v>
      </c>
      <c r="C3" s="3" t="s">
        <v>1</v>
      </c>
      <c r="D3" s="3"/>
      <c r="E3" s="7" t="s">
        <v>60</v>
      </c>
      <c r="F3" s="82" t="s">
        <v>59</v>
      </c>
      <c r="G3" s="82"/>
      <c r="H3" s="82"/>
      <c r="J3" s="6" t="s">
        <v>58</v>
      </c>
      <c r="K3" s="3" t="s">
        <v>0</v>
      </c>
      <c r="L3" s="3" t="s">
        <v>1</v>
      </c>
      <c r="M3" s="44" t="s">
        <v>2</v>
      </c>
      <c r="N3" s="48" t="s">
        <v>3</v>
      </c>
      <c r="O3" s="3" t="s">
        <v>4</v>
      </c>
      <c r="P3" s="3" t="s">
        <v>1</v>
      </c>
      <c r="Q3" s="9" t="s">
        <v>60</v>
      </c>
      <c r="R3" s="82" t="s">
        <v>59</v>
      </c>
      <c r="S3" s="82"/>
      <c r="T3" s="82"/>
    </row>
    <row r="4" spans="1:25" x14ac:dyDescent="0.25">
      <c r="A4" s="2"/>
      <c r="B4" s="2"/>
      <c r="C4" s="2"/>
      <c r="D4" s="2"/>
      <c r="E4" s="3" t="s">
        <v>61</v>
      </c>
      <c r="F4" s="3" t="s">
        <v>3</v>
      </c>
      <c r="G4" s="3" t="s">
        <v>4</v>
      </c>
      <c r="H4" s="3" t="s">
        <v>62</v>
      </c>
      <c r="J4" s="10"/>
      <c r="K4" s="11"/>
      <c r="L4" s="11"/>
      <c r="M4" s="45"/>
      <c r="N4" s="49"/>
      <c r="O4" s="12"/>
      <c r="P4" s="12"/>
      <c r="Q4" s="11" t="s">
        <v>63</v>
      </c>
      <c r="R4" s="11" t="s">
        <v>3</v>
      </c>
      <c r="S4" s="11" t="s">
        <v>4</v>
      </c>
      <c r="T4" s="11" t="s">
        <v>62</v>
      </c>
    </row>
    <row r="5" spans="1:25" x14ac:dyDescent="0.25">
      <c r="A5" s="75" t="s">
        <v>5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</row>
    <row r="6" spans="1:25" x14ac:dyDescent="0.25">
      <c r="A6" s="1">
        <v>0.3165</v>
      </c>
      <c r="B6" s="1">
        <v>0.3427</v>
      </c>
      <c r="C6" s="1">
        <v>71.814300000000003</v>
      </c>
      <c r="D6" s="4">
        <v>421</v>
      </c>
      <c r="E6" s="26">
        <f>D6/86400000</f>
        <v>4.872685185185185E-6</v>
      </c>
      <c r="F6" s="5">
        <f>MAX(A6:A19)-MIN(A6:A19)</f>
        <v>6.9999999999997842E-4</v>
      </c>
      <c r="G6" s="5">
        <f>MAX(B6:B19)-MIN(B6:B19)</f>
        <v>9.000000000000119E-4</v>
      </c>
      <c r="H6" s="5">
        <f>MAX(C6:C15)-MIN(C6:C15)</f>
        <v>0.34680000000000177</v>
      </c>
      <c r="J6" s="14" t="s">
        <v>11</v>
      </c>
      <c r="K6" s="15">
        <v>68.980286000000007</v>
      </c>
      <c r="L6" s="15">
        <v>74.602669000000006</v>
      </c>
      <c r="M6" s="15">
        <v>73.767830000000004</v>
      </c>
      <c r="N6" s="53">
        <f t="shared" ref="N6:N15" si="0">SUM(K6)/(K6+L6+M6)</f>
        <v>0.31736846959167869</v>
      </c>
      <c r="O6" s="16">
        <f t="shared" ref="O6:O15" si="1">SUM(L6)/(K6+L6+M6)</f>
        <v>0.34323625286193465</v>
      </c>
      <c r="P6" s="16">
        <f t="shared" ref="P6:P15" si="2">SUM(L6)</f>
        <v>74.602669000000006</v>
      </c>
      <c r="Q6" s="17"/>
      <c r="R6" s="18">
        <f>MAX(N6:N15)-MIN(N6:N15)</f>
        <v>1.8409472763308843E-4</v>
      </c>
      <c r="S6" s="18">
        <f>MAX(O6:O15)-MIN(O6:O15)</f>
        <v>3.5552526730669998E-4</v>
      </c>
      <c r="T6" s="18">
        <f>MAX(P6:P15)-MIN(P6:P15)</f>
        <v>0.11467000000000382</v>
      </c>
    </row>
    <row r="7" spans="1:25" x14ac:dyDescent="0.25">
      <c r="A7" s="1">
        <v>0.31640000000000001</v>
      </c>
      <c r="B7" s="1">
        <v>0.3427</v>
      </c>
      <c r="C7" s="1">
        <v>71.802800000000005</v>
      </c>
      <c r="D7" s="4">
        <v>421</v>
      </c>
      <c r="E7" s="26">
        <f t="shared" ref="E7:E70" si="3">D7/86400000</f>
        <v>4.872685185185185E-6</v>
      </c>
      <c r="J7" s="14" t="s">
        <v>12</v>
      </c>
      <c r="K7" s="15">
        <v>68.977562000000006</v>
      </c>
      <c r="L7" s="15">
        <v>74.608001999999999</v>
      </c>
      <c r="M7" s="15">
        <v>73.698402000000002</v>
      </c>
      <c r="N7" s="53">
        <f t="shared" si="0"/>
        <v>0.31745352991209669</v>
      </c>
      <c r="O7" s="16">
        <f t="shared" si="1"/>
        <v>0.34336634853213233</v>
      </c>
      <c r="P7" s="16">
        <f t="shared" si="2"/>
        <v>74.608001999999999</v>
      </c>
      <c r="Q7" s="17">
        <f t="shared" ref="Q7:Q15" si="4">ABS(J6-J7)</f>
        <v>1.292824074074217E-5</v>
      </c>
      <c r="V7" s="25"/>
      <c r="W7" s="1"/>
    </row>
    <row r="8" spans="1:25" x14ac:dyDescent="0.25">
      <c r="A8" s="1">
        <v>0.31590000000000001</v>
      </c>
      <c r="B8" s="1">
        <v>0.34179999999999999</v>
      </c>
      <c r="C8" s="1">
        <v>71.831100000000006</v>
      </c>
      <c r="D8" s="4">
        <v>421</v>
      </c>
      <c r="E8" s="26">
        <f t="shared" si="3"/>
        <v>4.872685185185185E-6</v>
      </c>
      <c r="F8" s="8"/>
      <c r="J8" s="20" t="s">
        <v>13</v>
      </c>
      <c r="K8" s="15">
        <v>68.978988999999999</v>
      </c>
      <c r="L8" s="15">
        <v>74.603324999999998</v>
      </c>
      <c r="M8" s="15">
        <v>73.805419999999998</v>
      </c>
      <c r="N8" s="53">
        <f t="shared" si="0"/>
        <v>0.31730856074887831</v>
      </c>
      <c r="O8" s="16">
        <f t="shared" si="1"/>
        <v>0.34318093126634275</v>
      </c>
      <c r="P8" s="16">
        <f t="shared" si="2"/>
        <v>74.603324999999998</v>
      </c>
      <c r="Q8" s="17">
        <f t="shared" si="4"/>
        <v>1.2708333333326383E-5</v>
      </c>
      <c r="R8" s="19"/>
      <c r="S8" s="19"/>
      <c r="T8" s="19"/>
      <c r="Y8" s="24"/>
    </row>
    <row r="9" spans="1:25" x14ac:dyDescent="0.25">
      <c r="A9" s="1">
        <v>0.31609999999999999</v>
      </c>
      <c r="B9" s="1">
        <v>0.34189999999999998</v>
      </c>
      <c r="C9" s="1">
        <v>71.867199999999997</v>
      </c>
      <c r="D9" s="4">
        <v>422</v>
      </c>
      <c r="E9" s="26">
        <f t="shared" si="3"/>
        <v>4.8842592592592595E-6</v>
      </c>
      <c r="F9" s="1"/>
      <c r="J9" s="20" t="s">
        <v>14</v>
      </c>
      <c r="K9" s="15">
        <v>68.904540999999995</v>
      </c>
      <c r="L9" s="15">
        <v>74.550797000000003</v>
      </c>
      <c r="M9" s="15">
        <v>73.671036000000001</v>
      </c>
      <c r="N9" s="53">
        <f t="shared" si="0"/>
        <v>0.31734763368728292</v>
      </c>
      <c r="O9" s="16">
        <f t="shared" si="1"/>
        <v>0.34335210240281544</v>
      </c>
      <c r="P9" s="16">
        <f t="shared" si="2"/>
        <v>74.550797000000003</v>
      </c>
      <c r="Q9" s="17">
        <f t="shared" si="4"/>
        <v>1.2824074074081759E-5</v>
      </c>
      <c r="R9" s="19"/>
      <c r="S9" s="19"/>
      <c r="T9" s="19"/>
      <c r="V9" s="23"/>
      <c r="Y9" s="24"/>
    </row>
    <row r="10" spans="1:25" x14ac:dyDescent="0.25">
      <c r="A10" s="1">
        <v>0.31580000000000003</v>
      </c>
      <c r="B10" s="1">
        <v>0.34179999999999999</v>
      </c>
      <c r="C10" s="1">
        <v>71.741799999999998</v>
      </c>
      <c r="D10" s="4">
        <v>421</v>
      </c>
      <c r="E10" s="26">
        <f t="shared" si="3"/>
        <v>4.872685185185185E-6</v>
      </c>
      <c r="J10" s="20" t="s">
        <v>15</v>
      </c>
      <c r="K10" s="15">
        <v>68.958320999999998</v>
      </c>
      <c r="L10" s="15">
        <v>74.578513999999998</v>
      </c>
      <c r="M10" s="15">
        <v>73.786323999999993</v>
      </c>
      <c r="N10" s="53">
        <f t="shared" si="0"/>
        <v>0.31730774261384637</v>
      </c>
      <c r="O10" s="16">
        <f t="shared" si="1"/>
        <v>0.3431687370235586</v>
      </c>
      <c r="P10" s="16">
        <f t="shared" si="2"/>
        <v>74.578513999999998</v>
      </c>
      <c r="Q10" s="17">
        <f t="shared" si="4"/>
        <v>1.299768518518013E-5</v>
      </c>
      <c r="R10" s="19"/>
      <c r="S10" s="19"/>
      <c r="T10" s="19"/>
      <c r="V10" s="22"/>
      <c r="Y10" s="24"/>
    </row>
    <row r="11" spans="1:25" x14ac:dyDescent="0.25">
      <c r="A11" s="1">
        <v>0.31590000000000001</v>
      </c>
      <c r="B11" s="1">
        <v>0.34200000000000003</v>
      </c>
      <c r="C11" s="1">
        <v>71.808800000000005</v>
      </c>
      <c r="D11" s="4">
        <v>421</v>
      </c>
      <c r="E11" s="26">
        <f t="shared" si="3"/>
        <v>4.872685185185185E-6</v>
      </c>
      <c r="J11" s="20" t="s">
        <v>16</v>
      </c>
      <c r="K11" s="15">
        <v>68.931533999999999</v>
      </c>
      <c r="L11" s="15">
        <v>74.550835000000006</v>
      </c>
      <c r="M11" s="15">
        <v>73.782600000000002</v>
      </c>
      <c r="N11" s="53">
        <f t="shared" si="0"/>
        <v>0.3172694351844636</v>
      </c>
      <c r="O11" s="16">
        <f t="shared" si="1"/>
        <v>0.34313325034925446</v>
      </c>
      <c r="P11" s="16">
        <f t="shared" si="2"/>
        <v>74.550835000000006</v>
      </c>
      <c r="Q11" s="17">
        <f t="shared" si="4"/>
        <v>1.2303240740745014E-5</v>
      </c>
      <c r="R11" s="19"/>
      <c r="S11" s="19"/>
      <c r="T11" s="19"/>
      <c r="Y11" s="24"/>
    </row>
    <row r="12" spans="1:25" x14ac:dyDescent="0.25">
      <c r="A12" s="1">
        <v>0.31640000000000001</v>
      </c>
      <c r="B12" s="1">
        <v>0.34179999999999999</v>
      </c>
      <c r="C12" s="1">
        <v>71.520399999999995</v>
      </c>
      <c r="D12" s="4">
        <v>406</v>
      </c>
      <c r="E12" s="26">
        <f t="shared" si="3"/>
        <v>4.6990740740740741E-6</v>
      </c>
      <c r="J12" s="20" t="s">
        <v>17</v>
      </c>
      <c r="K12" s="15">
        <v>68.863906999999998</v>
      </c>
      <c r="L12" s="15">
        <v>74.514336</v>
      </c>
      <c r="M12" s="15">
        <v>73.555588</v>
      </c>
      <c r="N12" s="53">
        <f t="shared" si="0"/>
        <v>0.31744198994946066</v>
      </c>
      <c r="O12" s="16">
        <f t="shared" si="1"/>
        <v>0.34348877561656116</v>
      </c>
      <c r="P12" s="16">
        <f t="shared" si="2"/>
        <v>74.514336</v>
      </c>
      <c r="Q12" s="17">
        <f t="shared" si="4"/>
        <v>1.2372685185182974E-5</v>
      </c>
      <c r="R12" s="19"/>
      <c r="S12" s="19"/>
      <c r="T12" s="19"/>
      <c r="Y12" s="24"/>
    </row>
    <row r="13" spans="1:25" x14ac:dyDescent="0.25">
      <c r="A13" s="1">
        <v>0.31640000000000001</v>
      </c>
      <c r="B13" s="1">
        <v>0.3427</v>
      </c>
      <c r="C13" s="1">
        <v>71.725300000000004</v>
      </c>
      <c r="D13" s="4">
        <v>405</v>
      </c>
      <c r="E13" s="26">
        <f t="shared" si="3"/>
        <v>4.6874999999999996E-6</v>
      </c>
      <c r="J13" s="20" t="s">
        <v>18</v>
      </c>
      <c r="K13" s="15">
        <v>68.959709000000004</v>
      </c>
      <c r="L13" s="15">
        <v>74.573532</v>
      </c>
      <c r="M13" s="15">
        <v>73.760834000000003</v>
      </c>
      <c r="N13" s="53">
        <f t="shared" si="0"/>
        <v>0.31735660072645788</v>
      </c>
      <c r="O13" s="16">
        <f t="shared" si="1"/>
        <v>0.34319174142230979</v>
      </c>
      <c r="P13" s="16">
        <f t="shared" si="2"/>
        <v>74.573532</v>
      </c>
      <c r="Q13" s="17">
        <f t="shared" si="4"/>
        <v>1.2476851851850324E-5</v>
      </c>
      <c r="R13" s="19"/>
      <c r="S13" s="19"/>
      <c r="T13" s="19"/>
      <c r="Y13" s="24"/>
    </row>
    <row r="14" spans="1:25" x14ac:dyDescent="0.25">
      <c r="A14" s="1">
        <v>0.31640000000000001</v>
      </c>
      <c r="B14" s="1">
        <v>0.34189999999999998</v>
      </c>
      <c r="C14" s="1">
        <v>71.591399999999993</v>
      </c>
      <c r="D14" s="4">
        <v>406</v>
      </c>
      <c r="E14" s="26">
        <f t="shared" si="3"/>
        <v>4.6990740740740741E-6</v>
      </c>
      <c r="J14" s="20" t="s">
        <v>19</v>
      </c>
      <c r="K14" s="15">
        <v>68.857887000000005</v>
      </c>
      <c r="L14" s="15">
        <v>74.493331999999995</v>
      </c>
      <c r="M14" s="15">
        <v>73.673430999999994</v>
      </c>
      <c r="N14" s="53">
        <f t="shared" si="0"/>
        <v>0.31728141019925615</v>
      </c>
      <c r="O14" s="16">
        <f t="shared" si="1"/>
        <v>0.34324825313622204</v>
      </c>
      <c r="P14" s="16">
        <f t="shared" si="2"/>
        <v>74.493331999999995</v>
      </c>
      <c r="Q14" s="17">
        <f t="shared" si="4"/>
        <v>1.2175925925929365E-5</v>
      </c>
      <c r="R14" s="19"/>
      <c r="S14" s="19"/>
      <c r="T14" s="19"/>
      <c r="Y14" s="24"/>
    </row>
    <row r="15" spans="1:25" x14ac:dyDescent="0.25">
      <c r="A15" s="1">
        <v>0.31640000000000001</v>
      </c>
      <c r="B15" s="1">
        <v>0.3427</v>
      </c>
      <c r="C15" s="1">
        <v>71.728700000000003</v>
      </c>
      <c r="D15" s="4">
        <v>406</v>
      </c>
      <c r="E15" s="26">
        <f t="shared" si="3"/>
        <v>4.6990740740740741E-6</v>
      </c>
      <c r="J15" s="20" t="s">
        <v>20</v>
      </c>
      <c r="K15" s="15">
        <v>68.890174999999999</v>
      </c>
      <c r="L15" s="15">
        <v>74.528335999999996</v>
      </c>
      <c r="M15" s="15">
        <v>73.600127999999998</v>
      </c>
      <c r="N15" s="53">
        <f t="shared" si="0"/>
        <v>0.31743897813311783</v>
      </c>
      <c r="O15" s="16">
        <f t="shared" si="1"/>
        <v>0.34341905535588579</v>
      </c>
      <c r="P15" s="16">
        <f t="shared" si="2"/>
        <v>74.528335999999996</v>
      </c>
      <c r="Q15" s="17">
        <f t="shared" si="4"/>
        <v>1.2708333333333321E-5</v>
      </c>
      <c r="R15" s="19"/>
      <c r="S15" s="19"/>
      <c r="T15" s="19"/>
      <c r="Y15" s="24"/>
    </row>
    <row r="16" spans="1:25" x14ac:dyDescent="0.25">
      <c r="A16" s="1">
        <v>0.31640000000000001</v>
      </c>
      <c r="B16" s="1">
        <v>0.34239999999999998</v>
      </c>
      <c r="C16" s="1">
        <v>71.791399999999996</v>
      </c>
      <c r="D16" s="4">
        <v>405</v>
      </c>
      <c r="E16" s="26">
        <f t="shared" si="3"/>
        <v>4.6874999999999996E-6</v>
      </c>
      <c r="J16" s="20"/>
      <c r="K16" s="15"/>
      <c r="L16" s="15"/>
      <c r="M16" s="15"/>
      <c r="N16" s="53"/>
      <c r="O16" s="16"/>
      <c r="P16" s="16"/>
      <c r="Q16" s="17"/>
      <c r="R16" s="19"/>
      <c r="S16" s="19"/>
      <c r="T16" s="19"/>
    </row>
    <row r="17" spans="1:20" x14ac:dyDescent="0.25">
      <c r="A17" s="1">
        <v>0.31640000000000001</v>
      </c>
      <c r="B17" s="1">
        <v>0.34250000000000003</v>
      </c>
      <c r="C17" s="1">
        <v>71.7697</v>
      </c>
      <c r="D17" s="4">
        <v>421</v>
      </c>
      <c r="E17" s="26">
        <f t="shared" si="3"/>
        <v>4.872685185185185E-6</v>
      </c>
      <c r="J17" s="30" t="s">
        <v>6</v>
      </c>
      <c r="K17" s="30"/>
      <c r="L17" s="15"/>
      <c r="M17" s="15"/>
      <c r="N17" s="53"/>
      <c r="O17" s="16"/>
      <c r="P17" s="16"/>
      <c r="Q17" s="17"/>
      <c r="R17" s="19"/>
      <c r="S17" s="19"/>
      <c r="T17" s="19"/>
    </row>
    <row r="18" spans="1:20" x14ac:dyDescent="0.25">
      <c r="A18" s="1">
        <v>0.31609999999999999</v>
      </c>
      <c r="B18" s="1">
        <v>0.34189999999999998</v>
      </c>
      <c r="C18" s="1">
        <v>71.823999999999998</v>
      </c>
      <c r="D18" s="4">
        <v>436</v>
      </c>
      <c r="E18" s="26">
        <f t="shared" si="3"/>
        <v>5.0462962962962959E-6</v>
      </c>
      <c r="R18" s="19"/>
      <c r="S18" s="19"/>
      <c r="T18" s="19"/>
    </row>
    <row r="19" spans="1:20" x14ac:dyDescent="0.25">
      <c r="A19" s="1">
        <v>0.31580000000000003</v>
      </c>
      <c r="B19" s="1">
        <v>0.34179999999999999</v>
      </c>
      <c r="C19" s="1">
        <v>71.722899999999996</v>
      </c>
      <c r="D19" s="4">
        <v>421</v>
      </c>
      <c r="E19" s="26">
        <f t="shared" si="3"/>
        <v>4.872685185185185E-6</v>
      </c>
    </row>
    <row r="20" spans="1:20" x14ac:dyDescent="0.25">
      <c r="A20" s="1"/>
      <c r="B20" s="1"/>
      <c r="C20" s="1"/>
      <c r="D20" s="4"/>
      <c r="E20" s="26"/>
    </row>
    <row r="21" spans="1:20" x14ac:dyDescent="0.25">
      <c r="A21" s="76" t="s">
        <v>6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</row>
    <row r="22" spans="1:20" x14ac:dyDescent="0.25">
      <c r="A22">
        <v>0.31490000000000001</v>
      </c>
      <c r="B22">
        <v>0.35959999999999998</v>
      </c>
      <c r="C22">
        <v>21.0502</v>
      </c>
      <c r="D22" s="4">
        <v>967</v>
      </c>
      <c r="E22" s="26">
        <f t="shared" si="3"/>
        <v>1.1192129629629629E-5</v>
      </c>
      <c r="F22" s="5">
        <f>MAX(A22:A31)-MIN(A22:A31)</f>
        <v>2.0000000000003348E-4</v>
      </c>
      <c r="G22" s="5">
        <f>MAX(B22:B31)-MIN(B22:B31)</f>
        <v>1.9999999999997797E-4</v>
      </c>
      <c r="H22" s="5">
        <f>MAX(C22:C31)-MIN(C22:C31)</f>
        <v>2.0099999999999341E-2</v>
      </c>
      <c r="J22" s="20" t="s">
        <v>21</v>
      </c>
      <c r="K22" s="15">
        <v>21.679442999999999</v>
      </c>
      <c r="L22" s="15">
        <v>23.771447999999999</v>
      </c>
      <c r="M22" s="15">
        <v>22.732899</v>
      </c>
      <c r="N22" s="53">
        <f t="shared" ref="N22:N28" si="5">SUM(K22)/(K22+L22+M22)</f>
        <v>0.31795596871338477</v>
      </c>
      <c r="O22" s="16">
        <f t="shared" ref="O22:O28" si="6">SUM(L22)/(K22+L22+M22)</f>
        <v>0.34863782139420524</v>
      </c>
      <c r="P22" s="16">
        <f t="shared" ref="P22:P28" si="7">SUM(L22)</f>
        <v>23.771447999999999</v>
      </c>
      <c r="Q22" s="17"/>
      <c r="R22" s="18">
        <f>MAX(N22:N28)-MIN(N22:N28)</f>
        <v>2.3472112771844023E-4</v>
      </c>
      <c r="S22" s="18">
        <f>MAX(O22:O28)-MIN(O22:O28)</f>
        <v>5.5546670106432217E-4</v>
      </c>
      <c r="T22" s="18">
        <f>MAX(P22:P28)-MIN(P22:P28)</f>
        <v>4.8087999999999909E-2</v>
      </c>
    </row>
    <row r="23" spans="1:20" x14ac:dyDescent="0.25">
      <c r="A23">
        <v>0.31469999999999998</v>
      </c>
      <c r="B23">
        <v>0.3594</v>
      </c>
      <c r="C23">
        <v>21.054400000000001</v>
      </c>
      <c r="D23" s="4">
        <v>967</v>
      </c>
      <c r="E23" s="26">
        <f t="shared" si="3"/>
        <v>1.1192129629629629E-5</v>
      </c>
      <c r="J23" s="20" t="s">
        <v>22</v>
      </c>
      <c r="K23" s="15">
        <v>21.713615000000001</v>
      </c>
      <c r="L23" s="15">
        <v>23.790762000000001</v>
      </c>
      <c r="M23" s="15">
        <v>22.785456</v>
      </c>
      <c r="N23" s="53">
        <f t="shared" si="5"/>
        <v>0.31796263142128345</v>
      </c>
      <c r="O23" s="16">
        <f t="shared" si="6"/>
        <v>0.34837926752581166</v>
      </c>
      <c r="P23" s="16">
        <f t="shared" si="7"/>
        <v>23.790762000000001</v>
      </c>
      <c r="Q23" s="17">
        <f t="shared" ref="Q23:Q28" si="8">ABS(J22-J23)</f>
        <v>1.7569444444441584E-5</v>
      </c>
    </row>
    <row r="24" spans="1:20" x14ac:dyDescent="0.25">
      <c r="A24">
        <v>0.31480000000000002</v>
      </c>
      <c r="B24">
        <v>0.35949999999999999</v>
      </c>
      <c r="C24">
        <v>21.047699999999999</v>
      </c>
      <c r="D24" s="4">
        <v>983</v>
      </c>
      <c r="E24" s="26">
        <f t="shared" si="3"/>
        <v>1.1377314814814814E-5</v>
      </c>
      <c r="J24" s="20" t="s">
        <v>23</v>
      </c>
      <c r="K24" s="15">
        <v>21.664580999999998</v>
      </c>
      <c r="L24" s="15">
        <v>23.752050000000001</v>
      </c>
      <c r="M24" s="15">
        <v>22.742398999999999</v>
      </c>
      <c r="N24" s="53">
        <f t="shared" si="5"/>
        <v>0.31785342309008796</v>
      </c>
      <c r="O24" s="16">
        <f t="shared" si="6"/>
        <v>0.34847987126577357</v>
      </c>
      <c r="P24" s="16">
        <f t="shared" si="7"/>
        <v>23.752050000000001</v>
      </c>
      <c r="Q24" s="17">
        <f t="shared" si="8"/>
        <v>1.7407407407403486E-5</v>
      </c>
      <c r="R24" s="19"/>
      <c r="S24" s="19"/>
      <c r="T24" s="19"/>
    </row>
    <row r="25" spans="1:20" x14ac:dyDescent="0.25">
      <c r="A25">
        <v>0.31469999999999998</v>
      </c>
      <c r="B25">
        <v>0.3594</v>
      </c>
      <c r="C25">
        <v>21.05</v>
      </c>
      <c r="D25" s="4">
        <v>967</v>
      </c>
      <c r="E25" s="26">
        <f t="shared" si="3"/>
        <v>1.1192129629629629E-5</v>
      </c>
      <c r="J25" s="20" t="s">
        <v>24</v>
      </c>
      <c r="K25" s="15">
        <v>21.664767999999999</v>
      </c>
      <c r="L25" s="15">
        <v>23.757708000000001</v>
      </c>
      <c r="M25" s="15">
        <v>22.714188</v>
      </c>
      <c r="N25" s="53">
        <f t="shared" si="5"/>
        <v>0.31796050361373723</v>
      </c>
      <c r="O25" s="16">
        <f t="shared" si="6"/>
        <v>0.34867729949326554</v>
      </c>
      <c r="P25" s="16">
        <f t="shared" si="7"/>
        <v>23.757708000000001</v>
      </c>
      <c r="Q25" s="17">
        <f t="shared" si="8"/>
        <v>1.7280092592594776E-5</v>
      </c>
      <c r="R25" s="19"/>
      <c r="S25" s="19"/>
      <c r="T25" s="19"/>
    </row>
    <row r="26" spans="1:20" x14ac:dyDescent="0.25">
      <c r="A26">
        <v>0.31480000000000002</v>
      </c>
      <c r="B26">
        <v>0.35949999999999999</v>
      </c>
      <c r="C26">
        <v>21.049800000000001</v>
      </c>
      <c r="D26" s="4">
        <v>951</v>
      </c>
      <c r="E26" s="26">
        <f t="shared" si="3"/>
        <v>1.1006944444444445E-5</v>
      </c>
      <c r="J26" s="20" t="s">
        <v>25</v>
      </c>
      <c r="K26" s="15">
        <v>21.649930999999999</v>
      </c>
      <c r="L26" s="15">
        <v>23.742674000000001</v>
      </c>
      <c r="M26" s="15">
        <v>22.683418</v>
      </c>
      <c r="N26" s="53">
        <f t="shared" si="5"/>
        <v>0.3180257900788358</v>
      </c>
      <c r="O26" s="16">
        <f t="shared" si="6"/>
        <v>0.34876705415062215</v>
      </c>
      <c r="P26" s="16">
        <f t="shared" si="7"/>
        <v>23.742674000000001</v>
      </c>
      <c r="Q26" s="17">
        <f t="shared" si="8"/>
        <v>1.7673611111115872E-5</v>
      </c>
      <c r="R26" s="19"/>
      <c r="S26" s="19"/>
      <c r="T26" s="19"/>
    </row>
    <row r="27" spans="1:20" x14ac:dyDescent="0.25">
      <c r="A27">
        <v>0.31469999999999998</v>
      </c>
      <c r="B27">
        <v>0.3594</v>
      </c>
      <c r="C27">
        <v>21.043399999999998</v>
      </c>
      <c r="D27" s="4">
        <v>967</v>
      </c>
      <c r="E27" s="26">
        <f t="shared" si="3"/>
        <v>1.1192129629629629E-5</v>
      </c>
      <c r="J27" s="20" t="s">
        <v>26</v>
      </c>
      <c r="K27" s="15">
        <v>21.656348999999999</v>
      </c>
      <c r="L27" s="15">
        <v>23.749728999999999</v>
      </c>
      <c r="M27" s="15">
        <v>22.676777000000001</v>
      </c>
      <c r="N27" s="53">
        <f t="shared" si="5"/>
        <v>0.3180881442178064</v>
      </c>
      <c r="O27" s="16">
        <f t="shared" si="6"/>
        <v>0.34883567970232743</v>
      </c>
      <c r="P27" s="16">
        <f t="shared" si="7"/>
        <v>23.749728999999999</v>
      </c>
      <c r="Q27" s="17">
        <f t="shared" si="8"/>
        <v>1.7453703703700085E-5</v>
      </c>
      <c r="R27" s="19"/>
      <c r="S27" s="19"/>
      <c r="T27" s="19"/>
    </row>
    <row r="28" spans="1:20" x14ac:dyDescent="0.25">
      <c r="A28">
        <v>0.31480000000000002</v>
      </c>
      <c r="B28">
        <v>0.35949999999999999</v>
      </c>
      <c r="C28">
        <v>21.048100000000002</v>
      </c>
      <c r="D28" s="4">
        <v>967</v>
      </c>
      <c r="E28" s="26">
        <f t="shared" si="3"/>
        <v>1.1192129629629629E-5</v>
      </c>
      <c r="J28" s="20" t="s">
        <v>27</v>
      </c>
      <c r="K28" s="15">
        <v>21.682431999999999</v>
      </c>
      <c r="L28" s="15">
        <v>23.757474999999999</v>
      </c>
      <c r="M28" s="15">
        <v>22.773772999999998</v>
      </c>
      <c r="N28" s="53">
        <f t="shared" si="5"/>
        <v>0.31786046435260495</v>
      </c>
      <c r="O28" s="16">
        <f t="shared" si="6"/>
        <v>0.34828021300126311</v>
      </c>
      <c r="P28" s="16">
        <f t="shared" si="7"/>
        <v>23.757474999999999</v>
      </c>
      <c r="Q28" s="17">
        <f t="shared" si="8"/>
        <v>1.7453703703700085E-5</v>
      </c>
      <c r="R28" s="19"/>
      <c r="S28" s="19"/>
      <c r="T28" s="19"/>
    </row>
    <row r="29" spans="1:20" x14ac:dyDescent="0.25">
      <c r="A29">
        <v>0.31480000000000002</v>
      </c>
      <c r="B29">
        <v>0.3594</v>
      </c>
      <c r="C29">
        <v>21.046600000000002</v>
      </c>
      <c r="D29" s="4">
        <v>967</v>
      </c>
      <c r="E29" s="26">
        <f t="shared" si="3"/>
        <v>1.1192129629629629E-5</v>
      </c>
      <c r="J29" s="20"/>
      <c r="K29" s="15"/>
      <c r="L29" s="15"/>
      <c r="M29" s="15"/>
      <c r="N29" s="53"/>
      <c r="O29" s="16"/>
      <c r="P29" s="16"/>
      <c r="Q29" s="17"/>
      <c r="R29" s="19"/>
      <c r="S29" s="19"/>
      <c r="T29" s="19"/>
    </row>
    <row r="30" spans="1:20" x14ac:dyDescent="0.25">
      <c r="A30">
        <v>0.31490000000000001</v>
      </c>
      <c r="B30">
        <v>0.35959999999999998</v>
      </c>
      <c r="C30">
        <v>21.0459</v>
      </c>
      <c r="D30" s="4">
        <v>967</v>
      </c>
      <c r="E30" s="26">
        <f t="shared" si="3"/>
        <v>1.1192129629629629E-5</v>
      </c>
      <c r="J30" s="29"/>
      <c r="K30" s="29"/>
      <c r="L30" s="15"/>
      <c r="M30" s="15"/>
      <c r="R30" s="19"/>
      <c r="S30" s="19"/>
      <c r="T30" s="19"/>
    </row>
    <row r="31" spans="1:20" x14ac:dyDescent="0.25">
      <c r="A31">
        <v>0.31480000000000002</v>
      </c>
      <c r="B31">
        <v>0.35959999999999998</v>
      </c>
      <c r="C31">
        <v>21.034300000000002</v>
      </c>
      <c r="D31" s="4">
        <v>968</v>
      </c>
      <c r="E31" s="26">
        <f t="shared" si="3"/>
        <v>1.1203703703703704E-5</v>
      </c>
    </row>
    <row r="32" spans="1:20" x14ac:dyDescent="0.25">
      <c r="D32" s="4"/>
      <c r="E32" s="26"/>
    </row>
    <row r="33" spans="1:20" ht="16.5" customHeight="1" x14ac:dyDescent="0.25">
      <c r="A33" s="77" t="s">
        <v>7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</row>
    <row r="34" spans="1:20" x14ac:dyDescent="0.25">
      <c r="A34">
        <v>0.31709999999999999</v>
      </c>
      <c r="B34">
        <v>0.37280000000000002</v>
      </c>
      <c r="C34">
        <v>0.69530000000000003</v>
      </c>
      <c r="D34" s="4">
        <v>4150</v>
      </c>
      <c r="E34" s="26">
        <f t="shared" si="3"/>
        <v>4.8032407407407408E-5</v>
      </c>
      <c r="F34" s="5">
        <f>MAX(A34:A39)-MIN(A34:A39)</f>
        <v>0</v>
      </c>
      <c r="G34" s="5">
        <f>MAX(B34:B39)-MIN(B34:B39)</f>
        <v>0</v>
      </c>
      <c r="H34" s="5">
        <f>MAX(C34:C39)-MIN(C34:C39)</f>
        <v>1.7000000000000348E-3</v>
      </c>
      <c r="J34" s="20" t="s">
        <v>28</v>
      </c>
      <c r="K34" s="15">
        <v>0.70586908000000004</v>
      </c>
      <c r="L34" s="15">
        <v>0.80078941999999997</v>
      </c>
      <c r="M34" s="15">
        <v>0.70333009999999996</v>
      </c>
      <c r="N34" s="53">
        <f>SUM(K34)/(K34+L34+M34)</f>
        <v>0.31939942133638155</v>
      </c>
      <c r="O34" s="16">
        <f>SUM(L34)/(K34+L34+M34)</f>
        <v>0.36235002298201902</v>
      </c>
      <c r="P34" s="16">
        <f>SUM(L34)</f>
        <v>0.80078941999999997</v>
      </c>
      <c r="Q34" s="17"/>
      <c r="R34" s="18">
        <f>MAX(N34:N38)-MIN(N34:N38)</f>
        <v>1.4435654940886389E-4</v>
      </c>
      <c r="S34" s="18">
        <f>MAX(O34:O38)-MIN(O34:O38)</f>
        <v>1.925585886413117E-4</v>
      </c>
      <c r="T34" s="18">
        <f>MAX(P34:P38)-MIN(P34:P38)</f>
        <v>2.8707399999999828E-3</v>
      </c>
    </row>
    <row r="35" spans="1:20" x14ac:dyDescent="0.25">
      <c r="A35">
        <v>0.31709999999999999</v>
      </c>
      <c r="B35">
        <v>0.37280000000000002</v>
      </c>
      <c r="C35">
        <v>0.69469999999999998</v>
      </c>
      <c r="D35" s="4">
        <v>4165</v>
      </c>
      <c r="E35" s="26">
        <f t="shared" si="3"/>
        <v>4.8206018518518518E-5</v>
      </c>
      <c r="J35" s="20" t="s">
        <v>29</v>
      </c>
      <c r="K35" s="15">
        <v>0.70532041999999995</v>
      </c>
      <c r="L35" s="15">
        <v>0.80026025000000001</v>
      </c>
      <c r="M35" s="15">
        <v>0.70231151999999997</v>
      </c>
      <c r="N35" s="53">
        <f>SUM(K35)/(K35+L35+M35)</f>
        <v>0.31945419400210839</v>
      </c>
      <c r="O35" s="16">
        <f>SUM(L35)/(K35+L35+M35)</f>
        <v>0.36245440498614201</v>
      </c>
      <c r="P35" s="16">
        <f>SUM(L35)</f>
        <v>0.80026025000000001</v>
      </c>
      <c r="Q35" s="17">
        <f>ABS(J34-J35)</f>
        <v>5.1620370370375479E-5</v>
      </c>
    </row>
    <row r="36" spans="1:20" x14ac:dyDescent="0.25">
      <c r="A36">
        <v>0.31709999999999999</v>
      </c>
      <c r="B36">
        <v>0.37280000000000002</v>
      </c>
      <c r="C36">
        <v>0.69440000000000002</v>
      </c>
      <c r="D36" s="4">
        <v>4181</v>
      </c>
      <c r="E36" s="26">
        <f t="shared" si="3"/>
        <v>4.8391203703703704E-5</v>
      </c>
      <c r="J36" s="20" t="s">
        <v>30</v>
      </c>
      <c r="K36" s="15">
        <v>0.70432156000000001</v>
      </c>
      <c r="L36" s="15">
        <v>0.79929912000000003</v>
      </c>
      <c r="M36" s="15">
        <v>0.70116997000000003</v>
      </c>
      <c r="N36" s="53">
        <f>SUM(K36)/(K36+L36+M36)</f>
        <v>0.31945053830847842</v>
      </c>
      <c r="O36" s="16">
        <f>SUM(L36)/(K36+L36+M36)</f>
        <v>0.36252835161469865</v>
      </c>
      <c r="P36" s="16">
        <f>SUM(L36)</f>
        <v>0.79929912000000003</v>
      </c>
      <c r="Q36" s="17">
        <f>ABS(J35-J36)</f>
        <v>5.1770833333332489E-5</v>
      </c>
      <c r="R36" s="19"/>
      <c r="S36" s="19"/>
      <c r="T36" s="19"/>
    </row>
    <row r="37" spans="1:20" x14ac:dyDescent="0.25">
      <c r="A37">
        <v>0.31709999999999999</v>
      </c>
      <c r="B37">
        <v>0.37280000000000002</v>
      </c>
      <c r="C37">
        <v>0.69410000000000005</v>
      </c>
      <c r="D37" s="4">
        <v>4149</v>
      </c>
      <c r="E37" s="26">
        <f t="shared" si="3"/>
        <v>4.8020833333333333E-5</v>
      </c>
      <c r="J37" s="20" t="s">
        <v>31</v>
      </c>
      <c r="K37" s="15">
        <v>0.70402770999999997</v>
      </c>
      <c r="L37" s="15">
        <v>0.79879880000000003</v>
      </c>
      <c r="M37" s="15">
        <v>0.70049757000000001</v>
      </c>
      <c r="N37" s="53">
        <f>SUM(K37)/(K37+L37+M37)</f>
        <v>0.31952980335058112</v>
      </c>
      <c r="O37" s="16">
        <f>SUM(L37)/(K37+L37+M37)</f>
        <v>0.36254258157066033</v>
      </c>
      <c r="P37" s="16">
        <f>SUM(L37)</f>
        <v>0.79879880000000003</v>
      </c>
      <c r="Q37" s="17">
        <f>ABS(J36-J37)</f>
        <v>5.1284722222218193E-5</v>
      </c>
      <c r="R37" s="19"/>
      <c r="S37" s="19"/>
      <c r="T37" s="19"/>
    </row>
    <row r="38" spans="1:20" x14ac:dyDescent="0.25">
      <c r="A38">
        <v>0.31709999999999999</v>
      </c>
      <c r="B38">
        <v>0.37280000000000002</v>
      </c>
      <c r="C38">
        <v>0.69399999999999995</v>
      </c>
      <c r="D38" s="4">
        <v>4165</v>
      </c>
      <c r="E38" s="26">
        <f t="shared" si="3"/>
        <v>4.8206018518518518E-5</v>
      </c>
      <c r="J38" s="20" t="s">
        <v>32</v>
      </c>
      <c r="K38" s="15">
        <v>0.70306778000000003</v>
      </c>
      <c r="L38" s="15">
        <v>0.79791867999999999</v>
      </c>
      <c r="M38" s="15">
        <v>0.70032793000000004</v>
      </c>
      <c r="N38" s="53">
        <f>SUM(K38)/(K38+L38+M38)</f>
        <v>0.31938544680117226</v>
      </c>
      <c r="O38" s="16">
        <f>SUM(L38)/(K38+L38+M38)</f>
        <v>0.36247374914947966</v>
      </c>
      <c r="P38" s="16">
        <f>SUM(L38)</f>
        <v>0.79791867999999999</v>
      </c>
      <c r="Q38" s="17">
        <f>ABS(J37-J38)</f>
        <v>5.155092592593058E-5</v>
      </c>
      <c r="R38" s="19"/>
      <c r="S38" s="19"/>
      <c r="T38" s="19"/>
    </row>
    <row r="39" spans="1:20" x14ac:dyDescent="0.25">
      <c r="A39">
        <v>0.31709999999999999</v>
      </c>
      <c r="B39">
        <v>0.37280000000000002</v>
      </c>
      <c r="C39">
        <v>0.69359999999999999</v>
      </c>
      <c r="D39" s="4">
        <v>4181</v>
      </c>
      <c r="E39" s="26">
        <f t="shared" si="3"/>
        <v>4.8391203703703704E-5</v>
      </c>
      <c r="J39" s="20"/>
      <c r="K39" s="15"/>
      <c r="L39" s="15"/>
      <c r="M39" s="15"/>
      <c r="N39" s="53"/>
      <c r="O39" s="16"/>
      <c r="P39" s="16"/>
      <c r="Q39" s="17"/>
      <c r="R39" s="19"/>
      <c r="S39" s="19"/>
      <c r="T39" s="19"/>
    </row>
    <row r="40" spans="1:20" x14ac:dyDescent="0.25">
      <c r="D40" s="4"/>
      <c r="E40" s="26"/>
      <c r="J40" s="28"/>
      <c r="K40" s="28"/>
      <c r="L40" s="15"/>
      <c r="M40" s="15"/>
      <c r="N40" s="53"/>
      <c r="O40" s="16"/>
      <c r="P40" s="16"/>
      <c r="Q40" s="17"/>
      <c r="R40" s="19"/>
      <c r="S40" s="19"/>
      <c r="T40" s="19"/>
    </row>
    <row r="41" spans="1:20" x14ac:dyDescent="0.25">
      <c r="A41" s="78" t="s">
        <v>8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</row>
    <row r="42" spans="1:20" x14ac:dyDescent="0.25">
      <c r="A42">
        <v>0.61950000000000005</v>
      </c>
      <c r="B42">
        <v>0.34820000000000001</v>
      </c>
      <c r="C42">
        <v>15.7057</v>
      </c>
      <c r="D42" s="4">
        <v>967</v>
      </c>
      <c r="E42" s="26">
        <f t="shared" si="3"/>
        <v>1.1192129629629629E-5</v>
      </c>
      <c r="F42" s="5">
        <f>MAX(A42:A51)-MIN(A42:A51)</f>
        <v>9.9999999999988987E-5</v>
      </c>
      <c r="G42" s="5">
        <f>MAX(B42:B51)-MIN(B42:B51)</f>
        <v>0</v>
      </c>
      <c r="H42" s="5">
        <f>MAX(C42:C51)-MIN(C42:C51)</f>
        <v>1.0899999999999466E-2</v>
      </c>
      <c r="J42" s="20" t="s">
        <v>33</v>
      </c>
      <c r="K42" s="15">
        <v>33.092174999999997</v>
      </c>
      <c r="L42" s="15">
        <v>17.326777</v>
      </c>
      <c r="M42" s="15">
        <v>1.5696828</v>
      </c>
      <c r="N42" s="53">
        <f t="shared" ref="N42:N50" si="9">SUM(K42)/(K42+L42+M42)</f>
        <v>0.63652710111172217</v>
      </c>
      <c r="O42" s="16">
        <f t="shared" ref="O42:O50" si="10">SUM(L42)/(K42+L42+M42)</f>
        <v>0.33328009220969196</v>
      </c>
      <c r="P42" s="16">
        <f t="shared" ref="P42:P50" si="11">SUM(L42)</f>
        <v>17.326777</v>
      </c>
      <c r="Q42" s="17"/>
      <c r="R42" s="18">
        <f>MAX(N42:N50)-MIN(N42:N50)</f>
        <v>1.339306213649083E-4</v>
      </c>
      <c r="S42" s="18">
        <f>MAX(O42:O50)-MIN(O42:O50)</f>
        <v>5.0422306793251881E-5</v>
      </c>
      <c r="T42" s="18">
        <f>MAX(P42:P50)-MIN(P42:P50)</f>
        <v>5.2679999999998728E-2</v>
      </c>
    </row>
    <row r="43" spans="1:20" x14ac:dyDescent="0.25">
      <c r="A43">
        <v>0.61950000000000005</v>
      </c>
      <c r="B43">
        <v>0.34820000000000001</v>
      </c>
      <c r="C43">
        <v>15.698399999999999</v>
      </c>
      <c r="D43" s="4">
        <v>967</v>
      </c>
      <c r="E43" s="26">
        <f t="shared" si="3"/>
        <v>1.1192129629629629E-5</v>
      </c>
      <c r="J43" s="20" t="s">
        <v>34</v>
      </c>
      <c r="K43" s="15">
        <v>33.014857999999997</v>
      </c>
      <c r="L43" s="15">
        <v>17.287741</v>
      </c>
      <c r="M43" s="15">
        <v>1.5743142000000001</v>
      </c>
      <c r="N43" s="53">
        <f t="shared" si="9"/>
        <v>0.63640752626738772</v>
      </c>
      <c r="O43" s="16">
        <f t="shared" si="10"/>
        <v>0.33324536742097444</v>
      </c>
      <c r="P43" s="16">
        <f t="shared" si="11"/>
        <v>17.287741</v>
      </c>
      <c r="Q43" s="17">
        <f>ABS(J42-J43)</f>
        <v>2.2881944444448632E-5</v>
      </c>
    </row>
    <row r="44" spans="1:20" x14ac:dyDescent="0.25">
      <c r="A44">
        <v>0.61950000000000005</v>
      </c>
      <c r="B44">
        <v>0.34820000000000001</v>
      </c>
      <c r="C44">
        <v>15.7029</v>
      </c>
      <c r="D44" s="4">
        <v>967</v>
      </c>
      <c r="E44" s="26">
        <f t="shared" si="3"/>
        <v>1.1192129629629629E-5</v>
      </c>
      <c r="J44" s="20" t="s">
        <v>35</v>
      </c>
      <c r="K44" s="15">
        <v>33.065646999999998</v>
      </c>
      <c r="L44" s="15">
        <v>17.312740000000002</v>
      </c>
      <c r="M44" s="15">
        <v>1.5719689999999999</v>
      </c>
      <c r="N44" s="53">
        <f t="shared" si="9"/>
        <v>0.63648547470974004</v>
      </c>
      <c r="O44" s="16">
        <f t="shared" si="10"/>
        <v>0.33325546412039986</v>
      </c>
      <c r="P44" s="16">
        <f t="shared" si="11"/>
        <v>17.312740000000002</v>
      </c>
      <c r="Q44" s="17">
        <f>ABS(J43-J44)</f>
        <v>1.9988425925925035E-5</v>
      </c>
      <c r="R44" s="19"/>
      <c r="S44" s="19"/>
      <c r="T44" s="19"/>
    </row>
    <row r="45" spans="1:20" x14ac:dyDescent="0.25">
      <c r="A45">
        <v>0.61960000000000004</v>
      </c>
      <c r="B45">
        <v>0.34820000000000001</v>
      </c>
      <c r="C45">
        <v>15.6997</v>
      </c>
      <c r="D45" s="4">
        <v>967</v>
      </c>
      <c r="E45" s="26">
        <f t="shared" si="3"/>
        <v>1.1192129629629629E-5</v>
      </c>
      <c r="J45" s="20" t="s">
        <v>36</v>
      </c>
      <c r="K45" s="15">
        <v>33.012180000000001</v>
      </c>
      <c r="L45" s="15">
        <v>17.285055</v>
      </c>
      <c r="M45" s="15">
        <v>1.5645560000000001</v>
      </c>
      <c r="N45" s="53">
        <f t="shared" si="9"/>
        <v>0.63654145688875263</v>
      </c>
      <c r="O45" s="16">
        <f t="shared" si="10"/>
        <v>0.33329074578238144</v>
      </c>
      <c r="P45" s="16">
        <f t="shared" si="11"/>
        <v>17.285055</v>
      </c>
      <c r="Q45" s="17">
        <f>ABS(J44-J45)</f>
        <v>1.9641203703707477E-5</v>
      </c>
      <c r="R45" s="19"/>
      <c r="S45" s="19"/>
      <c r="T45" s="19"/>
    </row>
    <row r="46" spans="1:20" x14ac:dyDescent="0.25">
      <c r="A46">
        <v>0.61950000000000005</v>
      </c>
      <c r="B46">
        <v>0.34820000000000001</v>
      </c>
      <c r="C46">
        <v>15.6991</v>
      </c>
      <c r="D46" s="4">
        <v>967</v>
      </c>
      <c r="E46" s="26">
        <f t="shared" si="3"/>
        <v>1.1192129629629629E-5</v>
      </c>
      <c r="J46" s="20" t="s">
        <v>37</v>
      </c>
      <c r="K46" s="15">
        <v>32.988365000000002</v>
      </c>
      <c r="L46" s="15">
        <v>17.274097000000001</v>
      </c>
      <c r="M46" s="15">
        <v>1.5684743000000001</v>
      </c>
      <c r="N46" s="53">
        <f t="shared" si="9"/>
        <v>0.63646091224479773</v>
      </c>
      <c r="O46" s="16">
        <f t="shared" si="10"/>
        <v>0.33327773397757438</v>
      </c>
      <c r="P46" s="16">
        <f t="shared" si="11"/>
        <v>17.274097000000001</v>
      </c>
      <c r="Q46" s="17">
        <v>2.3657407407407409E-5</v>
      </c>
      <c r="R46" s="19"/>
      <c r="S46" s="19"/>
      <c r="T46" s="19"/>
    </row>
    <row r="47" spans="1:20" x14ac:dyDescent="0.25">
      <c r="A47">
        <v>0.61950000000000005</v>
      </c>
      <c r="B47">
        <v>0.34820000000000001</v>
      </c>
      <c r="C47">
        <v>15.696400000000001</v>
      </c>
      <c r="D47" s="4">
        <v>967</v>
      </c>
      <c r="E47" s="26">
        <f t="shared" si="3"/>
        <v>1.1192129629629629E-5</v>
      </c>
      <c r="J47" s="20" t="s">
        <v>38</v>
      </c>
      <c r="K47" s="15">
        <v>33.055171999999999</v>
      </c>
      <c r="L47" s="15">
        <v>17.306238</v>
      </c>
      <c r="M47" s="15">
        <v>1.5717949</v>
      </c>
      <c r="N47" s="53">
        <f t="shared" si="9"/>
        <v>0.63649397459004109</v>
      </c>
      <c r="O47" s="16">
        <f t="shared" si="10"/>
        <v>0.33324032347558818</v>
      </c>
      <c r="P47" s="16">
        <f t="shared" si="11"/>
        <v>17.306238</v>
      </c>
      <c r="Q47" s="17">
        <f>ABS(J46-J47)</f>
        <v>2.0162037037037175E-5</v>
      </c>
      <c r="R47" s="19"/>
      <c r="S47" s="19"/>
      <c r="T47" s="19"/>
    </row>
    <row r="48" spans="1:20" x14ac:dyDescent="0.25">
      <c r="A48">
        <v>0.61950000000000005</v>
      </c>
      <c r="B48">
        <v>0.34820000000000001</v>
      </c>
      <c r="C48">
        <v>15.700200000000001</v>
      </c>
      <c r="D48" s="4">
        <v>983</v>
      </c>
      <c r="E48" s="26">
        <f t="shared" si="3"/>
        <v>1.1377314814814814E-5</v>
      </c>
      <c r="J48" s="20" t="s">
        <v>39</v>
      </c>
      <c r="K48" s="15">
        <v>33.002780999999999</v>
      </c>
      <c r="L48" s="15">
        <v>17.280479</v>
      </c>
      <c r="M48" s="15">
        <v>1.5681399</v>
      </c>
      <c r="N48" s="53">
        <f t="shared" si="9"/>
        <v>0.63648775276364333</v>
      </c>
      <c r="O48" s="16">
        <f t="shared" si="10"/>
        <v>0.33326928556079355</v>
      </c>
      <c r="P48" s="16">
        <f t="shared" si="11"/>
        <v>17.280479</v>
      </c>
      <c r="Q48" s="17">
        <f>ABS(J47-J48)</f>
        <v>2.1157407407407344E-5</v>
      </c>
      <c r="R48" s="19"/>
      <c r="S48" s="19"/>
      <c r="T48" s="19"/>
    </row>
    <row r="49" spans="1:20" x14ac:dyDescent="0.25">
      <c r="A49">
        <v>0.61950000000000005</v>
      </c>
      <c r="B49">
        <v>0.34820000000000001</v>
      </c>
      <c r="C49">
        <v>15.696300000000001</v>
      </c>
      <c r="D49" s="4">
        <v>951</v>
      </c>
      <c r="E49" s="26">
        <f t="shared" si="3"/>
        <v>1.1006944444444445E-5</v>
      </c>
      <c r="J49" s="20" t="s">
        <v>40</v>
      </c>
      <c r="K49" s="15">
        <v>33.045437</v>
      </c>
      <c r="L49" s="15">
        <v>17.302596999999999</v>
      </c>
      <c r="M49" s="15">
        <v>1.5709120000000001</v>
      </c>
      <c r="N49" s="53">
        <f t="shared" si="9"/>
        <v>0.63648127602590399</v>
      </c>
      <c r="O49" s="16">
        <f t="shared" si="10"/>
        <v>0.33326171528982884</v>
      </c>
      <c r="P49" s="16">
        <f t="shared" si="11"/>
        <v>17.302596999999999</v>
      </c>
      <c r="Q49" s="17">
        <f>ABS(J48-J49)</f>
        <v>2.0844907407407357E-5</v>
      </c>
      <c r="R49" s="19"/>
      <c r="S49" s="19"/>
      <c r="T49" s="19"/>
    </row>
    <row r="50" spans="1:20" x14ac:dyDescent="0.25">
      <c r="A50">
        <v>0.61950000000000005</v>
      </c>
      <c r="B50">
        <v>0.34820000000000001</v>
      </c>
      <c r="C50">
        <v>15.697900000000001</v>
      </c>
      <c r="D50" s="4">
        <v>967</v>
      </c>
      <c r="E50" s="26">
        <f t="shared" si="3"/>
        <v>1.1192129629629629E-5</v>
      </c>
      <c r="J50" s="20" t="s">
        <v>41</v>
      </c>
      <c r="K50" s="15">
        <v>33.017910000000001</v>
      </c>
      <c r="L50" s="15">
        <v>17.288338</v>
      </c>
      <c r="M50" s="15">
        <v>1.5664009999999999</v>
      </c>
      <c r="N50" s="53">
        <f t="shared" si="9"/>
        <v>0.63651867865857403</v>
      </c>
      <c r="O50" s="16">
        <f t="shared" si="10"/>
        <v>0.33328427086883494</v>
      </c>
      <c r="P50" s="16">
        <f t="shared" si="11"/>
        <v>17.288338</v>
      </c>
      <c r="Q50" s="17">
        <f>ABS(J49-J50)</f>
        <v>2.1493055555555523E-5</v>
      </c>
      <c r="R50" s="19"/>
      <c r="S50" s="19"/>
      <c r="T50" s="19"/>
    </row>
    <row r="51" spans="1:20" x14ac:dyDescent="0.25">
      <c r="A51">
        <v>0.61950000000000005</v>
      </c>
      <c r="B51">
        <v>0.34820000000000001</v>
      </c>
      <c r="C51">
        <v>15.694800000000001</v>
      </c>
      <c r="D51" s="4">
        <v>967</v>
      </c>
      <c r="E51" s="26">
        <f t="shared" si="3"/>
        <v>1.1192129629629629E-5</v>
      </c>
      <c r="J51" s="20"/>
      <c r="K51" s="15"/>
      <c r="L51" s="15"/>
      <c r="M51" s="15"/>
      <c r="N51" s="53"/>
      <c r="O51" s="16"/>
      <c r="P51" s="16"/>
      <c r="Q51" s="17"/>
      <c r="R51" s="19"/>
      <c r="S51" s="19"/>
      <c r="T51" s="19"/>
    </row>
    <row r="52" spans="1:20" x14ac:dyDescent="0.25">
      <c r="D52" s="4"/>
      <c r="E52" s="26"/>
      <c r="J52" s="20"/>
      <c r="K52" s="15"/>
      <c r="L52" s="15"/>
      <c r="M52" s="15"/>
      <c r="N52" s="53"/>
      <c r="O52" s="16"/>
      <c r="P52" s="16"/>
      <c r="Q52" s="17"/>
      <c r="R52" s="19"/>
      <c r="S52" s="19"/>
      <c r="T52" s="19"/>
    </row>
    <row r="53" spans="1:20" x14ac:dyDescent="0.25">
      <c r="A53" s="83" t="s">
        <v>9</v>
      </c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</row>
    <row r="54" spans="1:20" x14ac:dyDescent="0.25">
      <c r="A54">
        <v>0.2051</v>
      </c>
      <c r="B54">
        <v>0.71799999999999997</v>
      </c>
      <c r="C54">
        <v>33.164999999999999</v>
      </c>
      <c r="D54" s="4">
        <v>609</v>
      </c>
      <c r="E54" s="26">
        <f t="shared" si="3"/>
        <v>7.0486111111111112E-6</v>
      </c>
      <c r="F54" s="5">
        <f>MAX(A54:A63)-MIN(A54:A63)</f>
        <v>2.0000000000000573E-4</v>
      </c>
      <c r="G54" s="5">
        <f>MAX(B54:B63)-MIN(B54:B63)</f>
        <v>1.9999999999997797E-4</v>
      </c>
      <c r="H54" s="5">
        <f>MAX(C54:C63)-MIN(C54:C63)</f>
        <v>7.3300000000003251E-2</v>
      </c>
      <c r="J54" s="20" t="s">
        <v>42</v>
      </c>
      <c r="K54" s="15">
        <v>10.253961</v>
      </c>
      <c r="L54" s="15">
        <v>37.41798</v>
      </c>
      <c r="M54" s="15">
        <v>4.2872266999999997</v>
      </c>
      <c r="N54" s="53">
        <f t="shared" ref="N54:N59" si="12">SUM(K54)/(K54+L54+M54)</f>
        <v>0.19734652139164269</v>
      </c>
      <c r="O54" s="16">
        <f t="shared" ref="O54:O59" si="13">SUM(L54)/(K54+L54+M54)</f>
        <v>0.72014202028875063</v>
      </c>
      <c r="P54" s="16">
        <f t="shared" ref="P54:P59" si="14">SUM(L54)</f>
        <v>37.41798</v>
      </c>
      <c r="Q54" s="17"/>
      <c r="R54" s="18">
        <f>MAX(N54:N59)-MIN(N54:N59)</f>
        <v>5.7454670019108089E-5</v>
      </c>
      <c r="S54" s="18">
        <f>MAX(O54:O59)-MIN(O54:O59)</f>
        <v>6.9013609978463286E-5</v>
      </c>
      <c r="T54" s="18">
        <f>MAX(P54:P59)-MIN(P54:P59)</f>
        <v>1.5461000000001945E-2</v>
      </c>
    </row>
    <row r="55" spans="1:20" x14ac:dyDescent="0.25">
      <c r="A55">
        <v>0.20499999999999999</v>
      </c>
      <c r="B55">
        <v>0.71809999999999996</v>
      </c>
      <c r="C55">
        <v>33.1569</v>
      </c>
      <c r="D55" s="4">
        <v>624</v>
      </c>
      <c r="E55" s="26">
        <f t="shared" si="3"/>
        <v>7.2222222222222221E-6</v>
      </c>
      <c r="J55" s="20" t="s">
        <v>43</v>
      </c>
      <c r="K55" s="15">
        <v>10.255943</v>
      </c>
      <c r="L55" s="15">
        <v>37.418098000000001</v>
      </c>
      <c r="M55" s="15">
        <v>4.2885236999999998</v>
      </c>
      <c r="N55" s="53">
        <f t="shared" si="12"/>
        <v>0.19737176290684513</v>
      </c>
      <c r="O55" s="16">
        <f t="shared" si="13"/>
        <v>0.72009721259966986</v>
      </c>
      <c r="P55" s="16">
        <f t="shared" si="14"/>
        <v>37.418098000000001</v>
      </c>
      <c r="Q55" s="17">
        <f>ABS(J54-J55)</f>
        <v>1.7268518518518457E-5</v>
      </c>
    </row>
    <row r="56" spans="1:20" x14ac:dyDescent="0.25">
      <c r="A56">
        <v>0.2051</v>
      </c>
      <c r="B56">
        <v>0.71809999999999996</v>
      </c>
      <c r="C56">
        <v>33.163899999999998</v>
      </c>
      <c r="D56" s="4">
        <v>609</v>
      </c>
      <c r="E56" s="26">
        <f t="shared" si="3"/>
        <v>7.0486111111111112E-6</v>
      </c>
      <c r="J56" s="20" t="s">
        <v>44</v>
      </c>
      <c r="K56" s="15">
        <v>10.257897</v>
      </c>
      <c r="L56" s="15">
        <v>37.421829000000002</v>
      </c>
      <c r="M56" s="15">
        <v>4.2889581000000003</v>
      </c>
      <c r="N56" s="53">
        <f t="shared" si="12"/>
        <v>0.19738612161626773</v>
      </c>
      <c r="O56" s="16">
        <f t="shared" si="13"/>
        <v>0.720084213177143</v>
      </c>
      <c r="P56" s="16">
        <f t="shared" si="14"/>
        <v>37.421829000000002</v>
      </c>
      <c r="Q56" s="17">
        <f>ABS(J55-J56)</f>
        <v>1.4907407407407491E-5</v>
      </c>
      <c r="R56" s="19"/>
      <c r="S56" s="19"/>
      <c r="T56" s="19"/>
    </row>
    <row r="57" spans="1:20" x14ac:dyDescent="0.25">
      <c r="A57">
        <v>0.20499999999999999</v>
      </c>
      <c r="B57">
        <v>0.71819999999999995</v>
      </c>
      <c r="C57">
        <v>33.137900000000002</v>
      </c>
      <c r="D57" s="4">
        <v>609</v>
      </c>
      <c r="E57" s="26">
        <f t="shared" si="3"/>
        <v>7.0486111111111112E-6</v>
      </c>
      <c r="J57" s="20" t="s">
        <v>45</v>
      </c>
      <c r="K57" s="15">
        <v>10.260412000000001</v>
      </c>
      <c r="L57" s="15">
        <v>37.427036000000001</v>
      </c>
      <c r="M57" s="15">
        <v>4.2892761000000004</v>
      </c>
      <c r="N57" s="53">
        <f t="shared" si="12"/>
        <v>0.1974039760616618</v>
      </c>
      <c r="O57" s="16">
        <f t="shared" si="13"/>
        <v>0.72007300667877217</v>
      </c>
      <c r="P57" s="16">
        <f t="shared" si="14"/>
        <v>37.427036000000001</v>
      </c>
      <c r="Q57" s="17">
        <f>ABS(J56-J57)</f>
        <v>1.5266203703703752E-5</v>
      </c>
      <c r="R57" s="19"/>
      <c r="S57" s="19"/>
      <c r="T57" s="19"/>
    </row>
    <row r="58" spans="1:20" x14ac:dyDescent="0.25">
      <c r="A58">
        <v>0.20499999999999999</v>
      </c>
      <c r="B58">
        <v>0.71819999999999995</v>
      </c>
      <c r="C58">
        <v>33.133899999999997</v>
      </c>
      <c r="D58" s="4">
        <v>624</v>
      </c>
      <c r="E58" s="26">
        <f t="shared" si="3"/>
        <v>7.2222222222222221E-6</v>
      </c>
      <c r="J58" s="20" t="s">
        <v>46</v>
      </c>
      <c r="K58" s="15">
        <v>10.253966999999999</v>
      </c>
      <c r="L58" s="15">
        <v>37.411574999999999</v>
      </c>
      <c r="M58" s="15">
        <v>4.2877054000000001</v>
      </c>
      <c r="N58" s="53">
        <f t="shared" si="12"/>
        <v>0.19736912538021634</v>
      </c>
      <c r="O58" s="16">
        <f t="shared" si="13"/>
        <v>0.72010079970477447</v>
      </c>
      <c r="P58" s="16">
        <f t="shared" si="14"/>
        <v>37.411574999999999</v>
      </c>
      <c r="Q58" s="17">
        <f>ABS(J57-J58)</f>
        <v>1.5486111111111191E-5</v>
      </c>
      <c r="R58" s="19"/>
      <c r="S58" s="19"/>
      <c r="T58" s="19"/>
    </row>
    <row r="59" spans="1:20" x14ac:dyDescent="0.25">
      <c r="A59">
        <v>0.20499999999999999</v>
      </c>
      <c r="B59">
        <v>0.71809999999999996</v>
      </c>
      <c r="C59">
        <v>33.148299999999999</v>
      </c>
      <c r="D59" s="4">
        <v>624</v>
      </c>
      <c r="E59" s="26">
        <f t="shared" si="3"/>
        <v>7.2222222222222221E-6</v>
      </c>
      <c r="J59" s="20" t="s">
        <v>47</v>
      </c>
      <c r="K59" s="15">
        <v>10.256313</v>
      </c>
      <c r="L59" s="15">
        <v>37.41666</v>
      </c>
      <c r="M59" s="15">
        <v>4.2889704999999996</v>
      </c>
      <c r="N59" s="53">
        <f t="shared" si="12"/>
        <v>0.19738124306301208</v>
      </c>
      <c r="O59" s="16">
        <f t="shared" si="13"/>
        <v>0.72007814719247376</v>
      </c>
      <c r="P59" s="16">
        <f t="shared" si="14"/>
        <v>37.41666</v>
      </c>
      <c r="Q59" s="17">
        <f>ABS(J58-J59)</f>
        <v>1.5543981481481398E-5</v>
      </c>
      <c r="R59" s="19"/>
      <c r="S59" s="19"/>
      <c r="T59" s="19"/>
    </row>
    <row r="60" spans="1:20" x14ac:dyDescent="0.25">
      <c r="A60">
        <v>0.2051</v>
      </c>
      <c r="B60">
        <v>0.71809999999999996</v>
      </c>
      <c r="C60">
        <v>33.175400000000003</v>
      </c>
      <c r="D60" s="4">
        <v>609</v>
      </c>
      <c r="E60" s="26">
        <f t="shared" si="3"/>
        <v>7.0486111111111112E-6</v>
      </c>
      <c r="J60" s="20"/>
      <c r="K60" s="15"/>
      <c r="L60" s="15"/>
      <c r="M60" s="15"/>
      <c r="N60" s="53"/>
      <c r="O60" s="16"/>
      <c r="P60" s="16"/>
      <c r="Q60" s="17"/>
      <c r="R60" s="19"/>
      <c r="S60" s="19"/>
      <c r="T60" s="19"/>
    </row>
    <row r="61" spans="1:20" x14ac:dyDescent="0.25">
      <c r="A61">
        <v>0.20519999999999999</v>
      </c>
      <c r="B61">
        <v>0.71799999999999997</v>
      </c>
      <c r="C61">
        <v>33.2072</v>
      </c>
      <c r="D61" s="4">
        <v>608</v>
      </c>
      <c r="E61" s="26">
        <f t="shared" si="3"/>
        <v>7.0370370370370366E-6</v>
      </c>
      <c r="J61" s="31"/>
      <c r="K61" s="31"/>
      <c r="L61" s="15"/>
      <c r="M61" s="15"/>
      <c r="N61" s="53"/>
      <c r="O61" s="16"/>
      <c r="P61" s="16"/>
      <c r="Q61" s="17"/>
      <c r="R61" s="19"/>
      <c r="S61" s="19"/>
      <c r="T61" s="19"/>
    </row>
    <row r="62" spans="1:20" x14ac:dyDescent="0.25">
      <c r="A62">
        <v>0.20519999999999999</v>
      </c>
      <c r="B62">
        <v>0.71799999999999997</v>
      </c>
      <c r="C62">
        <v>33.194800000000001</v>
      </c>
      <c r="D62" s="4">
        <v>609</v>
      </c>
      <c r="E62" s="26">
        <f t="shared" si="3"/>
        <v>7.0486111111111112E-6</v>
      </c>
      <c r="R62" s="19"/>
      <c r="S62" s="19"/>
      <c r="T62" s="19"/>
    </row>
    <row r="63" spans="1:20" x14ac:dyDescent="0.25">
      <c r="A63">
        <v>0.20519999999999999</v>
      </c>
      <c r="B63">
        <v>0.71799999999999997</v>
      </c>
      <c r="C63">
        <v>33.193399999999997</v>
      </c>
      <c r="D63" s="4">
        <v>609</v>
      </c>
      <c r="E63" s="26">
        <f t="shared" si="3"/>
        <v>7.0486111111111112E-6</v>
      </c>
    </row>
    <row r="64" spans="1:20" x14ac:dyDescent="0.25">
      <c r="D64" s="4"/>
      <c r="E64" s="26"/>
    </row>
    <row r="65" spans="1:20" x14ac:dyDescent="0.25">
      <c r="A65" s="84" t="s">
        <v>10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</row>
    <row r="66" spans="1:20" x14ac:dyDescent="0.25">
      <c r="A66">
        <v>0.15790000000000001</v>
      </c>
      <c r="B66">
        <v>5.9499999999999997E-2</v>
      </c>
      <c r="C66">
        <v>3.2970999999999999</v>
      </c>
      <c r="D66" s="4">
        <v>952</v>
      </c>
      <c r="E66" s="26">
        <f t="shared" si="3"/>
        <v>1.1018518518518519E-5</v>
      </c>
      <c r="F66" s="5">
        <f>MAX(A66:A75)-MIN(A66:A75)</f>
        <v>9.9999999999988987E-5</v>
      </c>
      <c r="G66" s="5">
        <f>MAX(B66:B75)-MIN(B66:B75)</f>
        <v>9.9999999999995925E-5</v>
      </c>
      <c r="H66" s="5">
        <f>MAX(C66:C75)-MIN(C66:C75)</f>
        <v>3.8000000000000256E-3</v>
      </c>
      <c r="J66" s="20" t="s">
        <v>48</v>
      </c>
      <c r="K66" s="15">
        <v>10.176715</v>
      </c>
      <c r="L66" s="15">
        <v>3.3190346000000002</v>
      </c>
      <c r="M66" s="15">
        <v>50.943232999999999</v>
      </c>
      <c r="N66" s="53">
        <f t="shared" ref="N66:N75" si="15">SUM(K66)/(K66+L66+M66)</f>
        <v>0.15792792793100366</v>
      </c>
      <c r="O66" s="16">
        <f t="shared" ref="O66:O75" si="16">SUM(L66)/(K66+L66+M66)</f>
        <v>5.1506626363154284E-2</v>
      </c>
      <c r="P66" s="16">
        <f t="shared" ref="P66:P75" si="17">SUM(L66)</f>
        <v>3.3190346000000002</v>
      </c>
      <c r="Q66" s="17"/>
      <c r="R66" s="18">
        <f>MAX(N66:N75)-MIN(N66:N75)</f>
        <v>3.5729785388710633E-5</v>
      </c>
      <c r="S66" s="18">
        <f>MAX(O66:O75)-MIN(O66:O75)</f>
        <v>1.5999254499468596E-4</v>
      </c>
      <c r="T66" s="18">
        <f>MAX(P66:P75)-MIN(P66:P75)</f>
        <v>7.7095000000002578E-3</v>
      </c>
    </row>
    <row r="67" spans="1:20" x14ac:dyDescent="0.25">
      <c r="A67">
        <v>0.15790000000000001</v>
      </c>
      <c r="B67">
        <v>5.9400000000000001E-2</v>
      </c>
      <c r="C67">
        <v>3.2987000000000002</v>
      </c>
      <c r="D67" s="4">
        <v>967</v>
      </c>
      <c r="E67" s="26">
        <f t="shared" si="3"/>
        <v>1.1192129629629629E-5</v>
      </c>
      <c r="J67" s="20" t="s">
        <v>49</v>
      </c>
      <c r="K67" s="15">
        <v>10.206493</v>
      </c>
      <c r="L67" s="15">
        <v>3.3214781000000002</v>
      </c>
      <c r="M67" s="15">
        <v>51.094681000000001</v>
      </c>
      <c r="N67" s="53">
        <f t="shared" si="15"/>
        <v>0.15793986579513966</v>
      </c>
      <c r="O67" s="16">
        <f t="shared" si="16"/>
        <v>5.1398046846796011E-2</v>
      </c>
      <c r="P67" s="16">
        <f t="shared" si="17"/>
        <v>3.3214781000000002</v>
      </c>
      <c r="Q67" s="17">
        <f t="shared" ref="Q67:Q75" si="18">ABS(J66-J67)</f>
        <v>2.2025462962963057E-5</v>
      </c>
    </row>
    <row r="68" spans="1:20" x14ac:dyDescent="0.25">
      <c r="A68">
        <v>0.15790000000000001</v>
      </c>
      <c r="B68">
        <v>5.9499999999999997E-2</v>
      </c>
      <c r="C68">
        <v>3.2972000000000001</v>
      </c>
      <c r="D68" s="4">
        <v>967</v>
      </c>
      <c r="E68" s="26">
        <f t="shared" si="3"/>
        <v>1.1192129629629629E-5</v>
      </c>
      <c r="J68" s="20" t="s">
        <v>50</v>
      </c>
      <c r="K68" s="15">
        <v>10.207051</v>
      </c>
      <c r="L68" s="15">
        <v>3.3209781999999999</v>
      </c>
      <c r="M68" s="15">
        <v>51.100825999999998</v>
      </c>
      <c r="N68" s="53">
        <f t="shared" si="15"/>
        <v>0.15793334058623398</v>
      </c>
      <c r="O68" s="16">
        <f t="shared" si="16"/>
        <v>5.1385378709292065E-2</v>
      </c>
      <c r="P68" s="16">
        <f t="shared" si="17"/>
        <v>3.3209781999999999</v>
      </c>
      <c r="Q68" s="17">
        <f t="shared" si="18"/>
        <v>1.9305555555555395E-5</v>
      </c>
      <c r="R68" s="19"/>
      <c r="S68" s="19"/>
      <c r="T68" s="19"/>
    </row>
    <row r="69" spans="1:20" x14ac:dyDescent="0.25">
      <c r="A69">
        <v>0.158</v>
      </c>
      <c r="B69">
        <v>5.9400000000000001E-2</v>
      </c>
      <c r="C69">
        <v>3.2982</v>
      </c>
      <c r="D69" s="4">
        <v>967</v>
      </c>
      <c r="E69" s="26">
        <f t="shared" si="3"/>
        <v>1.1192129629629629E-5</v>
      </c>
      <c r="J69" s="20" t="s">
        <v>51</v>
      </c>
      <c r="K69" s="15">
        <v>10.159198999999999</v>
      </c>
      <c r="L69" s="15">
        <v>3.3157801999999998</v>
      </c>
      <c r="M69" s="15">
        <v>50.857917999999998</v>
      </c>
      <c r="N69" s="53">
        <f t="shared" si="15"/>
        <v>0.15791608091917242</v>
      </c>
      <c r="O69" s="16">
        <f t="shared" si="16"/>
        <v>5.1540974280884715E-2</v>
      </c>
      <c r="P69" s="16">
        <f t="shared" si="17"/>
        <v>3.3157801999999998</v>
      </c>
      <c r="Q69" s="17">
        <f t="shared" si="18"/>
        <v>1.8321759259259376E-5</v>
      </c>
      <c r="R69" s="19"/>
      <c r="S69" s="19"/>
      <c r="T69" s="19"/>
    </row>
    <row r="70" spans="1:20" x14ac:dyDescent="0.25">
      <c r="A70">
        <v>0.15790000000000001</v>
      </c>
      <c r="B70">
        <v>5.9499999999999997E-2</v>
      </c>
      <c r="C70">
        <v>3.2963</v>
      </c>
      <c r="D70" s="4">
        <v>967</v>
      </c>
      <c r="E70" s="26">
        <f t="shared" si="3"/>
        <v>1.1192129629629629E-5</v>
      </c>
      <c r="J70" s="20" t="s">
        <v>52</v>
      </c>
      <c r="K70" s="15">
        <v>10.202146000000001</v>
      </c>
      <c r="L70" s="15">
        <v>3.3203931</v>
      </c>
      <c r="M70" s="15">
        <v>51.072926000000002</v>
      </c>
      <c r="N70" s="53">
        <f t="shared" si="15"/>
        <v>0.15793904392833299</v>
      </c>
      <c r="O70" s="16">
        <f t="shared" si="16"/>
        <v>5.1402882460242556E-2</v>
      </c>
      <c r="P70" s="16">
        <f t="shared" si="17"/>
        <v>3.3203931</v>
      </c>
      <c r="Q70" s="17">
        <f t="shared" si="18"/>
        <v>1.8391203703703625E-5</v>
      </c>
      <c r="R70" s="19"/>
      <c r="S70" s="19"/>
      <c r="T70" s="19"/>
    </row>
    <row r="71" spans="1:20" x14ac:dyDescent="0.25">
      <c r="A71">
        <v>0.15790000000000001</v>
      </c>
      <c r="B71">
        <v>5.9499999999999997E-2</v>
      </c>
      <c r="C71">
        <v>3.2961</v>
      </c>
      <c r="D71" s="4">
        <v>967</v>
      </c>
      <c r="E71" s="26">
        <f t="shared" ref="E71:E75" si="19">D71/86400000</f>
        <v>1.1192129629629629E-5</v>
      </c>
      <c r="J71" s="20" t="s">
        <v>53</v>
      </c>
      <c r="K71" s="15">
        <v>10.165969</v>
      </c>
      <c r="L71" s="15">
        <v>3.3153193000000001</v>
      </c>
      <c r="M71" s="15">
        <v>50.897784999999999</v>
      </c>
      <c r="N71" s="53">
        <f t="shared" si="15"/>
        <v>0.15790797349051</v>
      </c>
      <c r="O71" s="16">
        <f t="shared" si="16"/>
        <v>5.14968471905606E-2</v>
      </c>
      <c r="P71" s="16">
        <f t="shared" si="17"/>
        <v>3.3153193000000001</v>
      </c>
      <c r="Q71" s="17">
        <f t="shared" si="18"/>
        <v>1.8148148148148212E-5</v>
      </c>
      <c r="R71" s="19"/>
      <c r="S71" s="19"/>
      <c r="T71" s="19"/>
    </row>
    <row r="72" spans="1:20" x14ac:dyDescent="0.25">
      <c r="A72">
        <v>0.15790000000000001</v>
      </c>
      <c r="B72">
        <v>5.9400000000000001E-2</v>
      </c>
      <c r="C72">
        <v>3.2995000000000001</v>
      </c>
      <c r="D72" s="4">
        <v>968</v>
      </c>
      <c r="E72" s="26">
        <f t="shared" si="19"/>
        <v>1.1203703703703704E-5</v>
      </c>
      <c r="J72" s="20" t="s">
        <v>54</v>
      </c>
      <c r="K72" s="15">
        <v>10.197832999999999</v>
      </c>
      <c r="L72" s="15">
        <v>3.3192360000000001</v>
      </c>
      <c r="M72" s="15">
        <v>51.051411000000002</v>
      </c>
      <c r="N72" s="53">
        <f t="shared" si="15"/>
        <v>0.1579382540831068</v>
      </c>
      <c r="O72" s="16">
        <f t="shared" si="16"/>
        <v>5.1406444754468442E-2</v>
      </c>
      <c r="P72" s="16">
        <f t="shared" si="17"/>
        <v>3.3192360000000001</v>
      </c>
      <c r="Q72" s="17">
        <f t="shared" si="18"/>
        <v>1.8541666666666706E-5</v>
      </c>
      <c r="R72" s="19"/>
      <c r="S72" s="19"/>
      <c r="T72" s="19"/>
    </row>
    <row r="73" spans="1:20" x14ac:dyDescent="0.25">
      <c r="A73">
        <v>0.15790000000000001</v>
      </c>
      <c r="B73">
        <v>5.9400000000000001E-2</v>
      </c>
      <c r="C73">
        <v>3.2999000000000001</v>
      </c>
      <c r="D73" s="4">
        <v>967</v>
      </c>
      <c r="E73" s="26">
        <f t="shared" si="19"/>
        <v>1.1192129629629629E-5</v>
      </c>
      <c r="J73" s="20" t="s">
        <v>55</v>
      </c>
      <c r="K73" s="15">
        <v>10.161205000000001</v>
      </c>
      <c r="L73" s="15">
        <v>3.3141470000000002</v>
      </c>
      <c r="M73" s="15">
        <v>50.869090999999997</v>
      </c>
      <c r="N73" s="53">
        <f t="shared" si="15"/>
        <v>0.15791892083050593</v>
      </c>
      <c r="O73" s="16">
        <f t="shared" si="16"/>
        <v>5.1506343756833828E-2</v>
      </c>
      <c r="P73" s="16">
        <f t="shared" si="17"/>
        <v>3.3141470000000002</v>
      </c>
      <c r="Q73" s="17">
        <f t="shared" si="18"/>
        <v>1.8148148148147995E-5</v>
      </c>
      <c r="R73" s="19"/>
      <c r="S73" s="19"/>
      <c r="T73" s="19"/>
    </row>
    <row r="74" spans="1:20" x14ac:dyDescent="0.25">
      <c r="A74">
        <v>0.15790000000000001</v>
      </c>
      <c r="B74">
        <v>5.9499999999999997E-2</v>
      </c>
      <c r="C74">
        <v>3.2965</v>
      </c>
      <c r="D74" s="4">
        <v>967</v>
      </c>
      <c r="E74" s="26">
        <f t="shared" si="19"/>
        <v>1.1192129629629629E-5</v>
      </c>
      <c r="J74" s="20" t="s">
        <v>56</v>
      </c>
      <c r="K74" s="15">
        <v>10.153337000000001</v>
      </c>
      <c r="L74" s="15">
        <v>3.3137686</v>
      </c>
      <c r="M74" s="15">
        <v>50.821278</v>
      </c>
      <c r="N74" s="53">
        <f t="shared" si="15"/>
        <v>0.15793423992697803</v>
      </c>
      <c r="O74" s="16">
        <f t="shared" si="16"/>
        <v>5.1545371254286751E-2</v>
      </c>
      <c r="P74" s="16">
        <f t="shared" si="17"/>
        <v>3.3137686</v>
      </c>
      <c r="Q74" s="17">
        <f t="shared" si="18"/>
        <v>1.8368055555555542E-5</v>
      </c>
      <c r="R74" s="19"/>
      <c r="S74" s="19"/>
      <c r="T74" s="19"/>
    </row>
    <row r="75" spans="1:20" x14ac:dyDescent="0.25">
      <c r="A75">
        <v>0.15790000000000001</v>
      </c>
      <c r="B75">
        <v>5.9499999999999997E-2</v>
      </c>
      <c r="C75">
        <v>3.2968999999999999</v>
      </c>
      <c r="D75" s="4">
        <v>967</v>
      </c>
      <c r="E75" s="26">
        <f t="shared" si="19"/>
        <v>1.1192129629629629E-5</v>
      </c>
      <c r="J75" s="20" t="s">
        <v>57</v>
      </c>
      <c r="K75" s="15">
        <v>10.193079000000001</v>
      </c>
      <c r="L75" s="15">
        <v>3.3180839999999998</v>
      </c>
      <c r="M75" s="15">
        <v>51.024990000000003</v>
      </c>
      <c r="N75" s="53">
        <f t="shared" si="15"/>
        <v>0.15794370327589871</v>
      </c>
      <c r="O75" s="16">
        <f t="shared" si="16"/>
        <v>5.1414344452790667E-2</v>
      </c>
      <c r="P75" s="16">
        <f t="shared" si="17"/>
        <v>3.3180839999999998</v>
      </c>
      <c r="Q75" s="17">
        <f t="shared" si="18"/>
        <v>1.8449074074074158E-5</v>
      </c>
      <c r="R75" s="19"/>
      <c r="S75" s="19"/>
      <c r="T75" s="19"/>
    </row>
  </sheetData>
  <mergeCells count="12">
    <mergeCell ref="A53:T53"/>
    <mergeCell ref="A65:T65"/>
    <mergeCell ref="A41:T41"/>
    <mergeCell ref="A1:H1"/>
    <mergeCell ref="N1:T1"/>
    <mergeCell ref="R3:T3"/>
    <mergeCell ref="F3:H3"/>
    <mergeCell ref="N2:T2"/>
    <mergeCell ref="A2:H2"/>
    <mergeCell ref="A5:T5"/>
    <mergeCell ref="A21:T21"/>
    <mergeCell ref="A33:T33"/>
  </mergeCells>
  <phoneticPr fontId="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7"/>
  <sheetViews>
    <sheetView tabSelected="1" topLeftCell="A16" zoomScale="115" zoomScaleNormal="115" workbookViewId="0">
      <selection activeCell="G15" sqref="G15"/>
    </sheetView>
  </sheetViews>
  <sheetFormatPr defaultRowHeight="15" x14ac:dyDescent="0.25"/>
  <cols>
    <col min="3" max="3" width="9.28515625" customWidth="1"/>
    <col min="4" max="4" width="9.28515625" hidden="1" customWidth="1"/>
    <col min="5" max="5" width="15.5703125" style="4" customWidth="1"/>
    <col min="6" max="6" width="9.85546875" bestFit="1" customWidth="1"/>
    <col min="8" max="8" width="9.140625" customWidth="1"/>
    <col min="9" max="9" width="12.42578125" hidden="1" customWidth="1"/>
    <col min="10" max="12" width="11.5703125" hidden="1" customWidth="1"/>
    <col min="13" max="13" width="7.140625" style="57" bestFit="1" customWidth="1"/>
    <col min="14" max="14" width="7.140625" style="13" bestFit="1" customWidth="1"/>
    <col min="15" max="15" width="9.140625" style="13"/>
    <col min="16" max="16" width="15.7109375" style="13" bestFit="1" customWidth="1"/>
    <col min="17" max="18" width="7.140625" style="13" bestFit="1" customWidth="1"/>
    <col min="19" max="19" width="9.5703125" style="55" bestFit="1" customWidth="1"/>
    <col min="20" max="20" width="12.42578125" hidden="1" customWidth="1"/>
    <col min="21" max="23" width="11.5703125" hidden="1" customWidth="1"/>
    <col min="24" max="25" width="7.140625" bestFit="1" customWidth="1"/>
    <col min="27" max="27" width="15.7109375" bestFit="1" customWidth="1"/>
    <col min="28" max="29" width="7.140625" bestFit="1" customWidth="1"/>
    <col min="30" max="30" width="9.5703125" bestFit="1" customWidth="1"/>
    <col min="31" max="31" width="9.140625" style="40"/>
    <col min="36" max="36" width="11.7109375" bestFit="1" customWidth="1"/>
  </cols>
  <sheetData>
    <row r="1" spans="1:36" x14ac:dyDescent="0.25">
      <c r="A1" s="79" t="s">
        <v>66</v>
      </c>
      <c r="B1" s="79"/>
      <c r="C1" s="79"/>
      <c r="D1" s="79"/>
      <c r="E1" s="79"/>
      <c r="F1" s="79"/>
      <c r="G1" s="79"/>
      <c r="H1" s="79"/>
      <c r="M1" s="80" t="s">
        <v>68</v>
      </c>
      <c r="N1" s="81"/>
      <c r="O1" s="81"/>
      <c r="P1" s="81"/>
      <c r="Q1" s="81"/>
      <c r="R1" s="81"/>
      <c r="S1" s="85"/>
      <c r="X1" s="79" t="s">
        <v>69</v>
      </c>
      <c r="Y1" s="79"/>
      <c r="Z1" s="79"/>
      <c r="AA1" s="79"/>
      <c r="AB1" s="79"/>
      <c r="AC1" s="79"/>
      <c r="AD1" s="79"/>
    </row>
    <row r="2" spans="1:36" ht="21" x14ac:dyDescent="0.35">
      <c r="A2" s="74" t="s">
        <v>65</v>
      </c>
      <c r="B2" s="74"/>
      <c r="C2" s="74"/>
      <c r="D2" s="74"/>
      <c r="E2" s="74"/>
      <c r="F2" s="74"/>
      <c r="G2" s="74"/>
      <c r="H2" s="74"/>
      <c r="M2" s="73" t="s">
        <v>70</v>
      </c>
      <c r="N2" s="74"/>
      <c r="O2" s="74"/>
      <c r="P2" s="74"/>
      <c r="Q2" s="74"/>
      <c r="R2" s="74"/>
      <c r="S2" s="86"/>
      <c r="X2" s="74" t="s">
        <v>64</v>
      </c>
      <c r="Y2" s="74"/>
      <c r="Z2" s="74"/>
      <c r="AA2" s="74"/>
      <c r="AB2" s="74"/>
      <c r="AC2" s="74"/>
      <c r="AD2" s="74"/>
    </row>
    <row r="3" spans="1:36" ht="45" customHeight="1" x14ac:dyDescent="0.25">
      <c r="A3" s="2" t="s">
        <v>3</v>
      </c>
      <c r="B3" s="3" t="s">
        <v>4</v>
      </c>
      <c r="C3" s="3" t="s">
        <v>1</v>
      </c>
      <c r="D3" s="3"/>
      <c r="E3" s="9" t="s">
        <v>60</v>
      </c>
      <c r="F3" s="82" t="s">
        <v>59</v>
      </c>
      <c r="G3" s="82"/>
      <c r="H3" s="82"/>
      <c r="I3" s="6" t="s">
        <v>58</v>
      </c>
      <c r="J3" s="3" t="s">
        <v>0</v>
      </c>
      <c r="K3" s="3" t="s">
        <v>1</v>
      </c>
      <c r="L3" s="44" t="s">
        <v>2</v>
      </c>
      <c r="M3" s="48" t="s">
        <v>3</v>
      </c>
      <c r="N3" s="3" t="s">
        <v>4</v>
      </c>
      <c r="O3" s="3" t="s">
        <v>1</v>
      </c>
      <c r="P3" s="9" t="s">
        <v>60</v>
      </c>
      <c r="Q3" s="82" t="s">
        <v>59</v>
      </c>
      <c r="R3" s="82"/>
      <c r="S3" s="87"/>
      <c r="T3" s="46" t="s">
        <v>58</v>
      </c>
      <c r="U3" s="3" t="s">
        <v>0</v>
      </c>
      <c r="V3" s="3" t="s">
        <v>1</v>
      </c>
      <c r="W3" s="3" t="s">
        <v>2</v>
      </c>
      <c r="X3" s="2" t="s">
        <v>3</v>
      </c>
      <c r="Y3" s="3" t="s">
        <v>4</v>
      </c>
      <c r="Z3" s="3" t="s">
        <v>1</v>
      </c>
      <c r="AA3" s="9" t="s">
        <v>60</v>
      </c>
      <c r="AB3" s="82" t="s">
        <v>59</v>
      </c>
      <c r="AC3" s="82"/>
      <c r="AD3" s="82"/>
    </row>
    <row r="4" spans="1:36" x14ac:dyDescent="0.25">
      <c r="A4" s="2"/>
      <c r="B4" s="2"/>
      <c r="C4" s="2"/>
      <c r="D4" s="2"/>
      <c r="E4" s="3" t="s">
        <v>61</v>
      </c>
      <c r="F4" s="3" t="s">
        <v>3</v>
      </c>
      <c r="G4" s="3" t="s">
        <v>4</v>
      </c>
      <c r="H4" s="3" t="s">
        <v>62</v>
      </c>
      <c r="I4" s="10"/>
      <c r="J4" s="11"/>
      <c r="K4" s="11"/>
      <c r="L4" s="45"/>
      <c r="M4" s="49"/>
      <c r="N4" s="12"/>
      <c r="O4" s="12"/>
      <c r="P4" s="11" t="s">
        <v>63</v>
      </c>
      <c r="Q4" s="11" t="s">
        <v>3</v>
      </c>
      <c r="R4" s="11" t="s">
        <v>4</v>
      </c>
      <c r="S4" s="50" t="s">
        <v>62</v>
      </c>
      <c r="T4" s="47"/>
      <c r="U4" s="11"/>
      <c r="V4" s="11"/>
      <c r="W4" s="11"/>
      <c r="X4" s="12"/>
      <c r="Y4" s="12"/>
      <c r="Z4" s="12"/>
      <c r="AA4" s="11" t="s">
        <v>63</v>
      </c>
      <c r="AB4" s="11" t="s">
        <v>3</v>
      </c>
      <c r="AC4" s="11" t="s">
        <v>4</v>
      </c>
      <c r="AD4" s="11" t="s">
        <v>62</v>
      </c>
      <c r="AJ4" s="21"/>
    </row>
    <row r="5" spans="1:36" x14ac:dyDescent="0.25">
      <c r="A5" s="36" t="s">
        <v>5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51"/>
      <c r="N5" s="36"/>
      <c r="O5" s="36"/>
      <c r="P5" s="36"/>
      <c r="Q5" s="36"/>
      <c r="R5" s="36"/>
      <c r="S5" s="52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41"/>
      <c r="AJ5" s="21"/>
    </row>
    <row r="6" spans="1:36" x14ac:dyDescent="0.25">
      <c r="A6">
        <v>0.30819999999999997</v>
      </c>
      <c r="B6">
        <v>0.33529999999999999</v>
      </c>
      <c r="C6">
        <v>110.41030000000001</v>
      </c>
      <c r="D6">
        <v>1029</v>
      </c>
      <c r="E6" s="26">
        <f>D6/86400000</f>
        <v>1.1909722222222222E-5</v>
      </c>
      <c r="F6" s="5">
        <f>MAX(A6:A19)-MIN(A6:A19)</f>
        <v>9.000000000000119E-4</v>
      </c>
      <c r="G6" s="5">
        <f>MAX(B6:B21)-MIN(B6:B21)</f>
        <v>1.3000000000000234E-3</v>
      </c>
      <c r="H6" s="5">
        <f>MAX(C6:C15)-MIN(C6:C15)</f>
        <v>0.59260000000000446</v>
      </c>
      <c r="I6" s="21">
        <v>0.86763407407407411</v>
      </c>
      <c r="J6">
        <v>114.85787000000001</v>
      </c>
      <c r="K6">
        <v>120.01926</v>
      </c>
      <c r="L6">
        <v>134.78297000000001</v>
      </c>
      <c r="M6" s="53">
        <f t="shared" ref="M6:M13" si="0">SUM(J6)/(J6+K6+L6)</f>
        <v>0.31071211093650625</v>
      </c>
      <c r="N6" s="16">
        <f t="shared" ref="N6:N13" si="1">SUM(K6)/(J6+K6+L6)</f>
        <v>0.32467464029793852</v>
      </c>
      <c r="O6" s="16">
        <f t="shared" ref="O6:O13" si="2">SUM(K6)</f>
        <v>120.01926</v>
      </c>
      <c r="P6" s="17"/>
      <c r="Q6" s="18">
        <f>MAX(M6:M13)-MIN(M6:M13)</f>
        <v>8.4290232201988946E-4</v>
      </c>
      <c r="R6" s="18">
        <f>MAX(N6:N13)-MIN(N6:N13)</f>
        <v>1.4625225340877956E-3</v>
      </c>
      <c r="S6" s="54">
        <f>MAX(O6:O15)-MIN(O6:O15)</f>
        <v>0.49866000000000099</v>
      </c>
      <c r="T6" s="21">
        <v>0.86990436342592592</v>
      </c>
      <c r="U6">
        <v>115.23956</v>
      </c>
      <c r="V6">
        <v>120.09711</v>
      </c>
      <c r="W6">
        <v>136.23625000000001</v>
      </c>
      <c r="X6" s="16">
        <f t="shared" ref="X6:X13" si="3">SUM(U6)/(U6+V6+W6)</f>
        <v>0.31013982396779616</v>
      </c>
      <c r="Y6" s="16">
        <f t="shared" ref="Y6:Y13" si="4">SUM(V6)/(U6+V6+W6)</f>
        <v>0.32321276265234827</v>
      </c>
      <c r="Z6" s="16">
        <f t="shared" ref="Z6:Z13" si="5">SUM(V6)</f>
        <v>120.09711</v>
      </c>
      <c r="AA6" s="17"/>
      <c r="AB6" s="39">
        <f>MAX(X6:X13)-MIN(X6:X13)</f>
        <v>1.126019954120816E-3</v>
      </c>
      <c r="AC6" s="39">
        <f>MAX(Y6:Y15)-MIN(Y6:Y15)</f>
        <v>1.9410998111379363E-3</v>
      </c>
      <c r="AD6" s="39">
        <f>MAX(Z6:Z15)-MIN(Z6:Z15)</f>
        <v>1.5941899999999976</v>
      </c>
      <c r="AG6" s="37"/>
      <c r="AH6" s="38"/>
      <c r="AI6" s="38"/>
      <c r="AJ6" s="21"/>
    </row>
    <row r="7" spans="1:36" x14ac:dyDescent="0.25">
      <c r="A7">
        <v>0.30809999999999998</v>
      </c>
      <c r="B7">
        <v>0.33529999999999999</v>
      </c>
      <c r="C7">
        <v>110.31740000000001</v>
      </c>
      <c r="D7">
        <v>1029</v>
      </c>
      <c r="E7" s="26">
        <f t="shared" ref="E7:E62" si="6">D7/86400000</f>
        <v>1.1909722222222222E-5</v>
      </c>
      <c r="I7" s="21">
        <v>0.86766362268518515</v>
      </c>
      <c r="J7">
        <v>114.75132000000001</v>
      </c>
      <c r="K7">
        <v>119.69249000000001</v>
      </c>
      <c r="L7">
        <v>135.87798000000001</v>
      </c>
      <c r="M7" s="53">
        <f t="shared" si="0"/>
        <v>0.30986920861448636</v>
      </c>
      <c r="N7" s="16">
        <f t="shared" si="1"/>
        <v>0.32321211776385073</v>
      </c>
      <c r="O7" s="16">
        <f t="shared" si="2"/>
        <v>119.69249000000001</v>
      </c>
      <c r="P7" s="17">
        <f t="shared" ref="P7:P13" si="7">ABS(I6-I7)</f>
        <v>2.9548611111041012E-5</v>
      </c>
      <c r="T7" s="21">
        <v>0.86992046296296299</v>
      </c>
      <c r="U7">
        <v>115.17435999999999</v>
      </c>
      <c r="V7">
        <v>120.12459</v>
      </c>
      <c r="W7">
        <v>136.01133999999999</v>
      </c>
      <c r="X7" s="16">
        <f t="shared" si="3"/>
        <v>0.31018359334991763</v>
      </c>
      <c r="Y7" s="16">
        <f t="shared" si="4"/>
        <v>0.32351538116543982</v>
      </c>
      <c r="Z7" s="16">
        <f t="shared" si="5"/>
        <v>120.12459</v>
      </c>
      <c r="AA7" s="17">
        <f t="shared" ref="AA7:AA13" si="8">ABS(T6-T7)</f>
        <v>1.6099537037073119E-5</v>
      </c>
      <c r="AG7" s="37"/>
      <c r="AH7" s="38"/>
      <c r="AI7" s="38"/>
      <c r="AJ7" s="21"/>
    </row>
    <row r="8" spans="1:36" x14ac:dyDescent="0.25">
      <c r="A8">
        <v>0.30830000000000002</v>
      </c>
      <c r="B8">
        <v>0.3357</v>
      </c>
      <c r="C8">
        <v>110.23269999999999</v>
      </c>
      <c r="D8">
        <v>1030</v>
      </c>
      <c r="E8" s="26">
        <f t="shared" si="6"/>
        <v>1.1921296296296297E-5</v>
      </c>
      <c r="F8" s="8"/>
      <c r="I8" s="21">
        <v>0.8676924421296297</v>
      </c>
      <c r="J8">
        <v>114.89825</v>
      </c>
      <c r="K8">
        <v>119.91858999999999</v>
      </c>
      <c r="L8">
        <v>135.85944000000001</v>
      </c>
      <c r="M8" s="53">
        <f t="shared" si="0"/>
        <v>0.3099692540348144</v>
      </c>
      <c r="N8" s="16">
        <f t="shared" si="1"/>
        <v>0.3235129855085413</v>
      </c>
      <c r="O8" s="16">
        <f t="shared" si="2"/>
        <v>119.91858999999999</v>
      </c>
      <c r="P8" s="17">
        <f t="shared" si="7"/>
        <v>2.881944444454998E-5</v>
      </c>
      <c r="Q8" s="19"/>
      <c r="R8" s="19"/>
      <c r="S8" s="56"/>
      <c r="T8" s="21">
        <v>0.86993552083333336</v>
      </c>
      <c r="U8">
        <v>114.7775</v>
      </c>
      <c r="V8">
        <v>119.65148000000001</v>
      </c>
      <c r="W8">
        <v>135.25111000000001</v>
      </c>
      <c r="X8" s="16">
        <f t="shared" si="3"/>
        <v>0.31047790536947767</v>
      </c>
      <c r="Y8" s="16">
        <f t="shared" si="4"/>
        <v>0.32366222373512188</v>
      </c>
      <c r="Z8" s="16">
        <f t="shared" si="5"/>
        <v>119.65148000000001</v>
      </c>
      <c r="AA8" s="17">
        <f t="shared" si="8"/>
        <v>1.5057870370371873E-5</v>
      </c>
      <c r="AB8" s="19"/>
      <c r="AC8" s="19"/>
      <c r="AD8" s="19"/>
      <c r="AG8" s="37"/>
      <c r="AH8" s="38"/>
      <c r="AI8" s="38"/>
      <c r="AJ8" s="21"/>
    </row>
    <row r="9" spans="1:36" x14ac:dyDescent="0.25">
      <c r="A9">
        <v>0.30830000000000002</v>
      </c>
      <c r="B9">
        <v>0.33560000000000001</v>
      </c>
      <c r="C9">
        <v>110.1596</v>
      </c>
      <c r="D9">
        <v>1029</v>
      </c>
      <c r="E9" s="26">
        <f t="shared" si="6"/>
        <v>1.1909722222222222E-5</v>
      </c>
      <c r="F9" s="1"/>
      <c r="I9" s="21">
        <v>0.8677211226851852</v>
      </c>
      <c r="J9">
        <v>114.76137</v>
      </c>
      <c r="K9">
        <v>119.86539999999999</v>
      </c>
      <c r="L9">
        <v>135.11071999999999</v>
      </c>
      <c r="M9" s="53">
        <f t="shared" si="0"/>
        <v>0.31038607959393028</v>
      </c>
      <c r="N9" s="16">
        <f t="shared" si="1"/>
        <v>0.3241905493543541</v>
      </c>
      <c r="O9" s="16">
        <f t="shared" si="2"/>
        <v>119.86539999999999</v>
      </c>
      <c r="P9" s="17">
        <f t="shared" si="7"/>
        <v>2.8680555555493648E-5</v>
      </c>
      <c r="Q9" s="19"/>
      <c r="R9" s="19"/>
      <c r="S9" s="56"/>
      <c r="T9" s="21">
        <v>0.8699515162037037</v>
      </c>
      <c r="U9">
        <v>115.30215</v>
      </c>
      <c r="V9">
        <v>120.51464</v>
      </c>
      <c r="W9">
        <v>135.06190000000001</v>
      </c>
      <c r="X9" s="16">
        <f t="shared" si="3"/>
        <v>0.31088912118407236</v>
      </c>
      <c r="Y9" s="16">
        <f t="shared" si="4"/>
        <v>0.32494355499368272</v>
      </c>
      <c r="Z9" s="16">
        <f t="shared" si="5"/>
        <v>120.51464</v>
      </c>
      <c r="AA9" s="17">
        <f t="shared" si="8"/>
        <v>1.5995370370336381E-5</v>
      </c>
      <c r="AB9" s="19"/>
      <c r="AC9" s="19"/>
      <c r="AD9" s="19"/>
      <c r="AG9" s="37"/>
      <c r="AH9" s="38"/>
      <c r="AI9" s="38"/>
      <c r="AJ9" s="21"/>
    </row>
    <row r="10" spans="1:36" x14ac:dyDescent="0.25">
      <c r="A10">
        <v>0.30809999999999998</v>
      </c>
      <c r="B10">
        <v>0.33529999999999999</v>
      </c>
      <c r="C10">
        <v>110.34269999999999</v>
      </c>
      <c r="D10">
        <v>1045</v>
      </c>
      <c r="E10" s="26">
        <f t="shared" si="6"/>
        <v>1.2094907407407407E-5</v>
      </c>
      <c r="I10" s="21">
        <v>0.86775016203703703</v>
      </c>
      <c r="J10">
        <v>114.61427</v>
      </c>
      <c r="K10">
        <v>119.56796</v>
      </c>
      <c r="L10">
        <v>135.33000000000001</v>
      </c>
      <c r="M10" s="53">
        <f t="shared" si="0"/>
        <v>0.31017720306578211</v>
      </c>
      <c r="N10" s="16">
        <f t="shared" si="1"/>
        <v>0.32358322754296925</v>
      </c>
      <c r="O10" s="16">
        <f t="shared" si="2"/>
        <v>119.56796</v>
      </c>
      <c r="P10" s="17">
        <f t="shared" si="7"/>
        <v>2.9039351851833928E-5</v>
      </c>
      <c r="Q10" s="19"/>
      <c r="R10" s="19"/>
      <c r="S10" s="56"/>
      <c r="T10" s="21">
        <v>0.86996663194444446</v>
      </c>
      <c r="U10">
        <v>115.49370999999999</v>
      </c>
      <c r="V10">
        <v>120.43407999999999</v>
      </c>
      <c r="W10">
        <v>136.74510000000001</v>
      </c>
      <c r="X10" s="16">
        <f t="shared" si="3"/>
        <v>0.30990639002477477</v>
      </c>
      <c r="Y10" s="16">
        <f t="shared" si="4"/>
        <v>0.32316297544476602</v>
      </c>
      <c r="Z10" s="16">
        <f t="shared" si="5"/>
        <v>120.43407999999999</v>
      </c>
      <c r="AA10" s="17">
        <f t="shared" si="8"/>
        <v>1.51157407407565E-5</v>
      </c>
      <c r="AB10" s="19"/>
      <c r="AC10" s="19"/>
      <c r="AD10" s="19"/>
      <c r="AG10" s="37"/>
      <c r="AH10" s="38"/>
      <c r="AI10" s="38"/>
      <c r="AJ10" s="21"/>
    </row>
    <row r="11" spans="1:36" x14ac:dyDescent="0.25">
      <c r="A11">
        <v>0.30809999999999998</v>
      </c>
      <c r="B11">
        <v>0.3352</v>
      </c>
      <c r="C11">
        <v>110.1626</v>
      </c>
      <c r="D11">
        <v>1014</v>
      </c>
      <c r="E11" s="26">
        <f t="shared" si="6"/>
        <v>1.1736111111111112E-5</v>
      </c>
      <c r="I11" s="21">
        <v>0.86777931712962963</v>
      </c>
      <c r="J11">
        <v>114.57091</v>
      </c>
      <c r="K11">
        <v>119.5206</v>
      </c>
      <c r="L11">
        <v>135.30205000000001</v>
      </c>
      <c r="M11" s="53">
        <f t="shared" si="0"/>
        <v>0.3101594678586167</v>
      </c>
      <c r="N11" s="16">
        <f t="shared" si="1"/>
        <v>0.32355897054621097</v>
      </c>
      <c r="O11" s="16">
        <f t="shared" si="2"/>
        <v>119.5206</v>
      </c>
      <c r="P11" s="17">
        <f t="shared" si="7"/>
        <v>2.9155092592603182E-5</v>
      </c>
      <c r="Q11" s="19"/>
      <c r="R11" s="19"/>
      <c r="S11" s="56"/>
      <c r="T11" s="21">
        <v>0.8699821527777778</v>
      </c>
      <c r="U11">
        <v>116.25565</v>
      </c>
      <c r="V11">
        <v>121.24567</v>
      </c>
      <c r="W11">
        <v>137.80371</v>
      </c>
      <c r="X11" s="16">
        <f t="shared" si="3"/>
        <v>0.30976310122995154</v>
      </c>
      <c r="Y11" s="16">
        <f t="shared" si="4"/>
        <v>0.32305900616359978</v>
      </c>
      <c r="Z11" s="16">
        <f t="shared" si="5"/>
        <v>121.24567</v>
      </c>
      <c r="AA11" s="17">
        <f t="shared" si="8"/>
        <v>1.5520833333337869E-5</v>
      </c>
      <c r="AB11" s="19"/>
      <c r="AC11" s="19"/>
      <c r="AD11" s="19"/>
      <c r="AG11" s="37"/>
      <c r="AH11" s="38"/>
      <c r="AI11" s="38"/>
      <c r="AJ11" s="21"/>
    </row>
    <row r="12" spans="1:36" x14ac:dyDescent="0.25">
      <c r="A12">
        <v>0.30859999999999999</v>
      </c>
      <c r="B12">
        <v>0.33600000000000002</v>
      </c>
      <c r="C12">
        <v>110.12090000000001</v>
      </c>
      <c r="D12">
        <v>1014</v>
      </c>
      <c r="E12" s="26">
        <f t="shared" si="6"/>
        <v>1.1736111111111112E-5</v>
      </c>
      <c r="I12" s="21">
        <v>0.86780851851851848</v>
      </c>
      <c r="J12">
        <v>114.94374000000001</v>
      </c>
      <c r="K12">
        <v>119.98792</v>
      </c>
      <c r="L12">
        <v>135.73308</v>
      </c>
      <c r="M12" s="53">
        <f t="shared" si="0"/>
        <v>0.31010162984480261</v>
      </c>
      <c r="N12" s="16">
        <f t="shared" si="1"/>
        <v>0.32371009986005139</v>
      </c>
      <c r="O12" s="16">
        <f t="shared" si="2"/>
        <v>119.98792</v>
      </c>
      <c r="P12" s="17">
        <f t="shared" si="7"/>
        <v>2.9201388888844271E-5</v>
      </c>
      <c r="Q12" s="19"/>
      <c r="R12" s="19"/>
      <c r="S12" s="56"/>
      <c r="T12" s="21">
        <v>0.86999732638888894</v>
      </c>
      <c r="U12">
        <v>114.81926</v>
      </c>
      <c r="V12">
        <v>119.89108</v>
      </c>
      <c r="W12">
        <v>134.69338999999999</v>
      </c>
      <c r="X12" s="16">
        <f t="shared" si="3"/>
        <v>0.31082322855808736</v>
      </c>
      <c r="Y12" s="16">
        <f t="shared" si="4"/>
        <v>0.32455297622468515</v>
      </c>
      <c r="Z12" s="16">
        <f t="shared" si="5"/>
        <v>119.89108</v>
      </c>
      <c r="AA12" s="17">
        <f t="shared" si="8"/>
        <v>1.5173611111141128E-5</v>
      </c>
      <c r="AB12" s="19"/>
      <c r="AC12" s="19"/>
      <c r="AD12" s="19"/>
      <c r="AG12" s="37"/>
      <c r="AH12" s="38"/>
      <c r="AI12" s="38"/>
      <c r="AJ12" s="21"/>
    </row>
    <row r="13" spans="1:36" x14ac:dyDescent="0.25">
      <c r="A13">
        <v>0.30809999999999998</v>
      </c>
      <c r="B13">
        <v>0.33529999999999999</v>
      </c>
      <c r="C13">
        <v>110.2698</v>
      </c>
      <c r="D13">
        <v>1030</v>
      </c>
      <c r="E13" s="26">
        <f t="shared" si="6"/>
        <v>1.1921296296296297E-5</v>
      </c>
      <c r="I13" s="21">
        <v>0.86783790509259262</v>
      </c>
      <c r="J13">
        <v>114.77070999999999</v>
      </c>
      <c r="K13">
        <v>119.70780999999999</v>
      </c>
      <c r="L13">
        <v>135.82445999999999</v>
      </c>
      <c r="M13" s="53">
        <f t="shared" si="0"/>
        <v>0.30993731133354635</v>
      </c>
      <c r="N13" s="16">
        <f t="shared" si="1"/>
        <v>0.32326990725270427</v>
      </c>
      <c r="O13" s="16">
        <f t="shared" si="2"/>
        <v>119.70780999999999</v>
      </c>
      <c r="P13" s="17">
        <f t="shared" si="7"/>
        <v>2.9386574074141691E-5</v>
      </c>
      <c r="Q13" s="19"/>
      <c r="R13" s="19"/>
      <c r="S13" s="56"/>
      <c r="T13" s="21">
        <v>0.87001261574074074</v>
      </c>
      <c r="U13">
        <v>115.85686</v>
      </c>
      <c r="V13">
        <v>121.1374</v>
      </c>
      <c r="W13">
        <v>135.73607999999999</v>
      </c>
      <c r="X13" s="16">
        <f t="shared" si="3"/>
        <v>0.31083292012128666</v>
      </c>
      <c r="Y13" s="16">
        <f t="shared" si="4"/>
        <v>0.32500010597473772</v>
      </c>
      <c r="Z13" s="16">
        <f t="shared" si="5"/>
        <v>121.1374</v>
      </c>
      <c r="AA13" s="17">
        <f t="shared" si="8"/>
        <v>1.528935185179936E-5</v>
      </c>
      <c r="AB13" s="19"/>
      <c r="AC13" s="19"/>
      <c r="AD13" s="19"/>
      <c r="AG13" s="37"/>
      <c r="AH13" s="38"/>
      <c r="AI13" s="38"/>
      <c r="AJ13" s="21"/>
    </row>
    <row r="14" spans="1:36" x14ac:dyDescent="0.25">
      <c r="A14">
        <v>0.30790000000000001</v>
      </c>
      <c r="B14">
        <v>0.3347</v>
      </c>
      <c r="C14">
        <v>109.8177</v>
      </c>
      <c r="D14">
        <v>1030</v>
      </c>
      <c r="E14" s="26">
        <f t="shared" si="6"/>
        <v>1.1921296296296297E-5</v>
      </c>
      <c r="I14" s="20"/>
      <c r="J14" s="15"/>
      <c r="K14" s="15"/>
      <c r="L14" s="15"/>
      <c r="M14" s="53"/>
      <c r="N14" s="16"/>
      <c r="O14" s="16"/>
      <c r="P14" s="17"/>
      <c r="Q14" s="19"/>
      <c r="R14" s="19"/>
      <c r="S14" s="56"/>
      <c r="T14" s="20"/>
      <c r="U14" s="15"/>
      <c r="V14" s="15"/>
      <c r="W14" s="15"/>
      <c r="X14" s="16"/>
      <c r="Y14" s="16"/>
      <c r="Z14" s="16"/>
      <c r="AA14" s="17"/>
      <c r="AB14" s="19"/>
      <c r="AC14" s="19"/>
      <c r="AD14" s="19"/>
      <c r="AG14" s="37"/>
      <c r="AH14" s="38"/>
      <c r="AI14" s="38"/>
      <c r="AJ14" s="21"/>
    </row>
    <row r="15" spans="1:36" x14ac:dyDescent="0.25">
      <c r="A15">
        <v>0.30880000000000002</v>
      </c>
      <c r="B15">
        <v>0.33600000000000002</v>
      </c>
      <c r="C15">
        <v>109.9259</v>
      </c>
      <c r="D15">
        <v>1029</v>
      </c>
      <c r="E15" s="26">
        <f t="shared" si="6"/>
        <v>1.1909722222222222E-5</v>
      </c>
      <c r="I15" s="20"/>
      <c r="J15" s="15"/>
      <c r="K15" s="15"/>
      <c r="L15" s="15"/>
      <c r="M15" s="53"/>
      <c r="N15" s="16"/>
      <c r="O15" s="16"/>
      <c r="P15" s="17"/>
      <c r="Q15" s="19"/>
      <c r="R15" s="19"/>
      <c r="S15" s="56"/>
      <c r="T15" s="20"/>
      <c r="U15" s="15"/>
      <c r="V15" s="15"/>
      <c r="W15" s="15"/>
      <c r="X15" s="16"/>
      <c r="Y15" s="16"/>
      <c r="Z15" s="16"/>
      <c r="AA15" s="17"/>
      <c r="AB15" s="19"/>
      <c r="AC15" s="19"/>
      <c r="AD15" s="19"/>
      <c r="AG15" s="37"/>
      <c r="AH15" s="38"/>
      <c r="AI15" s="38"/>
      <c r="AJ15" s="21"/>
    </row>
    <row r="16" spans="1:36" x14ac:dyDescent="0.25">
      <c r="A16">
        <v>0.30840000000000001</v>
      </c>
      <c r="B16">
        <v>0.33560000000000001</v>
      </c>
      <c r="C16">
        <v>109.79949999999999</v>
      </c>
      <c r="D16">
        <v>1045</v>
      </c>
      <c r="E16" s="26">
        <f t="shared" si="6"/>
        <v>1.2094907407407407E-5</v>
      </c>
      <c r="I16" s="20"/>
      <c r="J16" s="15"/>
      <c r="K16" s="15"/>
      <c r="L16" s="15"/>
      <c r="M16" s="53"/>
      <c r="N16" s="16"/>
      <c r="O16" s="16"/>
      <c r="P16" s="17"/>
      <c r="Q16" s="19"/>
      <c r="R16" s="19"/>
      <c r="S16" s="56"/>
      <c r="T16" s="20"/>
      <c r="U16" s="15"/>
      <c r="V16" s="15"/>
      <c r="W16" s="15"/>
      <c r="X16" s="16"/>
      <c r="Y16" s="16"/>
      <c r="Z16" s="16"/>
      <c r="AA16" s="17"/>
      <c r="AB16" s="19"/>
      <c r="AC16" s="19"/>
      <c r="AD16" s="19"/>
      <c r="AG16" s="37"/>
      <c r="AH16" s="38"/>
      <c r="AI16" s="38"/>
      <c r="AJ16" s="21"/>
    </row>
    <row r="17" spans="1:36" x14ac:dyDescent="0.25">
      <c r="A17">
        <v>0.30819999999999997</v>
      </c>
      <c r="B17">
        <v>0.33539999999999998</v>
      </c>
      <c r="C17">
        <v>109.9948</v>
      </c>
      <c r="D17">
        <v>1045</v>
      </c>
      <c r="E17" s="26">
        <f t="shared" si="6"/>
        <v>1.2094907407407407E-5</v>
      </c>
      <c r="I17" s="30"/>
      <c r="J17" s="30"/>
      <c r="K17" s="15"/>
      <c r="L17" s="15"/>
      <c r="M17" s="53"/>
      <c r="N17" s="16"/>
      <c r="O17" s="16"/>
      <c r="P17" s="17"/>
      <c r="Q17" s="19"/>
      <c r="R17" s="19"/>
      <c r="S17" s="56"/>
      <c r="T17" s="30"/>
      <c r="U17" s="30"/>
      <c r="V17" s="15"/>
      <c r="W17" s="15"/>
      <c r="X17" s="16"/>
      <c r="Y17" s="16"/>
      <c r="Z17" s="16"/>
      <c r="AA17" s="17"/>
      <c r="AB17" s="19"/>
      <c r="AC17" s="19"/>
      <c r="AD17" s="19"/>
      <c r="AG17" s="37"/>
      <c r="AH17" s="38"/>
      <c r="AI17" s="38"/>
      <c r="AJ17" s="21"/>
    </row>
    <row r="18" spans="1:36" x14ac:dyDescent="0.25">
      <c r="A18">
        <v>0.30809999999999998</v>
      </c>
      <c r="B18">
        <v>0.3352</v>
      </c>
      <c r="C18">
        <v>110.1182</v>
      </c>
      <c r="D18">
        <v>1029</v>
      </c>
      <c r="E18" s="26">
        <f t="shared" si="6"/>
        <v>1.1909722222222222E-5</v>
      </c>
      <c r="Q18" s="19"/>
      <c r="R18" s="19"/>
      <c r="S18" s="56"/>
      <c r="AB18" s="19"/>
      <c r="AC18" s="19"/>
      <c r="AD18" s="19"/>
      <c r="AG18" s="37"/>
      <c r="AH18" s="38"/>
      <c r="AI18" s="38"/>
      <c r="AJ18" s="21"/>
    </row>
    <row r="19" spans="1:36" x14ac:dyDescent="0.25">
      <c r="A19">
        <v>0.30809999999999998</v>
      </c>
      <c r="B19">
        <v>0.33489999999999998</v>
      </c>
      <c r="C19">
        <v>109.6005</v>
      </c>
      <c r="D19">
        <v>1030</v>
      </c>
      <c r="E19" s="26">
        <f t="shared" si="6"/>
        <v>1.1921296296296297E-5</v>
      </c>
      <c r="AG19" s="37"/>
      <c r="AH19" s="38"/>
      <c r="AI19" s="38"/>
      <c r="AJ19" s="21"/>
    </row>
    <row r="20" spans="1:36" x14ac:dyDescent="0.25">
      <c r="A20">
        <v>0.30869999999999997</v>
      </c>
      <c r="B20">
        <v>0.33589999999999998</v>
      </c>
      <c r="C20">
        <v>109.8351</v>
      </c>
      <c r="D20">
        <v>1030</v>
      </c>
      <c r="E20" s="26">
        <f t="shared" si="6"/>
        <v>1.1921296296296297E-5</v>
      </c>
      <c r="AG20" s="37"/>
      <c r="AH20" s="38"/>
      <c r="AI20" s="38"/>
      <c r="AJ20" s="21"/>
    </row>
    <row r="21" spans="1:36" x14ac:dyDescent="0.25">
      <c r="A21">
        <v>0.308</v>
      </c>
      <c r="B21">
        <v>0.33489999999999998</v>
      </c>
      <c r="C21">
        <v>109.61360000000001</v>
      </c>
      <c r="D21">
        <v>1030</v>
      </c>
      <c r="E21" s="26">
        <f t="shared" si="6"/>
        <v>1.1921296296296297E-5</v>
      </c>
      <c r="AG21" s="37"/>
      <c r="AH21" s="38"/>
      <c r="AI21" s="38"/>
      <c r="AJ21" s="21"/>
    </row>
    <row r="22" spans="1:36" x14ac:dyDescent="0.25">
      <c r="A22" s="27" t="s">
        <v>6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58"/>
      <c r="N22" s="59"/>
      <c r="O22" s="59"/>
      <c r="P22" s="59"/>
      <c r="Q22" s="59"/>
      <c r="R22" s="59"/>
      <c r="S22" s="60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42"/>
      <c r="AH22" s="37"/>
      <c r="AI22" s="38"/>
      <c r="AJ22" s="21"/>
    </row>
    <row r="23" spans="1:36" x14ac:dyDescent="0.25">
      <c r="A23">
        <v>0.30659999999999998</v>
      </c>
      <c r="B23">
        <v>0.33550000000000002</v>
      </c>
      <c r="C23">
        <v>34.347000000000001</v>
      </c>
      <c r="D23">
        <v>2277</v>
      </c>
      <c r="E23" s="26">
        <f t="shared" si="6"/>
        <v>2.6354166666666666E-5</v>
      </c>
      <c r="F23" s="5">
        <f>MAX(A23:A30)-MIN(A23:A30)</f>
        <v>3.0000000000002247E-4</v>
      </c>
      <c r="G23" s="5">
        <f>MAX(B23:B30)-MIN(B23:B30)</f>
        <v>5.0000000000000044E-4</v>
      </c>
      <c r="H23" s="5">
        <f>MAX(C23:C30)-MIN(C23:C30)</f>
        <v>0.13949999999999818</v>
      </c>
      <c r="I23" s="21">
        <v>0.86803518518518519</v>
      </c>
      <c r="J23">
        <v>35.246547999999997</v>
      </c>
      <c r="K23">
        <v>36.969738</v>
      </c>
      <c r="L23">
        <v>42.001007000000001</v>
      </c>
      <c r="M23" s="53">
        <f>SUM(J23)/(J23+K23+L23)</f>
        <v>0.30859204481408958</v>
      </c>
      <c r="N23" s="16">
        <f>SUM(K23)/(J23+K23+L23)</f>
        <v>0.32367898966052366</v>
      </c>
      <c r="O23" s="16">
        <f>SUM(K23)</f>
        <v>36.969738</v>
      </c>
      <c r="P23" s="17"/>
      <c r="Q23" s="18">
        <f>MAX(M23:M29)-MIN(M23:M29)</f>
        <v>3.6886945709635466E-5</v>
      </c>
      <c r="R23" s="18">
        <f>MAX(N23:N29)-MIN(N23:N29)</f>
        <v>1.0419317977256037E-4</v>
      </c>
      <c r="S23" s="54">
        <f>MAX(O23:O29)-MIN(O23:O29)</f>
        <v>0.12164700000000295</v>
      </c>
      <c r="T23" s="21">
        <v>0.87009636574074067</v>
      </c>
      <c r="U23">
        <v>35.442863000000003</v>
      </c>
      <c r="V23">
        <v>37.238461000000001</v>
      </c>
      <c r="W23">
        <v>41.828293000000002</v>
      </c>
      <c r="X23" s="16">
        <f t="shared" ref="X23:X28" si="9">SUM(U23)/(U23+V23+W23)</f>
        <v>0.30951865815776852</v>
      </c>
      <c r="Y23" s="16">
        <f t="shared" ref="Y23:Y28" si="10">SUM(V23)/(U23+V23+W23)</f>
        <v>0.3251994197133678</v>
      </c>
      <c r="Z23" s="16">
        <f t="shared" ref="Z23:Z28" si="11">SUM(V23)</f>
        <v>37.238461000000001</v>
      </c>
      <c r="AA23" s="17"/>
      <c r="AB23" s="39">
        <f>MAX(X23:X29)-MIN(X23:X29)</f>
        <v>9.9093621951856781E-4</v>
      </c>
      <c r="AC23" s="39">
        <f>MAX(Y23:Y29)-MIN(Y23:Y29)</f>
        <v>1.7671211087861294E-3</v>
      </c>
      <c r="AD23" s="39">
        <f>MAX(Z23:Z29)-MIN(Z23:Z29)</f>
        <v>0.39961199999999764</v>
      </c>
      <c r="AH23" s="37"/>
      <c r="AI23" s="38"/>
      <c r="AJ23" s="21"/>
    </row>
    <row r="24" spans="1:36" x14ac:dyDescent="0.25">
      <c r="A24">
        <v>0.30669999999999997</v>
      </c>
      <c r="B24">
        <v>0.33579999999999999</v>
      </c>
      <c r="C24">
        <v>34.3309</v>
      </c>
      <c r="D24">
        <v>2247</v>
      </c>
      <c r="E24" s="26">
        <f t="shared" si="6"/>
        <v>2.6006944444444446E-5</v>
      </c>
      <c r="I24" s="21">
        <v>0.86810187499999991</v>
      </c>
      <c r="J24">
        <v>35.315510000000003</v>
      </c>
      <c r="K24">
        <v>37.033313999999997</v>
      </c>
      <c r="L24">
        <v>42.084868999999998</v>
      </c>
      <c r="M24" s="53">
        <f>SUM(J24)/(J24+K24+L24)</f>
        <v>0.30861111858025941</v>
      </c>
      <c r="N24" s="16">
        <f>SUM(K24)/(J24+K24+L24)</f>
        <v>0.32362246668033334</v>
      </c>
      <c r="O24" s="16">
        <f>SUM(K24)</f>
        <v>37.033313999999997</v>
      </c>
      <c r="P24" s="17">
        <f>ABS(I23-I24)</f>
        <v>6.6689814814724357E-5</v>
      </c>
      <c r="T24" s="21">
        <v>0.870107962962963</v>
      </c>
      <c r="U24">
        <v>35.424624999999999</v>
      </c>
      <c r="V24">
        <v>37.189945000000002</v>
      </c>
      <c r="W24">
        <v>41.989196999999997</v>
      </c>
      <c r="X24" s="16">
        <f t="shared" si="9"/>
        <v>0.30910524084256319</v>
      </c>
      <c r="Y24" s="16">
        <f t="shared" si="10"/>
        <v>0.32450892299203393</v>
      </c>
      <c r="Z24" s="16">
        <f t="shared" si="11"/>
        <v>37.189945000000002</v>
      </c>
      <c r="AA24" s="17">
        <f>ABS(T23-T24)</f>
        <v>1.1597222222325954E-5</v>
      </c>
      <c r="AH24" s="37"/>
      <c r="AI24" s="38"/>
      <c r="AJ24" s="21"/>
    </row>
    <row r="25" spans="1:36" x14ac:dyDescent="0.25">
      <c r="A25">
        <v>0.30659999999999998</v>
      </c>
      <c r="B25">
        <v>0.33550000000000002</v>
      </c>
      <c r="C25">
        <v>34.417000000000002</v>
      </c>
      <c r="D25">
        <v>2247</v>
      </c>
      <c r="E25" s="26">
        <f t="shared" si="6"/>
        <v>2.6006944444444446E-5</v>
      </c>
      <c r="I25" s="21">
        <v>0.86816821759259266</v>
      </c>
      <c r="J25">
        <v>35.320369999999997</v>
      </c>
      <c r="K25">
        <v>37.035117999999997</v>
      </c>
      <c r="L25">
        <v>42.100639000000001</v>
      </c>
      <c r="M25" s="53">
        <f>SUM(J25)/(J25+K25+L25)</f>
        <v>0.30859309087053066</v>
      </c>
      <c r="N25" s="16">
        <f>SUM(K25)/(J25+K25+L25)</f>
        <v>0.3235747964807511</v>
      </c>
      <c r="O25" s="16">
        <f>SUM(K25)</f>
        <v>37.035117999999997</v>
      </c>
      <c r="P25" s="17">
        <f>ABS(I24-I25)</f>
        <v>6.6342592592749661E-5</v>
      </c>
      <c r="Q25" s="19"/>
      <c r="R25" s="19"/>
      <c r="S25" s="56"/>
      <c r="T25" s="21">
        <v>0.87011934027777782</v>
      </c>
      <c r="U25">
        <v>35.432243</v>
      </c>
      <c r="V25">
        <v>37.143929</v>
      </c>
      <c r="W25">
        <v>42.266807999999997</v>
      </c>
      <c r="X25" s="16">
        <f t="shared" si="9"/>
        <v>0.30852772193824995</v>
      </c>
      <c r="Y25" s="16">
        <f t="shared" si="10"/>
        <v>0.32343229860458167</v>
      </c>
      <c r="Z25" s="16">
        <f t="shared" si="11"/>
        <v>37.143929</v>
      </c>
      <c r="AA25" s="17">
        <f>ABS(T24-T25)</f>
        <v>1.1377314814819961E-5</v>
      </c>
      <c r="AB25" s="19"/>
      <c r="AC25" s="19"/>
      <c r="AD25" s="19"/>
      <c r="AH25" s="37"/>
      <c r="AI25" s="38"/>
      <c r="AJ25" s="21"/>
    </row>
    <row r="26" spans="1:36" x14ac:dyDescent="0.25">
      <c r="A26">
        <v>0.30680000000000002</v>
      </c>
      <c r="B26">
        <v>0.33589999999999998</v>
      </c>
      <c r="C26">
        <v>34.470399999999998</v>
      </c>
      <c r="D26">
        <v>2262</v>
      </c>
      <c r="E26" s="26">
        <f t="shared" si="6"/>
        <v>2.6180555555555556E-5</v>
      </c>
      <c r="I26" s="21">
        <v>0.86823462962962961</v>
      </c>
      <c r="J26">
        <v>35.368862</v>
      </c>
      <c r="K26">
        <v>37.091385000000002</v>
      </c>
      <c r="L26">
        <v>42.139709000000003</v>
      </c>
      <c r="M26" s="53">
        <f>SUM(J26)/(J26+K26+L26)</f>
        <v>0.30862893175979922</v>
      </c>
      <c r="N26" s="16">
        <f>SUM(K26)/(J26+K26+L26)</f>
        <v>0.32365967924106354</v>
      </c>
      <c r="O26" s="16">
        <f>SUM(K26)</f>
        <v>37.091385000000002</v>
      </c>
      <c r="P26" s="17">
        <f>ABS(I25-I26)</f>
        <v>6.641203703694476E-5</v>
      </c>
      <c r="Q26" s="19"/>
      <c r="R26" s="19"/>
      <c r="S26" s="56"/>
      <c r="T26" s="21">
        <v>0.87013089120370368</v>
      </c>
      <c r="U26">
        <v>35.307780999999999</v>
      </c>
      <c r="V26">
        <v>37.051102</v>
      </c>
      <c r="W26">
        <v>41.872382999999999</v>
      </c>
      <c r="X26" s="16">
        <f t="shared" si="9"/>
        <v>0.30909034134314856</v>
      </c>
      <c r="Y26" s="16">
        <f t="shared" si="10"/>
        <v>0.32435167093394557</v>
      </c>
      <c r="Z26" s="16">
        <f t="shared" si="11"/>
        <v>37.051102</v>
      </c>
      <c r="AA26" s="17">
        <f>ABS(T25-T26)</f>
        <v>1.1550925925862821E-5</v>
      </c>
      <c r="AB26" s="19"/>
      <c r="AC26" s="19"/>
      <c r="AD26" s="19"/>
      <c r="AH26" s="37"/>
      <c r="AI26" s="38"/>
      <c r="AJ26" s="21"/>
    </row>
    <row r="27" spans="1:36" x14ac:dyDescent="0.25">
      <c r="A27">
        <v>0.30669999999999997</v>
      </c>
      <c r="B27">
        <v>0.3357</v>
      </c>
      <c r="C27">
        <v>34.466000000000001</v>
      </c>
      <c r="D27">
        <v>2247</v>
      </c>
      <c r="E27" s="26">
        <f t="shared" si="6"/>
        <v>2.6006944444444446E-5</v>
      </c>
      <c r="I27" s="20"/>
      <c r="J27" s="15"/>
      <c r="K27" s="15"/>
      <c r="L27" s="15"/>
      <c r="M27" s="53"/>
      <c r="N27" s="16"/>
      <c r="O27" s="16"/>
      <c r="P27" s="17"/>
      <c r="Q27" s="19"/>
      <c r="R27" s="19"/>
      <c r="S27" s="56"/>
      <c r="T27" s="21">
        <v>0.87014243055555562</v>
      </c>
      <c r="U27">
        <v>35.680126000000001</v>
      </c>
      <c r="V27">
        <v>37.450713999999998</v>
      </c>
      <c r="W27">
        <v>42.318286999999998</v>
      </c>
      <c r="X27" s="16">
        <f t="shared" si="9"/>
        <v>0.30905496582923492</v>
      </c>
      <c r="Y27" s="16">
        <f t="shared" si="10"/>
        <v>0.32439148716992894</v>
      </c>
      <c r="Z27" s="16">
        <f t="shared" si="11"/>
        <v>37.450713999999998</v>
      </c>
      <c r="AA27" s="17">
        <f>ABS(T26-T27)</f>
        <v>1.1539351851941326E-5</v>
      </c>
      <c r="AB27" s="19"/>
      <c r="AC27" s="19"/>
      <c r="AD27" s="19"/>
      <c r="AH27" s="37"/>
      <c r="AI27" s="38"/>
      <c r="AJ27" s="21"/>
    </row>
    <row r="28" spans="1:36" x14ac:dyDescent="0.25">
      <c r="A28">
        <v>0.30659999999999998</v>
      </c>
      <c r="B28">
        <v>0.33550000000000002</v>
      </c>
      <c r="C28">
        <v>34.441099999999999</v>
      </c>
      <c r="D28">
        <v>2246</v>
      </c>
      <c r="E28" s="26">
        <f t="shared" si="6"/>
        <v>2.599537037037037E-5</v>
      </c>
      <c r="I28" s="20"/>
      <c r="J28" s="15"/>
      <c r="K28" s="15"/>
      <c r="L28" s="15"/>
      <c r="M28" s="53"/>
      <c r="N28" s="16"/>
      <c r="O28" s="16"/>
      <c r="P28" s="17"/>
      <c r="Q28" s="19"/>
      <c r="R28" s="19"/>
      <c r="S28" s="56"/>
      <c r="T28" s="21">
        <v>0.87015387731481475</v>
      </c>
      <c r="U28">
        <v>35.668475999999998</v>
      </c>
      <c r="V28">
        <v>37.429076999999999</v>
      </c>
      <c r="W28">
        <v>42.285130000000002</v>
      </c>
      <c r="X28" s="16">
        <f t="shared" si="9"/>
        <v>0.30913196913613106</v>
      </c>
      <c r="Y28" s="16">
        <f t="shared" si="10"/>
        <v>0.32439076668029981</v>
      </c>
      <c r="Z28" s="16">
        <f t="shared" si="11"/>
        <v>37.429076999999999</v>
      </c>
      <c r="AA28" s="17">
        <f>ABS(T27-T28)</f>
        <v>1.1446759259126082E-5</v>
      </c>
      <c r="AB28" s="19"/>
      <c r="AC28" s="19"/>
      <c r="AD28" s="19"/>
      <c r="AH28" s="37"/>
      <c r="AI28" s="38"/>
      <c r="AJ28" s="21"/>
    </row>
    <row r="29" spans="1:36" x14ac:dyDescent="0.25">
      <c r="A29">
        <v>0.30649999999999999</v>
      </c>
      <c r="B29">
        <v>0.33539999999999998</v>
      </c>
      <c r="C29">
        <v>34.451700000000002</v>
      </c>
      <c r="D29">
        <v>2262</v>
      </c>
      <c r="E29" s="26">
        <f t="shared" si="6"/>
        <v>2.6180555555555556E-5</v>
      </c>
      <c r="I29" s="20"/>
      <c r="J29" s="15"/>
      <c r="K29" s="15"/>
      <c r="L29" s="15"/>
      <c r="M29" s="53"/>
      <c r="N29" s="16"/>
      <c r="O29" s="16"/>
      <c r="P29" s="17"/>
      <c r="Q29" s="19"/>
      <c r="R29" s="19"/>
      <c r="S29" s="56"/>
      <c r="T29" s="20"/>
      <c r="U29" s="15"/>
      <c r="V29" s="15"/>
      <c r="W29" s="15"/>
      <c r="X29" s="16"/>
      <c r="Y29" s="16"/>
      <c r="Z29" s="16"/>
      <c r="AA29" s="17"/>
      <c r="AB29" s="19"/>
      <c r="AC29" s="19"/>
      <c r="AD29" s="19"/>
      <c r="AH29" s="37"/>
      <c r="AI29" s="38"/>
      <c r="AJ29" s="21"/>
    </row>
    <row r="30" spans="1:36" x14ac:dyDescent="0.25">
      <c r="A30">
        <v>0.30669999999999997</v>
      </c>
      <c r="B30">
        <v>0.33579999999999999</v>
      </c>
      <c r="C30">
        <v>34.3797</v>
      </c>
      <c r="D30">
        <v>2247</v>
      </c>
      <c r="E30" s="26">
        <f t="shared" si="6"/>
        <v>2.6006944444444446E-5</v>
      </c>
      <c r="I30" s="20"/>
      <c r="J30" s="15"/>
      <c r="K30" s="15"/>
      <c r="L30" s="15"/>
      <c r="M30" s="53"/>
      <c r="N30" s="16"/>
      <c r="P30" s="17"/>
      <c r="Q30" s="19"/>
      <c r="R30" s="19"/>
      <c r="S30" s="56"/>
      <c r="T30" s="20"/>
      <c r="U30" s="15"/>
      <c r="V30" s="15"/>
      <c r="W30" s="15"/>
      <c r="X30" s="16"/>
      <c r="Y30" s="16"/>
      <c r="Z30" s="16"/>
      <c r="AA30" s="17"/>
      <c r="AB30" s="19"/>
      <c r="AC30" s="19"/>
      <c r="AD30" s="19"/>
      <c r="AH30" s="37"/>
      <c r="AI30" s="38"/>
      <c r="AJ30" s="21"/>
    </row>
    <row r="31" spans="1:36" x14ac:dyDescent="0.25">
      <c r="A31" s="32" t="s">
        <v>7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61"/>
      <c r="N31" s="62"/>
      <c r="O31" s="62"/>
      <c r="P31" s="62"/>
      <c r="Q31" s="62"/>
      <c r="R31" s="62"/>
      <c r="S31" s="63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43"/>
      <c r="AH31" s="37"/>
      <c r="AI31" s="38"/>
      <c r="AJ31" s="21"/>
    </row>
    <row r="32" spans="1:36" x14ac:dyDescent="0.25">
      <c r="A32">
        <v>0.3085</v>
      </c>
      <c r="B32">
        <v>0.34599999999999997</v>
      </c>
      <c r="C32">
        <v>0.75439999999999996</v>
      </c>
      <c r="D32">
        <v>4446</v>
      </c>
      <c r="E32" s="26">
        <f t="shared" si="6"/>
        <v>5.1458333333333335E-5</v>
      </c>
      <c r="F32" s="5">
        <f>MAX(A32:A37)-MIN(A32:A37)</f>
        <v>4.0000000000001146E-4</v>
      </c>
      <c r="G32" s="5">
        <f>MAX(B32:B37)-MIN(B32:B37)</f>
        <v>1.0999999999999899E-3</v>
      </c>
      <c r="H32" s="5">
        <f>MAX(C32:C37)-MIN(C32:C37)</f>
        <v>4.5000000000000595E-3</v>
      </c>
      <c r="I32" s="21">
        <v>0.86841452546296294</v>
      </c>
      <c r="J32">
        <v>0.75119758000000003</v>
      </c>
      <c r="K32">
        <v>0.80957723000000004</v>
      </c>
      <c r="L32">
        <v>0.85905123000000005</v>
      </c>
      <c r="M32" s="53">
        <f>SUM(J32)/(J32+K32+L32)</f>
        <v>0.31043453850922276</v>
      </c>
      <c r="N32" s="16">
        <f>SUM(K32)/(J32+K32+L32)</f>
        <v>0.33456009507195811</v>
      </c>
      <c r="O32" s="16">
        <f>SUM(K32)</f>
        <v>0.80957723000000004</v>
      </c>
      <c r="P32" s="17"/>
      <c r="Q32" s="18">
        <f>MAX(M32:M36)-MIN(M32:M36)</f>
        <v>8.4250330203372581E-5</v>
      </c>
      <c r="R32" s="18">
        <f>MAX(N32:N36)-MIN(N32:N36)</f>
        <v>4.3576218480279039E-4</v>
      </c>
      <c r="S32" s="54">
        <f>MAX(O32:O36)-MIN(O32:O36)</f>
        <v>1.9910300000000047E-3</v>
      </c>
      <c r="T32" s="21">
        <v>0.87025359953703696</v>
      </c>
      <c r="U32">
        <v>0.75618160000000001</v>
      </c>
      <c r="V32">
        <v>0.81543606999999996</v>
      </c>
      <c r="W32">
        <v>0.86596066000000005</v>
      </c>
      <c r="X32" s="16">
        <f>SUM(U32)/(U32+V32+W32)</f>
        <v>0.3102183797310013</v>
      </c>
      <c r="Y32" s="16">
        <f>SUM(V32)/(U32+V32+W32)</f>
        <v>0.33452712471397789</v>
      </c>
      <c r="Z32" s="16">
        <f>SUM(V32)</f>
        <v>0.81543606999999996</v>
      </c>
      <c r="AA32" s="17"/>
      <c r="AB32" s="18">
        <f>MAX(X32:X36)-MIN(X32:X36)</f>
        <v>5.1164165449973931E-4</v>
      </c>
      <c r="AC32" s="18">
        <f>MAX(Y32:Y36)-MIN(Y32:Y36)</f>
        <v>7.7705496939561858E-4</v>
      </c>
      <c r="AD32" s="18">
        <f>MAX(Z32:Z36)-MIN(Z32:Z36)</f>
        <v>2.2302299999999997E-3</v>
      </c>
      <c r="AH32" s="37"/>
      <c r="AI32" s="38"/>
      <c r="AJ32" s="21"/>
    </row>
    <row r="33" spans="1:36" x14ac:dyDescent="0.25">
      <c r="A33">
        <v>0.30840000000000001</v>
      </c>
      <c r="B33">
        <v>0.34570000000000001</v>
      </c>
      <c r="C33">
        <v>0.75319999999999998</v>
      </c>
      <c r="D33">
        <v>4431</v>
      </c>
      <c r="E33" s="26">
        <f t="shared" si="6"/>
        <v>5.1284722222222225E-5</v>
      </c>
      <c r="I33" s="21">
        <v>0.86853645833333337</v>
      </c>
      <c r="J33">
        <v>0.75216006999999996</v>
      </c>
      <c r="K33">
        <v>0.81156826000000004</v>
      </c>
      <c r="L33">
        <v>0.85889344999999995</v>
      </c>
      <c r="M33" s="53">
        <f>SUM(J33)/(J33+K33+L33)</f>
        <v>0.31047358535676994</v>
      </c>
      <c r="N33" s="16">
        <f>SUM(K33)/(J33+K33+L33)</f>
        <v>0.3349958572567609</v>
      </c>
      <c r="O33" s="16">
        <f>SUM(K33)</f>
        <v>0.81156826000000004</v>
      </c>
      <c r="P33" s="17">
        <f>ABS(I32-I33)</f>
        <v>1.2193287037043365E-4</v>
      </c>
      <c r="T33" s="21">
        <v>0.87030481481481481</v>
      </c>
      <c r="U33">
        <v>0.75486374000000001</v>
      </c>
      <c r="V33">
        <v>0.81456231999999995</v>
      </c>
      <c r="W33">
        <v>0.85989742999999996</v>
      </c>
      <c r="X33" s="16">
        <f>SUM(U33)/(U33+V33+W33)</f>
        <v>0.31073002138550104</v>
      </c>
      <c r="Y33" s="16">
        <f>SUM(V33)/(U33+V33+W33)</f>
        <v>0.3353041796833735</v>
      </c>
      <c r="Z33" s="16">
        <f>SUM(V33)</f>
        <v>0.81456231999999995</v>
      </c>
      <c r="AA33" s="17">
        <f>ABS(T32-T33)</f>
        <v>5.1215277777849622E-5</v>
      </c>
      <c r="AH33" s="37"/>
      <c r="AI33" s="38"/>
      <c r="AJ33" s="21"/>
    </row>
    <row r="34" spans="1:36" x14ac:dyDescent="0.25">
      <c r="A34">
        <v>0.30869999999999997</v>
      </c>
      <c r="B34">
        <v>0.3463</v>
      </c>
      <c r="C34">
        <v>0.75249999999999995</v>
      </c>
      <c r="D34">
        <v>4431</v>
      </c>
      <c r="E34" s="26">
        <f t="shared" si="6"/>
        <v>5.1284722222222225E-5</v>
      </c>
      <c r="I34" s="21">
        <v>0.86865818287037033</v>
      </c>
      <c r="J34">
        <v>0.75242823000000003</v>
      </c>
      <c r="K34">
        <v>0.81154305000000004</v>
      </c>
      <c r="L34">
        <v>0.86017202999999998</v>
      </c>
      <c r="M34" s="53">
        <f>SUM(J34)/(J34+K34+L34)</f>
        <v>0.31038933502656657</v>
      </c>
      <c r="N34" s="16">
        <f>SUM(K34)/(J34+K34+L34)</f>
        <v>0.33477519528331851</v>
      </c>
      <c r="O34" s="16">
        <f>SUM(K34)</f>
        <v>0.81154305000000004</v>
      </c>
      <c r="P34" s="17">
        <f>ABS(I33-I34)</f>
        <v>1.2172453703696018E-4</v>
      </c>
      <c r="Q34" s="19"/>
      <c r="R34" s="19"/>
      <c r="S34" s="56"/>
      <c r="T34" s="21">
        <v>0.87035622685185177</v>
      </c>
      <c r="U34">
        <v>0.75629710999999999</v>
      </c>
      <c r="V34">
        <v>0.81643670999999995</v>
      </c>
      <c r="W34">
        <v>0.86286414</v>
      </c>
      <c r="X34" s="16">
        <f>SUM(U34)/(U34+V34+W34)</f>
        <v>0.3105180421484669</v>
      </c>
      <c r="Y34" s="16">
        <f>SUM(V34)/(U34+V34+W34)</f>
        <v>0.33520996626224797</v>
      </c>
      <c r="Z34" s="16">
        <f>SUM(V34)</f>
        <v>0.81643670999999995</v>
      </c>
      <c r="AA34" s="17">
        <f>ABS(T33-T34)</f>
        <v>5.1412037036957514E-5</v>
      </c>
      <c r="AB34" s="19"/>
      <c r="AC34" s="19"/>
      <c r="AD34" s="19"/>
      <c r="AH34" s="37"/>
      <c r="AI34" s="38"/>
      <c r="AJ34" s="21"/>
    </row>
    <row r="35" spans="1:36" x14ac:dyDescent="0.25">
      <c r="A35">
        <v>0.30880000000000002</v>
      </c>
      <c r="B35">
        <v>0.3468</v>
      </c>
      <c r="C35">
        <v>0.75349999999999995</v>
      </c>
      <c r="D35">
        <v>4430</v>
      </c>
      <c r="E35" s="26">
        <f t="shared" si="6"/>
        <v>5.127314814814815E-5</v>
      </c>
      <c r="I35" s="20"/>
      <c r="J35" s="15"/>
      <c r="K35" s="15"/>
      <c r="L35" s="15"/>
      <c r="M35" s="53"/>
      <c r="N35" s="16"/>
      <c r="O35" s="16"/>
      <c r="P35" s="17"/>
      <c r="Q35" s="19"/>
      <c r="R35" s="19"/>
      <c r="S35" s="56"/>
      <c r="T35" s="21">
        <v>0.87040750000000011</v>
      </c>
      <c r="U35">
        <v>0.75436287999999996</v>
      </c>
      <c r="V35">
        <v>0.81420647999999995</v>
      </c>
      <c r="W35">
        <v>0.86264728999999996</v>
      </c>
      <c r="X35" s="16">
        <f>SUM(U35)/(U35+V35+W35)</f>
        <v>0.31028204746787996</v>
      </c>
      <c r="Y35" s="16">
        <f>SUM(V35)/(U35+V35+W35)</f>
        <v>0.33489671930306997</v>
      </c>
      <c r="Z35" s="16">
        <f>SUM(V35)</f>
        <v>0.81420647999999995</v>
      </c>
      <c r="AA35" s="17">
        <f>ABS(T34-T35)</f>
        <v>5.1273148148345271E-5</v>
      </c>
      <c r="AB35" s="19"/>
      <c r="AC35" s="19"/>
      <c r="AD35" s="19"/>
      <c r="AH35" s="37"/>
      <c r="AI35" s="38"/>
      <c r="AJ35" s="21"/>
    </row>
    <row r="36" spans="1:36" x14ac:dyDescent="0.25">
      <c r="A36">
        <v>0.30869999999999997</v>
      </c>
      <c r="B36">
        <v>0.34649999999999997</v>
      </c>
      <c r="C36">
        <v>0.75619999999999998</v>
      </c>
      <c r="D36">
        <v>4415</v>
      </c>
      <c r="E36" s="26">
        <f t="shared" si="6"/>
        <v>5.109953703703704E-5</v>
      </c>
      <c r="I36" s="20"/>
      <c r="J36" s="15"/>
      <c r="K36" s="15"/>
      <c r="L36" s="15"/>
      <c r="M36" s="53"/>
      <c r="N36" s="16"/>
      <c r="O36" s="16"/>
      <c r="P36" s="17"/>
      <c r="Q36" s="19"/>
      <c r="R36" s="19"/>
      <c r="S36" s="56"/>
      <c r="T36" s="20"/>
      <c r="U36" s="15"/>
      <c r="V36" s="15"/>
      <c r="W36" s="15"/>
      <c r="X36" s="16"/>
      <c r="Y36" s="16"/>
      <c r="Z36" s="16"/>
      <c r="AA36" s="17"/>
      <c r="AB36" s="19"/>
      <c r="AC36" s="19"/>
      <c r="AD36" s="19"/>
      <c r="AH36" s="37"/>
      <c r="AI36" s="38"/>
      <c r="AJ36" s="21"/>
    </row>
    <row r="37" spans="1:36" x14ac:dyDescent="0.25">
      <c r="A37">
        <v>0.30869999999999997</v>
      </c>
      <c r="B37">
        <v>0.34660000000000002</v>
      </c>
      <c r="C37">
        <v>0.75700000000000001</v>
      </c>
      <c r="D37">
        <v>4400</v>
      </c>
      <c r="E37" s="26">
        <f t="shared" si="6"/>
        <v>5.0925925925925923E-5</v>
      </c>
      <c r="I37" s="20"/>
      <c r="J37" s="15"/>
      <c r="K37" s="15"/>
      <c r="L37" s="15"/>
      <c r="M37" s="53"/>
      <c r="N37" s="16"/>
      <c r="O37" s="16"/>
      <c r="P37" s="17"/>
      <c r="Q37" s="19"/>
      <c r="R37" s="19"/>
      <c r="S37" s="56"/>
      <c r="T37" s="20"/>
      <c r="U37" s="15"/>
      <c r="V37" s="15"/>
      <c r="W37" s="15"/>
      <c r="X37" s="16"/>
      <c r="Y37" s="16"/>
      <c r="Z37" s="16"/>
      <c r="AA37" s="17"/>
      <c r="AB37" s="19"/>
      <c r="AC37" s="19"/>
      <c r="AD37" s="19"/>
      <c r="AH37" s="37"/>
      <c r="AI37" s="38"/>
      <c r="AJ37" s="21"/>
    </row>
    <row r="38" spans="1:36" x14ac:dyDescent="0.25">
      <c r="A38" s="33" t="s">
        <v>8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64"/>
      <c r="N38" s="65"/>
      <c r="O38" s="65"/>
      <c r="P38" s="65"/>
      <c r="Q38" s="65"/>
      <c r="R38" s="65"/>
      <c r="S38" s="66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42"/>
      <c r="AH38" s="37"/>
      <c r="AI38" s="38"/>
      <c r="AJ38" s="21"/>
    </row>
    <row r="39" spans="1:36" x14ac:dyDescent="0.25">
      <c r="A39">
        <v>0.61890000000000001</v>
      </c>
      <c r="B39">
        <v>0.34649999999999997</v>
      </c>
      <c r="C39">
        <v>21.376300000000001</v>
      </c>
      <c r="D39">
        <v>2277</v>
      </c>
      <c r="E39" s="26">
        <f t="shared" si="6"/>
        <v>2.6354166666666666E-5</v>
      </c>
      <c r="F39" s="5">
        <f>MAX(A39:A48)-MIN(A39:A48)</f>
        <v>1.9999999999997797E-4</v>
      </c>
      <c r="G39" s="5">
        <f>MAX(B39:B48)-MIN(B39:B48)</f>
        <v>0</v>
      </c>
      <c r="H39" s="5">
        <f>MAX(C39:C48)-MIN(C39:C48)</f>
        <v>7.3000000000000398E-2</v>
      </c>
      <c r="I39" s="21">
        <v>0.86885819444444445</v>
      </c>
      <c r="J39">
        <v>44.232849000000002</v>
      </c>
      <c r="K39">
        <v>23.014386999999999</v>
      </c>
      <c r="L39">
        <v>2.3186553000000001</v>
      </c>
      <c r="M39" s="53">
        <f>SUM(J39)/(J39+K39+L39)</f>
        <v>0.63584104470461944</v>
      </c>
      <c r="N39" s="16">
        <f>SUM(K39)/(J39+K39+L39)</f>
        <v>0.33082860824353438</v>
      </c>
      <c r="O39" s="16">
        <f>SUM(K39)</f>
        <v>23.014386999999999</v>
      </c>
      <c r="P39" s="17"/>
      <c r="Q39" s="18">
        <f>MAX(M39:M47)-MIN(M39:M47)</f>
        <v>4.5219481171532294E-5</v>
      </c>
      <c r="R39" s="18">
        <f>MAX(N39:N47)-MIN(N39:N47)</f>
        <v>7.9197737895275733E-5</v>
      </c>
      <c r="S39" s="54">
        <f>MAX(O39:O47)-MIN(O39:O47)</f>
        <v>3.5209999999999297E-2</v>
      </c>
      <c r="T39" s="21">
        <v>0.87067201388888893</v>
      </c>
      <c r="U39">
        <v>44.229137000000001</v>
      </c>
      <c r="V39">
        <v>23.009722</v>
      </c>
      <c r="W39">
        <v>2.3049065999999998</v>
      </c>
      <c r="X39" s="16">
        <f t="shared" ref="X39:X44" si="12">SUM(U39)/(U39+V39+W39)</f>
        <v>0.63598996428229082</v>
      </c>
      <c r="Y39" s="16">
        <f t="shared" ref="Y39:Y44" si="13">SUM(V39)/(U39+V39+W39)</f>
        <v>0.33086678297443245</v>
      </c>
      <c r="Z39" s="16">
        <f t="shared" ref="Z39:Z44" si="14">SUM(V39)</f>
        <v>23.009722</v>
      </c>
      <c r="AA39" s="17"/>
      <c r="AB39" s="18">
        <f>MAX(X39:X47)-MIN(X39:X47)</f>
        <v>4.6679127031945544E-4</v>
      </c>
      <c r="AC39" s="18">
        <f>MAX(Y39:Y47)-MIN(Y39:Y47)</f>
        <v>3.212254259885583E-4</v>
      </c>
      <c r="AD39" s="18">
        <f>MAX(Z39:Z47)-MIN(Z39:Z47)</f>
        <v>0.19200899999999876</v>
      </c>
      <c r="AH39" s="37"/>
      <c r="AI39" s="38"/>
      <c r="AJ39" s="21"/>
    </row>
    <row r="40" spans="1:36" x14ac:dyDescent="0.25">
      <c r="A40">
        <v>0.61890000000000001</v>
      </c>
      <c r="B40">
        <v>0.34649999999999997</v>
      </c>
      <c r="C40">
        <v>21.372800000000002</v>
      </c>
      <c r="D40">
        <v>2262</v>
      </c>
      <c r="E40" s="26">
        <f t="shared" si="6"/>
        <v>2.6180555555555556E-5</v>
      </c>
      <c r="I40" s="21">
        <v>0.86892710648148153</v>
      </c>
      <c r="J40">
        <v>44.290523999999998</v>
      </c>
      <c r="K40">
        <v>23.049596999999999</v>
      </c>
      <c r="L40">
        <v>2.3184670999999999</v>
      </c>
      <c r="M40" s="53">
        <f>SUM(J40)/(J40+K40+L40)</f>
        <v>0.63582287852888586</v>
      </c>
      <c r="N40" s="16">
        <f>SUM(K40)/(J40+K40+L40)</f>
        <v>0.33089382987364913</v>
      </c>
      <c r="O40" s="16">
        <f>SUM(K40)</f>
        <v>23.049596999999999</v>
      </c>
      <c r="P40" s="17">
        <f>ABS(I39-I40)</f>
        <v>6.891203703707216E-5</v>
      </c>
      <c r="T40" s="21">
        <v>0.87068511574074081</v>
      </c>
      <c r="U40">
        <v>44.450305999999998</v>
      </c>
      <c r="V40">
        <v>23.128204</v>
      </c>
      <c r="W40">
        <v>2.3305737999999998</v>
      </c>
      <c r="X40" s="16">
        <f t="shared" si="12"/>
        <v>0.63583018949534575</v>
      </c>
      <c r="Y40" s="16">
        <f t="shared" si="13"/>
        <v>0.33083260061262604</v>
      </c>
      <c r="Z40" s="16">
        <f t="shared" si="14"/>
        <v>23.128204</v>
      </c>
      <c r="AA40" s="17">
        <f>ABS(T39-T40)</f>
        <v>1.3101851851882174E-5</v>
      </c>
      <c r="AH40" s="37"/>
      <c r="AI40" s="38"/>
      <c r="AJ40" s="21"/>
    </row>
    <row r="41" spans="1:36" x14ac:dyDescent="0.25">
      <c r="A41">
        <v>0.61890000000000001</v>
      </c>
      <c r="B41">
        <v>0.34649999999999997</v>
      </c>
      <c r="C41">
        <v>21.418900000000001</v>
      </c>
      <c r="D41">
        <v>2262</v>
      </c>
      <c r="E41" s="26">
        <f t="shared" si="6"/>
        <v>2.6180555555555556E-5</v>
      </c>
      <c r="I41" s="21">
        <v>0.86899450231481479</v>
      </c>
      <c r="J41">
        <v>44.287281</v>
      </c>
      <c r="K41">
        <v>23.049499999999998</v>
      </c>
      <c r="L41">
        <v>2.3196704000000001</v>
      </c>
      <c r="M41" s="53">
        <f>SUM(J41)/(J41+K41+L41)</f>
        <v>0.63579582522344791</v>
      </c>
      <c r="N41" s="16">
        <f>SUM(K41)/(J41+K41+L41)</f>
        <v>0.33090258743786644</v>
      </c>
      <c r="O41" s="16">
        <f>SUM(K41)</f>
        <v>23.049499999999998</v>
      </c>
      <c r="P41" s="17">
        <f>ABS(I40-I41)</f>
        <v>6.7395833333261379E-5</v>
      </c>
      <c r="Q41" s="19"/>
      <c r="R41" s="19"/>
      <c r="S41" s="56"/>
      <c r="T41" s="21">
        <v>0.87070012731481483</v>
      </c>
      <c r="U41">
        <v>44.090786000000001</v>
      </c>
      <c r="V41">
        <v>22.936195000000001</v>
      </c>
      <c r="W41">
        <v>2.3099550999999998</v>
      </c>
      <c r="X41" s="16">
        <f t="shared" si="12"/>
        <v>0.63589175524587394</v>
      </c>
      <c r="Y41" s="16">
        <f t="shared" si="13"/>
        <v>0.33079331580098476</v>
      </c>
      <c r="Z41" s="16">
        <f t="shared" si="14"/>
        <v>22.936195000000001</v>
      </c>
      <c r="AA41" s="17">
        <f>ABS(T40-T41)</f>
        <v>1.5011574074019762E-5</v>
      </c>
      <c r="AB41" s="19"/>
      <c r="AC41" s="19"/>
      <c r="AD41" s="19"/>
      <c r="AH41" s="37"/>
      <c r="AI41" s="38"/>
      <c r="AJ41" s="21"/>
    </row>
    <row r="42" spans="1:36" x14ac:dyDescent="0.25">
      <c r="A42">
        <v>0.61899999999999999</v>
      </c>
      <c r="B42">
        <v>0.34649999999999997</v>
      </c>
      <c r="C42">
        <v>21.369199999999999</v>
      </c>
      <c r="D42">
        <v>2278</v>
      </c>
      <c r="E42" s="26">
        <f t="shared" si="6"/>
        <v>2.6365740740740741E-5</v>
      </c>
      <c r="I42" s="21">
        <v>0.86906152777777779</v>
      </c>
      <c r="J42">
        <v>44.276169000000003</v>
      </c>
      <c r="K42">
        <v>23.043343</v>
      </c>
      <c r="L42">
        <v>2.3172345000000001</v>
      </c>
      <c r="M42" s="53">
        <f>SUM(J42)/(J42+K42+L42)</f>
        <v>0.63581616352510095</v>
      </c>
      <c r="N42" s="16">
        <f>SUM(K42)/(J42+K42+L42)</f>
        <v>0.33090780598142966</v>
      </c>
      <c r="O42" s="16">
        <f>SUM(K42)</f>
        <v>23.043343</v>
      </c>
      <c r="P42" s="17">
        <f>ABS(I41-I42)</f>
        <v>6.7025462962999605E-5</v>
      </c>
      <c r="Q42" s="19"/>
      <c r="R42" s="19"/>
      <c r="S42" s="56"/>
      <c r="T42" s="21">
        <v>0.87071334490740737</v>
      </c>
      <c r="U42">
        <v>44.441200000000002</v>
      </c>
      <c r="V42">
        <v>23.09083</v>
      </c>
      <c r="W42">
        <v>2.3168894999999998</v>
      </c>
      <c r="X42" s="16">
        <f t="shared" si="12"/>
        <v>0.63624749413625503</v>
      </c>
      <c r="Y42" s="16">
        <f t="shared" si="13"/>
        <v>0.33058249383514082</v>
      </c>
      <c r="Z42" s="16">
        <f t="shared" si="14"/>
        <v>23.09083</v>
      </c>
      <c r="AA42" s="17">
        <f>ABS(T41-T42)</f>
        <v>1.3217592592540406E-5</v>
      </c>
      <c r="AB42" s="19"/>
      <c r="AC42" s="19"/>
      <c r="AD42" s="19"/>
      <c r="AH42" s="37"/>
      <c r="AI42" s="38"/>
      <c r="AJ42" s="21"/>
    </row>
    <row r="43" spans="1:36" x14ac:dyDescent="0.25">
      <c r="A43">
        <v>0.61899999999999999</v>
      </c>
      <c r="B43">
        <v>0.34649999999999997</v>
      </c>
      <c r="C43">
        <v>21.392800000000001</v>
      </c>
      <c r="D43">
        <v>2262</v>
      </c>
      <c r="E43" s="26">
        <f t="shared" si="6"/>
        <v>2.6180555555555556E-5</v>
      </c>
      <c r="I43" s="21"/>
      <c r="M43" s="53"/>
      <c r="N43" s="16"/>
      <c r="O43" s="16"/>
      <c r="P43" s="17"/>
      <c r="Q43" s="19"/>
      <c r="R43" s="19"/>
      <c r="S43" s="56"/>
      <c r="T43" s="21">
        <v>0.87072847222222227</v>
      </c>
      <c r="U43">
        <v>44.378337999999999</v>
      </c>
      <c r="V43">
        <v>23.093924999999999</v>
      </c>
      <c r="W43">
        <v>2.3182037000000002</v>
      </c>
      <c r="X43" s="16">
        <f t="shared" si="12"/>
        <v>0.63587965661218315</v>
      </c>
      <c r="Y43" s="16">
        <f t="shared" si="13"/>
        <v>0.33090371926112938</v>
      </c>
      <c r="Z43" s="16">
        <f t="shared" si="14"/>
        <v>23.093924999999999</v>
      </c>
      <c r="AA43" s="17">
        <v>2.3657407407407409E-5</v>
      </c>
      <c r="AB43" s="19"/>
      <c r="AC43" s="19"/>
      <c r="AD43" s="19"/>
      <c r="AH43" s="37"/>
      <c r="AI43" s="38"/>
      <c r="AJ43" s="21"/>
    </row>
    <row r="44" spans="1:36" x14ac:dyDescent="0.25">
      <c r="A44">
        <v>0.61890000000000001</v>
      </c>
      <c r="B44">
        <v>0.34649999999999997</v>
      </c>
      <c r="C44">
        <v>21.427</v>
      </c>
      <c r="D44">
        <v>2247</v>
      </c>
      <c r="E44" s="26">
        <f t="shared" si="6"/>
        <v>2.6006944444444446E-5</v>
      </c>
      <c r="I44" s="20"/>
      <c r="J44" s="15"/>
      <c r="K44" s="15"/>
      <c r="L44" s="15"/>
      <c r="M44" s="53"/>
      <c r="N44" s="16"/>
      <c r="O44" s="16"/>
      <c r="P44" s="17"/>
      <c r="Q44" s="19"/>
      <c r="R44" s="19"/>
      <c r="S44" s="56"/>
      <c r="T44" s="21">
        <v>0.87074130787037041</v>
      </c>
      <c r="U44">
        <v>44.213524</v>
      </c>
      <c r="V44">
        <v>22.977505000000001</v>
      </c>
      <c r="W44">
        <v>2.2946441000000002</v>
      </c>
      <c r="X44" s="16">
        <f t="shared" si="12"/>
        <v>0.63629698076566521</v>
      </c>
      <c r="Y44" s="16">
        <f t="shared" si="13"/>
        <v>0.33067974986630733</v>
      </c>
      <c r="Z44" s="16">
        <f t="shared" si="14"/>
        <v>22.977505000000001</v>
      </c>
      <c r="AA44" s="17">
        <f>ABS(T43-T44)</f>
        <v>1.2835648148135093E-5</v>
      </c>
      <c r="AB44" s="19"/>
      <c r="AC44" s="19"/>
      <c r="AD44" s="19"/>
      <c r="AH44" s="37"/>
      <c r="AI44" s="38"/>
      <c r="AJ44" s="21"/>
    </row>
    <row r="45" spans="1:36" x14ac:dyDescent="0.25">
      <c r="A45">
        <v>0.61880000000000002</v>
      </c>
      <c r="B45">
        <v>0.34649999999999997</v>
      </c>
      <c r="C45">
        <v>21.434000000000001</v>
      </c>
      <c r="D45">
        <v>2247</v>
      </c>
      <c r="E45" s="26">
        <f t="shared" si="6"/>
        <v>2.6006944444444446E-5</v>
      </c>
      <c r="I45" s="20"/>
      <c r="J45" s="15"/>
      <c r="K45" s="15"/>
      <c r="L45" s="15"/>
      <c r="M45" s="53"/>
      <c r="N45" s="16"/>
      <c r="O45" s="16"/>
      <c r="P45" s="17"/>
      <c r="Q45" s="19"/>
      <c r="R45" s="19"/>
      <c r="S45" s="56"/>
      <c r="T45" s="20"/>
      <c r="U45" s="15"/>
      <c r="V45" s="15"/>
      <c r="W45" s="15"/>
      <c r="X45" s="16"/>
      <c r="Y45" s="16"/>
      <c r="Z45" s="16"/>
      <c r="AA45" s="17"/>
      <c r="AB45" s="19"/>
      <c r="AC45" s="19"/>
      <c r="AD45" s="19"/>
      <c r="AH45" s="37"/>
      <c r="AI45" s="38"/>
      <c r="AJ45" s="21"/>
    </row>
    <row r="46" spans="1:36" x14ac:dyDescent="0.25">
      <c r="A46">
        <v>0.61890000000000001</v>
      </c>
      <c r="B46">
        <v>0.34649999999999997</v>
      </c>
      <c r="C46">
        <v>21.4375</v>
      </c>
      <c r="D46">
        <v>2262</v>
      </c>
      <c r="E46" s="26">
        <f t="shared" si="6"/>
        <v>2.6180555555555556E-5</v>
      </c>
      <c r="I46" s="20"/>
      <c r="J46" s="15"/>
      <c r="K46" s="15"/>
      <c r="L46" s="15"/>
      <c r="M46" s="53"/>
      <c r="N46" s="16"/>
      <c r="O46" s="16"/>
      <c r="P46" s="17"/>
      <c r="Q46" s="19"/>
      <c r="R46" s="19"/>
      <c r="S46" s="56"/>
      <c r="T46" s="20"/>
      <c r="U46" s="15"/>
      <c r="V46" s="15"/>
      <c r="W46" s="15"/>
      <c r="X46" s="16"/>
      <c r="Y46" s="16"/>
      <c r="Z46" s="16"/>
      <c r="AA46" s="17"/>
      <c r="AB46" s="19"/>
      <c r="AC46" s="19"/>
      <c r="AD46" s="19"/>
      <c r="AH46" s="37"/>
      <c r="AI46" s="38"/>
      <c r="AJ46" s="21"/>
    </row>
    <row r="47" spans="1:36" x14ac:dyDescent="0.25">
      <c r="A47">
        <v>0.61899999999999999</v>
      </c>
      <c r="B47">
        <v>0.34649999999999997</v>
      </c>
      <c r="C47">
        <v>21.441199999999998</v>
      </c>
      <c r="D47">
        <v>2247</v>
      </c>
      <c r="E47" s="26">
        <f t="shared" si="6"/>
        <v>2.6006944444444446E-5</v>
      </c>
      <c r="I47" s="20"/>
      <c r="J47" s="15"/>
      <c r="K47" s="15"/>
      <c r="L47" s="15"/>
      <c r="M47" s="53"/>
      <c r="N47" s="16"/>
      <c r="O47" s="16"/>
      <c r="P47" s="17"/>
      <c r="Q47" s="19"/>
      <c r="R47" s="19"/>
      <c r="S47" s="56"/>
      <c r="T47" s="20"/>
      <c r="U47" s="15"/>
      <c r="V47" s="15"/>
      <c r="W47" s="15"/>
      <c r="X47" s="16"/>
      <c r="Y47" s="16"/>
      <c r="Z47" s="16"/>
      <c r="AA47" s="17"/>
      <c r="AB47" s="19"/>
      <c r="AC47" s="19"/>
      <c r="AD47" s="19"/>
      <c r="AH47" s="37"/>
      <c r="AI47" s="38"/>
      <c r="AJ47" s="21"/>
    </row>
    <row r="48" spans="1:36" x14ac:dyDescent="0.25">
      <c r="A48">
        <v>0.61899999999999999</v>
      </c>
      <c r="B48">
        <v>0.34649999999999997</v>
      </c>
      <c r="C48">
        <v>21.4422</v>
      </c>
      <c r="D48">
        <v>2247</v>
      </c>
      <c r="E48" s="26">
        <f t="shared" si="6"/>
        <v>2.6006944444444446E-5</v>
      </c>
      <c r="I48" s="20"/>
      <c r="J48" s="15"/>
      <c r="K48" s="15"/>
      <c r="L48" s="15"/>
      <c r="M48" s="53"/>
      <c r="N48" s="16"/>
      <c r="O48" s="16"/>
      <c r="P48" s="17"/>
      <c r="Q48" s="19"/>
      <c r="R48" s="19"/>
      <c r="S48" s="56"/>
      <c r="T48" s="20"/>
      <c r="U48" s="15"/>
      <c r="V48" s="15"/>
      <c r="W48" s="15"/>
      <c r="X48" s="16"/>
      <c r="Y48" s="16"/>
      <c r="Z48" s="16"/>
      <c r="AA48" s="17"/>
      <c r="AB48" s="19"/>
      <c r="AC48" s="19"/>
      <c r="AD48" s="19"/>
      <c r="AH48" s="37"/>
      <c r="AI48" s="38"/>
      <c r="AJ48" s="21"/>
    </row>
    <row r="49" spans="1:35" x14ac:dyDescent="0.25">
      <c r="A49" s="34" t="s">
        <v>9</v>
      </c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67"/>
      <c r="N49" s="68"/>
      <c r="O49" s="68"/>
      <c r="P49" s="68"/>
      <c r="Q49" s="68"/>
      <c r="R49" s="68"/>
      <c r="S49" s="69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42"/>
      <c r="AH49" s="37"/>
      <c r="AI49" s="38"/>
    </row>
    <row r="50" spans="1:35" x14ac:dyDescent="0.25">
      <c r="A50">
        <v>0.30080000000000001</v>
      </c>
      <c r="B50">
        <v>0.59099999999999997</v>
      </c>
      <c r="C50">
        <v>76.143799999999999</v>
      </c>
      <c r="D50">
        <v>1778</v>
      </c>
      <c r="E50" s="26">
        <f t="shared" si="6"/>
        <v>2.0578703703703705E-5</v>
      </c>
      <c r="F50" s="5">
        <f>MAX(A50:A56)-MIN(A50:A56)</f>
        <v>1.9999999999997797E-4</v>
      </c>
      <c r="G50" s="5">
        <f>MAX(B50:B56)-MIN(B50:B56)</f>
        <v>5.0000000000005596E-4</v>
      </c>
      <c r="H50" s="5">
        <f>MAX(C50:C56)-MIN(C50:C56)</f>
        <v>0.32819999999999538</v>
      </c>
      <c r="I50" s="21">
        <v>0.86924380787037048</v>
      </c>
      <c r="J50">
        <v>43.108635</v>
      </c>
      <c r="K50">
        <v>84.114716000000001</v>
      </c>
      <c r="L50">
        <v>16.355021000000001</v>
      </c>
      <c r="M50" s="53">
        <f>SUM(J50)/(J50+K50+L50)</f>
        <v>0.30024462876623226</v>
      </c>
      <c r="N50" s="16">
        <f>SUM(K50)/(J50+K50+L50)</f>
        <v>0.58584531101940618</v>
      </c>
      <c r="O50" s="16">
        <f>SUM(K50)</f>
        <v>84.114716000000001</v>
      </c>
      <c r="P50" s="17"/>
      <c r="Q50" s="18">
        <f>MAX(M50:M55)-MIN(M50:M55)</f>
        <v>1.0346723500687105E-4</v>
      </c>
      <c r="R50" s="18">
        <f>MAX(N50:N55)-MIN(N50:N55)</f>
        <v>1.9724078288541058E-4</v>
      </c>
      <c r="S50" s="54">
        <f>MAX(O50:O55)-MIN(O50:O55)</f>
        <v>7.9041000000003692E-2</v>
      </c>
      <c r="T50" s="21">
        <v>0.87084864583333343</v>
      </c>
      <c r="U50">
        <v>42.632435000000001</v>
      </c>
      <c r="V50">
        <v>83.567993000000001</v>
      </c>
      <c r="W50">
        <v>15.895664999999999</v>
      </c>
      <c r="X50" s="16">
        <f t="shared" ref="X50:X55" si="15">SUM(U50)/(U50+V50+W50)</f>
        <v>0.30002538493440495</v>
      </c>
      <c r="Y50" s="16">
        <f t="shared" ref="Y50:Y55" si="16">SUM(V50)/(U50+V50+W50)</f>
        <v>0.58810901296209461</v>
      </c>
      <c r="Z50" s="16">
        <f t="shared" ref="Z50:Z55" si="17">SUM(V50)</f>
        <v>83.567993000000001</v>
      </c>
      <c r="AA50" s="17"/>
      <c r="AB50" s="39">
        <f>MAX(X50:X55)-MIN(X50:X55)</f>
        <v>9.2476629848331493E-4</v>
      </c>
      <c r="AC50" s="39">
        <f>MAX(Y50:Y55)-MIN(Y50:Y55)</f>
        <v>2.6783820806500769E-3</v>
      </c>
      <c r="AD50" s="39">
        <f>MAX(Z50:Z55)-MIN(Z50:Z55)</f>
        <v>2.1966170000000034</v>
      </c>
      <c r="AH50" s="37"/>
      <c r="AI50" s="38"/>
    </row>
    <row r="51" spans="1:35" x14ac:dyDescent="0.25">
      <c r="A51">
        <v>0.30080000000000001</v>
      </c>
      <c r="B51">
        <v>0.59089999999999998</v>
      </c>
      <c r="C51">
        <v>76.210899999999995</v>
      </c>
      <c r="D51">
        <v>1778</v>
      </c>
      <c r="E51" s="26">
        <f t="shared" si="6"/>
        <v>2.0578703703703705E-5</v>
      </c>
      <c r="I51" s="21">
        <v>0.86928410879629636</v>
      </c>
      <c r="J51">
        <v>43.085383999999998</v>
      </c>
      <c r="K51">
        <v>84.070389000000006</v>
      </c>
      <c r="L51">
        <v>16.349295000000001</v>
      </c>
      <c r="M51" s="53">
        <f>SUM(J51)/(J51+K51+L51)</f>
        <v>0.30023597494131699</v>
      </c>
      <c r="N51" s="16">
        <f>SUM(K51)/(J51+K51+L51)</f>
        <v>0.58583567933642589</v>
      </c>
      <c r="O51" s="16">
        <f>SUM(K51)</f>
        <v>84.070389000000006</v>
      </c>
      <c r="P51" s="17">
        <f>ABS(I50-I51)</f>
        <v>4.0300925925884634E-5</v>
      </c>
      <c r="T51" s="21">
        <v>0.87085931712962961</v>
      </c>
      <c r="U51">
        <v>42.440865000000002</v>
      </c>
      <c r="V51">
        <v>82.808944999999994</v>
      </c>
      <c r="W51">
        <v>16.081758000000001</v>
      </c>
      <c r="X51" s="16">
        <f t="shared" si="15"/>
        <v>0.30029288997911635</v>
      </c>
      <c r="Y51" s="16">
        <f t="shared" si="16"/>
        <v>0.58591966516638372</v>
      </c>
      <c r="Z51" s="16">
        <f t="shared" si="17"/>
        <v>82.808944999999994</v>
      </c>
      <c r="AA51" s="17">
        <f>ABS(T50-T51)</f>
        <v>1.0671296296171917E-5</v>
      </c>
      <c r="AH51" s="37"/>
      <c r="AI51" s="38"/>
    </row>
    <row r="52" spans="1:35" x14ac:dyDescent="0.25">
      <c r="A52">
        <v>0.3009</v>
      </c>
      <c r="B52">
        <v>0.59119999999999995</v>
      </c>
      <c r="C52">
        <v>76.059200000000004</v>
      </c>
      <c r="D52">
        <v>1763</v>
      </c>
      <c r="E52" s="26">
        <f t="shared" si="6"/>
        <v>2.0405092592592592E-5</v>
      </c>
      <c r="I52" s="21">
        <v>0.86932267361111115</v>
      </c>
      <c r="J52">
        <v>43.088222999999999</v>
      </c>
      <c r="K52">
        <v>84.035674999999998</v>
      </c>
      <c r="L52">
        <v>16.341184999999999</v>
      </c>
      <c r="M52" s="53">
        <f>SUM(J52)/(J52+K52+L52)</f>
        <v>0.30033944217632386</v>
      </c>
      <c r="N52" s="16">
        <f>SUM(K52)/(J52+K52+L52)</f>
        <v>0.58575698868832082</v>
      </c>
      <c r="O52" s="16">
        <f>SUM(K52)</f>
        <v>84.035674999999998</v>
      </c>
      <c r="P52" s="17">
        <f>ABS(I51-I52)</f>
        <v>3.8564814814789905E-5</v>
      </c>
      <c r="Q52" s="19"/>
      <c r="R52" s="19"/>
      <c r="S52" s="56"/>
      <c r="T52" s="21">
        <v>0.87087023148148146</v>
      </c>
      <c r="U52">
        <v>42.829636000000001</v>
      </c>
      <c r="V52">
        <v>83.456505000000007</v>
      </c>
      <c r="W52">
        <v>16.269613</v>
      </c>
      <c r="X52" s="16">
        <f t="shared" si="15"/>
        <v>0.30044129961951588</v>
      </c>
      <c r="Y52" s="16">
        <f t="shared" si="16"/>
        <v>0.58543063088144454</v>
      </c>
      <c r="Z52" s="16">
        <f t="shared" si="17"/>
        <v>83.456505000000007</v>
      </c>
      <c r="AA52" s="17">
        <f>ABS(T51-T52)</f>
        <v>1.0914351851853965E-5</v>
      </c>
      <c r="AB52" s="19"/>
      <c r="AC52" s="19"/>
      <c r="AD52" s="19"/>
      <c r="AH52" s="37"/>
      <c r="AI52" s="38"/>
    </row>
    <row r="53" spans="1:35" x14ac:dyDescent="0.25">
      <c r="A53">
        <v>0.30099999999999999</v>
      </c>
      <c r="B53">
        <v>0.59140000000000004</v>
      </c>
      <c r="C53">
        <v>76.3874</v>
      </c>
      <c r="D53">
        <v>1763</v>
      </c>
      <c r="E53" s="26">
        <f t="shared" si="6"/>
        <v>2.0405092592592592E-5</v>
      </c>
      <c r="I53" s="21">
        <v>0.86936101851851844</v>
      </c>
      <c r="J53">
        <v>43.106133</v>
      </c>
      <c r="K53">
        <v>84.077079999999995</v>
      </c>
      <c r="L53">
        <v>16.379251</v>
      </c>
      <c r="M53" s="53">
        <f>SUM(J53)/(J53+K53+L53)</f>
        <v>0.30026047059209016</v>
      </c>
      <c r="N53" s="16">
        <f>SUM(K53)/(J53+K53+L53)</f>
        <v>0.58564807023652077</v>
      </c>
      <c r="O53" s="16">
        <f>SUM(K53)</f>
        <v>84.077079999999995</v>
      </c>
      <c r="P53" s="17">
        <f>ABS(I52-I53)</f>
        <v>3.8344907407283912E-5</v>
      </c>
      <c r="Q53" s="19"/>
      <c r="R53" s="19"/>
      <c r="S53" s="56"/>
      <c r="T53" s="21">
        <v>0.87088425925925927</v>
      </c>
      <c r="U53">
        <v>43.503211999999998</v>
      </c>
      <c r="V53">
        <v>85.005561999999998</v>
      </c>
      <c r="W53">
        <v>16.044108999999999</v>
      </c>
      <c r="X53" s="16">
        <f t="shared" si="15"/>
        <v>0.30095015123288826</v>
      </c>
      <c r="Y53" s="16">
        <f t="shared" si="16"/>
        <v>0.58805857230810132</v>
      </c>
      <c r="Z53" s="16">
        <f t="shared" si="17"/>
        <v>85.005561999999998</v>
      </c>
      <c r="AA53" s="17">
        <f>ABS(T52-T53)</f>
        <v>1.4027777777814165E-5</v>
      </c>
      <c r="AB53" s="19"/>
      <c r="AC53" s="19"/>
      <c r="AD53" s="19"/>
      <c r="AH53" s="37"/>
      <c r="AI53" s="38"/>
    </row>
    <row r="54" spans="1:35" x14ac:dyDescent="0.25">
      <c r="A54">
        <v>0.30080000000000001</v>
      </c>
      <c r="B54">
        <v>0.59109999999999996</v>
      </c>
      <c r="C54">
        <v>76.295199999999994</v>
      </c>
      <c r="D54">
        <v>1763</v>
      </c>
      <c r="E54" s="26">
        <f t="shared" si="6"/>
        <v>2.0405092592592592E-5</v>
      </c>
      <c r="I54" s="20"/>
      <c r="J54" s="15"/>
      <c r="K54" s="15"/>
      <c r="L54" s="15"/>
      <c r="M54" s="53"/>
      <c r="N54" s="16"/>
      <c r="O54" s="16"/>
      <c r="P54" s="17"/>
      <c r="Q54" s="19"/>
      <c r="R54" s="19"/>
      <c r="S54" s="56"/>
      <c r="T54" s="21">
        <v>0.87089550925925929</v>
      </c>
      <c r="U54">
        <v>43.342486999999998</v>
      </c>
      <c r="V54">
        <v>84.565085999999994</v>
      </c>
      <c r="W54">
        <v>16.468294</v>
      </c>
      <c r="X54" s="16">
        <f t="shared" si="15"/>
        <v>0.30020589936959485</v>
      </c>
      <c r="Y54" s="16">
        <f t="shared" si="16"/>
        <v>0.58572867998777112</v>
      </c>
      <c r="Z54" s="16">
        <f t="shared" si="17"/>
        <v>84.565085999999994</v>
      </c>
      <c r="AA54" s="17">
        <f>ABS(T53-T54)</f>
        <v>1.125000000001819E-5</v>
      </c>
      <c r="AB54" s="19"/>
      <c r="AC54" s="19"/>
      <c r="AD54" s="19"/>
      <c r="AH54" s="37"/>
      <c r="AI54" s="38"/>
    </row>
    <row r="55" spans="1:35" x14ac:dyDescent="0.25">
      <c r="A55">
        <v>0.30080000000000001</v>
      </c>
      <c r="B55">
        <v>0.59109999999999996</v>
      </c>
      <c r="C55">
        <v>76.315399999999997</v>
      </c>
      <c r="D55">
        <v>1778</v>
      </c>
      <c r="E55" s="26">
        <f t="shared" si="6"/>
        <v>2.0578703703703705E-5</v>
      </c>
      <c r="I55" s="20"/>
      <c r="J55" s="15"/>
      <c r="K55" s="15"/>
      <c r="L55" s="15"/>
      <c r="M55" s="53"/>
      <c r="N55" s="16"/>
      <c r="O55" s="16"/>
      <c r="P55" s="17"/>
      <c r="Q55" s="19"/>
      <c r="R55" s="19"/>
      <c r="S55" s="56"/>
      <c r="T55" s="21">
        <v>0.87090636574074065</v>
      </c>
      <c r="U55">
        <v>43.213031999999998</v>
      </c>
      <c r="V55">
        <v>84.443359000000001</v>
      </c>
      <c r="W55">
        <v>16.291739</v>
      </c>
      <c r="X55" s="16">
        <f t="shared" si="15"/>
        <v>0.30019863404963998</v>
      </c>
      <c r="Y55" s="16">
        <f t="shared" si="16"/>
        <v>0.58662352195891676</v>
      </c>
      <c r="Z55" s="16">
        <f t="shared" si="17"/>
        <v>84.443359000000001</v>
      </c>
      <c r="AA55" s="17">
        <f>ABS(T54-T55)</f>
        <v>1.0856481481358315E-5</v>
      </c>
      <c r="AB55" s="19"/>
      <c r="AC55" s="19"/>
      <c r="AD55" s="19"/>
      <c r="AH55" s="37"/>
      <c r="AI55" s="38"/>
    </row>
    <row r="56" spans="1:35" x14ac:dyDescent="0.25">
      <c r="A56">
        <v>0.3009</v>
      </c>
      <c r="B56">
        <v>0.59130000000000005</v>
      </c>
      <c r="C56">
        <v>76.292900000000003</v>
      </c>
      <c r="D56">
        <v>1763</v>
      </c>
      <c r="E56" s="26">
        <f t="shared" si="6"/>
        <v>2.0405092592592592E-5</v>
      </c>
      <c r="I56" s="20"/>
      <c r="J56" s="15"/>
      <c r="K56" s="15"/>
      <c r="L56" s="15"/>
      <c r="M56" s="53"/>
      <c r="N56" s="16"/>
      <c r="O56" s="16"/>
      <c r="P56" s="17"/>
      <c r="Q56" s="19"/>
      <c r="R56" s="19"/>
      <c r="S56" s="56"/>
      <c r="T56" s="20"/>
      <c r="U56" s="15"/>
      <c r="V56" s="15"/>
      <c r="W56" s="15"/>
      <c r="X56" s="16"/>
      <c r="Y56" s="16"/>
      <c r="Z56" s="16"/>
      <c r="AA56" s="17"/>
      <c r="AB56" s="19"/>
      <c r="AC56" s="19"/>
      <c r="AD56" s="19"/>
      <c r="AH56" s="37"/>
      <c r="AI56" s="38"/>
    </row>
    <row r="57" spans="1:35" x14ac:dyDescent="0.25">
      <c r="A57" s="35" t="s">
        <v>10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70"/>
      <c r="N57" s="71"/>
      <c r="O57" s="71"/>
      <c r="P57" s="71"/>
      <c r="Q57" s="71"/>
      <c r="R57" s="71"/>
      <c r="S57" s="72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42"/>
    </row>
    <row r="58" spans="1:35" x14ac:dyDescent="0.25">
      <c r="A58">
        <v>0.1542</v>
      </c>
      <c r="B58">
        <v>6.4699999999999994E-2</v>
      </c>
      <c r="C58">
        <v>7.6360999999999999</v>
      </c>
      <c r="D58">
        <v>2278</v>
      </c>
      <c r="E58" s="26">
        <f t="shared" si="6"/>
        <v>2.6365740740740741E-5</v>
      </c>
      <c r="F58" s="5">
        <f>MAX(A58:A67)-MIN(A58:A67)</f>
        <v>0</v>
      </c>
      <c r="G58" s="5">
        <f>MAX(B58:B67)-MIN(B58:B67)</f>
        <v>1.0000000000000286E-4</v>
      </c>
      <c r="H58" s="5">
        <f>MAX(C58:C67)-MIN(C58:C67)</f>
        <v>1.7199999999999882E-2</v>
      </c>
      <c r="I58" s="21">
        <v>0.86952785879629635</v>
      </c>
      <c r="J58">
        <v>20.84273</v>
      </c>
      <c r="K58">
        <v>7.6135216000000003</v>
      </c>
      <c r="L58">
        <v>106.92136000000001</v>
      </c>
      <c r="M58" s="53">
        <f>SUM(J58)/(J58+K58+L58)</f>
        <v>0.15395994768753918</v>
      </c>
      <c r="N58" s="16">
        <f>SUM(K58)/(J58+K58+L58)</f>
        <v>5.6239148482657965E-2</v>
      </c>
      <c r="O58" s="16">
        <f>SUM(K58)</f>
        <v>7.6135216000000003</v>
      </c>
      <c r="P58" s="17"/>
      <c r="Q58" s="18">
        <f>MAX(M58:M67)-MIN(M58:M67)</f>
        <v>1.2053684150081789E-5</v>
      </c>
      <c r="R58" s="18">
        <f>MAX(N58:N67)-MIN(N58:N67)</f>
        <v>1.4315163820666221E-5</v>
      </c>
      <c r="S58" s="54">
        <f>MAX(O58:O67)-MIN(O58:O67)</f>
        <v>1.8892699999999429E-2</v>
      </c>
      <c r="T58" s="21">
        <v>0.87102199074074071</v>
      </c>
      <c r="U58">
        <v>20.685428999999999</v>
      </c>
      <c r="V58">
        <v>7.5701108000000001</v>
      </c>
      <c r="W58">
        <v>106.08253999999999</v>
      </c>
      <c r="X58" s="16">
        <f t="shared" ref="X58:X63" si="18">SUM(U58)/(U58+V58+W58)</f>
        <v>0.15398038315566276</v>
      </c>
      <c r="Y58" s="16">
        <f t="shared" ref="Y58:Y63" si="19">SUM(V58)/(U58+V58+W58)</f>
        <v>5.6351191049256011E-2</v>
      </c>
      <c r="Z58" s="16">
        <f t="shared" ref="Z58:Z63" si="20">SUM(V58)</f>
        <v>7.5701108000000001</v>
      </c>
      <c r="AA58" s="17"/>
      <c r="AB58" s="18">
        <f>MAX(X58:X67)-MIN(X58:X67)</f>
        <v>8.7920913361377862E-5</v>
      </c>
      <c r="AC58" s="18">
        <f>MAX(Y58:Y67)-MIN(Y58:Y67)</f>
        <v>2.8372516719028101E-4</v>
      </c>
      <c r="AD58" s="18">
        <f>MAX(Z58:Z67)-MIN(Z58:Z67)</f>
        <v>0.15817549999999958</v>
      </c>
    </row>
    <row r="59" spans="1:35" x14ac:dyDescent="0.25">
      <c r="A59">
        <v>0.1542</v>
      </c>
      <c r="B59">
        <v>6.4699999999999994E-2</v>
      </c>
      <c r="C59">
        <v>7.6189</v>
      </c>
      <c r="D59">
        <v>2246</v>
      </c>
      <c r="E59" s="26">
        <f t="shared" si="6"/>
        <v>2.599537037037037E-5</v>
      </c>
      <c r="I59" s="21">
        <v>0.86959748842592599</v>
      </c>
      <c r="J59">
        <v>20.863486999999999</v>
      </c>
      <c r="K59">
        <v>7.6219168000000002</v>
      </c>
      <c r="L59">
        <v>107.01642</v>
      </c>
      <c r="M59" s="53">
        <f>SUM(J59)/(J59+K59+L59)</f>
        <v>0.15397200137168926</v>
      </c>
      <c r="N59" s="16">
        <f>SUM(K59)/(J59+K59+L59)</f>
        <v>5.6249551380577058E-2</v>
      </c>
      <c r="O59" s="16">
        <f>SUM(K59)</f>
        <v>7.6219168000000002</v>
      </c>
      <c r="P59" s="17">
        <f>ABS(I58-I59)</f>
        <v>6.9629629629641698E-5</v>
      </c>
      <c r="T59" s="21">
        <v>0.87103520833333337</v>
      </c>
      <c r="U59">
        <v>21.062752</v>
      </c>
      <c r="V59">
        <v>7.6737685000000004</v>
      </c>
      <c r="W59">
        <v>108.13017000000001</v>
      </c>
      <c r="X59" s="16">
        <f t="shared" si="18"/>
        <v>0.15389246224230138</v>
      </c>
      <c r="Y59" s="16">
        <f t="shared" si="19"/>
        <v>5.606746588206573E-2</v>
      </c>
      <c r="Z59" s="16">
        <f t="shared" si="20"/>
        <v>7.6737685000000004</v>
      </c>
      <c r="AA59" s="17">
        <f>ABS(T58-T59)</f>
        <v>1.3217592592651428E-5</v>
      </c>
    </row>
    <row r="60" spans="1:35" x14ac:dyDescent="0.25">
      <c r="A60">
        <v>0.1542</v>
      </c>
      <c r="B60">
        <v>6.4699999999999994E-2</v>
      </c>
      <c r="C60">
        <v>7.6208</v>
      </c>
      <c r="D60">
        <v>2262</v>
      </c>
      <c r="E60" s="26">
        <f t="shared" si="6"/>
        <v>2.6180555555555556E-5</v>
      </c>
      <c r="I60" s="21">
        <v>0.86966534722222233</v>
      </c>
      <c r="J60">
        <v>20.874127999999999</v>
      </c>
      <c r="K60">
        <v>7.6263684999999999</v>
      </c>
      <c r="L60">
        <v>107.07104</v>
      </c>
      <c r="M60" s="53">
        <f>SUM(J60)/(J60+K60+L60)</f>
        <v>0.15397131683316137</v>
      </c>
      <c r="N60" s="16">
        <f>SUM(K60)/(J60+K60+L60)</f>
        <v>5.6253463646478631E-2</v>
      </c>
      <c r="O60" s="16">
        <f>SUM(K60)</f>
        <v>7.6263684999999999</v>
      </c>
      <c r="P60" s="17">
        <f>ABS(I59-I60)</f>
        <v>6.7858796296338397E-5</v>
      </c>
      <c r="Q60" s="19"/>
      <c r="R60" s="19"/>
      <c r="S60" s="56"/>
      <c r="T60" s="21">
        <v>0.87104843749999994</v>
      </c>
      <c r="U60">
        <v>21.053470999999998</v>
      </c>
      <c r="V60">
        <v>7.6752552999999999</v>
      </c>
      <c r="W60">
        <v>108.05176</v>
      </c>
      <c r="X60" s="16">
        <f t="shared" si="18"/>
        <v>0.15392159780616307</v>
      </c>
      <c r="Y60" s="16">
        <f t="shared" si="19"/>
        <v>5.6113671676571601E-2</v>
      </c>
      <c r="Z60" s="16">
        <f t="shared" si="20"/>
        <v>7.6752552999999999</v>
      </c>
      <c r="AA60" s="17">
        <f>ABS(T59-T60)</f>
        <v>1.3229166666572922E-5</v>
      </c>
      <c r="AB60" s="19"/>
      <c r="AC60" s="19"/>
      <c r="AD60" s="19"/>
    </row>
    <row r="61" spans="1:35" x14ac:dyDescent="0.25">
      <c r="A61">
        <v>0.1542</v>
      </c>
      <c r="B61">
        <v>6.4699999999999994E-2</v>
      </c>
      <c r="C61">
        <v>7.6211000000000002</v>
      </c>
      <c r="D61">
        <v>2262</v>
      </c>
      <c r="E61" s="26">
        <f t="shared" si="6"/>
        <v>2.6180555555555556E-5</v>
      </c>
      <c r="I61" s="21">
        <v>0.86973336805555557</v>
      </c>
      <c r="J61">
        <v>20.891575</v>
      </c>
      <c r="K61">
        <v>7.6324142999999998</v>
      </c>
      <c r="L61">
        <v>107.16562999999999</v>
      </c>
      <c r="M61" s="53">
        <f>SUM(J61)/(J61+K61+L61)</f>
        <v>0.15396590474478544</v>
      </c>
      <c r="N61" s="16">
        <f>SUM(K61)/(J61+K61+L61)</f>
        <v>5.6249065620305704E-2</v>
      </c>
      <c r="O61" s="16">
        <f>SUM(K61)</f>
        <v>7.6324142999999998</v>
      </c>
      <c r="P61" s="17">
        <f>ABS(I60-I61)</f>
        <v>6.8020833333237718E-5</v>
      </c>
      <c r="Q61" s="19"/>
      <c r="R61" s="19"/>
      <c r="S61" s="56"/>
      <c r="T61" s="21">
        <v>0.87106246527777775</v>
      </c>
      <c r="U61">
        <v>20.824155999999999</v>
      </c>
      <c r="V61">
        <v>7.6151428000000001</v>
      </c>
      <c r="W61">
        <v>106.81164</v>
      </c>
      <c r="X61" s="16">
        <f t="shared" si="18"/>
        <v>0.1539668129830386</v>
      </c>
      <c r="Y61" s="16">
        <f t="shared" si="19"/>
        <v>5.63038073344597E-2</v>
      </c>
      <c r="Z61" s="16">
        <f t="shared" si="20"/>
        <v>7.6151428000000001</v>
      </c>
      <c r="AA61" s="17">
        <f>ABS(T60-T61)</f>
        <v>1.4027777777814165E-5</v>
      </c>
      <c r="AB61" s="19"/>
      <c r="AC61" s="19"/>
      <c r="AD61" s="19"/>
    </row>
    <row r="62" spans="1:35" x14ac:dyDescent="0.25">
      <c r="A62">
        <v>0.1542</v>
      </c>
      <c r="B62">
        <v>6.4699999999999994E-2</v>
      </c>
      <c r="C62">
        <v>7.6280000000000001</v>
      </c>
      <c r="D62">
        <v>2262</v>
      </c>
      <c r="E62" s="26">
        <f t="shared" si="6"/>
        <v>2.6180555555555556E-5</v>
      </c>
      <c r="I62" s="20"/>
      <c r="J62" s="15"/>
      <c r="K62" s="15"/>
      <c r="L62" s="15"/>
      <c r="M62" s="53"/>
      <c r="N62" s="16"/>
      <c r="O62" s="16"/>
      <c r="P62" s="17"/>
      <c r="Q62" s="19"/>
      <c r="R62" s="19"/>
      <c r="S62" s="56"/>
      <c r="T62" s="21">
        <v>0.87107608796296299</v>
      </c>
      <c r="U62">
        <v>21.162106000000001</v>
      </c>
      <c r="V62">
        <v>7.7282862999999997</v>
      </c>
      <c r="W62">
        <v>108.57423</v>
      </c>
      <c r="X62" s="16">
        <f t="shared" si="18"/>
        <v>0.1539458345421868</v>
      </c>
      <c r="Y62" s="16">
        <f t="shared" si="19"/>
        <v>5.6220183569369177E-2</v>
      </c>
      <c r="Z62" s="16">
        <f t="shared" si="20"/>
        <v>7.7282862999999997</v>
      </c>
      <c r="AA62" s="17">
        <f>ABS(T61-T62)</f>
        <v>1.3622685185232797E-5</v>
      </c>
      <c r="AB62" s="19"/>
      <c r="AC62" s="19"/>
      <c r="AD62" s="19"/>
    </row>
    <row r="63" spans="1:35" x14ac:dyDescent="0.25">
      <c r="A63">
        <v>0.1542</v>
      </c>
      <c r="B63">
        <v>6.4799999999999996E-2</v>
      </c>
      <c r="C63">
        <v>7.6246</v>
      </c>
      <c r="D63">
        <v>2246</v>
      </c>
      <c r="E63" s="26">
        <f t="shared" ref="E63" si="21">D63/86400000</f>
        <v>2.599537037037037E-5</v>
      </c>
      <c r="I63" s="20"/>
      <c r="J63" s="15"/>
      <c r="K63" s="15"/>
      <c r="L63" s="15"/>
      <c r="M63" s="53"/>
      <c r="N63" s="16"/>
      <c r="O63" s="16"/>
      <c r="P63" s="17"/>
      <c r="Q63" s="19"/>
      <c r="R63" s="19"/>
      <c r="S63" s="56"/>
      <c r="T63" s="21">
        <v>0.8710909375</v>
      </c>
      <c r="U63">
        <v>21.098880999999999</v>
      </c>
      <c r="V63">
        <v>7.7038444999999998</v>
      </c>
      <c r="W63">
        <v>108.24329</v>
      </c>
      <c r="X63" s="16">
        <f t="shared" si="18"/>
        <v>0.15395472041286742</v>
      </c>
      <c r="Y63" s="16">
        <f t="shared" si="19"/>
        <v>5.6213560619717537E-2</v>
      </c>
      <c r="Z63" s="16">
        <f t="shared" si="20"/>
        <v>7.7038444999999998</v>
      </c>
      <c r="AA63" s="17">
        <f>ABS(T62-T63)</f>
        <v>1.4849537037009419E-5</v>
      </c>
      <c r="AB63" s="19"/>
      <c r="AC63" s="19"/>
      <c r="AD63" s="19"/>
    </row>
    <row r="64" spans="1:35" x14ac:dyDescent="0.25">
      <c r="D64" s="4"/>
      <c r="E64" s="26"/>
      <c r="I64" s="20"/>
      <c r="J64" s="15"/>
      <c r="K64" s="15"/>
      <c r="L64" s="15"/>
      <c r="M64" s="53"/>
      <c r="N64" s="16"/>
      <c r="O64" s="16"/>
      <c r="P64" s="17"/>
      <c r="Q64" s="19"/>
      <c r="R64" s="19"/>
      <c r="S64" s="56"/>
      <c r="T64" s="20"/>
      <c r="U64" s="15"/>
      <c r="V64" s="15"/>
      <c r="W64" s="15"/>
      <c r="X64" s="16"/>
      <c r="Y64" s="16"/>
      <c r="Z64" s="16"/>
      <c r="AA64" s="17"/>
      <c r="AB64" s="19"/>
      <c r="AC64" s="19"/>
      <c r="AD64" s="19"/>
    </row>
    <row r="65" spans="4:30" x14ac:dyDescent="0.25">
      <c r="D65" s="4"/>
      <c r="E65" s="26"/>
      <c r="I65" s="20"/>
      <c r="J65" s="15"/>
      <c r="K65" s="15"/>
      <c r="L65" s="15"/>
      <c r="M65" s="53"/>
      <c r="N65" s="16"/>
      <c r="O65" s="16"/>
      <c r="P65" s="17"/>
      <c r="Q65" s="19"/>
      <c r="R65" s="19"/>
      <c r="S65" s="56"/>
      <c r="T65" s="20"/>
      <c r="U65" s="15"/>
      <c r="V65" s="15"/>
      <c r="W65" s="15"/>
      <c r="X65" s="16"/>
      <c r="Y65" s="16"/>
      <c r="Z65" s="16"/>
      <c r="AA65" s="17"/>
      <c r="AB65" s="19"/>
      <c r="AC65" s="19"/>
      <c r="AD65" s="19"/>
    </row>
    <row r="66" spans="4:30" x14ac:dyDescent="0.25">
      <c r="D66" s="4"/>
      <c r="E66" s="26"/>
      <c r="I66" s="20"/>
      <c r="J66" s="15"/>
      <c r="K66" s="15"/>
      <c r="L66" s="15"/>
      <c r="M66" s="53"/>
      <c r="N66" s="16"/>
      <c r="O66" s="16"/>
      <c r="P66" s="17"/>
      <c r="Q66" s="19"/>
      <c r="R66" s="19"/>
      <c r="S66" s="56"/>
      <c r="T66" s="20"/>
      <c r="U66" s="15"/>
      <c r="V66" s="15"/>
      <c r="W66" s="15"/>
      <c r="X66" s="16"/>
      <c r="Y66" s="16"/>
      <c r="Z66" s="16"/>
      <c r="AA66" s="17"/>
      <c r="AB66" s="19"/>
      <c r="AC66" s="19"/>
      <c r="AD66" s="19"/>
    </row>
    <row r="67" spans="4:30" x14ac:dyDescent="0.25">
      <c r="D67" s="4"/>
      <c r="E67" s="26"/>
      <c r="I67" s="20"/>
      <c r="J67" s="15"/>
      <c r="K67" s="15"/>
      <c r="L67" s="15"/>
      <c r="M67" s="53"/>
      <c r="N67" s="16"/>
      <c r="O67" s="16"/>
      <c r="P67" s="17"/>
      <c r="Q67" s="19"/>
      <c r="R67" s="19"/>
      <c r="S67" s="56"/>
      <c r="T67" s="20"/>
      <c r="U67" s="15"/>
      <c r="V67" s="15"/>
      <c r="W67" s="15"/>
      <c r="X67" s="16"/>
      <c r="Y67" s="16"/>
      <c r="Z67" s="16"/>
      <c r="AA67" s="17"/>
      <c r="AB67" s="19"/>
      <c r="AC67" s="19"/>
      <c r="AD67" s="19"/>
    </row>
  </sheetData>
  <mergeCells count="9">
    <mergeCell ref="X1:AD1"/>
    <mergeCell ref="X2:AD2"/>
    <mergeCell ref="AB3:AD3"/>
    <mergeCell ref="M1:S1"/>
    <mergeCell ref="A2:H2"/>
    <mergeCell ref="M2:S2"/>
    <mergeCell ref="F3:H3"/>
    <mergeCell ref="Q3:S3"/>
    <mergeCell ref="A1:H1"/>
  </mergeCells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LCD White LED</vt:lpstr>
      <vt:lpstr>Plasma (TX-P55ST60)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</dc:creator>
  <cp:lastModifiedBy>Maciej</cp:lastModifiedBy>
  <dcterms:created xsi:type="dcterms:W3CDTF">2010-11-23T00:05:12Z</dcterms:created>
  <dcterms:modified xsi:type="dcterms:W3CDTF">2013-09-11T16:59:22Z</dcterms:modified>
</cp:coreProperties>
</file>