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Calculations" state="visible" r:id="rId3"/>
    <sheet sheetId="2" name="Parameters" state="visible" r:id="rId4"/>
  </sheets>
  <definedNames>
    <definedName name="Base">Parameters!$B$7</definedName>
    <definedName name="Checkbase">Parameters!$B$11</definedName>
    <definedName name="Checksum">Parameters!$B$10</definedName>
    <definedName name="North">Parameters!$B$1</definedName>
    <definedName name="High">Parameters!$B$3</definedName>
    <definedName name="West">Parameters!$B$2</definedName>
    <definedName name="Alphabet">Parameters!$B$6</definedName>
    <definedName name="Wide">Parameters!$B$4</definedName>
    <definedName name="Digits">Parameters!$B$8</definedName>
  </definedNames>
  <calcPr/>
</workbook>
</file>

<file path=xl/sharedStrings.xml><?xml version="1.0" encoding="utf-8"?>
<sst xmlns="http://schemas.openxmlformats.org/spreadsheetml/2006/main" count="16" uniqueCount="15">
  <si>
    <t>Latitude</t>
  </si>
  <si>
    <t>Longitude</t>
  </si>
  <si>
    <t>OpenPostcode</t>
  </si>
  <si>
    <t>Checksum</t>
  </si>
  <si>
    <t>Link</t>
  </si>
  <si>
    <t>North</t>
  </si>
  <si>
    <t>West</t>
  </si>
  <si>
    <t>High</t>
  </si>
  <si>
    <t>Wide</t>
  </si>
  <si>
    <t>Alphabet</t>
  </si>
  <si>
    <t>23456789CDFGHJKLMNPQRTVWX</t>
  </si>
  <si>
    <t>Base</t>
  </si>
  <si>
    <t>Digits</t>
  </si>
  <si>
    <t>0123456789ACDEFGHJKLMNPQRTUVWXY</t>
  </si>
  <si>
    <t>Checkbase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</si>
</sst>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8"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0.0"/>
      <color rgb="FFFF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8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8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2.0"/>
      <color rgb="FF800000"/>
      <name val="Arial"/>
    </font>
    <font>
      <b val="0"/>
      <i val="0"/>
      <strike val="0"/>
      <u val="none"/>
      <sz val="8.0"/>
      <color rgb="FF00008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8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FF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</fonts>
  <fills count="6">
    <fill>
      <patternFill patternType="none"/>
    </fill>
    <fill>
      <patternFill patternType="gray125"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fillId="0" numFmtId="0" borderId="0" fontId="0"/>
  </cellStyleXfs>
  <cellXfs count="65">
    <xf applyAlignment="1" fillId="0" xfId="0" numFmtId="0" borderId="0" fontId="0">
      <alignment vertical="bottom" horizontal="general" wrapText="1"/>
    </xf>
    <xf applyAlignment="1" fillId="0" xfId="0" numFmtId="0" borderId="0" fontId="0" applyNumberFormat="1">
      <alignment vertical="bottom" horizontal="general" wrapText="1"/>
    </xf>
    <xf applyAlignment="1" fillId="0" xfId="0" numFmtId="0" borderId="0" applyFont="1" fontId="1">
      <alignment vertical="bottom" horizontal="general" wrapText="1"/>
    </xf>
    <xf applyAlignment="1" fillId="0" xfId="0" numFmtId="2" borderId="0" applyFont="1" fontId="2" applyNumberFormat="1">
      <alignment vertical="bottom" horizontal="left"/>
    </xf>
    <xf fillId="0" xfId="0" numFmtId="0" borderId="0" applyFont="1" fontId="3"/>
    <xf applyAlignment="1" fillId="0" xfId="0" numFmtId="0" borderId="0" applyFont="1" fontId="4">
      <alignment vertical="bottom" horizontal="right" wrapText="1"/>
    </xf>
    <xf applyBorder="1" applyAlignment="1" fillId="0" xfId="0" numFmtId="0" borderId="1" fontId="0">
      <alignment vertical="bottom" horizontal="general" wrapText="1"/>
    </xf>
    <xf applyAlignment="1" fillId="0" xfId="0" numFmtId="0" borderId="0" applyFont="1" fontId="5">
      <alignment vertical="bottom" horizontal="general" wrapText="1"/>
    </xf>
    <xf applyBorder="1" fillId="0" xfId="0" numFmtId="0" borderId="2" applyFont="1" fontId="6"/>
    <xf fillId="0" xfId="0" numFmtId="0" borderId="0" applyFont="1" fontId="7"/>
    <xf applyAlignment="1" fillId="0" xfId="0" numFmtId="0" borderId="0" applyFont="1" fontId="8">
      <alignment vertical="bottom" horizontal="right"/>
    </xf>
    <xf applyBorder="1" applyAlignment="1" fillId="0" xfId="0" numFmtId="0" borderId="3" applyFont="1" fontId="9">
      <alignment vertical="bottom" horizontal="left"/>
    </xf>
    <xf applyAlignment="1" fillId="0" xfId="0" numFmtId="0" borderId="0" applyFont="1" fontId="10">
      <alignment vertical="bottom" horizontal="right" wrapText="1"/>
    </xf>
    <xf applyBorder="1" applyAlignment="1" fillId="0" xfId="0" numFmtId="0" borderId="4" applyFont="1" fontId="11">
      <alignment vertical="bottom" horizontal="left" wrapText="1"/>
    </xf>
    <xf applyBorder="1" applyAlignment="1" fillId="0" xfId="0" numFmtId="0" borderId="5" applyFont="1" fontId="12">
      <alignment vertical="bottom" horizontal="general" wrapText="1"/>
    </xf>
    <xf applyAlignment="1" fillId="0" xfId="0" numFmtId="0" borderId="0" applyFont="1" fontId="13">
      <alignment vertical="bottom" horizontal="right"/>
    </xf>
    <xf applyAlignment="1" fillId="0" xfId="0" numFmtId="0" borderId="0" applyFont="1" fontId="14">
      <alignment vertical="bottom" horizontal="general" wrapText="1"/>
    </xf>
    <xf applyBorder="1" applyAlignment="1" fillId="0" xfId="0" numFmtId="0" borderId="6" applyFont="1" fontId="15">
      <alignment vertical="bottom" horizontal="right"/>
    </xf>
    <xf applyAlignment="1" fillId="0" xfId="0" numFmtId="0" borderId="0" applyFont="1" fontId="16">
      <alignment vertical="bottom" horizontal="general" wrapText="1"/>
    </xf>
    <xf applyBorder="1" applyAlignment="1" fillId="0" xfId="0" numFmtId="0" borderId="7" applyFont="1" fontId="17">
      <alignment vertical="bottom" horizontal="general" wrapText="1"/>
    </xf>
    <xf applyBorder="1" applyAlignment="1" fillId="0" xfId="0" numFmtId="0" borderId="8" applyFont="1" fontId="18">
      <alignment vertical="bottom" horizontal="right"/>
    </xf>
    <xf applyBorder="1" applyAlignment="1" fillId="0" xfId="0" numFmtId="49" borderId="9" applyFont="1" fontId="19" applyNumberFormat="1">
      <alignment vertical="bottom" horizontal="left"/>
    </xf>
    <xf applyAlignment="1" fillId="0" xfId="0" numFmtId="0" borderId="0" applyFont="1" fontId="20">
      <alignment vertical="bottom" horizontal="general" wrapText="1"/>
    </xf>
    <xf applyBorder="1" applyAlignment="1" fillId="0" xfId="0" numFmtId="0" borderId="10" applyFont="1" fontId="21">
      <alignment vertical="bottom" horizontal="general" wrapText="1"/>
    </xf>
    <xf applyAlignment="1" fillId="0" xfId="0" numFmtId="0" borderId="0" applyFont="1" fontId="22">
      <alignment vertical="bottom" horizontal="center" wrapText="1"/>
    </xf>
    <xf applyBorder="1" applyAlignment="1" fillId="0" xfId="0" numFmtId="0" borderId="11" applyFont="1" fontId="23">
      <alignment vertical="bottom" horizontal="general" wrapText="1"/>
    </xf>
    <xf applyAlignment="1" fillId="0" xfId="0" numFmtId="0" borderId="0" applyFont="1" fontId="24">
      <alignment vertical="bottom" horizontal="general" wrapText="1"/>
    </xf>
    <xf applyAlignment="1" fillId="0" xfId="0" numFmtId="0" borderId="0" applyFont="1" fontId="25">
      <alignment vertical="bottom" horizontal="left"/>
    </xf>
    <xf applyBorder="1" applyAlignment="1" fillId="0" xfId="0" numFmtId="0" borderId="12" applyFont="1" fontId="26">
      <alignment vertical="bottom" horizontal="general" wrapText="1"/>
    </xf>
    <xf applyBorder="1" applyAlignment="1" fillId="0" xfId="0" numFmtId="0" borderId="13" applyFont="1" fontId="27">
      <alignment vertical="bottom" horizontal="left" wrapText="1"/>
    </xf>
    <xf applyAlignment="1" fillId="2" xfId="0" numFmtId="0" borderId="0" applyFont="1" fontId="28" applyFill="1">
      <alignment vertical="bottom" horizontal="left"/>
    </xf>
    <xf applyAlignment="1" fillId="0" xfId="0" numFmtId="0" borderId="0" applyFont="1" fontId="29">
      <alignment vertical="bottom" horizontal="general" wrapText="1"/>
    </xf>
    <xf applyAlignment="1" fillId="0" xfId="0" numFmtId="0" borderId="0" applyFont="1" fontId="30">
      <alignment vertical="bottom" horizontal="general" wrapText="1"/>
    </xf>
    <xf applyBorder="1" applyAlignment="1" fillId="0" xfId="0" numFmtId="0" borderId="14" applyFont="1" fontId="31">
      <alignment vertical="bottom" horizontal="general" wrapText="1"/>
    </xf>
    <xf applyAlignment="1" fillId="0" xfId="0" numFmtId="0" borderId="0" applyFont="1" fontId="32">
      <alignment vertical="bottom" horizontal="general" wrapText="1"/>
    </xf>
    <xf applyAlignment="1" fillId="3" xfId="0" numFmtId="0" borderId="0" fontId="0" applyNumberFormat="1" applyFill="1">
      <alignment vertical="bottom" horizontal="general" wrapText="1"/>
    </xf>
    <xf applyAlignment="1" fillId="0" xfId="0" numFmtId="0" borderId="0" applyFont="1" fontId="33">
      <alignment vertical="bottom" horizontal="left"/>
    </xf>
    <xf applyAlignment="1" fillId="0" xfId="0" numFmtId="0" borderId="0" applyFont="1" fontId="34">
      <alignment vertical="bottom" horizontal="general" wrapText="1"/>
    </xf>
    <xf applyAlignment="1" fillId="0" xfId="0" numFmtId="0" borderId="0" applyFont="1" fontId="35">
      <alignment vertical="bottom" horizontal="right"/>
    </xf>
    <xf applyAlignment="1" fillId="0" xfId="0" numFmtId="49" borderId="0" applyFont="1" fontId="36" applyNumberFormat="1">
      <alignment vertical="bottom" horizontal="left"/>
    </xf>
    <xf applyAlignment="1" fillId="0" xfId="0" numFmtId="0" borderId="0" applyFont="1" fontId="37">
      <alignment vertical="bottom" horizontal="general" wrapText="1"/>
    </xf>
    <xf applyBorder="1" applyAlignment="1" fillId="0" xfId="0" numFmtId="0" borderId="15" applyFont="1" fontId="38">
      <alignment vertical="bottom" horizontal="right"/>
    </xf>
    <xf applyBorder="1" applyAlignment="1" fillId="0" xfId="0" numFmtId="0" borderId="16" applyFont="1" fontId="39">
      <alignment vertical="bottom" horizontal="general" wrapText="1"/>
    </xf>
    <xf fillId="0" xfId="0" numFmtId="0" borderId="0" applyFont="1" fontId="40" applyNumberFormat="1"/>
    <xf applyAlignment="1" fillId="4" xfId="0" numFmtId="0" borderId="0" applyFont="1" fontId="41" applyFill="1">
      <alignment vertical="bottom" horizontal="left" wrapText="1"/>
    </xf>
    <xf applyBorder="1" applyAlignment="1" fillId="0" xfId="0" numFmtId="0" borderId="17" applyFont="1" fontId="42">
      <alignment vertical="bottom" horizontal="general" wrapText="1"/>
    </xf>
    <xf applyAlignment="1" fillId="0" xfId="0" numFmtId="0" borderId="0" applyFont="1" fontId="43">
      <alignment vertical="bottom" horizontal="general" wrapText="1"/>
    </xf>
    <xf applyAlignment="1" fillId="0" xfId="0" numFmtId="0" borderId="0" applyFont="1" fontId="44">
      <alignment vertical="bottom" horizontal="right" wrapText="1"/>
    </xf>
    <xf applyAlignment="1" fillId="0" xfId="0" numFmtId="0" borderId="0" applyFont="1" fontId="45" applyNumberFormat="1">
      <alignment vertical="bottom" horizontal="right"/>
    </xf>
    <xf applyBorder="1" fillId="0" xfId="0" numFmtId="0" borderId="18" applyFont="1" fontId="46"/>
    <xf applyBorder="1" applyAlignment="1" fillId="0" xfId="0" numFmtId="0" borderId="19" applyFont="1" fontId="47">
      <alignment vertical="bottom" horizontal="general" wrapText="1"/>
    </xf>
    <xf applyBorder="1" applyAlignment="1" fillId="0" xfId="0" numFmtId="0" borderId="20" fontId="0">
      <alignment vertical="bottom" horizontal="general" wrapText="1"/>
    </xf>
    <xf applyBorder="1" applyAlignment="1" fillId="0" xfId="0" numFmtId="0" borderId="21" fontId="0">
      <alignment vertical="bottom" horizontal="general" wrapText="1"/>
    </xf>
    <xf applyAlignment="1" fillId="0" xfId="0" numFmtId="0" borderId="0" fontId="0">
      <alignment vertical="bottom" horizontal="right" wrapText="1"/>
    </xf>
    <xf applyAlignment="1" fillId="0" xfId="0" numFmtId="0" borderId="0" applyFont="1" fontId="48">
      <alignment vertical="bottom" horizontal="left"/>
    </xf>
    <xf applyBorder="1" applyAlignment="1" fillId="0" xfId="0" numFmtId="0" borderId="22" applyFont="1" fontId="49">
      <alignment vertical="bottom" horizontal="right"/>
    </xf>
    <xf applyAlignment="1" fillId="5" xfId="0" numFmtId="0" borderId="0" applyFont="1" fontId="50" applyFill="1">
      <alignment vertical="bottom" horizontal="right"/>
    </xf>
    <xf applyAlignment="1" fillId="0" xfId="0" numFmtId="0" borderId="0" applyFont="1" fontId="51" applyNumberFormat="1">
      <alignment vertical="bottom" horizontal="general" wrapText="1"/>
    </xf>
    <xf applyBorder="1" applyAlignment="1" fillId="0" xfId="0" numFmtId="0" borderId="23" applyFont="1" fontId="52">
      <alignment vertical="bottom" horizontal="center" wrapText="1"/>
    </xf>
    <xf applyBorder="1" fillId="0" xfId="0" numFmtId="0" borderId="24" applyFont="1" fontId="53"/>
    <xf applyAlignment="1" fillId="0" xfId="0" numFmtId="0" borderId="0" applyFont="1" fontId="54" applyNumberFormat="1">
      <alignment vertical="bottom" horizontal="general" wrapText="1"/>
    </xf>
    <xf applyAlignment="1" fillId="0" xfId="0" numFmtId="0" borderId="0" fontId="0">
      <alignment vertical="bottom" horizontal="general" wrapText="1"/>
    </xf>
    <xf applyBorder="1" applyAlignment="1" fillId="0" xfId="0" numFmtId="0" borderId="25" applyFont="1" fontId="55">
      <alignment vertical="bottom" horizontal="general" wrapText="1"/>
    </xf>
    <xf applyBorder="1" applyAlignment="1" fillId="0" xfId="0" numFmtId="0" borderId="26" applyFont="1" fontId="56">
      <alignment vertical="bottom" horizontal="right" wrapText="1"/>
    </xf>
    <xf applyAlignment="1" fillId="0" xfId="0" numFmtId="0" borderId="0" applyFont="1" fontId="57" applyNumberFormat="1">
      <alignment vertical="bottom" horizontal="right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2" ySplit="1.0" activePane="bottomLeft" state="frozen"/>
      <selection sqref="A2" activeCell="A2" pane="bottomLeft"/>
    </sheetView>
  </sheetViews>
  <sheetFormatPr customHeight="1" defaultColWidth="11.57" defaultRowHeight="12.75"/>
  <cols>
    <col min="1" customWidth="1" max="1" width="10.43"/>
    <col min="2" customWidth="1" max="2" width="11.86"/>
    <col min="3" customWidth="1" max="3" width="13.14"/>
    <col min="4" customWidth="1" max="4" width="11.86"/>
    <col min="5" customWidth="1" max="5" width="28.57"/>
  </cols>
  <sheetData>
    <row r="1">
      <c t="s" s="46" r="A1">
        <v>0</v>
      </c>
      <c t="s" s="46" r="B1">
        <v>1</v>
      </c>
      <c t="s" s="46" r="C1">
        <v>2</v>
      </c>
      <c t="s" s="46" r="D1">
        <v>3</v>
      </c>
      <c t="s" s="46" r="E1">
        <v>4</v>
      </c>
    </row>
    <row r="2">
      <c s="44" r="A2">
        <v>53.349795</v>
      </c>
      <c s="30" r="B2">
        <v>-6.260254</v>
      </c>
      <c t="str" s="56" r="C2">
        <f>((((((mid(Alphabet,(((MOD(INT((int((((North-A2)/High)*(Base^Digits)))/(Base^(Digits-1)))),Base)*Base)+MOD(INT((int((((B2-West)/Wide)*(Base^Digits)))/(Base^(Digits-1)))),Base))+1),1)&amp;mid(Alphabet,(((MOD(INT((int((((North-A2)/High)*(Base^Digits)))/(Base^(Digits-2)))),Base)*Base)+MOD(INT((int((((B2-West)/Wide)*(Base^Digits)))/(Base^(Digits-2)))),Base))+1),1))&amp;mid(Alphabet,(((MOD(INT((int((((North-A2)/High)*(Base^Digits)))/(Base^(Digits-3)))),Base)*Base)+MOD(INT((int((((B2-West)/Wide)*(Base^Digits)))/(Base^(Digits-3)))),Base))+1),1))&amp;mid(Alphabet,(((MOD(INT((int((((North-A2)/High)*(Base^Digits)))/(Base^(Digits-4)))),Base)*Base)+MOD(INT((int((((B2-West)/Wide)*(Base^Digits)))/(Base^(Digits-4)))),Base))+1),1))&amp;mid(Alphabet,(((MOD(INT((int((((North-A2)/High)*(Base^Digits)))/(Base^(Digits-5)))),Base)*Base)+MOD(INT((int((((B2-West)/Wide)*(Base^Digits)))/(Base^(Digits-5)))),Base))+1),1))&amp;mid(Alphabet,(((MOD(INT((int((((North-A2)/High)*(Base^Digits)))/(Base^(Digits-6)))),Base)*Base)+MOD(INT((int((((B2-West)/Wide)*(Base^Digits)))/(Base^(Digits-6)))),Base))+1),1))&amp;mid(Alphabet,(((MOD(INT((int((((North-A2)/High)*(Base^Digits)))/(Base^(Digits-7)))),Base)*Base)+MOD(INT((int((((B2-West)/Wide)*(Base^Digits)))/(Base^(Digits-7)))),Base))+1),1))&amp;mid(Alphabet,(((MOD(INT((int((((North-A2)/High)*(Base^Digits)))/(Base^(Digits-8)))),Base)*Base)+MOD(INT((int((((B2-West)/Wide)*(Base^Digits)))/(Base^(Digits-8)))),Base))+1),1)</f>
        <v>KFPXWT7D</v>
      </c>
      <c t="str" s="22" r="D2">
        <f>mid(Checksum,(MOD(sum(((((((((((MOD(INT((int((((North-A2)/High)*(Base^Digits)))/(Base^(Digits-1)))),Base)*Base)+MOD(INT((int((((B2-West)/Wide)*(Base^Digits)))/(Base^(Digits-1)))),Base))*1)+(((MOD(INT((int((((North-A2)/High)*(Base^Digits)))/(Base^(Digits-2)))),Base)*Base)+MOD(INT((int((((B2-West)/Wide)*(Base^Digits)))/(Base^(Digits-2)))),Base))*2))+(((MOD(INT((int((((North-A2)/High)*(Base^Digits)))/(Base^(Digits-3)))),Base)*Base)+MOD(INT((int((((B2-West)/Wide)*(Base^Digits)))/(Base^(Digits-3)))),Base))*3))+(((MOD(INT((int((((North-A2)/High)*(Base^Digits)))/(Base^(Digits-4)))),Base)*Base)+MOD(INT((int((((B2-West)/Wide)*(Base^Digits)))/(Base^(Digits-4)))),Base))*4))+(((MOD(INT((int((((North-A2)/High)*(Base^Digits)))/(Base^(Digits-5)))),Base)*Base)+MOD(INT((int((((B2-West)/Wide)*(Base^Digits)))/(Base^(Digits-5)))),Base))*5))+(((MOD(INT((int((((North-A2)/High)*(Base^Digits)))/(Base^(Digits-6)))),Base)*Base)+MOD(INT((int((((B2-West)/Wide)*(Base^Digits)))/(Base^(Digits-6)))),Base))*6))+(((MOD(INT((int((((North-A2)/High)*(Base^Digits)))/(Base^(Digits-7)))),Base)*Base)+MOD(INT((int((((B2-West)/Wide)*(Base^Digits)))/(Base^(Digits-7)))),Base))*7))+(((MOD(INT((int((((North-A2)/High)*(Base^Digits)))/(Base^(Digits-8)))),Base)*Base)+MOD(INT((int((((B2-West)/Wide)*(Base^Digits)))/(Base^(Digits-8)))),Base))*8))),CheckBase)+1),1)</f>
        <v>5</v>
      </c>
      <c t="str" r="E2">
        <f>(("http://opcmap.org/"&amp;C2)&amp;"-")&amp;D2</f>
        <v>http://opcmap.org/KFPXWT7D-5</v>
      </c>
    </row>
    <row r="3">
      <c s="4" r="A3"/>
      <c s="22" r="B3"/>
      <c s="22" r="D3"/>
    </row>
    <row r="4">
      <c s="22" r="B4"/>
      <c s="22" r="D4"/>
    </row>
    <row r="5">
      <c s="22" r="A5"/>
      <c s="46" r="C5"/>
    </row>
    <row r="6">
      <c s="12" r="A6"/>
      <c s="12" r="B6"/>
      <c s="12" r="C6"/>
      <c s="10" r="D6"/>
    </row>
    <row r="8">
      <c s="44" r="A8"/>
      <c s="30" r="B8"/>
      <c s="38" r="D8"/>
    </row>
    <row r="9">
      <c s="38" r="D9"/>
    </row>
    <row r="10">
      <c s="38" r="D10"/>
    </row>
    <row r="11">
      <c s="38" r="D11"/>
    </row>
    <row r="12">
      <c s="1" r="A12"/>
      <c s="1" r="B12"/>
      <c s="48" r="D12"/>
    </row>
    <row r="13">
      <c s="1" r="A13"/>
      <c s="1" r="B13"/>
      <c s="48" r="D13"/>
    </row>
    <row r="14">
      <c s="48" r="D14"/>
    </row>
    <row r="15">
      <c s="12" r="C15"/>
      <c s="48" r="D15"/>
    </row>
    <row r="17">
      <c s="22" r="D17"/>
      <c s="1" r="E17"/>
      <c s="1" r="F17"/>
      <c s="1" r="G17"/>
      <c s="1" r="H17"/>
      <c s="1" r="I17"/>
      <c s="1" r="J17"/>
      <c s="1" r="K17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1" customWidth="1" max="1" width="10.71"/>
    <col min="2" customWidth="1" max="2" width="31.14"/>
  </cols>
  <sheetData>
    <row r="1">
      <c t="s" s="12" r="A1">
        <v>5</v>
      </c>
      <c r="B1">
        <v>55.5</v>
      </c>
    </row>
    <row r="2">
      <c t="s" s="12" r="A2">
        <v>6</v>
      </c>
      <c r="B2">
        <v>-10.75</v>
      </c>
    </row>
    <row r="3">
      <c t="s" s="12" r="A3">
        <v>7</v>
      </c>
      <c r="B3">
        <v>4.2</v>
      </c>
    </row>
    <row r="4">
      <c t="s" s="12" r="A4">
        <v>8</v>
      </c>
      <c r="B4">
        <v>5.4</v>
      </c>
    </row>
    <row r="5">
      <c s="53" r="A5"/>
    </row>
    <row r="6">
      <c t="s" s="12" r="A6">
        <v>9</v>
      </c>
      <c t="s" s="53" r="B6">
        <v>10</v>
      </c>
    </row>
    <row r="7">
      <c t="s" s="53" r="A7">
        <v>11</v>
      </c>
      <c r="B7">
        <f>int(sqrt(len(B6)))</f>
        <v>5</v>
      </c>
    </row>
    <row r="8">
      <c t="s" s="12" r="A8">
        <v>12</v>
      </c>
      <c r="B8">
        <v>8</v>
      </c>
    </row>
    <row r="10">
      <c t="s" s="12" r="A10">
        <v>3</v>
      </c>
      <c t="s" s="53" r="B10">
        <v>13</v>
      </c>
    </row>
    <row r="11">
      <c t="s" s="53" r="A11">
        <v>14</v>
      </c>
      <c r="B11">
        <f>len(B10)</f>
        <v>31</v>
      </c>
    </row>
  </sheetData>
</worksheet>
</file>